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58029" documentId="8_{C191C14E-DCC0-48D4-9565-D68BE9BEEB00}" xr6:coauthVersionLast="47" xr6:coauthVersionMax="47" xr10:uidLastSave="{C7455095-2C56-482E-83E5-9442C720E847}"/>
  <bookViews>
    <workbookView xWindow="3315" yWindow="3990" windowWidth="21600" windowHeight="12735" tabRatio="815" firstSheet="15" activeTab="13" xr2:uid="{00000000-000D-0000-FFFF-FFFF00000000}"/>
  </bookViews>
  <sheets>
    <sheet name="Ark7" sheetId="140" state="hidden" r:id="rId1"/>
    <sheet name="Ark8" sheetId="141" state="hidden" r:id="rId2"/>
    <sheet name="Ark9" sheetId="142" state="hidden" r:id="rId3"/>
    <sheet name="Ark4" sheetId="137" state="hidden" r:id="rId4"/>
    <sheet name="Maj 2021" sheetId="159" r:id="rId5"/>
    <sheet name="Juni 2021" sheetId="158" r:id="rId6"/>
    <sheet name="Juli 2021" sheetId="157" r:id="rId7"/>
    <sheet name="August 2021" sheetId="163" r:id="rId8"/>
    <sheet name="September 2021" sheetId="162" r:id="rId9"/>
    <sheet name="Oktober 2021" sheetId="160" r:id="rId10"/>
    <sheet name="Marts 2022" sheetId="166" r:id="rId11"/>
    <sheet name="April 2022" sheetId="167" r:id="rId12"/>
    <sheet name="November 2021" sheetId="164" r:id="rId13"/>
    <sheet name="December 2021" sheetId="150" r:id="rId14"/>
    <sheet name="Januar 2022" sheetId="161" r:id="rId15"/>
    <sheet name="Februar 2022" sheetId="165" r:id="rId16"/>
    <sheet name="Prisliste 2021" sheetId="16" r:id="rId17"/>
    <sheet name="Prisliste 2022" sheetId="168" r:id="rId18"/>
    <sheet name="GRUSMUS 2022" sheetId="17" r:id="rId19"/>
    <sheet name="Nøgler GL" sheetId="1" r:id="rId20"/>
    <sheet name="Nøgler januar 2000" sheetId="3" r:id="rId21"/>
    <sheet name="Nøgler m. lønkode" sheetId="2" r:id="rId22"/>
    <sheet name="Balanced 2010" sheetId="22" r:id="rId23"/>
    <sheet name="_56F9DC9755BA473782653E2940F9" sheetId="122" state="veryHidden" r:id="rId24"/>
  </sheets>
  <externalReferences>
    <externalReference r:id="rId25"/>
  </externalReferences>
  <definedNames>
    <definedName name="_56F9DC9755BA473782653E2940F9FormId">"q1iQdodEj0GLbPS0gkPt10GXD2F-bdBPpMbVolKa-XpUNzVVVUs0R1JROE5MS0IwTDFFV0pTNFVJSSQlQCN0PWcu"</definedName>
    <definedName name="_56F9DC9755BA473782653E2940F9ResponseSheet">"Form1"</definedName>
    <definedName name="_56F9DC9755BA473782653E2940F9SourceDocId">"{9cc9521c-7d83-4cb0-89f8-748dca75b3b8}"</definedName>
    <definedName name="NormTid" localSheetId="17">'[1]Maj 2021'!$AJ$12</definedName>
    <definedName name="NormTid">'Maj 2021'!$AJ$12</definedName>
    <definedName name="_xlnm.Print_Area" localSheetId="20">'Nøgler januar 2000'!$A$1:$W$229</definedName>
    <definedName name="_xlnm.Print_Area" localSheetId="21">'Nøgler m. lønkode'!$A$1:$J$302</definedName>
    <definedName name="_xlnm.Print_Titles" localSheetId="11">'April 2022'!$1:$3</definedName>
    <definedName name="_xlnm.Print_Titles" localSheetId="7">'August 2021'!$1:$3</definedName>
    <definedName name="_xlnm.Print_Titles" localSheetId="22">'Balanced 2010'!$1:$1</definedName>
    <definedName name="_xlnm.Print_Titles" localSheetId="13">'December 2021'!$1:$3</definedName>
    <definedName name="_xlnm.Print_Titles" localSheetId="15">'Februar 2022'!$1:$3</definedName>
    <definedName name="_xlnm.Print_Titles" localSheetId="14">'Januar 2022'!$1:$3</definedName>
    <definedName name="_xlnm.Print_Titles" localSheetId="6">'Juli 2021'!$1:$3</definedName>
    <definedName name="_xlnm.Print_Titles" localSheetId="5">'Juni 2021'!$1:$3</definedName>
    <definedName name="_xlnm.Print_Titles" localSheetId="4">'Maj 2021'!$1:$3</definedName>
    <definedName name="_xlnm.Print_Titles" localSheetId="10">'Marts 2022'!$1:$3</definedName>
    <definedName name="_xlnm.Print_Titles" localSheetId="12">'November 2021'!$1:$3</definedName>
    <definedName name="_xlnm.Print_Titles" localSheetId="9">'Oktober 2021'!$1:$3</definedName>
    <definedName name="_xlnm.Print_Titles" localSheetId="8">'September 2021'!$1:$3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74" i="167" l="1"/>
  <c r="AN75" i="167"/>
  <c r="AN73" i="167"/>
  <c r="AN72" i="166"/>
  <c r="AL68" i="167"/>
  <c r="AM68" i="167"/>
  <c r="AN68" i="167" s="1"/>
  <c r="AL69" i="167"/>
  <c r="AM69" i="167"/>
  <c r="AN69" i="167"/>
  <c r="AL70" i="167"/>
  <c r="AM70" i="167"/>
  <c r="AN70" i="167"/>
  <c r="AL71" i="167"/>
  <c r="AM71" i="167"/>
  <c r="AN71" i="167"/>
  <c r="AL72" i="167"/>
  <c r="AM72" i="167"/>
  <c r="AN72" i="167" s="1"/>
  <c r="AL73" i="167"/>
  <c r="AM73" i="167"/>
  <c r="AL74" i="167"/>
  <c r="AM74" i="167"/>
  <c r="AL75" i="167"/>
  <c r="AM75" i="167"/>
  <c r="AL72" i="166"/>
  <c r="AM72" i="166"/>
  <c r="AL62" i="167" l="1"/>
  <c r="AM62" i="167"/>
  <c r="AN62" i="167" s="1"/>
  <c r="AL63" i="167"/>
  <c r="AM63" i="167"/>
  <c r="AN63" i="167" s="1"/>
  <c r="AL64" i="167"/>
  <c r="AM64" i="167"/>
  <c r="AN64" i="167" s="1"/>
  <c r="AL65" i="167"/>
  <c r="AM65" i="167"/>
  <c r="AN65" i="167" s="1"/>
  <c r="AL66" i="167"/>
  <c r="AM66" i="167"/>
  <c r="AN66" i="167" s="1"/>
  <c r="AL67" i="167"/>
  <c r="AM67" i="167"/>
  <c r="AN67" i="167" s="1"/>
  <c r="AL76" i="167"/>
  <c r="AM76" i="167"/>
  <c r="AN76" i="167" s="1"/>
  <c r="AL77" i="167"/>
  <c r="AM77" i="167"/>
  <c r="AN77" i="167" s="1"/>
  <c r="AL78" i="167"/>
  <c r="AM78" i="167"/>
  <c r="AN78" i="167" s="1"/>
  <c r="AL79" i="167"/>
  <c r="AM79" i="167"/>
  <c r="AN79" i="167" s="1"/>
  <c r="AL80" i="167"/>
  <c r="AM80" i="167"/>
  <c r="AN80" i="167" s="1"/>
  <c r="AL81" i="167"/>
  <c r="AM81" i="167"/>
  <c r="AN81" i="167" s="1"/>
  <c r="AL62" i="166"/>
  <c r="AM62" i="166"/>
  <c r="AL63" i="166"/>
  <c r="AM63" i="166" s="1"/>
  <c r="AL64" i="166"/>
  <c r="AM64" i="166" s="1"/>
  <c r="AL65" i="166"/>
  <c r="AM65" i="166" s="1"/>
  <c r="AL66" i="166"/>
  <c r="AM66" i="166"/>
  <c r="AL67" i="166"/>
  <c r="AM67" i="166"/>
  <c r="AL68" i="166"/>
  <c r="AM68" i="166" s="1"/>
  <c r="AL69" i="166"/>
  <c r="AM69" i="166" s="1"/>
  <c r="AL70" i="166"/>
  <c r="AM70" i="166" s="1"/>
  <c r="AL71" i="166"/>
  <c r="AM71" i="166"/>
  <c r="AL75" i="166"/>
  <c r="AM75" i="166"/>
  <c r="AN75" i="166" s="1"/>
  <c r="AL76" i="166"/>
  <c r="AM76" i="166"/>
  <c r="AN76" i="166" s="1"/>
  <c r="AL77" i="166"/>
  <c r="AM77" i="166"/>
  <c r="AN77" i="166" s="1"/>
  <c r="AL78" i="166"/>
  <c r="AM78" i="166"/>
  <c r="AN78" i="166" s="1"/>
  <c r="AL63" i="165"/>
  <c r="AM63" i="165" s="1"/>
  <c r="AL64" i="165"/>
  <c r="AM64" i="165" s="1"/>
  <c r="AL65" i="165"/>
  <c r="AM65" i="165"/>
  <c r="AN65" i="165" s="1"/>
  <c r="AL66" i="165"/>
  <c r="AM66" i="165" s="1"/>
  <c r="AL67" i="165"/>
  <c r="AM67" i="165" s="1"/>
  <c r="AL68" i="165"/>
  <c r="AM68" i="165" s="1"/>
  <c r="AL69" i="165"/>
  <c r="AM69" i="165" s="1"/>
  <c r="AL70" i="165"/>
  <c r="AM70" i="165" s="1"/>
  <c r="AL71" i="165"/>
  <c r="AM71" i="165"/>
  <c r="AL72" i="165"/>
  <c r="AM72" i="165" s="1"/>
  <c r="AL73" i="165"/>
  <c r="AM73" i="165" s="1"/>
  <c r="AL74" i="165"/>
  <c r="AM74" i="165" s="1"/>
  <c r="AL75" i="165"/>
  <c r="AM75" i="165"/>
  <c r="AN75" i="165" s="1"/>
  <c r="AL76" i="165"/>
  <c r="AM76" i="165"/>
  <c r="AN76" i="165" s="1"/>
  <c r="AM76" i="161"/>
  <c r="AN76" i="161" s="1"/>
  <c r="AM77" i="161"/>
  <c r="AN77" i="161" s="1"/>
  <c r="AM78" i="161"/>
  <c r="AN78" i="161" s="1"/>
  <c r="AL75" i="161"/>
  <c r="AM75" i="161" s="1"/>
  <c r="AN75" i="161" s="1"/>
  <c r="AL76" i="161"/>
  <c r="AL77" i="161"/>
  <c r="AL74" i="161"/>
  <c r="AM74" i="161" s="1"/>
  <c r="AN74" i="161" s="1"/>
  <c r="AL74" i="150"/>
  <c r="AM74" i="150" s="1"/>
  <c r="AL75" i="150"/>
  <c r="AM75" i="150" s="1"/>
  <c r="AL76" i="150"/>
  <c r="AM76" i="150" s="1"/>
  <c r="AL77" i="150"/>
  <c r="AM77" i="150" s="1"/>
  <c r="AN77" i="150" s="1"/>
  <c r="AL78" i="150"/>
  <c r="AM78" i="150" s="1"/>
  <c r="AN78" i="150" s="1"/>
  <c r="AL79" i="150"/>
  <c r="AM79" i="150"/>
  <c r="AN79" i="150" s="1"/>
  <c r="AL77" i="160"/>
  <c r="AM77" i="160"/>
  <c r="AN77" i="160" s="1"/>
  <c r="AL77" i="164"/>
  <c r="AM77" i="164" s="1"/>
  <c r="AN77" i="164" s="1"/>
  <c r="AL76" i="164"/>
  <c r="AM76" i="164" s="1"/>
  <c r="AN76" i="164" s="1"/>
  <c r="AL66" i="160"/>
  <c r="AL63" i="159"/>
  <c r="AM63" i="159" s="1"/>
  <c r="AN63" i="159" s="1"/>
  <c r="AN75" i="150" l="1"/>
  <c r="AN74" i="165"/>
  <c r="AN73" i="165"/>
  <c r="AN71" i="166" s="1"/>
  <c r="AN74" i="150"/>
  <c r="AL82" i="167"/>
  <c r="AM82" i="167"/>
  <c r="AN82" i="167" s="1"/>
  <c r="AL79" i="161"/>
  <c r="AM79" i="161"/>
  <c r="AN79" i="161" s="1"/>
  <c r="AL76" i="159"/>
  <c r="AM76" i="159"/>
  <c r="AN76" i="159" s="1"/>
  <c r="AL76" i="158"/>
  <c r="AM76" i="158"/>
  <c r="AN76" i="158" s="1"/>
  <c r="AL76" i="157"/>
  <c r="AM76" i="157"/>
  <c r="AN76" i="157" s="1"/>
  <c r="AL76" i="163"/>
  <c r="AM76" i="163"/>
  <c r="AN76" i="163" s="1"/>
  <c r="AL76" i="162"/>
  <c r="AM76" i="162"/>
  <c r="AN76" i="162" s="1"/>
  <c r="AL76" i="160"/>
  <c r="AM76" i="160"/>
  <c r="AN76" i="160" s="1"/>
  <c r="AL78" i="164"/>
  <c r="AM78" i="164" s="1"/>
  <c r="AN78" i="164" s="1"/>
  <c r="AN76" i="150" s="1"/>
  <c r="AL62" i="158" l="1"/>
  <c r="AM62" i="158" s="1"/>
  <c r="AL63" i="158"/>
  <c r="AM63" i="158" s="1"/>
  <c r="AN63" i="158" s="1"/>
  <c r="AL64" i="158"/>
  <c r="AM64" i="158" s="1"/>
  <c r="AL65" i="158"/>
  <c r="AM65" i="158" s="1"/>
  <c r="AL66" i="158"/>
  <c r="AM66" i="158"/>
  <c r="AN66" i="158" s="1"/>
  <c r="AL67" i="158"/>
  <c r="AM67" i="158" s="1"/>
  <c r="AL68" i="158"/>
  <c r="AM68" i="158" s="1"/>
  <c r="AL69" i="158"/>
  <c r="AM69" i="158" s="1"/>
  <c r="AL70" i="158"/>
  <c r="AM70" i="158" s="1"/>
  <c r="AL71" i="158"/>
  <c r="AM71" i="158" s="1"/>
  <c r="AL72" i="158"/>
  <c r="AM72" i="158" s="1"/>
  <c r="AL73" i="158"/>
  <c r="AM73" i="158"/>
  <c r="AN73" i="158" s="1"/>
  <c r="AL74" i="158"/>
  <c r="AM74" i="158"/>
  <c r="AN74" i="158" s="1"/>
  <c r="AL75" i="158"/>
  <c r="AM75" i="158"/>
  <c r="AN75" i="158" s="1"/>
  <c r="AL62" i="157"/>
  <c r="AM62" i="157" s="1"/>
  <c r="AL63" i="157"/>
  <c r="AM63" i="157" s="1"/>
  <c r="AL64" i="157"/>
  <c r="AM64" i="157" s="1"/>
  <c r="AL65" i="157"/>
  <c r="AM65" i="157" s="1"/>
  <c r="AL66" i="157"/>
  <c r="AM66" i="157"/>
  <c r="AN66" i="157" s="1"/>
  <c r="AL67" i="157"/>
  <c r="AM67" i="157" s="1"/>
  <c r="AL68" i="157"/>
  <c r="AM68" i="157" s="1"/>
  <c r="AL69" i="157"/>
  <c r="AM69" i="157" s="1"/>
  <c r="AL70" i="157"/>
  <c r="AM70" i="157" s="1"/>
  <c r="AL71" i="157"/>
  <c r="AM71" i="157" s="1"/>
  <c r="AL72" i="157"/>
  <c r="AM72" i="157" s="1"/>
  <c r="AL73" i="157"/>
  <c r="AM73" i="157"/>
  <c r="AN73" i="157" s="1"/>
  <c r="AL74" i="157"/>
  <c r="AM74" i="157"/>
  <c r="AN74" i="157" s="1"/>
  <c r="AL75" i="157"/>
  <c r="AM75" i="157"/>
  <c r="AN75" i="157" s="1"/>
  <c r="AL62" i="163"/>
  <c r="AM62" i="163" s="1"/>
  <c r="AL63" i="163"/>
  <c r="AM63" i="163" s="1"/>
  <c r="AL64" i="163"/>
  <c r="AM64" i="163" s="1"/>
  <c r="AL65" i="163"/>
  <c r="AM65" i="163" s="1"/>
  <c r="AL66" i="163"/>
  <c r="AM66" i="163"/>
  <c r="AN66" i="163" s="1"/>
  <c r="AL67" i="163"/>
  <c r="AM67" i="163" s="1"/>
  <c r="AL68" i="163"/>
  <c r="AM68" i="163" s="1"/>
  <c r="AL69" i="163"/>
  <c r="AM69" i="163" s="1"/>
  <c r="AL70" i="163"/>
  <c r="AM70" i="163" s="1"/>
  <c r="AL71" i="163"/>
  <c r="AM71" i="163"/>
  <c r="AL72" i="163"/>
  <c r="AM72" i="163" s="1"/>
  <c r="AL73" i="163"/>
  <c r="AM73" i="163"/>
  <c r="AN73" i="163" s="1"/>
  <c r="AL74" i="163"/>
  <c r="AM74" i="163"/>
  <c r="AN74" i="163" s="1"/>
  <c r="AL75" i="163"/>
  <c r="AM75" i="163"/>
  <c r="AN75" i="163" s="1"/>
  <c r="AL62" i="162"/>
  <c r="AM62" i="162" s="1"/>
  <c r="AL63" i="162"/>
  <c r="AM63" i="162" s="1"/>
  <c r="AL64" i="162"/>
  <c r="AM64" i="162" s="1"/>
  <c r="AL65" i="162"/>
  <c r="AM65" i="162" s="1"/>
  <c r="AL66" i="162"/>
  <c r="AM66" i="162"/>
  <c r="AN66" i="162" s="1"/>
  <c r="AL67" i="162"/>
  <c r="AM67" i="162" s="1"/>
  <c r="AL68" i="162"/>
  <c r="AM68" i="162" s="1"/>
  <c r="AL69" i="162"/>
  <c r="AM69" i="162" s="1"/>
  <c r="AL70" i="162"/>
  <c r="AM70" i="162" s="1"/>
  <c r="AL71" i="162"/>
  <c r="AM71" i="162" s="1"/>
  <c r="AL72" i="162"/>
  <c r="AM72" i="162" s="1"/>
  <c r="AL73" i="162"/>
  <c r="AM73" i="162"/>
  <c r="AN73" i="162" s="1"/>
  <c r="AL74" i="162"/>
  <c r="AM74" i="162"/>
  <c r="AN74" i="162" s="1"/>
  <c r="AL75" i="162"/>
  <c r="AM75" i="162"/>
  <c r="AN75" i="162" s="1"/>
  <c r="AL62" i="160"/>
  <c r="AM62" i="160" s="1"/>
  <c r="AL63" i="160"/>
  <c r="AM63" i="160" s="1"/>
  <c r="AL64" i="160"/>
  <c r="AM64" i="160" s="1"/>
  <c r="AL65" i="160"/>
  <c r="AM65" i="160" s="1"/>
  <c r="AM66" i="160"/>
  <c r="AN66" i="160" s="1"/>
  <c r="AL67" i="160"/>
  <c r="AM67" i="160" s="1"/>
  <c r="AL68" i="160"/>
  <c r="AM68" i="160" s="1"/>
  <c r="AL69" i="160"/>
  <c r="AM69" i="160" s="1"/>
  <c r="AL70" i="160"/>
  <c r="AM70" i="160" s="1"/>
  <c r="AL71" i="160"/>
  <c r="AM71" i="160" s="1"/>
  <c r="AL72" i="160"/>
  <c r="AM72" i="160" s="1"/>
  <c r="AL73" i="160"/>
  <c r="AM73" i="160"/>
  <c r="AN73" i="160" s="1"/>
  <c r="AL74" i="160"/>
  <c r="AM74" i="160"/>
  <c r="AN74" i="160" s="1"/>
  <c r="AL75" i="160"/>
  <c r="AM75" i="160"/>
  <c r="AN75" i="160" s="1"/>
  <c r="AL62" i="164"/>
  <c r="AM62" i="164" s="1"/>
  <c r="AL63" i="164"/>
  <c r="AM63" i="164" s="1"/>
  <c r="AL64" i="164"/>
  <c r="AM64" i="164" s="1"/>
  <c r="AL65" i="164"/>
  <c r="AM65" i="164" s="1"/>
  <c r="AL66" i="164"/>
  <c r="AM66" i="164"/>
  <c r="AN66" i="164" s="1"/>
  <c r="AL67" i="164"/>
  <c r="AM67" i="164" s="1"/>
  <c r="AL68" i="164"/>
  <c r="AM68" i="164" s="1"/>
  <c r="AL69" i="164"/>
  <c r="AM69" i="164" s="1"/>
  <c r="AL70" i="164"/>
  <c r="AM70" i="164" s="1"/>
  <c r="AL71" i="164"/>
  <c r="AM71" i="164" s="1"/>
  <c r="AL72" i="164"/>
  <c r="AM72" i="164" s="1"/>
  <c r="AL73" i="164"/>
  <c r="AM73" i="164"/>
  <c r="AN73" i="164" s="1"/>
  <c r="AL74" i="164"/>
  <c r="AM74" i="164"/>
  <c r="AN74" i="164" s="1"/>
  <c r="AL75" i="164"/>
  <c r="AM75" i="164" s="1"/>
  <c r="AN75" i="164" s="1"/>
  <c r="AL62" i="150"/>
  <c r="AM62" i="150" s="1"/>
  <c r="AL63" i="150"/>
  <c r="AM63" i="150" s="1"/>
  <c r="AL64" i="150"/>
  <c r="AM64" i="150" s="1"/>
  <c r="AL65" i="150"/>
  <c r="AM65" i="150" s="1"/>
  <c r="AL66" i="150"/>
  <c r="AM66" i="150"/>
  <c r="AN66" i="150" s="1"/>
  <c r="AL67" i="150"/>
  <c r="AM67" i="150" s="1"/>
  <c r="AL68" i="150"/>
  <c r="AM68" i="150" s="1"/>
  <c r="AL69" i="150"/>
  <c r="AM69" i="150" s="1"/>
  <c r="AL70" i="150"/>
  <c r="AM70" i="150" s="1"/>
  <c r="AL71" i="150"/>
  <c r="AM71" i="150" s="1"/>
  <c r="AL72" i="150"/>
  <c r="AM72" i="150" s="1"/>
  <c r="AL73" i="150"/>
  <c r="AM73" i="150" s="1"/>
  <c r="AL63" i="161"/>
  <c r="AM63" i="161" s="1"/>
  <c r="AN63" i="161" s="1"/>
  <c r="AN63" i="165" s="1"/>
  <c r="AN62" i="166" s="1"/>
  <c r="AL64" i="161"/>
  <c r="AM64" i="161"/>
  <c r="AN64" i="161" s="1"/>
  <c r="AL65" i="161"/>
  <c r="AM65" i="161" s="1"/>
  <c r="AN65" i="161" s="1"/>
  <c r="AN64" i="165" s="1"/>
  <c r="AN63" i="166" s="1"/>
  <c r="AL66" i="161"/>
  <c r="AM66" i="161"/>
  <c r="AN66" i="161" s="1"/>
  <c r="AL67" i="161"/>
  <c r="AM67" i="161" s="1"/>
  <c r="AN67" i="161" s="1"/>
  <c r="AN66" i="165" s="1"/>
  <c r="AN64" i="166" s="1"/>
  <c r="AL68" i="161"/>
  <c r="AM68" i="161" s="1"/>
  <c r="AN68" i="161" s="1"/>
  <c r="AN67" i="165" s="1"/>
  <c r="AN65" i="166" s="1"/>
  <c r="AL69" i="161"/>
  <c r="AM69" i="161" s="1"/>
  <c r="AN69" i="161" s="1"/>
  <c r="AN68" i="165" s="1"/>
  <c r="AN66" i="166" s="1"/>
  <c r="AL70" i="161"/>
  <c r="AM70" i="161" s="1"/>
  <c r="AN70" i="161" s="1"/>
  <c r="AN69" i="165" s="1"/>
  <c r="AN67" i="166" s="1"/>
  <c r="AL71" i="161"/>
  <c r="AM71" i="161" s="1"/>
  <c r="AN71" i="161" s="1"/>
  <c r="AN70" i="165" s="1"/>
  <c r="AN68" i="166" s="1"/>
  <c r="AL72" i="161"/>
  <c r="AM72" i="161" s="1"/>
  <c r="AN72" i="161" s="1"/>
  <c r="AN71" i="165" s="1"/>
  <c r="AN69" i="166" s="1"/>
  <c r="AL73" i="161"/>
  <c r="AM73" i="161" s="1"/>
  <c r="AN73" i="161" s="1"/>
  <c r="AN72" i="165" s="1"/>
  <c r="AN70" i="166" s="1"/>
  <c r="AL62" i="159"/>
  <c r="AM62" i="159" s="1"/>
  <c r="AN62" i="159" s="1"/>
  <c r="AL64" i="159"/>
  <c r="AM64" i="159" s="1"/>
  <c r="AN64" i="159" s="1"/>
  <c r="AL65" i="159"/>
  <c r="AL66" i="159"/>
  <c r="AM66" i="159"/>
  <c r="AN66" i="159" s="1"/>
  <c r="AL67" i="159"/>
  <c r="AM67" i="159" s="1"/>
  <c r="AN67" i="159" s="1"/>
  <c r="AL68" i="159"/>
  <c r="AM68" i="159" s="1"/>
  <c r="AN68" i="159" s="1"/>
  <c r="AL69" i="159"/>
  <c r="AM69" i="159" s="1"/>
  <c r="AN69" i="159" s="1"/>
  <c r="AL70" i="159"/>
  <c r="AM70" i="159" s="1"/>
  <c r="AN70" i="159" s="1"/>
  <c r="AL71" i="159"/>
  <c r="AM71" i="159" s="1"/>
  <c r="AN71" i="159" s="1"/>
  <c r="AL72" i="159"/>
  <c r="AM72" i="159" s="1"/>
  <c r="AN72" i="159" s="1"/>
  <c r="AL73" i="159"/>
  <c r="AM73" i="159"/>
  <c r="AN73" i="159" s="1"/>
  <c r="AL74" i="159"/>
  <c r="AM74" i="159"/>
  <c r="AN74" i="159" s="1"/>
  <c r="AL75" i="159"/>
  <c r="AM75" i="159"/>
  <c r="AN75" i="159" s="1"/>
  <c r="AM61" i="167"/>
  <c r="AN61" i="167" s="1"/>
  <c r="AL61" i="158"/>
  <c r="AM61" i="158" s="1"/>
  <c r="AL61" i="157"/>
  <c r="AM61" i="157" s="1"/>
  <c r="AL61" i="163"/>
  <c r="AM61" i="163" s="1"/>
  <c r="AL61" i="162"/>
  <c r="AM61" i="162" s="1"/>
  <c r="AL61" i="160"/>
  <c r="AM61" i="160" s="1"/>
  <c r="AL61" i="164"/>
  <c r="AM61" i="164" s="1"/>
  <c r="AL61" i="150"/>
  <c r="AM61" i="150" s="1"/>
  <c r="AL62" i="161"/>
  <c r="AM62" i="161" s="1"/>
  <c r="AN62" i="161" s="1"/>
  <c r="AL62" i="165"/>
  <c r="AM62" i="165" s="1"/>
  <c r="AL61" i="166"/>
  <c r="AM61" i="166" s="1"/>
  <c r="AL61" i="167"/>
  <c r="AL61" i="159"/>
  <c r="AM61" i="159" s="1"/>
  <c r="AN61" i="159" s="1"/>
  <c r="AL21" i="158"/>
  <c r="AM21" i="158" s="1"/>
  <c r="AL22" i="158"/>
  <c r="AM22" i="158" s="1"/>
  <c r="AL23" i="158"/>
  <c r="AM23" i="158"/>
  <c r="AN23" i="158" s="1"/>
  <c r="AL21" i="157"/>
  <c r="AM21" i="157" s="1"/>
  <c r="AL22" i="157"/>
  <c r="AM22" i="157" s="1"/>
  <c r="AL23" i="157"/>
  <c r="AM23" i="157"/>
  <c r="AN23" i="157" s="1"/>
  <c r="AL21" i="163"/>
  <c r="AM21" i="163" s="1"/>
  <c r="AL22" i="163"/>
  <c r="AM22" i="163" s="1"/>
  <c r="AL23" i="163"/>
  <c r="AM23" i="163"/>
  <c r="AN23" i="163" s="1"/>
  <c r="AL21" i="162"/>
  <c r="AM21" i="162" s="1"/>
  <c r="AL22" i="162"/>
  <c r="AM22" i="162" s="1"/>
  <c r="AL23" i="162"/>
  <c r="AM23" i="162"/>
  <c r="AN23" i="162" s="1"/>
  <c r="AL21" i="160"/>
  <c r="AM21" i="160" s="1"/>
  <c r="AL22" i="160"/>
  <c r="AM22" i="160" s="1"/>
  <c r="AL23" i="160"/>
  <c r="AM23" i="160"/>
  <c r="AN23" i="160" s="1"/>
  <c r="AL21" i="164"/>
  <c r="AM21" i="164" s="1"/>
  <c r="AL22" i="164"/>
  <c r="AM22" i="164" s="1"/>
  <c r="AL23" i="164"/>
  <c r="AM23" i="164"/>
  <c r="AN23" i="164" s="1"/>
  <c r="AL21" i="150"/>
  <c r="AM21" i="150" s="1"/>
  <c r="AL22" i="150"/>
  <c r="AM22" i="150" s="1"/>
  <c r="AL23" i="150"/>
  <c r="AM23" i="150" s="1"/>
  <c r="AN23" i="150" s="1"/>
  <c r="AL21" i="161"/>
  <c r="AM21" i="161" s="1"/>
  <c r="AN21" i="161" s="1"/>
  <c r="AL22" i="161"/>
  <c r="AM22" i="161" s="1"/>
  <c r="AN22" i="161" s="1"/>
  <c r="AL23" i="161"/>
  <c r="AM23" i="161"/>
  <c r="AN23" i="161" s="1"/>
  <c r="AL21" i="165"/>
  <c r="AM21" i="165" s="1"/>
  <c r="AL22" i="165"/>
  <c r="AM22" i="165" s="1"/>
  <c r="AL23" i="165"/>
  <c r="AM23" i="165"/>
  <c r="AN23" i="165" s="1"/>
  <c r="AL21" i="166"/>
  <c r="AM21" i="166" s="1"/>
  <c r="AL22" i="166"/>
  <c r="AM22" i="166" s="1"/>
  <c r="AL23" i="166"/>
  <c r="AM23" i="166"/>
  <c r="AN23" i="166" s="1"/>
  <c r="AL21" i="167"/>
  <c r="AM21" i="167"/>
  <c r="AN21" i="167" s="1"/>
  <c r="AL22" i="167"/>
  <c r="AM22" i="167"/>
  <c r="AN22" i="167" s="1"/>
  <c r="AL23" i="167"/>
  <c r="AM23" i="167"/>
  <c r="AN23" i="167" s="1"/>
  <c r="AL21" i="159"/>
  <c r="AM21" i="159" s="1"/>
  <c r="AL22" i="159"/>
  <c r="AM22" i="159" s="1"/>
  <c r="AN22" i="159" s="1"/>
  <c r="AL23" i="159"/>
  <c r="AM23" i="159"/>
  <c r="AN23" i="159" s="1"/>
  <c r="AM20" i="158"/>
  <c r="AN20" i="158" s="1"/>
  <c r="AM20" i="157"/>
  <c r="AN20" i="157" s="1"/>
  <c r="AM20" i="163"/>
  <c r="AN20" i="163" s="1"/>
  <c r="AM20" i="162"/>
  <c r="AN20" i="162" s="1"/>
  <c r="AM20" i="160"/>
  <c r="AN20" i="160" s="1"/>
  <c r="AM20" i="164"/>
  <c r="AN20" i="164" s="1"/>
  <c r="AM20" i="150"/>
  <c r="AN20" i="150" s="1"/>
  <c r="AM20" i="161"/>
  <c r="AN20" i="161" s="1"/>
  <c r="AM20" i="165"/>
  <c r="AN20" i="165" s="1"/>
  <c r="AM20" i="166"/>
  <c r="AN20" i="166" s="1"/>
  <c r="AM20" i="167"/>
  <c r="AN20" i="167" s="1"/>
  <c r="AL20" i="158"/>
  <c r="AL20" i="157"/>
  <c r="AL20" i="163"/>
  <c r="AL20" i="162"/>
  <c r="AL20" i="160"/>
  <c r="AL20" i="164"/>
  <c r="AL20" i="150"/>
  <c r="AL20" i="161"/>
  <c r="AL20" i="165"/>
  <c r="AL20" i="166"/>
  <c r="AL20" i="167"/>
  <c r="AL20" i="159"/>
  <c r="AM20" i="159" s="1"/>
  <c r="AN20" i="159" s="1"/>
  <c r="AN62" i="165" l="1"/>
  <c r="AN61" i="166" s="1"/>
  <c r="AN22" i="165"/>
  <c r="AN22" i="166" s="1"/>
  <c r="AN63" i="157"/>
  <c r="AN73" i="150"/>
  <c r="AN21" i="165"/>
  <c r="AN21" i="166" s="1"/>
  <c r="AN72" i="158"/>
  <c r="AN72" i="157" s="1"/>
  <c r="AN72" i="163" s="1"/>
  <c r="AN72" i="162" s="1"/>
  <c r="AN72" i="160" s="1"/>
  <c r="AN72" i="164" s="1"/>
  <c r="AN72" i="150" s="1"/>
  <c r="AN63" i="163"/>
  <c r="AN63" i="162" s="1"/>
  <c r="AN63" i="160" s="1"/>
  <c r="AN63" i="164" s="1"/>
  <c r="AN63" i="150" s="1"/>
  <c r="AN69" i="158"/>
  <c r="AN69" i="157" s="1"/>
  <c r="AN69" i="163" s="1"/>
  <c r="AN69" i="162" s="1"/>
  <c r="AN69" i="160" s="1"/>
  <c r="AN69" i="164" s="1"/>
  <c r="AN69" i="150" s="1"/>
  <c r="AN71" i="158"/>
  <c r="AN71" i="157" s="1"/>
  <c r="AN71" i="163" s="1"/>
  <c r="AN71" i="162" s="1"/>
  <c r="AN71" i="160" s="1"/>
  <c r="AN71" i="164" s="1"/>
  <c r="AN71" i="150" s="1"/>
  <c r="AN70" i="158"/>
  <c r="AN70" i="157" s="1"/>
  <c r="AN70" i="163" s="1"/>
  <c r="AN70" i="162" s="1"/>
  <c r="AN70" i="160" s="1"/>
  <c r="AN70" i="164" s="1"/>
  <c r="AN70" i="150" s="1"/>
  <c r="AN68" i="158"/>
  <c r="AN68" i="157" s="1"/>
  <c r="AN68" i="163" s="1"/>
  <c r="AN68" i="162" s="1"/>
  <c r="AN68" i="160" s="1"/>
  <c r="AN68" i="164" s="1"/>
  <c r="AN68" i="150" s="1"/>
  <c r="AN67" i="158"/>
  <c r="AN67" i="157" s="1"/>
  <c r="AN67" i="163" s="1"/>
  <c r="AN67" i="162" s="1"/>
  <c r="AN67" i="160" s="1"/>
  <c r="AN67" i="164" s="1"/>
  <c r="AN67" i="150" s="1"/>
  <c r="AM65" i="159"/>
  <c r="AN65" i="159" s="1"/>
  <c r="AN65" i="158" s="1"/>
  <c r="AN65" i="157" s="1"/>
  <c r="AN65" i="163" s="1"/>
  <c r="AN65" i="162" s="1"/>
  <c r="AN65" i="160" s="1"/>
  <c r="AN65" i="164" s="1"/>
  <c r="AN65" i="150" s="1"/>
  <c r="AN64" i="158"/>
  <c r="AN64" i="157" s="1"/>
  <c r="AN64" i="163" s="1"/>
  <c r="AN64" i="162" s="1"/>
  <c r="AN64" i="160" s="1"/>
  <c r="AN64" i="164" s="1"/>
  <c r="AN64" i="150" s="1"/>
  <c r="AN62" i="158"/>
  <c r="AN62" i="157" s="1"/>
  <c r="AN62" i="163" s="1"/>
  <c r="AN62" i="162" s="1"/>
  <c r="AN62" i="160" s="1"/>
  <c r="AN62" i="164" s="1"/>
  <c r="AN62" i="150" s="1"/>
  <c r="AN61" i="158"/>
  <c r="AN61" i="157" s="1"/>
  <c r="AN61" i="163" s="1"/>
  <c r="AN61" i="162" s="1"/>
  <c r="AN61" i="160" s="1"/>
  <c r="AN61" i="164" s="1"/>
  <c r="AN61" i="150" s="1"/>
  <c r="AN22" i="158"/>
  <c r="AN22" i="157" s="1"/>
  <c r="AN22" i="163" s="1"/>
  <c r="AN22" i="162" s="1"/>
  <c r="AN22" i="160" s="1"/>
  <c r="AN22" i="164" s="1"/>
  <c r="AN22" i="150" s="1"/>
  <c r="H265" i="3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36" i="3"/>
  <c r="I238" i="3"/>
  <c r="I240" i="3"/>
  <c r="I242" i="3"/>
  <c r="I244" i="3"/>
  <c r="I246" i="3"/>
  <c r="I225" i="3"/>
  <c r="I223" i="3"/>
  <c r="I224" i="3" s="1"/>
  <c r="H214" i="3"/>
  <c r="G214" i="3"/>
  <c r="F214" i="3"/>
  <c r="E214" i="3"/>
  <c r="D214" i="3"/>
  <c r="C214" i="3"/>
  <c r="B214" i="3"/>
  <c r="I213" i="3"/>
  <c r="I211" i="3"/>
  <c r="I209" i="3"/>
  <c r="H203" i="3"/>
  <c r="G203" i="3"/>
  <c r="G25" i="3"/>
  <c r="G34" i="3"/>
  <c r="G70" i="3"/>
  <c r="G132" i="3"/>
  <c r="G144" i="3"/>
  <c r="G162" i="3"/>
  <c r="G182" i="3"/>
  <c r="F203" i="3"/>
  <c r="E203" i="3"/>
  <c r="D203" i="3"/>
  <c r="D25" i="3"/>
  <c r="D34" i="3"/>
  <c r="D70" i="3"/>
  <c r="D132" i="3"/>
  <c r="D144" i="3"/>
  <c r="D162" i="3"/>
  <c r="D182" i="3"/>
  <c r="C203" i="3"/>
  <c r="B203" i="3"/>
  <c r="B25" i="3"/>
  <c r="B34" i="3"/>
  <c r="B70" i="3"/>
  <c r="B132" i="3"/>
  <c r="B144" i="3"/>
  <c r="B162" i="3"/>
  <c r="B182" i="3"/>
  <c r="I202" i="3"/>
  <c r="I200" i="3"/>
  <c r="I198" i="3"/>
  <c r="I196" i="3"/>
  <c r="I190" i="3"/>
  <c r="N190" i="3" s="1"/>
  <c r="I192" i="3"/>
  <c r="N191" i="3" s="1"/>
  <c r="I194" i="3"/>
  <c r="N192" i="3" s="1"/>
  <c r="S187" i="3"/>
  <c r="H182" i="3"/>
  <c r="H25" i="3"/>
  <c r="H34" i="3"/>
  <c r="H70" i="3"/>
  <c r="H132" i="3"/>
  <c r="H144" i="3"/>
  <c r="H162" i="3"/>
  <c r="F182" i="3"/>
  <c r="E182" i="3"/>
  <c r="C182" i="3"/>
  <c r="I181" i="3"/>
  <c r="N173" i="3"/>
  <c r="I173" i="3"/>
  <c r="N171" i="3" s="1"/>
  <c r="S166" i="3"/>
  <c r="I171" i="3"/>
  <c r="F162" i="3"/>
  <c r="E162" i="3"/>
  <c r="C162" i="3"/>
  <c r="I161" i="3"/>
  <c r="I159" i="3"/>
  <c r="I157" i="3"/>
  <c r="I155" i="3"/>
  <c r="I153" i="3"/>
  <c r="I151" i="3"/>
  <c r="F144" i="3"/>
  <c r="E144" i="3"/>
  <c r="C144" i="3"/>
  <c r="C25" i="3"/>
  <c r="C34" i="3"/>
  <c r="C70" i="3"/>
  <c r="C132" i="3"/>
  <c r="I143" i="3"/>
  <c r="I139" i="3"/>
  <c r="I141" i="3"/>
  <c r="N142" i="3"/>
  <c r="F132" i="3"/>
  <c r="E132" i="3"/>
  <c r="E25" i="3"/>
  <c r="E34" i="3"/>
  <c r="E70" i="3"/>
  <c r="I131" i="3"/>
  <c r="N130" i="3" s="1"/>
  <c r="I129" i="3"/>
  <c r="S127" i="3"/>
  <c r="I123" i="3"/>
  <c r="G125" i="3" s="1"/>
  <c r="H125" i="3" s="1"/>
  <c r="I125" i="3" s="1"/>
  <c r="I117" i="3"/>
  <c r="I114" i="3"/>
  <c r="H107" i="3"/>
  <c r="G107" i="3"/>
  <c r="F107" i="3"/>
  <c r="E107" i="3"/>
  <c r="D107" i="3"/>
  <c r="C107" i="3"/>
  <c r="B107" i="3"/>
  <c r="I106" i="3"/>
  <c r="I104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F70" i="3"/>
  <c r="F25" i="3"/>
  <c r="F34" i="3"/>
  <c r="I69" i="3"/>
  <c r="M66" i="3"/>
  <c r="I65" i="3"/>
  <c r="I63" i="3"/>
  <c r="N54" i="3" s="1"/>
  <c r="I61" i="3"/>
  <c r="N49" i="3" s="1"/>
  <c r="I59" i="3"/>
  <c r="N44" i="3" s="1"/>
  <c r="I57" i="3"/>
  <c r="N53" i="3" s="1"/>
  <c r="I55" i="3"/>
  <c r="N48" i="3" s="1"/>
  <c r="I53" i="3"/>
  <c r="N43" i="3" s="1"/>
  <c r="I51" i="3"/>
  <c r="N52" i="3" s="1"/>
  <c r="I41" i="3"/>
  <c r="N41" i="3" s="1"/>
  <c r="I43" i="3"/>
  <c r="N46" i="3" s="1"/>
  <c r="I45" i="3"/>
  <c r="N51" i="3" s="1"/>
  <c r="I47" i="3"/>
  <c r="N42" i="3" s="1"/>
  <c r="I49" i="3"/>
  <c r="N47" i="3" s="1"/>
  <c r="M33" i="3"/>
  <c r="I33" i="3"/>
  <c r="I29" i="3"/>
  <c r="I31" i="3"/>
  <c r="I24" i="3"/>
  <c r="I14" i="3"/>
  <c r="N15" i="3" s="1"/>
  <c r="I16" i="3"/>
  <c r="N16" i="3" s="1"/>
  <c r="I20" i="3"/>
  <c r="N18" i="3" s="1"/>
  <c r="I18" i="3"/>
  <c r="I22" i="3"/>
  <c r="I8" i="3"/>
  <c r="I4" i="3"/>
  <c r="I293" i="2"/>
  <c r="I291" i="2"/>
  <c r="I292" i="2" s="1"/>
  <c r="H277" i="2"/>
  <c r="G277" i="2"/>
  <c r="F277" i="2"/>
  <c r="E277" i="2"/>
  <c r="E53" i="2"/>
  <c r="E65" i="2"/>
  <c r="E116" i="2"/>
  <c r="E163" i="2"/>
  <c r="E189" i="2"/>
  <c r="E204" i="2"/>
  <c r="E238" i="2"/>
  <c r="E247" i="2"/>
  <c r="D277" i="2"/>
  <c r="C277" i="2"/>
  <c r="B277" i="2"/>
  <c r="I275" i="2"/>
  <c r="I272" i="2"/>
  <c r="I269" i="2"/>
  <c r="I266" i="2"/>
  <c r="I263" i="2"/>
  <c r="I257" i="2"/>
  <c r="I260" i="2"/>
  <c r="G249" i="2"/>
  <c r="H249" i="2" s="1"/>
  <c r="I249" i="2" s="1"/>
  <c r="H247" i="2"/>
  <c r="G247" i="2"/>
  <c r="F247" i="2"/>
  <c r="D247" i="2"/>
  <c r="C247" i="2"/>
  <c r="B247" i="2"/>
  <c r="H238" i="2"/>
  <c r="H53" i="2"/>
  <c r="H65" i="2"/>
  <c r="H116" i="2"/>
  <c r="H189" i="2"/>
  <c r="H204" i="2"/>
  <c r="G238" i="2"/>
  <c r="F238" i="2"/>
  <c r="D238" i="2"/>
  <c r="D53" i="2"/>
  <c r="D65" i="2"/>
  <c r="D116" i="2"/>
  <c r="D163" i="2"/>
  <c r="D189" i="2"/>
  <c r="D204" i="2"/>
  <c r="C238" i="2"/>
  <c r="B238" i="2"/>
  <c r="I236" i="2"/>
  <c r="I221" i="2"/>
  <c r="I224" i="2"/>
  <c r="I227" i="2"/>
  <c r="I230" i="2"/>
  <c r="I233" i="2"/>
  <c r="G204" i="2"/>
  <c r="F204" i="2"/>
  <c r="C204" i="2"/>
  <c r="B204" i="2"/>
  <c r="I202" i="2"/>
  <c r="I196" i="2"/>
  <c r="I199" i="2"/>
  <c r="G189" i="2"/>
  <c r="F189" i="2"/>
  <c r="C189" i="2"/>
  <c r="B189" i="2"/>
  <c r="I187" i="2"/>
  <c r="I184" i="2"/>
  <c r="I169" i="2"/>
  <c r="G172" i="2" s="1"/>
  <c r="H172" i="2" s="1"/>
  <c r="I172" i="2" s="1"/>
  <c r="F163" i="2"/>
  <c r="F53" i="2"/>
  <c r="F65" i="2"/>
  <c r="F116" i="2"/>
  <c r="C163" i="2"/>
  <c r="B163" i="2"/>
  <c r="B53" i="2"/>
  <c r="B65" i="2"/>
  <c r="B116" i="2"/>
  <c r="I162" i="2"/>
  <c r="I157" i="2"/>
  <c r="G116" i="2"/>
  <c r="C116" i="2"/>
  <c r="C53" i="2"/>
  <c r="C65" i="2"/>
  <c r="I115" i="2"/>
  <c r="I112" i="2"/>
  <c r="I109" i="2"/>
  <c r="I106" i="2"/>
  <c r="I103" i="2"/>
  <c r="I100" i="2"/>
  <c r="I97" i="2"/>
  <c r="I94" i="2"/>
  <c r="I91" i="2"/>
  <c r="I88" i="2"/>
  <c r="I85" i="2"/>
  <c r="I73" i="2"/>
  <c r="I76" i="2"/>
  <c r="I79" i="2"/>
  <c r="I82" i="2"/>
  <c r="G65" i="2"/>
  <c r="G53" i="2"/>
  <c r="I63" i="2"/>
  <c r="I57" i="2"/>
  <c r="I60" i="2"/>
  <c r="I36" i="2"/>
  <c r="I39" i="2"/>
  <c r="I42" i="2"/>
  <c r="I45" i="2"/>
  <c r="I48" i="2"/>
  <c r="I51" i="2"/>
  <c r="I11" i="2"/>
  <c r="G14" i="2" s="1"/>
  <c r="H14" i="2" s="1"/>
  <c r="I14" i="2" s="1"/>
  <c r="I4" i="2"/>
  <c r="G7" i="2" s="1"/>
  <c r="H7" i="2" s="1"/>
  <c r="I7" i="2" s="1"/>
  <c r="I155" i="1"/>
  <c r="I153" i="1"/>
  <c r="I154" i="1" s="1"/>
  <c r="H144" i="1"/>
  <c r="G144" i="1"/>
  <c r="G20" i="1"/>
  <c r="G30" i="1"/>
  <c r="G65" i="1"/>
  <c r="G74" i="1"/>
  <c r="G89" i="1"/>
  <c r="G98" i="1"/>
  <c r="G117" i="1"/>
  <c r="F144" i="1"/>
  <c r="E144" i="1"/>
  <c r="D144" i="1"/>
  <c r="C144" i="1"/>
  <c r="B144" i="1"/>
  <c r="I143" i="1"/>
  <c r="I141" i="1"/>
  <c r="I135" i="1"/>
  <c r="I137" i="1"/>
  <c r="I139" i="1"/>
  <c r="I127" i="1"/>
  <c r="I122" i="1"/>
  <c r="H117" i="1"/>
  <c r="F117" i="1"/>
  <c r="E117" i="1"/>
  <c r="D117" i="1"/>
  <c r="C117" i="1"/>
  <c r="B117" i="1"/>
  <c r="I116" i="1"/>
  <c r="I112" i="1"/>
  <c r="I114" i="1"/>
  <c r="I107" i="1"/>
  <c r="I102" i="1"/>
  <c r="H98" i="1"/>
  <c r="F98" i="1"/>
  <c r="F20" i="1"/>
  <c r="F30" i="1"/>
  <c r="F65" i="1"/>
  <c r="F74" i="1"/>
  <c r="F89" i="1"/>
  <c r="E98" i="1"/>
  <c r="D98" i="1"/>
  <c r="C98" i="1"/>
  <c r="C20" i="1"/>
  <c r="C30" i="1"/>
  <c r="C65" i="1"/>
  <c r="C74" i="1"/>
  <c r="C89" i="1"/>
  <c r="B98" i="1"/>
  <c r="I97" i="1"/>
  <c r="I93" i="1"/>
  <c r="I95" i="1"/>
  <c r="H89" i="1"/>
  <c r="E89" i="1"/>
  <c r="D89" i="1"/>
  <c r="B89" i="1"/>
  <c r="I88" i="1"/>
  <c r="I86" i="1"/>
  <c r="I84" i="1"/>
  <c r="I82" i="1"/>
  <c r="I80" i="1"/>
  <c r="I78" i="1"/>
  <c r="H74" i="1"/>
  <c r="E74" i="1"/>
  <c r="D74" i="1"/>
  <c r="B74" i="1"/>
  <c r="I73" i="1"/>
  <c r="I71" i="1"/>
  <c r="I69" i="1"/>
  <c r="H65" i="1"/>
  <c r="H20" i="1"/>
  <c r="H30" i="1"/>
  <c r="E65" i="1"/>
  <c r="E20" i="1"/>
  <c r="E30" i="1"/>
  <c r="D65" i="1"/>
  <c r="D20" i="1"/>
  <c r="D30" i="1"/>
  <c r="B65" i="1"/>
  <c r="B20" i="1"/>
  <c r="B30" i="1"/>
  <c r="I64" i="1"/>
  <c r="I62" i="1"/>
  <c r="I60" i="1"/>
  <c r="I36" i="1"/>
  <c r="I38" i="1"/>
  <c r="I40" i="1"/>
  <c r="I42" i="1"/>
  <c r="I44" i="1"/>
  <c r="I46" i="1"/>
  <c r="I48" i="1"/>
  <c r="I50" i="1"/>
  <c r="I52" i="1"/>
  <c r="I54" i="1"/>
  <c r="I56" i="1"/>
  <c r="I58" i="1"/>
  <c r="I29" i="1"/>
  <c r="I25" i="1"/>
  <c r="I27" i="1"/>
  <c r="I19" i="1"/>
  <c r="I17" i="1"/>
  <c r="I15" i="1"/>
  <c r="I9" i="1"/>
  <c r="I11" i="1"/>
  <c r="I13" i="1"/>
  <c r="I4" i="1"/>
  <c r="Q129" i="3"/>
  <c r="O131" i="3" s="1"/>
  <c r="Q131" i="3" s="1"/>
  <c r="I65" i="2" l="1"/>
  <c r="I98" i="1"/>
  <c r="G220" i="3"/>
  <c r="G221" i="3" s="1"/>
  <c r="I156" i="1"/>
  <c r="D220" i="3"/>
  <c r="D221" i="3" s="1"/>
  <c r="I117" i="1"/>
  <c r="I144" i="1"/>
  <c r="G287" i="2"/>
  <c r="G288" i="2" s="1"/>
  <c r="I116" i="2"/>
  <c r="G118" i="2" s="1"/>
  <c r="H118" i="2" s="1"/>
  <c r="I118" i="2" s="1"/>
  <c r="B287" i="2"/>
  <c r="B288" i="2" s="1"/>
  <c r="F287" i="2"/>
  <c r="F288" i="2" s="1"/>
  <c r="C287" i="2"/>
  <c r="C288" i="2" s="1"/>
  <c r="H287" i="2"/>
  <c r="H288" i="2" s="1"/>
  <c r="G10" i="3"/>
  <c r="H10" i="3" s="1"/>
  <c r="I10" i="3" s="1"/>
  <c r="I144" i="3"/>
  <c r="G146" i="3" s="1"/>
  <c r="H146" i="3" s="1"/>
  <c r="I146" i="3" s="1"/>
  <c r="I34" i="3"/>
  <c r="F220" i="3"/>
  <c r="F221" i="3" s="1"/>
  <c r="I132" i="3"/>
  <c r="G134" i="3" s="1"/>
  <c r="H134" i="3" s="1"/>
  <c r="I134" i="3" s="1"/>
  <c r="I226" i="3"/>
  <c r="I265" i="3"/>
  <c r="G267" i="3" s="1"/>
  <c r="H267" i="3" s="1"/>
  <c r="I267" i="3" s="1"/>
  <c r="B148" i="1"/>
  <c r="E148" i="1"/>
  <c r="I189" i="2"/>
  <c r="G191" i="2" s="1"/>
  <c r="H191" i="2" s="1"/>
  <c r="I191" i="2" s="1"/>
  <c r="N174" i="3"/>
  <c r="Q168" i="3" s="1"/>
  <c r="O170" i="3" s="1"/>
  <c r="Q170" i="3" s="1"/>
  <c r="O172" i="3" s="1"/>
  <c r="S172" i="3" s="1"/>
  <c r="S174" i="3" s="1"/>
  <c r="S182" i="3" s="1"/>
  <c r="N195" i="3"/>
  <c r="Q189" i="3" s="1"/>
  <c r="O191" i="3" s="1"/>
  <c r="Q191" i="3" s="1"/>
  <c r="O193" i="3" s="1"/>
  <c r="S193" i="3" s="1"/>
  <c r="S195" i="3" s="1"/>
  <c r="S203" i="3" s="1"/>
  <c r="N21" i="3"/>
  <c r="P27" i="3" s="1"/>
  <c r="H220" i="3"/>
  <c r="H221" i="3" s="1"/>
  <c r="I70" i="3"/>
  <c r="G72" i="3" s="1"/>
  <c r="H72" i="3" s="1"/>
  <c r="I72" i="3" s="1"/>
  <c r="I204" i="2"/>
  <c r="G206" i="2" s="1"/>
  <c r="H206" i="2" s="1"/>
  <c r="I206" i="2" s="1"/>
  <c r="I238" i="2"/>
  <c r="G240" i="2" s="1"/>
  <c r="H240" i="2" s="1"/>
  <c r="I240" i="2" s="1"/>
  <c r="D287" i="2"/>
  <c r="D288" i="2" s="1"/>
  <c r="E220" i="3"/>
  <c r="E221" i="3" s="1"/>
  <c r="C220" i="3"/>
  <c r="C221" i="3" s="1"/>
  <c r="I162" i="3"/>
  <c r="G164" i="3" s="1"/>
  <c r="H164" i="3" s="1"/>
  <c r="I164" i="3" s="1"/>
  <c r="I182" i="3"/>
  <c r="I203" i="3"/>
  <c r="G205" i="3" s="1"/>
  <c r="H205" i="3" s="1"/>
  <c r="I205" i="3" s="1"/>
  <c r="B220" i="3"/>
  <c r="B221" i="3" s="1"/>
  <c r="I214" i="3"/>
  <c r="G216" i="3" s="1"/>
  <c r="H216" i="3" s="1"/>
  <c r="I216" i="3" s="1"/>
  <c r="I53" i="2"/>
  <c r="I74" i="1"/>
  <c r="I89" i="1"/>
  <c r="C148" i="1"/>
  <c r="F148" i="1"/>
  <c r="G148" i="1"/>
  <c r="E149" i="1" s="1"/>
  <c r="I163" i="2"/>
  <c r="G165" i="2" s="1"/>
  <c r="H165" i="2" s="1"/>
  <c r="I165" i="2" s="1"/>
  <c r="I25" i="3"/>
  <c r="M35" i="3" s="1"/>
  <c r="I107" i="3"/>
  <c r="G109" i="3" s="1"/>
  <c r="H109" i="3" s="1"/>
  <c r="I109" i="3" s="1"/>
  <c r="I20" i="1"/>
  <c r="I30" i="1"/>
  <c r="I65" i="1"/>
  <c r="D148" i="1"/>
  <c r="H148" i="1"/>
  <c r="I277" i="2"/>
  <c r="G279" i="2" s="1"/>
  <c r="H279" i="2" s="1"/>
  <c r="I279" i="2" s="1"/>
  <c r="E287" i="2"/>
  <c r="E288" i="2" s="1"/>
  <c r="G119" i="3"/>
  <c r="H119" i="3" s="1"/>
  <c r="I119" i="3" s="1"/>
  <c r="P203" i="3"/>
  <c r="N56" i="3"/>
  <c r="O60" i="3" s="1"/>
  <c r="M62" i="3" s="1"/>
  <c r="P62" i="3" s="1"/>
  <c r="I294" i="2"/>
  <c r="B149" i="1" l="1"/>
  <c r="B150" i="1" s="1"/>
  <c r="D149" i="1"/>
  <c r="D150" i="1" s="1"/>
  <c r="G36" i="3"/>
  <c r="H36" i="3" s="1"/>
  <c r="I36" i="3" s="1"/>
  <c r="G149" i="1"/>
  <c r="G150" i="1" s="1"/>
  <c r="H149" i="1"/>
  <c r="H150" i="1" s="1"/>
  <c r="C149" i="1"/>
  <c r="C150" i="1" s="1"/>
  <c r="E150" i="1"/>
  <c r="F149" i="1"/>
  <c r="F150" i="1" s="1"/>
  <c r="O25" i="3"/>
  <c r="M27" i="3" s="1"/>
  <c r="I148" i="1"/>
  <c r="U203" i="3"/>
  <c r="I287" i="2"/>
  <c r="I288" i="2" s="1"/>
  <c r="I297" i="2" s="1"/>
  <c r="I220" i="3"/>
  <c r="I221" i="3" s="1"/>
  <c r="I229" i="3" s="1"/>
  <c r="G184" i="3"/>
  <c r="H184" i="3" s="1"/>
  <c r="I184" i="3" s="1"/>
  <c r="P182" i="3"/>
  <c r="U182" i="3" s="1"/>
  <c r="G67" i="2"/>
  <c r="H67" i="2" s="1"/>
  <c r="I67" i="2" s="1"/>
  <c r="M29" i="3"/>
  <c r="P29" i="3"/>
  <c r="P33" i="3" s="1"/>
  <c r="R33" i="3" s="1"/>
  <c r="O35" i="3" s="1"/>
  <c r="P35" i="3" s="1"/>
  <c r="M64" i="3"/>
  <c r="P64" i="3"/>
  <c r="P66" i="3" s="1"/>
  <c r="R66" i="3" s="1"/>
  <c r="O68" i="3" s="1"/>
  <c r="P68" i="3" s="1"/>
  <c r="I150" i="1" l="1"/>
  <c r="I159" i="1" s="1"/>
  <c r="I149" i="1"/>
  <c r="J222" i="3"/>
  <c r="AN21" i="159"/>
  <c r="AN21" i="158" l="1"/>
  <c r="AN21" i="157" s="1"/>
  <c r="AN21" i="163" s="1"/>
  <c r="AN21" i="162" s="1"/>
  <c r="AN21" i="160" s="1"/>
  <c r="AN21" i="164" s="1"/>
  <c r="AN21" i="1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Steen Hertin</author>
    <author>Michael Bo Pedersen</author>
    <author>Mathias Hartvig Morell Nielsen</author>
    <author>tc={BB4C1B3E-BD5A-43C6-84F6-CA672AA7D8E1}</author>
    <author>Thomas Holm</author>
    <author>Kim Holm Aabroe</author>
    <author>marasm</author>
    <author>tc={7EA7A3FF-1D0C-4847-8EF6-962739D90190}</author>
    <author>tc={A8CA5FEF-1992-4CEF-A0CC-F1655809027E}</author>
    <author>Marianne Rasmussen</author>
  </authors>
  <commentList>
    <comment ref="E21" authorId="0" shapeId="0" xr:uid="{8727B8B0-1B7A-4021-BDE7-9994A8B009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O21" authorId="0" shapeId="0" xr:uid="{E0057B93-4508-43E9-9FEA-C7FB3DC77D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14-21:30 OA</t>
        </r>
      </text>
    </comment>
    <comment ref="P21" authorId="0" shapeId="0" xr:uid="{49E8EC9F-E465-4AB9-8945-3E9107BB50E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14-21:45 OA</t>
        </r>
      </text>
    </comment>
    <comment ref="S21" authorId="0" shapeId="0" xr:uid="{CAA5CC22-9DC2-4B83-896B-F7AF1DA4FC7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+ 1,5</t>
        </r>
      </text>
    </comment>
    <comment ref="T21" authorId="0" shapeId="0" xr:uid="{D8F39FDA-9E8E-44D5-80EF-F03DCA9B290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V21" authorId="0" shapeId="0" xr:uid="{38287949-9B7F-4AC4-833D-FD0A57E60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AC21" authorId="0" shapeId="0" xr:uid="{1E88BFE7-9AC5-4299-AFAB-92DE450A29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Lave overslag </t>
        </r>
      </text>
    </comment>
    <comment ref="L22" authorId="1" shapeId="0" xr:uid="{79E14BB1-2330-456B-9C4B-DAA2E01F9B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
Voldparken 10 testcenter 07.45-14.00 OA</t>
        </r>
      </text>
    </comment>
    <comment ref="M22" authorId="1" shapeId="0" xr:uid="{A0906698-566E-48F7-94C7-0FE00CAF44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 
G-vagt fra 
kl. 12 oa</t>
        </r>
      </text>
    </comment>
    <comment ref="N22" authorId="0" shapeId="0" xr:uid="{8D6BA2EB-4255-4A4F-8C49-C985327AB8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OA</t>
        </r>
      </text>
    </comment>
    <comment ref="AG22" authorId="0" shapeId="0" xr:uid="{D6D94929-656B-421B-80EF-9E17D5B172F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  Samtaler</t>
        </r>
      </text>
    </comment>
    <comment ref="F37" authorId="2" shapeId="0" xr:uid="{E4F2E3B6-F474-4A0C-B976-C9FE02273AD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L-vagt fra kl. 10.00</t>
        </r>
      </text>
    </comment>
    <comment ref="L37" authorId="0" shapeId="0" xr:uid="{8C200A8C-BED3-489E-A0A4-E02DF749660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 </t>
        </r>
      </text>
    </comment>
    <comment ref="M37" authorId="0" shapeId="0" xr:uid="{EA5DAD9C-EABA-4F28-8C5B-70C23F3E88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
</t>
        </r>
      </text>
    </comment>
    <comment ref="N37" authorId="3" shapeId="0" xr:uid="{07B1ED01-7DDE-4FD5-B29E-637E3B7EA18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E41" authorId="0" shapeId="0" xr:uid="{0298A4B2-9CE3-40E2-8269-8918941EB7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F41" authorId="0" shapeId="0" xr:uid="{C4FECE65-0D86-433F-80EF-F2FB1E0A7E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G41" authorId="0" shapeId="0" xr:uid="{72DE476B-9B29-4AF8-8F65-05382567E5B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H41" authorId="0" shapeId="0" xr:uid="{48116B82-9B46-41EF-9095-0F9938CD9E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I41" authorId="0" shapeId="0" xr:uid="{99013B99-B1C5-43B8-A51F-3121082486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L41" authorId="0" shapeId="0" xr:uid="{99F83ED2-1021-4047-B71F-F4571EB812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M41" authorId="0" shapeId="0" xr:uid="{0BB454B2-4C11-459A-8801-BD22AE00BC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N41" authorId="0" shapeId="0" xr:uid="{2D3746BD-849A-4F9C-A07F-3CA238D8C7B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O41" authorId="0" shapeId="0" xr:uid="{718DC6E6-17FD-4868-A90E-E28C875C7FB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P41" authorId="0" shapeId="0" xr:uid="{32D8A10F-90FF-4FD7-B7A2-E3C67D2396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S41" authorId="0" shapeId="0" xr:uid="{28B13FA7-721E-45FB-B5D5-FB8F293F95E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T41" authorId="0" shapeId="0" xr:uid="{0C729A86-41A8-4A04-B312-C17973AF7A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U41" authorId="0" shapeId="0" xr:uid="{E80C7689-A8E6-442D-958C-240E58A920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V41" authorId="0" shapeId="0" xr:uid="{45DA99AD-99ED-4694-88E6-FD6799F866B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W41" authorId="0" shapeId="0" xr:uid="{31BA99CF-9394-4A33-952A-E7ABC4BAD9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Z41" authorId="0" shapeId="0" xr:uid="{E47660A7-8C38-4959-9FB1-353F5668480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A41" authorId="0" shapeId="0" xr:uid="{50FB4712-0F69-466C-8959-8C8309AFE5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B41" authorId="0" shapeId="0" xr:uid="{9BFE98A0-7387-4729-AFE9-5D404CDF1E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C41" authorId="0" shapeId="0" xr:uid="{EDF318C5-E477-490E-9981-F5AF97D3AD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D41" authorId="0" shapeId="0" xr:uid="{DA819613-4A98-4616-8155-9CF7DEF04A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G41" authorId="0" shapeId="0" xr:uid="{45F370D5-D33C-44B8-B611-2C1CAF65FE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Z48" authorId="4" shapeId="0" xr:uid="{BB4C1B3E-BD5A-43C6-84F6-CA672AA7D8E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7-vagt på o/a</t>
      </text>
    </comment>
    <comment ref="V51" authorId="5" shapeId="0" xr:uid="{880B32A4-297F-4AFE-9CF5-D5C5409AD3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Afs. fra kl.10.00</t>
        </r>
      </text>
    </comment>
    <comment ref="AG61" authorId="1" shapeId="0" xr:uid="{F3C1D2A4-A8EB-437C-B41B-4C1619EBB0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O62" authorId="2" shapeId="0" xr:uid="{B06D8FE6-9EAA-4D8B-9ED3-60981A9AE7D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S62" authorId="1" shapeId="0" xr:uid="{DBB55570-F99E-4878-9CD9-9627D05116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T62" authorId="1" shapeId="0" xr:uid="{47D79D3A-93C0-4E18-9900-0CD23D6A8C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U62" authorId="1" shapeId="0" xr:uid="{9B09238D-DE54-4DF9-9C55-CE14387415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V62" authorId="1" shapeId="0" xr:uid="{5EFEF8CC-36FD-4A37-8B88-00B0417ACC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W62" authorId="1" shapeId="0" xr:uid="{1C300919-B134-4E91-9E63-D781D3FC85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O63" authorId="0" shapeId="0" xr:uid="{20181EDC-E5E4-4DA0-9409-2D96D4FBD74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14-21:30</t>
        </r>
      </text>
    </comment>
    <comment ref="P63" authorId="3" shapeId="0" xr:uid="{90B9560D-7709-4AA1-B3F3-9CAF410B2CE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U63" authorId="5" shapeId="0" xr:uid="{817CDDCA-1340-4B30-9DF4-E62222D03D8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V63" authorId="5" shapeId="0" xr:uid="{4B6228C9-AAAE-44AC-9F31-DAB5E06092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AA63" authorId="1" shapeId="0" xr:uid="{8D5D4F40-B7FE-4FA3-B7E0-E0C973E4EA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AB63" authorId="1" shapeId="0" xr:uid="{A7E30255-AF68-45DE-A3B0-3EF38424F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AC63" authorId="1" shapeId="0" xr:uid="{8AA7FD65-D89E-4BCC-90D4-187314DCD0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AD63" authorId="1" shapeId="0" xr:uid="{10B16F4C-8DC3-480D-915C-8A3F3D1C88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E64" authorId="1" shapeId="0" xr:uid="{FDCBAAAD-5ECA-47E5-9704-9541396453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F64" authorId="1" shapeId="0" xr:uid="{B67FA9FA-2CEE-4539-A8D0-049114251A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G64" authorId="1" shapeId="0" xr:uid="{734BD64A-741E-4C06-8655-F51BDC9E33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H64" authorId="1" shapeId="0" xr:uid="{F26E1EE7-8AB1-423B-988F-7259447F81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I64" authorId="1" shapeId="0" xr:uid="{EF99BBA6-B362-46AB-8D91-1832E12A6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T64" authorId="5" shapeId="0" xr:uid="{87DD606F-8ECA-4A7B-A335-0ADF870851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M65" authorId="0" shapeId="0" xr:uid="{8806CE15-55A2-4CE1-8A9E-C49B2E9F34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går kl. 12
Læge </t>
        </r>
      </text>
    </comment>
    <comment ref="P65" authorId="0" shapeId="0" xr:uid="{B8F2C687-987C-4FE2-B993-E47CECA309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14-21:45 OA</t>
        </r>
      </text>
    </comment>
    <comment ref="U65" authorId="0" shapeId="0" xr:uid="{0CCB4660-0469-4616-8BB6-634E5C4F7C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på OA</t>
        </r>
      </text>
    </comment>
    <comment ref="X65" authorId="0" shapeId="0" xr:uid="{80A3B0EF-077A-4632-B98E-FB313747A90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AG67" authorId="0" shapeId="0" xr:uid="{EB4F4290-4A1B-42EB-9013-62AA9B87F15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Rentemestervej kl. 18-22</t>
        </r>
      </text>
    </comment>
    <comment ref="G68" authorId="0" shapeId="0" xr:uid="{37D09B8D-659E-454E-91C0-D266025092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</t>
        </r>
      </text>
    </comment>
    <comment ref="H68" authorId="6" shapeId="0" xr:uid="{2963CC31-8FC0-4CAE-94F5-5A3E9476AB1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68" authorId="3" shapeId="0" xr:uid="{8DB109A4-D430-4355-91A5-981EA3D2356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Smitteopsporing 11-18
Rådvadsvej 64 Bisbebjerg</t>
        </r>
      </text>
    </comment>
    <comment ref="K68" authorId="3" shapeId="0" xr:uid="{664E0C43-E035-4B6E-A94F-A9AF5728CFC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brønshøj, testcenter kl. 15.30-21.30</t>
        </r>
      </text>
    </comment>
    <comment ref="Q68" authorId="0" shapeId="0" xr:uid="{353D1FE5-E2B7-4527-A259-EC3CFA39536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R68" authorId="0" shapeId="0" xr:uid="{3DC3C865-65E7-471F-A0E2-9FDD75E08E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U68" authorId="0" shapeId="0" xr:uid="{E1E29AAB-60B4-4353-A81F-BDEC92DC2B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</t>
        </r>
      </text>
    </comment>
    <comment ref="X68" authorId="0" shapeId="0" xr:uid="{C3DD5526-F060-48F9-86DB-E83DA26F13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C70" authorId="0" shapeId="0" xr:uid="{9611DE13-97F7-4D10-B4A6-08C2606C19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kl. 11-18 islands brygge 37</t>
        </r>
      </text>
    </comment>
    <comment ref="F70" authorId="6" shapeId="0" xr:uid="{26FD2042-1A54-4F29-A809-2E42A8769B53}">
      <text>
        <r>
          <rPr>
            <b/>
            <sz val="9"/>
            <color indexed="81"/>
            <rFont val="Tahoma"/>
            <family val="2"/>
          </rPr>
          <t>Kim Holm Aabroe
thomas laubs gade 15</t>
        </r>
      </text>
    </comment>
    <comment ref="G70" authorId="0" shapeId="0" xr:uid="{1D0FDC06-429C-4D48-BFAC-81693F3659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</t>
        </r>
      </text>
    </comment>
    <comment ref="H70" authorId="3" shapeId="0" xr:uid="{CD23D79D-312A-4A63-AECF-C16E78F3A9A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Smitteopsporing 11-18
Rådvadsvej 64 Bisbebjerg</t>
        </r>
      </text>
    </comment>
    <comment ref="I70" authorId="2" shapeId="0" xr:uid="{681B09EA-46A8-4044-9DAD-82E53D33993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K70" authorId="3" shapeId="0" xr:uid="{CF97F0AD-C0C9-4794-B0DE-B838E345C88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brønshøj, testcenter kl. 15.30-21.30</t>
        </r>
      </text>
    </comment>
    <comment ref="L70" authorId="0" shapeId="0" xr:uid="{CA8F3135-B5ED-4040-AC81-271EBCA6E2E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1-vagt fra kl 7
Matthæusgade fra kl.9</t>
        </r>
      </text>
    </comment>
    <comment ref="N70" authorId="0" shapeId="0" xr:uid="{12AB190E-DC72-4007-A906-4FC626187F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fra kl.08:30
Testcenter Tingbjerg kl. 15:30 - 21:30 oa</t>
        </r>
      </text>
    </comment>
    <comment ref="U70" authorId="0" shapeId="0" xr:uid="{30163DCA-3B89-482C-826B-E2DAAEADFF1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X70" authorId="0" shapeId="0" xr:uid="{C76E009C-5241-4A59-83AF-06D9B7CB23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Y70" authorId="0" shapeId="0" xr:uid="{9FDFA692-407E-4E71-A80E-C92D9A7F49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AB70" authorId="0" shapeId="0" xr:uid="{E55F4E1B-7410-4231-ABAF-974440E09D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AC70" authorId="0" shapeId="0" xr:uid="{1D58BBB8-EBA8-4F1E-8348-FC193A171A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70" authorId="0" shapeId="0" xr:uid="{F3E37CDB-AE12-41CE-8B67-AC818AEAE49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70" authorId="0" shapeId="0" xr:uid="{E84D9B08-2847-4DE4-8AE5-3D1776505E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Kl.11-18</t>
        </r>
      </text>
    </comment>
    <comment ref="AF70" authorId="0" shapeId="0" xr:uid="{1A035AB6-3462-4447-B4D8-A3A89942D1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Kl.11-18</t>
        </r>
      </text>
    </comment>
    <comment ref="AB71" authorId="0" shapeId="0" xr:uid="{15A8093D-099C-4778-AE42-E371A77011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L72" authorId="0" shapeId="0" xr:uid="{0D540F29-388E-4FFB-977B-6628604FBD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M72" authorId="0" shapeId="0" xr:uid="{495C34C7-FE2B-42EA-A3FA-67B1FE287E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N72" authorId="0" shapeId="0" xr:uid="{6D79B7E2-81A0-42D5-9E77-0C4F32427D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E74" authorId="1" shapeId="0" xr:uid="{76A84B08-74C0-46AA-8121-FB0602F59D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F74" authorId="1" shapeId="0" xr:uid="{1C552138-D108-4109-B106-63C18EC54E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G74" authorId="1" shapeId="0" xr:uid="{09A8DC41-24B3-49F1-AA02-425A146DF5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H74" authorId="1" shapeId="0" xr:uid="{5B6A1ED1-16AB-4255-993E-087954A477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I74" authorId="1" shapeId="0" xr:uid="{072C6FC5-15F6-4DB5-A718-2B00F0325C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L74" authorId="1" shapeId="0" xr:uid="{BB649747-AA23-468B-87B7-022AF51498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M74" authorId="1" shapeId="0" xr:uid="{3674C208-D53D-4713-BFC7-FF06094FE8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N74" authorId="1" shapeId="0" xr:uid="{3736E396-F1E2-461A-ACFA-8961896FDA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P74" authorId="1" shapeId="0" xr:uid="{71D6B590-176C-4C96-9046-52B2E35F26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S74" authorId="1" shapeId="0" xr:uid="{04E98406-5A74-4EFE-BBA4-775C66820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T74" authorId="1" shapeId="0" xr:uid="{4FB87DFD-B31F-4C23-A089-53827CF194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U74" authorId="1" shapeId="0" xr:uid="{6E67BAF6-7012-4771-8EB0-597323DD92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4" authorId="1" shapeId="0" xr:uid="{83FD54CE-AFBB-4A73-8D52-B2CD514D22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W74" authorId="1" shapeId="0" xr:uid="{141A58E4-CDF3-4EE7-BA5D-05FAB84ADA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A74" authorId="1" shapeId="0" xr:uid="{07B9430A-FCA3-4008-AECF-CDE71745AA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74" authorId="1" shapeId="0" xr:uid="{5F6121CA-3BB9-49C3-9E66-988620E400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4" authorId="1" shapeId="0" xr:uid="{E55EDD8C-1C47-4EB8-BE61-8418C89A86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D74" authorId="1" shapeId="0" xr:uid="{32BF6773-4B57-4A71-BBDE-2BF1633365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G74" authorId="1" shapeId="0" xr:uid="{90913992-F0BA-4674-9A91-FDAA7789D9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9" authorId="3" shapeId="0" xr:uid="{98C43859-97A9-4E2F-A627-0AA6D3567DB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testcenter, 07.45-14.00 OA </t>
        </r>
      </text>
    </comment>
    <comment ref="P79" authorId="0" shapeId="0" xr:uid="{96B7B13C-8042-4985-81A7-B765BA60705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AD79" authorId="0" shapeId="0" xr:uid="{5EA555A3-D6CF-426D-A4C7-59A9F96E61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fra 23:30</t>
        </r>
      </text>
    </comment>
    <comment ref="AE79" authorId="0" shapeId="0" xr:uid="{DE7DFA60-9519-466A-9EA8-22EC4995D4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N101" authorId="7" shapeId="0" xr:uid="{FAA1CB8F-3297-4DE4-8AC8-C37C83C3C95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11 vagt på oa</t>
        </r>
      </text>
    </comment>
    <comment ref="S101" authorId="0" shapeId="0" xr:uid="{D7F0306D-70C3-4F14-927C-AAB76A3D779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T101" authorId="0" shapeId="0" xr:uid="{5D9D5A3A-29B2-4B66-B5C9-D3790A1C4DF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U101" authorId="0" shapeId="0" xr:uid="{32E674CC-8950-4703-86D3-0891E998E58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V101" authorId="0" shapeId="0" xr:uid="{FDE8A35A-E568-48AD-97DD-69550402A8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W101" authorId="0" shapeId="0" xr:uid="{8D95B8AE-8AA5-4530-AB85-CF861B95287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AA101" authorId="0" shapeId="0" xr:uid="{C0F06CA4-CAA4-4BDA-8F2D-22B27264F1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B101" authorId="0" shapeId="0" xr:uid="{721E0EA9-F342-4E18-8343-182BE15BA6F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C101" authorId="0" shapeId="0" xr:uid="{5D3117F2-15CD-41E0-B62C-435D6F81DD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D101" authorId="0" shapeId="0" xr:uid="{21399248-B1F1-4E38-9980-220E6EACD5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E102" authorId="0" shapeId="0" xr:uid="{762F1E10-4561-4E0D-9316-F7DC0C064D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F102" authorId="0" shapeId="0" xr:uid="{932A1455-0BCF-4217-997B-D13A713376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</t>
        </r>
      </text>
    </comment>
    <comment ref="G102" authorId="0" shapeId="0" xr:uid="{D77C04A6-86B0-4AF1-873C-9C4D8A8AFC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H102" authorId="0" shapeId="0" xr:uid="{2F8EFBAC-85F7-41DD-9ACF-962A9AF35BE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I102" authorId="0" shapeId="0" xr:uid="{09A37AAD-B67B-4880-BAC5-84E8F943A5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A102" authorId="0" shapeId="0" xr:uid="{F44B5E37-D13E-492B-890B-3CAD8811F4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B102" authorId="0" shapeId="0" xr:uid="{A95C837D-5D46-4434-BC47-6613F349783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C102" authorId="0" shapeId="0" xr:uid="{CFB845C2-A78B-40CB-A711-F9E0498C88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0" shapeId="0" xr:uid="{03F110B3-A2B8-4001-A2B2-E1FA5DCCE2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G102" authorId="0" shapeId="0" xr:uid="{A368A01C-FC13-450A-99B4-4E1CEA1679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M121" authorId="0" shapeId="0" xr:uid="{88C27676-DA94-43A9-93BF-1701BD59C8A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07-14</t>
        </r>
      </text>
    </comment>
    <comment ref="C123" authorId="8" shapeId="0" xr:uid="{7EA7A3FF-1D0C-4847-8EF6-962739D9019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Covid-19 beredskab</t>
      </text>
    </comment>
    <comment ref="D123" authorId="9" shapeId="0" xr:uid="{A8CA5FEF-1992-4CEF-A0CC-F1655809027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</t>
      </text>
    </comment>
    <comment ref="F123" authorId="6" shapeId="0" xr:uid="{85EE6F08-4974-45A0-9C9E-E7FC5DEC249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23" authorId="5" shapeId="0" xr:uid="{7400FBDF-E6C3-4DAE-B262-CF809531B2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5" authorId="0" shapeId="0" xr:uid="{6FEF6BAF-3D40-4BAB-97DE-64280F8D85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</t>
        </r>
      </text>
    </comment>
    <comment ref="AG155" authorId="0" shapeId="0" xr:uid="{2795DC1B-E77B-4BF6-948F-3A08375229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kl. 11-18</t>
        </r>
      </text>
    </comment>
    <comment ref="I185" authorId="0" shapeId="0" xr:uid="{4DCFEE40-D366-49CB-BE0B-5FDB457103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P185" authorId="0" shapeId="0" xr:uid="{1D4E1744-9DDD-477C-A94E-12DB4C77B43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W185" authorId="0" shapeId="0" xr:uid="{67A74364-4F80-4DEB-8755-56D0FA7F03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D185" authorId="0" shapeId="0" xr:uid="{04A1606C-732F-4F00-A869-FB93ADA9B9F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L195" authorId="0" shapeId="0" xr:uid="{1811F992-5E5C-4D6B-989A-A16D5EF505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N274" authorId="10" shapeId="0" xr:uid="{A11C80A3-9EE5-4A49-957D-096FB1675901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AC274" authorId="10" shapeId="0" xr:uid="{A7F41943-60FB-4436-B2FA-013A1B8550A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Marianne Rasmussen</author>
    <author>Kim Holm Aabroe</author>
    <author>Mathias Hartvig Morell Nielsen</author>
    <author>Thomas Holm</author>
    <author>Steen Hertin</author>
    <author>Michael Bo Pedersen</author>
    <author>tc={E977629A-B3D8-4D96-86FD-436F9AB7FC7C}</author>
    <author>tc={85EB4BCB-F1F2-41D4-BD5F-8E89F2D75DEB}</author>
  </authors>
  <commentList>
    <comment ref="I12" authorId="0" shapeId="0" xr:uid="{06E5603F-2089-41EB-A26C-F36BF1C8450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12" authorId="0" shapeId="0" xr:uid="{A1EBFBCD-9776-4CB0-A129-FFA3F512B84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2" authorId="0" shapeId="0" xr:uid="{8DA10261-116F-4E3F-9594-29585F5CE9E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2" authorId="0" shapeId="0" xr:uid="{E8A2725A-CA1C-4B98-B08D-0057FA88D2B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2" authorId="0" shapeId="0" xr:uid="{43BFC8F8-85DD-4325-939B-E00671878E9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21" authorId="1" shapeId="0" xr:uid="{6D9D62A2-1616-4E45-86E7-E953FBD05E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I21" authorId="1" shapeId="0" xr:uid="{407C4B01-2B61-4CD0-BD56-0AFE408AC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J21" authorId="1" shapeId="0" xr:uid="{1A280EF1-0065-4A0F-A36C-D072D1EDE6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K21" authorId="1" shapeId="0" xr:uid="{7D35CBBD-F3DD-4797-BC4A-ABB76FF29D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HMC kl 11
+7</t>
        </r>
      </text>
    </comment>
    <comment ref="L21" authorId="2" shapeId="0" xr:uid="{91DC3A7F-CCEF-47BA-943A-2ED332711AF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hele dagen</t>
        </r>
      </text>
    </comment>
    <comment ref="M21" authorId="1" shapeId="0" xr:uid="{62CC13A9-3248-4C68-B889-6DB167A466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+3</t>
        </r>
      </text>
    </comment>
    <comment ref="R21" authorId="1" shapeId="0" xr:uid="{F965DE79-01C4-41C1-817E-784771BA11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S21" authorId="1" shapeId="0" xr:uid="{FC3F8E17-BA1D-4AAD-B28D-2429E6CDE7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E-vagt fra kl 14:45</t>
        </r>
      </text>
    </comment>
    <comment ref="AD21" authorId="1" shapeId="0" xr:uid="{6E0FBA14-1515-4F63-A8B9-BEA4075E8B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kl.09:00 -21:00</t>
        </r>
      </text>
    </comment>
    <comment ref="AE21" authorId="1" shapeId="0" xr:uid="{7921AFC1-6DCA-4C01-864C-7940C6CEDC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08:30-21:00</t>
        </r>
      </text>
    </comment>
    <comment ref="AF21" authorId="1" shapeId="0" xr:uid="{058EE33A-CB78-4575-AEBD-F3370E4DF03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08:30-21:00</t>
        </r>
      </text>
    </comment>
    <comment ref="C22" authorId="1" shapeId="0" xr:uid="{045B565A-D8CB-4329-BCDB-ABA07F0368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D22" authorId="1" shapeId="0" xr:uid="{056E023E-4F75-4E9B-A35D-F9DEC19947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E22" authorId="3" shapeId="0" xr:uid="{3D649487-2AB0-4397-8B8B-4AE4023868F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I22" authorId="4" shapeId="0" xr:uid="{A1910E6B-2D7E-4CA2-8DF3-1CD04644D30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Tager imod Nicklas + samtale</t>
        </r>
      </text>
    </comment>
    <comment ref="J22" authorId="1" shapeId="0" xr:uid="{805BC35A-2CDE-4BA5-A440-134F88174E9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K22" authorId="1" shapeId="0" xr:uid="{33A344F8-17BB-4189-9D85-1A566DC0CB3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HMC kl 11</t>
        </r>
      </text>
    </comment>
    <comment ref="X22" authorId="2" shapeId="0" xr:uid="{FD3536D1-EDC2-4052-BA19-8F27686250D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hele dagen</t>
        </r>
      </text>
    </comment>
    <comment ref="AA22" authorId="1" shapeId="0" xr:uid="{1854AFCF-3C62-451A-8407-ED1A0BAEFFF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Q37" authorId="1" shapeId="0" xr:uid="{A5CE4B57-03B5-464D-A785-C102D6B197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G-vagt 
oa efter kl. 14:00</t>
        </r>
      </text>
    </comment>
    <comment ref="R37" authorId="1" shapeId="0" xr:uid="{373580B9-7B01-4256-946F-BAF83DB855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S-vagt 
OA efter kl. 14:00</t>
        </r>
      </text>
    </comment>
    <comment ref="S37" authorId="1" shapeId="0" xr:uid="{19F08AC4-7A9D-4BB9-9A6E-6A37E149E1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S-vagt</t>
        </r>
      </text>
    </comment>
    <comment ref="T37" authorId="1" shapeId="0" xr:uid="{BD659B68-258A-45D5-8700-115BE4C1754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sydbanestien </t>
        </r>
      </text>
    </comment>
    <comment ref="R38" authorId="1" shapeId="0" xr:uid="{232D4503-F844-4012-A2EB-250B53FEDB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 OA</t>
        </r>
      </text>
    </comment>
    <comment ref="W38" authorId="1" shapeId="0" xr:uid="{E765C7F9-56E7-45C1-9327-CF62186DDB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X38" authorId="1" shapeId="0" xr:uid="{DA695859-1F23-4B49-BD67-D02A9B51F65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Y38" authorId="1" shapeId="0" xr:uid="{E6A4A811-1D0A-4BC8-88C4-E2AE00AF472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Z38" authorId="1" shapeId="0" xr:uid="{3519A843-D476-448C-A56C-CC35D0302F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A38" authorId="1" shapeId="0" xr:uid="{0A7ABF25-C2A4-4833-BE9B-8E297FAB68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B38" authorId="1" shapeId="0" xr:uid="{654FE496-C78F-47D5-89F7-531159AD22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C38" authorId="1" shapeId="0" xr:uid="{776C9211-6544-41CF-975E-C382D756F7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O39" authorId="3" shapeId="0" xr:uid="{B621A8C1-A7DA-42DE-B891-274BA85FDA5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vagt på balustraden 20.00-05.00</t>
        </r>
      </text>
    </comment>
    <comment ref="C41" authorId="1" shapeId="0" xr:uid="{C2A3BA00-F171-43FF-A73F-EB51ED088B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D41" authorId="1" shapeId="0" xr:uid="{75322B51-F0D9-4CD7-A114-0E848AF1AF0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E41" authorId="1" shapeId="0" xr:uid="{CA7A7EFB-EEE6-4C3B-9265-574035EFD5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F41" authorId="1" shapeId="0" xr:uid="{712B89FB-959F-4D56-8DEC-D1A473E205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I41" authorId="1" shapeId="0" xr:uid="{36E4FDB4-79AE-4CB5-8928-F0E654C384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J41" authorId="1" shapeId="0" xr:uid="{98BA84F7-B288-43B0-A6F8-DEF80FB7FDF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K41" authorId="1" shapeId="0" xr:uid="{242A45D6-7EF3-4F5E-9249-D3F32957D26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L41" authorId="1" shapeId="0" xr:uid="{1CB8AD61-1243-4AE9-A3F3-756418375E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M41" authorId="1" shapeId="0" xr:uid="{C7E7FF0A-E7EF-4DC4-827E-A3354DAE48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W41" authorId="1" shapeId="0" xr:uid="{3B58588D-2D9A-4C97-B851-8A8BDA4C1E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nat</t>
        </r>
      </text>
    </comment>
    <comment ref="C45" authorId="0" shapeId="0" xr:uid="{C076374B-A4E2-4240-968C-B159748C7DE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D45" authorId="3" shapeId="0" xr:uid="{FC5173F3-6983-46CC-935B-617CB1FA15B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E45" authorId="3" shapeId="0" xr:uid="{69F2766E-1C51-4D52-9D41-7162CCB604D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W49" authorId="1" shapeId="0" xr:uid="{74C0AE4B-D122-40CD-8B8C-A9CCECAB856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R-vagt</t>
        </r>
      </text>
    </comment>
    <comment ref="X49" authorId="1" shapeId="0" xr:uid="{008A8E24-FFC6-47FB-9C22-60AD8C2ADA6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R-vagt</t>
        </r>
      </text>
    </comment>
    <comment ref="Z49" authorId="1" shapeId="0" xr:uid="{45DAE44D-9731-46F6-9142-E9A5715A82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byttet vagt med Niels F</t>
        </r>
      </text>
    </comment>
    <comment ref="AA49" authorId="1" shapeId="0" xr:uid="{A9EFCB8C-6602-4E10-B09D-D7911EDD52E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byttet vagt med Niels F</t>
        </r>
      </text>
    </comment>
    <comment ref="W51" authorId="5" shapeId="0" xr:uid="{BD4EB117-F644-42AB-8A6F-3B58BC8975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 14.00-15.00</t>
        </r>
      </text>
    </comment>
    <comment ref="C61" authorId="6" shapeId="0" xr:uid="{C65751DA-7242-4862-A373-4E36B9D8C5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D61" authorId="6" shapeId="0" xr:uid="{83510382-613B-42E9-82A0-E35ACB6EF2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E61" authorId="6" shapeId="0" xr:uid="{2B1EED14-CCC4-48A9-AA55-F0F5180522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F61" authorId="6" shapeId="0" xr:uid="{BCFEE320-C6B9-4751-AE4A-9AE1C7C593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Z61" authorId="1" shapeId="0" xr:uid="{7181E57E-92A6-4BFE-80C3-820CA9C308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for Niels Bo</t>
        </r>
      </text>
    </comment>
    <comment ref="AA61" authorId="1" shapeId="0" xr:uid="{26AF6590-E33C-494E-9DBF-A6E4BB2EB9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for Niels Bo</t>
        </r>
      </text>
    </comment>
    <comment ref="Q62" authorId="7" shapeId="0" xr:uid="{7F3DCD2A-057B-4D45-80AF-E233AA21498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W62" authorId="1" shapeId="0" xr:uid="{92673E19-1DB6-431A-BF54-DE61BE6E428B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</t>
        </r>
      </text>
    </comment>
    <comment ref="X62" authorId="1" shapeId="0" xr:uid="{F18DA474-0090-4248-BB1B-680AC55F48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Y62" authorId="7" shapeId="0" xr:uid="{441875C5-C4BB-466B-9BF0-D91A2760470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Z62" authorId="1" shapeId="0" xr:uid="{6783EF8B-D65E-47B7-A145-BAFFD126C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AA62" authorId="1" shapeId="0" xr:uid="{0FFB228D-F6D4-4611-B17E-6592B55253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D63" authorId="4" shapeId="0" xr:uid="{8E39EA7E-5F82-4D8C-AC8E-6A8E18E70D1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I63" authorId="1" shapeId="0" xr:uid="{8B3A7B7A-0CA7-4256-A792-BDCCF886C12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 fra kl. 12</t>
        </r>
      </text>
    </comment>
    <comment ref="K63" authorId="1" shapeId="0" xr:uid="{40DD205E-ABA4-48EF-89A2-2B00AE72C8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L63" authorId="1" shapeId="0" xr:uid="{0E2420AE-7BEE-446E-9BFC-EACA49D163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 RH</t>
        </r>
      </text>
    </comment>
    <comment ref="P63" authorId="7" shapeId="0" xr:uid="{C41E65B0-CD21-4B23-BEF5-6A953185C8C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R63" authorId="7" shapeId="0" xr:uid="{4CFD2980-9E95-4280-AF81-976CC4BDA37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S63" authorId="1" shapeId="0" xr:uid="{1F03B09B-D1E6-4641-9D07-035DDE7DB0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E-vagt Oa</t>
        </r>
      </text>
    </comment>
    <comment ref="T63" authorId="7" shapeId="0" xr:uid="{44394D63-7AAC-4E19-ABDE-8FDD1D6786E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G-Vagt på OA</t>
        </r>
      </text>
    </comment>
    <comment ref="E64" authorId="4" shapeId="0" xr:uid="{138D3344-7FC3-4793-8FDB-099A2C052C9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fra kl. 11.00</t>
        </r>
      </text>
    </comment>
    <comment ref="S64" authorId="6" shapeId="0" xr:uid="{ACE4991C-76F5-491D-A6AF-E18EE6F925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T64" authorId="6" shapeId="0" xr:uid="{CD270D86-F9CF-4FB8-BA6E-D99EC594A7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D65" authorId="1" shapeId="0" xr:uid="{EBBD976C-8E79-43DE-B8D6-8B4301A51E4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Svendborggade OA</t>
        </r>
      </text>
    </comment>
    <comment ref="G65" authorId="1" shapeId="0" xr:uid="{C07026B2-940E-45DF-B230-65B84B75D1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</t>
        </r>
      </text>
    </comment>
    <comment ref="H65" authorId="1" shapeId="0" xr:uid="{96B6EDA9-F490-4686-9882-A77D64067DE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</t>
        </r>
      </text>
    </comment>
    <comment ref="P65" authorId="6" shapeId="0" xr:uid="{86197E69-BE19-4061-A995-78AC501528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Q65" authorId="6" shapeId="0" xr:uid="{CEC223A2-C150-47FA-95BD-98AA9ED078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R65" authorId="6" shapeId="0" xr:uid="{8313F00A-158B-40A5-911D-84715D28BE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S65" authorId="6" shapeId="0" xr:uid="{BE8A1CF5-D816-43AE-A9FC-A3D513CC7D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T65" authorId="6" shapeId="0" xr:uid="{28CF11D1-3A7E-47BD-A611-8026F8033D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E67" authorId="4" shapeId="0" xr:uid="{927F31EB-EA81-488F-8623-3C9A8D7531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Lægen kl. 11.30</t>
        </r>
      </text>
    </comment>
    <comment ref="N68" authorId="1" shapeId="0" xr:uid="{CB5F01A9-F7CC-41DB-A5E8-41CC4A3496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R68" authorId="7" shapeId="0" xr:uid="{C892AF65-9FEB-4EB4-9528-552AC7D44D0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kl.18-22</t>
        </r>
      </text>
    </comment>
    <comment ref="S68" authorId="7" shapeId="0" xr:uid="{156CCB51-ED74-49F7-81E9-C6689B9BCF2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kl.18-22</t>
        </r>
      </text>
    </comment>
    <comment ref="Z68" authorId="1" shapeId="0" xr:uid="{676803A2-E773-4F18-9BFA-11AB6B3787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AA68" authorId="1" shapeId="0" xr:uid="{3668826C-6ACD-4FAA-BC11-48DD2CDF8DE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D70" authorId="1" shapeId="0" xr:uid="{CB0C058E-428E-4FB9-9340-0855B924AB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G70" authorId="1" shapeId="0" xr:uid="{5667D2A0-0595-4F26-A584-8462C26DED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I70" authorId="6" shapeId="0" xr:uid="{C47B8A6B-D7ED-4A53-84CC-8881AA08E0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J70" authorId="6" shapeId="0" xr:uid="{FAC5D3C6-7332-452A-BCBA-5E21A58F8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K70" authorId="6" shapeId="0" xr:uid="{FFD88A38-0F4C-4B50-8F38-36F955933B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L70" authorId="6" shapeId="0" xr:uid="{8BB6948A-4A69-45BE-8359-C17A6BD890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M70" authorId="6" shapeId="0" xr:uid="{7A62863A-3FEF-4615-B326-7CBBBE04C0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N70" authorId="1" shapeId="0" xr:uid="{73EDA32B-B35D-4C9E-AD90-78DB348EBF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O70" authorId="1" shapeId="0" xr:uid="{19A60199-C6D1-4CF0-8C74-2E5BDBA5590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P70" authorId="1" shapeId="0" xr:uid="{7FAFFFB7-5775-40E8-8013-1A7CFA5A82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Q70" authorId="1" shapeId="0" xr:uid="{E7F9E418-EAEC-47F3-B0CF-09A0B1BBBE0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R70" authorId="1" shapeId="0" xr:uid="{026EA8C3-8F9C-438D-A169-FEE5E69065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S70" authorId="1" shapeId="0" xr:uid="{F43AD84D-A212-4FE5-B652-81876CAC830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T70" authorId="1" shapeId="0" xr:uid="{4C7FB861-790A-4415-8F7A-EE0A98E4BB4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W70" authorId="6" shapeId="0" xr:uid="{E7D93BC8-A456-4AD3-A805-2B6E2C8F88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0" authorId="6" shapeId="0" xr:uid="{331E3A1E-A844-4312-9894-13CE17657B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Z70" authorId="6" shapeId="0" xr:uid="{A7B4ADAC-1040-4ECF-963F-9AA7AFEE2C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AA70" authorId="6" shapeId="0" xr:uid="{C7ECA126-2183-4BCC-B84D-7E102F18CA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N71" authorId="1" shapeId="0" xr:uid="{0CDE91CA-1952-43B7-AD92-BEE3CF34C8E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I72" authorId="1" shapeId="0" xr:uid="{800D18E1-C204-440F-B5C1-3FB12A3121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K72" authorId="1" shapeId="0" xr:uid="{7991AD2B-B8D0-4872-80F5-C467DC262C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L72" authorId="3" shapeId="0" xr:uid="{B48D4CCB-ECC3-4E4B-B130-9540766E912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72" authorId="1" shapeId="0" xr:uid="{82A402D6-D2AD-44C2-841F-DDE2CFCD189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dagvagt </t>
        </r>
      </text>
    </comment>
    <comment ref="C74" authorId="6" shapeId="0" xr:uid="{40C5FECA-3FE2-4432-A5F0-52F04C7617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4" authorId="6" shapeId="0" xr:uid="{E4A83626-FC89-4C93-BD8E-88584270DC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E74" authorId="6" shapeId="0" xr:uid="{A61652CD-C9C4-407C-90CC-0D8FC4685E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F74" authorId="6" shapeId="0" xr:uid="{2FC50E82-7F9B-44B0-957D-2D2DAAA2AC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I74" authorId="6" shapeId="0" xr:uid="{2B8F0FEC-35DA-42E0-8EB2-C1B2C8DA50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4" authorId="6" shapeId="0" xr:uid="{D1E0172B-BA7B-4AA1-9B53-1E80767F26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4" authorId="6" shapeId="0" xr:uid="{48E9130F-2E47-48AB-A0FE-1B145F1DD2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4" authorId="6" shapeId="0" xr:uid="{DDF12CA0-12EA-4873-B3F7-080C6B6BFD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M74" authorId="6" shapeId="0" xr:uid="{E0CCCBBC-03DA-4A15-B515-5112F257C7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P74" authorId="6" shapeId="0" xr:uid="{4C1767D3-FA58-450D-918E-BB6A92484B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4" authorId="6" shapeId="0" xr:uid="{53F2FFD0-BF7B-4EED-B089-33944DAB09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4" authorId="6" shapeId="0" xr:uid="{54B36288-DF6A-45BF-B5C4-595D19D41F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S74" authorId="6" shapeId="0" xr:uid="{43312869-8273-4409-A773-DB818CCC03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T74" authorId="6" shapeId="0" xr:uid="{A3A588FA-9F41-4CB4-BEA7-95CBEF29CA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W74" authorId="6" shapeId="0" xr:uid="{5C34A31A-ACF5-4AFD-BF33-5B84679CFC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4" authorId="6" shapeId="0" xr:uid="{CCB30407-C34C-45D2-97FA-121EF2F93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Y74" authorId="6" shapeId="0" xr:uid="{B4C64E7B-24D3-41D6-843A-39DA021FE6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Z74" authorId="6" shapeId="0" xr:uid="{8F48F45A-965D-47D4-8AC7-B33CD9C966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A74" authorId="6" shapeId="0" xr:uid="{2B1989DF-0B3B-4BC7-9348-9F004A22ED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D74" authorId="6" shapeId="0" xr:uid="{3E255226-94D9-4EC6-8565-F73FEF281D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74" authorId="6" shapeId="0" xr:uid="{A33F9F5B-B35C-444C-937D-97FCC7E1F9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F74" authorId="6" shapeId="0" xr:uid="{4EDFD9FB-DAEA-4B51-9DE4-AEC0719339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G79" authorId="8" shapeId="0" xr:uid="{E977629A-B3D8-4D96-86FD-436F9AB7FC7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 10-23</t>
      </text>
    </comment>
    <comment ref="H79" authorId="9" shapeId="0" xr:uid="{85EB4BCB-F1F2-41D4-BD5F-8E89F2D75DE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 10-23</t>
      </text>
    </comment>
    <comment ref="N79" authorId="1" shapeId="0" xr:uid="{97CB3954-B6E9-4015-8713-CBA4E051F3E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O79" authorId="1" shapeId="0" xr:uid="{689E3352-0D00-4403-A65C-A84C75362B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P79" authorId="1" shapeId="0" xr:uid="{8A578D90-1D56-46EC-8EED-A358367CF0B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Q79" authorId="1" shapeId="0" xr:uid="{339D5011-C503-4DC1-8628-1FF505C3BB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R79" authorId="1" shapeId="0" xr:uid="{89EADC03-789B-40CD-A225-E6586B25E6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S79" authorId="1" shapeId="0" xr:uid="{7DF6A17D-B61D-46C2-B84C-932901DAA1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T79" authorId="1" shapeId="0" xr:uid="{33097A1C-78BF-4802-B86A-A5AEA52E0A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9" authorId="1" shapeId="0" xr:uid="{8E28262A-4AAE-4454-AD41-2ACF3508FB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Rentemestervej kl. 20-22</t>
        </r>
      </text>
    </comment>
    <comment ref="AD79" authorId="1" shapeId="0" xr:uid="{00E277B9-07C4-4339-8CE0-F69C9224EE60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AE79" authorId="1" shapeId="0" xr:uid="{E0A442A0-DC24-451B-AA49-509C38774F5B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AF79" authorId="1" shapeId="0" xr:uid="{FA91E2CA-4B33-462C-A7DC-CAB1200ED6A1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O80" authorId="1" shapeId="0" xr:uid="{6606E6DE-D173-4835-A89D-21B14166C1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R80" authorId="7" shapeId="0" xr:uid="{FEEB065E-D117-472A-8322-ECABEA357AD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T80" authorId="1" shapeId="0" xr:uid="{977AEE67-7BB1-4911-B4FD-6F79B182CD3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9-16 RH OA</t>
        </r>
      </text>
    </comment>
    <comment ref="P101" authorId="1" shapeId="0" xr:uid="{F75C8A8C-000C-43CA-BDAD-4E7B71D352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Q101" authorId="1" shapeId="0" xr:uid="{80463AE9-5B00-42E5-8B65-EDD42A56E2D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101" authorId="1" shapeId="0" xr:uid="{4FC9755D-327F-4901-BB00-BBDFC47EBC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S101" authorId="1" shapeId="0" xr:uid="{E4332B47-64F8-4576-B3D2-FF27EF81D6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T101" authorId="1" shapeId="0" xr:uid="{BF23A6F3-A3E2-4071-982E-4510B63526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W101" authorId="1" shapeId="0" xr:uid="{0E1BCA76-A5D3-4813-97C9-4E32702B64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101" authorId="1" shapeId="0" xr:uid="{00C88E34-C746-4B9B-A72D-14D06353B4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Y101" authorId="1" shapeId="0" xr:uid="{E5CB9A5F-D3CF-42D3-A1AA-37D426D841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Z101" authorId="1" shapeId="0" xr:uid="{574FFF55-A09A-4EED-A8E5-E3B1B4FDBF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A101" authorId="1" shapeId="0" xr:uid="{BD6AA6E3-4464-4201-ADB2-068C8BCB519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C102" authorId="1" shapeId="0" xr:uid="{536020B0-C36A-4487-9165-5015687A65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102" authorId="1" shapeId="0" xr:uid="{D00D43A4-C480-4910-9408-E064DC76681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102" authorId="1" shapeId="0" xr:uid="{F1AA8B0A-453F-4848-9E9C-CEF70281863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F102" authorId="1" shapeId="0" xr:uid="{6C07FB89-3955-4381-A263-48A6B2A201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I102" authorId="1" shapeId="0" xr:uid="{B959204D-9F1E-4C00-9231-6581520B2E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
Går kl. 12</t>
        </r>
      </text>
    </comment>
    <comment ref="J102" authorId="1" shapeId="0" xr:uid="{4695F748-0E4D-4B40-A030-EFAE18075E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K102" authorId="1" shapeId="0" xr:uid="{6062517B-CD71-4C19-9561-99888ECF4DF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L102" authorId="1" shapeId="0" xr:uid="{C73C1D3A-8B69-4319-8869-571A41D5DC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M102" authorId="1" shapeId="0" xr:uid="{D26395AF-DDA5-43A5-BDFE-97D8FF50E6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N102" authorId="1" shapeId="0" xr:uid="{F0235C6B-C6B5-4B8F-B4B3-73C5F6CDC5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O102" authorId="1" shapeId="0" xr:uid="{837B1CCD-424D-4027-8ED2-F890EFF79E2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P102" authorId="1" shapeId="0" xr:uid="{E3B57114-26C8-4AE6-90E4-94BCE049D7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Q102" authorId="1" shapeId="0" xr:uid="{A41425D3-23E4-4FEA-95B8-0CBA99E2C92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R102" authorId="1" shapeId="0" xr:uid="{D84D5614-57CB-40E7-B36F-AFDD50BAEB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S102" authorId="1" shapeId="0" xr:uid="{C24DF9AF-EE53-4FD2-A4A0-499380D078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T102" authorId="1" shapeId="0" xr:uid="{0709A9DA-ED27-497C-8E53-79184345439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W102" authorId="1" shapeId="0" xr:uid="{154091FC-1643-4389-A4F5-B822030DE99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X102" authorId="1" shapeId="0" xr:uid="{3C3C9E91-635F-4664-9D20-2F17F5B8EE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Y102" authorId="1" shapeId="0" xr:uid="{6D8AD177-A8A9-4F11-9891-7C8C12E770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Z102" authorId="1" shapeId="0" xr:uid="{68DFEA05-E55C-4036-9E3D-70333C2F0A5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A102" authorId="1" shapeId="0" xr:uid="{46870C35-E123-42CF-8AF7-07CDA1304A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1" shapeId="0" xr:uid="{3DB28632-D798-4FC6-81FE-2E4E6DCE3B2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E102" authorId="1" shapeId="0" xr:uid="{2C63531D-663A-46B1-98D8-409BA98CC05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F102" authorId="1" shapeId="0" xr:uid="{990E7659-01EA-4AB3-871E-7F2C5039D3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21" authorId="1" shapeId="0" xr:uid="{76BABE91-370C-41F0-8BF5-C8759FE27B5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Tandlæge går kl. 14:15</t>
        </r>
      </text>
    </comment>
    <comment ref="E122" authorId="3" shapeId="0" xr:uid="{AD032E81-C095-4C00-A0B8-0B9D155F988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 går kl.13.00</t>
        </r>
      </text>
    </comment>
    <comment ref="P122" authorId="1" shapeId="0" xr:uid="{177F719C-BA72-45DD-8B52-19AECCC43B7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flyttet til uge 27</t>
        </r>
      </text>
    </comment>
    <comment ref="S122" authorId="1" shapeId="0" xr:uid="{45FC4DBA-A27B-4F78-AEEA-82D8960278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07:00-14:00</t>
        </r>
      </text>
    </comment>
    <comment ref="H155" authorId="1" shapeId="0" xr:uid="{6B8FFCDE-05B1-4E02-B01F-9BE1BC0D65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N155" authorId="1" shapeId="0" xr:uid="{F2125075-5678-421F-B943-0F0C7F1DAE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O155" authorId="1" shapeId="0" xr:uid="{18CA57AB-FDE6-40B2-93DB-35DA4F22807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S155" authorId="1" shapeId="0" xr:uid="{57FACDAA-151A-47FD-BD4F-37E66A6BA8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T155" authorId="1" shapeId="0" xr:uid="{23D08C91-B891-4306-942B-51538FD38E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U155" authorId="1" shapeId="0" xr:uid="{6093FB46-5F07-4557-919F-1253EF872D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V155" authorId="1" shapeId="0" xr:uid="{67528FB3-CCA3-4ECD-A020-FE31550427B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AB155" authorId="5" shapeId="0" xr:uid="{05689685-A97B-4E44-8D14-1C6C65CAEB3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AC155" authorId="1" shapeId="0" xr:uid="{2F9ACEB0-607E-43AD-A625-D238757412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M182" authorId="2" shapeId="0" xr:uid="{E730FFD3-B128-4F36-BABC-2D70E197D9B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Internflex dag</t>
        </r>
      </text>
    </comment>
    <comment ref="T182" authorId="1" shapeId="0" xr:uid="{D94C091D-5D77-4B2C-AC44-1A21F72461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U-vagt kl. 11-13</t>
        </r>
      </text>
    </comment>
    <comment ref="F185" authorId="1" shapeId="0" xr:uid="{884661DC-7D4C-4D3C-BDD6-E22E3679010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M185" authorId="1" shapeId="0" xr:uid="{BDEDA1EA-11DF-4065-A45D-318738D3B9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T185" authorId="1" shapeId="0" xr:uid="{5E2E64E1-C8DC-411A-8CE8-06EFA0F5E0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A185" authorId="1" shapeId="0" xr:uid="{E45EF367-B248-4FE6-B4E8-58526675DF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P188" authorId="4" shapeId="0" xr:uid="{354BCC78-9A91-4FBE-AA86-4A29F78FD4F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Ferie slettet</t>
        </r>
      </text>
    </comment>
    <comment ref="D190" authorId="1" shapeId="0" xr:uid="{3CAB351E-2C9C-4B6D-91DE-D72643CBC5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Q214" authorId="2" shapeId="0" xr:uid="{299F75E9-7872-4DE7-A6D0-5270A606250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- 1 time i afs</t>
        </r>
      </text>
    </comment>
    <comment ref="U216" authorId="1" shapeId="0" xr:uid="{3F75F6AD-322C-4B5A-805D-D1439FC4DF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V216" authorId="1" shapeId="0" xr:uid="{D4B19827-7960-4AE1-8948-8D15829522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J274" authorId="2" shapeId="0" xr:uid="{850D0872-02B9-4E84-8BE6-311B40E1ED5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AA274" authorId="2" shapeId="0" xr:uid="{831910C4-9A27-46CF-A063-043DA758714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- 6 timer afs</t>
        </r>
      </text>
    </comment>
    <comment ref="AD274" authorId="2" shapeId="0" xr:uid="{23E2389E-BE33-47B0-AAFC-FE027303523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AD277" authorId="2" shapeId="0" xr:uid="{C226EAD2-CA5A-4762-B4F0-0B4D21BE9B0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FF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Marianne Rasmussen</author>
    <author>Flemming Nielsen</author>
    <author>tc={DBED6890-7CF4-4B97-B6B7-BE4AEB9A3E57}</author>
    <author>tc={B54514FD-3529-4080-A3EE-EE395CF26426}</author>
    <author>tc={77CBCFCF-2077-4454-B6B2-B0A5CC709731}</author>
    <author>Rasmus Sørensen</author>
    <author>Mathias Hartvig Morell Nielsen</author>
    <author>Kim Holm Aabroe</author>
  </authors>
  <commentList>
    <comment ref="V12" authorId="0" shapeId="0" xr:uid="{A8AFCDAE-C18B-4751-B40E-7107E5426F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12" authorId="1" shapeId="0" xr:uid="{1F1416E5-0C62-4AE1-92A4-05CDD857712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X12" authorId="2" shapeId="0" xr:uid="{707DA4CC-AB96-4F88-95A6-5BF70411CF8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2" authorId="2" shapeId="0" xr:uid="{27133177-8EE8-4A3C-B459-AD92C49263E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2" authorId="2" shapeId="0" xr:uid="{66408CE5-E2BB-40B3-8258-E4BD4D3C046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12" authorId="2" shapeId="0" xr:uid="{A026EC2C-61C8-4FCA-8CBF-EA0FE20208B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4" authorId="0" shapeId="0" xr:uid="{34D98DB1-1AB7-4D21-8027-71BDD83BE6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</t>
        </r>
      </text>
    </comment>
    <comment ref="Y14" authorId="0" shapeId="0" xr:uid="{B7D68188-0D61-45B6-938A-BE2A3D874C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</t>
        </r>
      </text>
    </comment>
    <comment ref="U16" authorId="3" shapeId="0" xr:uid="{DBED6890-7CF4-4B97-B6B7-BE4AEB9A3E5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09.00 - 12.00</t>
      </text>
    </comment>
    <comment ref="W16" authorId="4" shapeId="0" xr:uid="{B54514FD-3529-4080-A3EE-EE395CF2642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09.00 - 13.00</t>
      </text>
    </comment>
    <comment ref="X16" authorId="5" shapeId="0" xr:uid="{77CBCFCF-2077-4454-B6B2-B0A5CC70973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09.00 - 13.00</t>
      </text>
    </comment>
    <comment ref="E20" authorId="6" shapeId="0" xr:uid="{B2030C83-E0F7-4D11-A91A-0D089B1738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N20" authorId="6" shapeId="0" xr:uid="{62CEA809-B5D0-47B9-A257-A5DD25A027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O20" authorId="6" shapeId="0" xr:uid="{A3BD2930-4936-4983-8D7D-8B5BBF54D2A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P20" authorId="6" shapeId="0" xr:uid="{827539D3-631E-410B-9CAB-0BF500749F6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C21" authorId="6" shapeId="0" xr:uid="{A10ECAFE-B1DB-43DB-92EB-8DC61C15A5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kl.08:00-16:00</t>
        </r>
      </text>
    </comment>
    <comment ref="G21" authorId="6" shapeId="0" xr:uid="{78777308-B746-4C0C-9313-7E41C675FE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H21" authorId="6" shapeId="0" xr:uid="{D125A726-037E-4C9E-A791-4E49FB5EFE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I21" authorId="6" shapeId="0" xr:uid="{0EFD5590-5B80-48C0-819A-F000FD932D5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+1,5</t>
        </r>
      </text>
    </comment>
    <comment ref="J21" authorId="6" shapeId="0" xr:uid="{7315EBA4-7454-4761-8D65-EBB59243CE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O21" authorId="6" shapeId="0" xr:uid="{1B8967CA-EB70-40D6-BAA4-B117350E1CC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+ 1,5</t>
        </r>
      </text>
    </comment>
    <comment ref="W21" authorId="6" shapeId="0" xr:uid="{91DCC7C7-BF65-4FFA-87F4-0827A0E6A5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V22" authorId="6" shapeId="0" xr:uid="{CD8561EA-4426-431B-9DC5-128E90E849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 oa</t>
        </r>
      </text>
    </comment>
    <comment ref="X22" authorId="2" shapeId="0" xr:uid="{F41FE2B7-CEDD-4D3B-ABF6-876EA2A8FD6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 og U 14.45</t>
        </r>
      </text>
    </comment>
    <comment ref="G25" authorId="0" shapeId="0" xr:uid="{B56C4FF3-B186-48D3-84BA-D5EE37C53D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H25" authorId="0" shapeId="0" xr:uid="{FDB7556D-B936-45B7-8253-868BB6CA92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I25" authorId="0" shapeId="0" xr:uid="{42D167F7-7CFA-4860-BFCF-2B4FE0236A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F26" authorId="6" shapeId="0" xr:uid="{DCC91531-A2DD-43DA-BFD5-4D68129B29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Y26" authorId="0" shapeId="0" xr:uid="{E6F7E2D1-D0B3-4278-BE49-E018092E31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W39" authorId="2" shapeId="0" xr:uid="{5031CE7C-BFAF-47EF-ABFD-CBF7643D5BA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R-vagt til 15.30</t>
        </r>
      </text>
    </comment>
    <comment ref="G44" authorId="6" shapeId="0" xr:uid="{0CCAA8A1-4AA3-44AD-8AE0-8D1296EB38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H44" authorId="6" shapeId="0" xr:uid="{2F1A4212-5544-41B9-A4D4-99D848B82B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I44" authorId="6" shapeId="0" xr:uid="{05799628-CCB3-4B63-9B43-BD2F0DD57F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J44" authorId="6" shapeId="0" xr:uid="{3BD6B393-F694-4C11-B303-49F8E2FFCD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K44" authorId="6" shapeId="0" xr:uid="{CE910470-6478-4DB8-A0BC-1CE06EB1C6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J62" authorId="0" shapeId="0" xr:uid="{1BBF9070-B9D0-4D6C-AE5C-30A4BC425E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K62" authorId="0" shapeId="0" xr:uid="{49A2E091-E9DC-4E43-B6D7-49CBF5E77B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69" authorId="0" shapeId="0" xr:uid="{3F68E92A-5366-4C15-AA7A-93F32DE53E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12.30</t>
        </r>
      </text>
    </comment>
    <comment ref="N70" authorId="0" shapeId="0" xr:uid="{842FCB2E-832E-4434-8790-4C0497037E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O70" authorId="0" shapeId="0" xr:uid="{319EB388-17BF-45AD-AFC3-03A5DCB14E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P70" authorId="0" shapeId="0" xr:uid="{35F94FC6-9F81-40BB-AC80-C7FE90CF1A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Q70" authorId="0" shapeId="0" xr:uid="{94907CB3-8B20-4EAE-ADC3-D074BB5D14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R70" authorId="0" shapeId="0" xr:uid="{E8DCFCDF-4D94-411D-B79F-5C60E75F9E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70" authorId="6" shapeId="0" xr:uid="{56B0E1B5-EBC1-4900-B69B-356ADDA2E49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V70" authorId="6" shapeId="0" xr:uid="{AAB83F45-66B0-49C8-86CA-EF181C9223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0" authorId="6" shapeId="0" xr:uid="{D82065D1-1DBB-4336-A424-B16AB764DE4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Y70" authorId="6" shapeId="0" xr:uid="{BC2A7D74-CC62-43E1-A4AF-66EDAC091E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V71" authorId="7" shapeId="0" xr:uid="{8830F232-1E13-4CE4-B60D-DB895E93C6F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7'er vagt fra 15:45 OA</t>
        </r>
      </text>
    </comment>
    <comment ref="U72" authorId="6" shapeId="0" xr:uid="{A552E3A9-359D-401F-899A-7F380EDFA9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C73" authorId="7" shapeId="0" xr:uid="{D2009F59-221A-4709-B03E-5C57DC47FB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D73" authorId="7" shapeId="0" xr:uid="{538D4C65-1562-409C-8F71-5F2D6B2F07A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U73" authorId="7" shapeId="0" xr:uid="{6B6E4200-C94C-4CE0-B223-9EBEDB1F29E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V73" authorId="7" shapeId="0" xr:uid="{19CDD485-48B9-4B19-80FB-F575A51EC72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X73" authorId="7" shapeId="0" xr:uid="{7993007F-F2D8-4305-B300-5DEC5CC2E6D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Y73" authorId="7" shapeId="0" xr:uid="{E68B7D9F-581F-4659-A6B4-BABDBB408B6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C75" authorId="0" shapeId="0" xr:uid="{C4FFD33A-F791-42E0-BA3B-3BD8281024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D75" authorId="0" shapeId="0" xr:uid="{A3C426EB-E6AD-4264-997E-65FEB68658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G75" authorId="0" shapeId="0" xr:uid="{ADBE2312-A6CE-4357-8257-C40024D14D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H75" authorId="0" shapeId="0" xr:uid="{C9AAA81D-09DE-44BC-9D57-9BA6AD4AB1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I75" authorId="0" shapeId="0" xr:uid="{95846C32-4CDC-4414-94AF-0E31844BE1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J75" authorId="0" shapeId="0" xr:uid="{CA28B319-976A-45A1-908B-6C24D52D51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K75" authorId="0" shapeId="0" xr:uid="{1E8D357F-D151-4D73-94C8-25E5B4D31C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N75" authorId="0" shapeId="0" xr:uid="{C479260E-9471-435B-B12F-E4DD6675F1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75" authorId="0" shapeId="0" xr:uid="{C8DFE709-66C0-4678-9229-2AE258E1EE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P75" authorId="0" shapeId="0" xr:uid="{6FC126FE-3CE8-4883-B04D-3B6FCC63DD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5" authorId="0" shapeId="0" xr:uid="{997DF03E-19F3-40F2-A712-7D5A356C3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R75" authorId="0" shapeId="0" xr:uid="{A14B81F7-7154-4273-AEA0-72B8D7BDF6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U75" authorId="0" shapeId="0" xr:uid="{F85AE756-F0EF-4844-B028-B6AB61E41B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5" authorId="0" shapeId="0" xr:uid="{4CD6588E-981C-4443-A0BF-A83E205652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75" authorId="0" shapeId="0" xr:uid="{D0E8B498-DF9C-4F53-8986-8A79B1F7E6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5" authorId="0" shapeId="0" xr:uid="{E74A838F-2120-422F-BA20-7B9CC148BB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Y75" authorId="0" shapeId="0" xr:uid="{1A42CEB1-583A-4F44-93D2-2485F1BD4F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B75" authorId="0" shapeId="0" xr:uid="{8FFC9C2C-6CE8-4DFA-BA47-156061C14F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5" authorId="0" shapeId="0" xr:uid="{C6D04380-A236-4948-89C3-B9845F98D7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75" authorId="0" shapeId="0" xr:uid="{ED85F6C3-A0EF-40D3-B17A-1F242BE88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75" authorId="0" shapeId="0" xr:uid="{1C35C4CB-D51E-47F2-AB3F-BB88610489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F75" authorId="0" shapeId="0" xr:uid="{23674436-D96D-42A0-ACF2-F2AE69BFC5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C79" authorId="0" shapeId="0" xr:uid="{08962CFE-954F-47D3-B13B-20E4C663BA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
Sydbanestien nr.6 OA inden egen vagt</t>
        </r>
      </text>
    </comment>
    <comment ref="D79" authorId="0" shapeId="0" xr:uid="{07D0000C-C1A8-4D68-AF32-AC63D476BA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79" authorId="0" shapeId="0" xr:uid="{27B4C9C8-3607-49E4-BF5F-AC4563E1F7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V79" authorId="6" shapeId="0" xr:uid="{66FB2A0C-9551-488C-BE41-6D6BB9BB3F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X79" authorId="6" shapeId="0" xr:uid="{91928F28-1F95-46C7-B3E7-29B5B621190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Y79" authorId="6" shapeId="0" xr:uid="{84745372-0EDA-48E6-814F-66E0490330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C102" authorId="6" shapeId="0" xr:uid="{B7767067-5ED9-4B3C-998F-2019FAB8825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102" authorId="6" shapeId="0" xr:uid="{FAC3D04F-A45B-45B7-A59C-6DFFFC2F69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102" authorId="6" shapeId="0" xr:uid="{85C4DFBB-6256-4AF1-8B69-40E9ADEB46D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G102" authorId="6" shapeId="0" xr:uid="{14F2557B-EE11-4702-8532-168E60B611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H102" authorId="6" shapeId="0" xr:uid="{C993E20D-A2EE-43CD-9679-DA2140D834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I102" authorId="6" shapeId="0" xr:uid="{A405E5DC-8966-4323-9DBF-CBE30DC9A5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J102" authorId="6" shapeId="0" xr:uid="{EEF32823-47E6-40C6-A19F-1B19C8E3EBB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K102" authorId="6" shapeId="0" xr:uid="{EB6FD9F4-0079-4360-968C-3DE711601D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L102" authorId="6" shapeId="0" xr:uid="{B3234EF4-AC75-4783-BAD5-6A900EBCE5F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M102" authorId="6" shapeId="0" xr:uid="{991C53AB-A274-4477-B958-96E459089A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N102" authorId="6" shapeId="0" xr:uid="{FCB70F7A-1031-405D-8F5C-059B025692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O102" authorId="6" shapeId="0" xr:uid="{D49EA1FA-B10F-4F78-BD93-203AF4F9C8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P102" authorId="6" shapeId="0" xr:uid="{74543029-25CB-47D1-8943-0B849527FE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Q102" authorId="6" shapeId="0" xr:uid="{BC6DCD8E-0BD4-4DC4-9B26-36794A3DD1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R102" authorId="6" shapeId="0" xr:uid="{1A64569C-D494-46F6-975A-62B669AAF8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U102" authorId="6" shapeId="0" xr:uid="{2CAB0A70-9002-409C-B591-1F11E7B2EF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V102" authorId="6" shapeId="0" xr:uid="{D922D27A-F9A5-4E29-B953-18EF01BD23A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W102" authorId="6" shapeId="0" xr:uid="{20598C35-9C11-4D8E-B7D5-E7CF095163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X102" authorId="6" shapeId="0" xr:uid="{0541BF14-9689-462A-9982-B16B694CA88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Y102" authorId="6" shapeId="0" xr:uid="{B6E65E3B-4D8C-43FD-8E44-986C1BF2C9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B102" authorId="6" shapeId="0" xr:uid="{1AFB8CA2-1ACC-4A36-A6B8-43AE2B5CE4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C102" authorId="6" shapeId="0" xr:uid="{9CA6F3F5-9500-4011-B5D6-6BD970C93A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6" shapeId="0" xr:uid="{24503E0F-E5CE-4806-B489-F3DC54F7FF7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E102" authorId="6" shapeId="0" xr:uid="{6AE8C0D7-F809-4A10-A7BE-C1F7E7A232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F102" authorId="6" shapeId="0" xr:uid="{054EF13E-117F-49A0-B50E-F17BC53E41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O121" authorId="0" shapeId="0" xr:uid="{8C5DCAAE-A69A-4611-8E3C-40FAC50071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23" authorId="0" shapeId="0" xr:uid="{19B3C832-463C-4A47-A333-7C78789C77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07.00-07.45</t>
        </r>
      </text>
    </comment>
    <comment ref="P123" authorId="0" shapeId="0" xr:uid="{F8D988EE-0090-4F6F-85D6-9B823366B7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07.00-07.45</t>
        </r>
      </text>
    </comment>
    <comment ref="P125" authorId="0" shapeId="0" xr:uid="{0B761569-FD73-40D0-8841-C8A452F3FB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Q125" authorId="8" shapeId="0" xr:uid="{A7B592EF-FB3E-44B4-9D6F-E27F6F60C23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R125" authorId="8" shapeId="0" xr:uid="{82A65609-E2D7-400B-8BB9-90105BFFE2E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W154" authorId="1" shapeId="0" xr:uid="{D1CDB068-35AE-48F3-AEF2-D9B0343FBF1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U156" authorId="1" shapeId="0" xr:uid="{ADA7EE09-5348-4ED4-BDD5-E6FFBD97EA5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Martins ferie</t>
        </r>
      </text>
    </comment>
    <comment ref="D182" authorId="0" shapeId="0" xr:uid="{FD108D20-1E11-43ED-814F-EA9BDE200A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94" authorId="6" shapeId="0" xr:uid="{EA041578-E9DE-4C44-A372-1255307FE3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L214" authorId="6" shapeId="0" xr:uid="{A1D7C398-BEF6-4932-8DA1-7382AD8179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M214" authorId="6" shapeId="0" xr:uid="{DD936ECF-FEA6-449B-AB03-7162749C71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W217" authorId="0" shapeId="0" xr:uid="{1FE17843-B02A-4CE7-9EA0-ED0FD1A6E2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fra kl. 06.00</t>
        </r>
      </text>
    </comment>
    <comment ref="U274" authorId="1" shapeId="0" xr:uid="{916E63DC-EDD7-48FE-9A52-047DF9B9FF1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V274" authorId="1" shapeId="0" xr:uid="{9C553F35-715D-4E48-9FCD-6B9E690AB4A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AC274" authorId="1" shapeId="0" xr:uid="{DF2F1CC1-0199-4ED7-AAB2-17FE93B8E96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- 1 time afs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Rasmus Sørensen</author>
    <author>Michael Bo Pedersen</author>
    <author>Steen Hertin-Sandkær</author>
    <author>tc={C3E67E07-D6F5-4663-83FF-B7B1A67D7A4D}</author>
    <author>tc={0D202DDB-99F7-42F8-B116-F09C79F5F07A}</author>
    <author>tc={1795450C-954F-4D05-9C60-4840B7615476}</author>
    <author>tc={9491AEA5-95EC-429F-B6FD-803FFEEB8A1A}</author>
    <author>Mathias Hartvig Morell Nielsen</author>
    <author>tc={2E27D743-559C-4970-A8AB-9035B8BE5380}</author>
    <author>tc={7FBB9D52-A67D-4F97-A56D-678D20F51195}</author>
    <author>tc={360E0F3D-4A71-4F3A-A6D5-D36F47D26200}</author>
    <author>tc={C3CAE9B8-0289-4585-9C6E-8529E6B61AC7}</author>
    <author>Marianne Rasmussen</author>
  </authors>
  <commentList>
    <comment ref="V12" authorId="0" shapeId="0" xr:uid="{6DD43635-5DC7-4F9A-89CA-9DB3FF1D507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I2</t>
        </r>
      </text>
    </comment>
    <comment ref="AF12" authorId="0" shapeId="0" xr:uid="{D586CFA9-ED92-4F60-83F3-04EED0A9035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69-vagt fra 9-10</t>
        </r>
      </text>
    </comment>
    <comment ref="U15" authorId="1" shapeId="0" xr:uid="{89801144-918E-46A1-A9C5-1C0A299DB8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L20" authorId="1" shapeId="0" xr:uid="{E4D0B18B-E6E3-440E-9783-7C98A33453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12.00-19.45</t>
        </r>
      </text>
    </comment>
    <comment ref="S20" authorId="1" shapeId="0" xr:uid="{87D92722-C808-4FB1-B615-D5647EDAAA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Rådhushavem 09.00-20.30</t>
        </r>
      </text>
    </comment>
    <comment ref="T20" authorId="1" shapeId="0" xr:uid="{12312654-E5F2-414E-A673-4043BD6087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20" authorId="1" shapeId="0" xr:uid="{CEBFEC9D-1123-4FBA-B976-24D30F624D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V20" authorId="1" shapeId="0" xr:uid="{9C6EF417-3943-4D44-BCFD-6A26214D40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AB20" authorId="1" shapeId="0" xr:uid="{3F8B8CB4-64B9-4AA2-B541-CF1096010E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hvis der er flytte opgaver.</t>
        </r>
      </text>
    </comment>
    <comment ref="AC20" authorId="1" shapeId="0" xr:uid="{1C98827F-6D74-460F-9B16-99D7DDAA8B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R-vagt kl. 11.00</t>
        </r>
      </text>
    </comment>
    <comment ref="AF20" authorId="1" shapeId="0" xr:uid="{82AAB35C-22B4-4504-9312-F098E29863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 13.30</t>
        </r>
      </text>
    </comment>
    <comment ref="V21" authorId="1" shapeId="0" xr:uid="{96CFE9FB-33FE-4327-8671-919D6B3774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Y21" authorId="1" shapeId="0" xr:uid="{DCB7C6AB-0911-42D3-B06F-59A10595DD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Z21" authorId="1" shapeId="0" xr:uid="{41577A6E-DDFD-499E-9634-7FA1271CF8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AA21" authorId="1" shapeId="0" xr:uid="{BA184504-31CE-4E22-A0BB-336A00193A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P24" authorId="0" shapeId="0" xr:uid="{A6152CE1-FEFF-43DA-A8D8-4484B7D79D4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Fejning balustraden</t>
        </r>
      </text>
    </comment>
    <comment ref="K26" authorId="1" shapeId="0" xr:uid="{ADB82A67-BC94-4C45-8DC7-A6F2C0F6CB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26" authorId="1" shapeId="0" xr:uid="{F28F7F3A-42D4-457B-808A-17A3466917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M26" authorId="1" shapeId="0" xr:uid="{F49D7B25-E664-46A8-8897-9F0E4BED07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N26" authorId="1" shapeId="0" xr:uid="{785B5E1A-79CB-47EA-8612-7EC298E8B8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O26" authorId="1" shapeId="0" xr:uid="{E4963669-37D2-463B-850F-9A8C61DB76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R26" authorId="1" shapeId="0" xr:uid="{3C4E591A-F5AF-4C1E-9200-B3803DBC09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S26" authorId="1" shapeId="0" xr:uid="{718F453A-CD15-413D-AE36-1515B98338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T26" authorId="1" shapeId="0" xr:uid="{7CEA5510-9071-4E99-992F-8EC8F216D7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U26" authorId="1" shapeId="0" xr:uid="{7CC0DD26-ABB1-41AE-82B1-861D82ADEE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V26" authorId="1" shapeId="0" xr:uid="{BB38827B-EB19-429C-B459-ADF19E3D0A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K37" authorId="0" shapeId="0" xr:uid="{7D21FE37-F623-4CAE-A88D-6AD6B52C550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U-vagt til kl. 12</t>
        </r>
      </text>
    </comment>
    <comment ref="L37" authorId="0" shapeId="0" xr:uid="{3913BBDA-F112-4A81-9EFB-37394733DB0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4-vagt</t>
        </r>
      </text>
    </comment>
    <comment ref="T37" authorId="1" shapeId="0" xr:uid="{E033E01A-AD2F-4769-A392-F6B826A78A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5-vagt på OA.</t>
        </r>
      </text>
    </comment>
    <comment ref="U37" authorId="2" shapeId="0" xr:uid="{BB56A064-2A2D-4D84-B16B-4E616048B75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V37" authorId="2" shapeId="0" xr:uid="{8B089EB2-36B1-4178-9351-FA7EBFA735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Y37" authorId="1" shapeId="0" xr:uid="{AA9BFDD7-CC86-4CC5-9DB3-78E47FE22F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Z37" authorId="1" shapeId="0" xr:uid="{ED9C1E19-34E4-40B9-880A-7BC085420F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AA37" authorId="1" shapeId="0" xr:uid="{751F0709-8EBF-4A33-9C7D-4EF89D593F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AC37" authorId="3" shapeId="0" xr:uid="{46213AC6-AA34-4E45-AF9D-BD0F1636DA9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O38" authorId="1" shapeId="0" xr:uid="{A2E27896-6913-40B8-A526-BC1F47FF02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11.00 som vagthavende.</t>
        </r>
      </text>
    </comment>
    <comment ref="Z38" authorId="1" shapeId="0" xr:uid="{2CD870CE-68A5-40B6-B08A-20ADEC0DD0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C38" authorId="4" shapeId="0" xr:uid="{AAFF27FB-FF9B-48A5-8C8E-45EAEE1783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som 4-vagt kl. 14.00</t>
        </r>
      </text>
    </comment>
    <comment ref="AG45" authorId="5" shapeId="0" xr:uid="{C3E67E07-D6F5-4663-83FF-B7B1A67D7A4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3-vagt på OA</t>
      </text>
    </comment>
    <comment ref="P46" authorId="6" shapeId="0" xr:uid="{0D202DDB-99F7-42F8-B116-F09C79F5F07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 Grambo´s ferie</t>
      </text>
    </comment>
    <comment ref="AG48" authorId="0" shapeId="0" xr:uid="{F3DDE763-251A-48FD-BB9C-3BD92817C0B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S61" authorId="1" shapeId="0" xr:uid="{1632F579-0D9E-4F9B-A366-CE075FEC08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 på oa</t>
        </r>
      </text>
    </comment>
    <comment ref="T61" authorId="1" shapeId="0" xr:uid="{AFFB976F-E5E9-4615-A24D-A695A81A87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U61" authorId="1" shapeId="0" xr:uid="{5A67C647-952F-48CB-BB2D-294669462F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V61" authorId="1" shapeId="0" xr:uid="{B2E0E806-71DE-4B3A-8693-FC3ADFB447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Y61" authorId="1" shapeId="0" xr:uid="{7BE0A89B-12C8-477D-B600-38D73AA43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Z61" authorId="1" shapeId="0" xr:uid="{6096F778-0016-48E0-8878-137F0D4F88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A61" authorId="1" shapeId="0" xr:uid="{7FAF2CE6-388E-43D3-ADF5-B215FFE32A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61" authorId="1" shapeId="0" xr:uid="{FD3AAD1A-F2BE-4821-A494-0CED3F1696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61" authorId="1" shapeId="0" xr:uid="{AFE52B3F-394D-49E0-89A2-59E2E99BC8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63" authorId="1" shapeId="0" xr:uid="{553F99A6-FBF7-4907-9022-50EB67F358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S63" authorId="1" shapeId="0" xr:uid="{738BB2B3-1D28-4E1F-8B9A-C45CBBA4D9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U63" authorId="1" shapeId="0" xr:uid="{901F0D60-CF75-41A7-AC69-BCF1F4567C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V63" authorId="1" shapeId="0" xr:uid="{46DE9BF6-E0F7-464F-ABEF-3EECD8CEE7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AA63" authorId="1" shapeId="0" xr:uid="{B45E9880-FE44-46CD-BD40-D05DB3869746}">
      <text>
        <r>
          <rPr>
            <b/>
            <sz val="9"/>
            <color indexed="81"/>
            <rFont val="Tahoma"/>
            <family val="2"/>
          </rPr>
          <t>Steen Hertin:
99</t>
        </r>
        <r>
          <rPr>
            <sz val="9"/>
            <color indexed="81"/>
            <rFont val="Tahoma"/>
            <family val="2"/>
          </rPr>
          <t>-vagt på OA</t>
        </r>
      </text>
    </comment>
    <comment ref="AB63" authorId="3" shapeId="0" xr:uid="{811D2B82-0DBF-42D8-B03F-7BA1F348697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AG63" authorId="7" shapeId="0" xr:uid="{1795450C-954F-4D05-9C60-4840B761547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69-vagt på OA</t>
      </text>
    </comment>
    <comment ref="R64" authorId="8" shapeId="0" xr:uid="{9491AEA5-95EC-429F-B6FD-803FFEEB8A1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3-vagt på o/a</t>
      </text>
    </comment>
    <comment ref="S64" authorId="1" shapeId="0" xr:uid="{F9C2FD55-B757-463C-9F17-6998738B2C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T64" authorId="1" shapeId="0" xr:uid="{3475041E-65BF-4A86-B574-68A9CA1B7D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U64" authorId="1" shapeId="0" xr:uid="{B6192B46-96D8-4362-B7BA-19AC21DBE2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V64" authorId="1" shapeId="0" xr:uid="{95BBE128-5C3D-4230-832C-D832FD601F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Y65" authorId="1" shapeId="0" xr:uid="{DC8ABF13-1D47-4543-BE79-69904B97A8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VaccinationcenterFolehaven, Vinhaven 4. Kl. 15.00-21.00</t>
        </r>
      </text>
    </comment>
    <comment ref="Z65" authorId="1" shapeId="0" xr:uid="{0BDC82D2-05EB-44AC-BE09-FD960F9550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Folehaven, Vinhaven 4 Kl. 15.00-21.00</t>
        </r>
      </text>
    </comment>
    <comment ref="AA65" authorId="1" shapeId="0" xr:uid="{ABC19CE6-4010-4AE6-A18A-026D92145E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AC67" authorId="1" shapeId="0" xr:uid="{5E3BBD88-9CF9-4213-8A0F-102B4BE6F0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11.00</t>
        </r>
      </text>
    </comment>
    <comment ref="E68" authorId="1" shapeId="0" xr:uid="{91740429-1BFC-4D13-A617-C063ED9840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O68" authorId="1" shapeId="0" xr:uid="{34CF4F72-DF30-4952-932F-FB0AD1CE34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på OA</t>
        </r>
      </text>
    </comment>
    <comment ref="AC68" authorId="3" shapeId="0" xr:uid="{EDD98ADE-EF31-4F94-9D8E-7FCB4A681AF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
15.00-21.00 på OA</t>
        </r>
      </text>
    </comment>
    <comment ref="F70" authorId="9" shapeId="0" xr:uid="{122A059F-B3FC-4A7D-9A86-C04E4556919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L70" authorId="1" shapeId="0" xr:uid="{81E3BBDA-E4A2-4B49-8908-245717396F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Hjemmløseenheden kl .13.30 på oa</t>
        </r>
      </text>
    </comment>
    <comment ref="M70" authorId="1" shapeId="0" xr:uid="{329F51BC-0CCE-4CCB-92BB-847D289970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10.30 på oa.</t>
        </r>
      </text>
    </comment>
    <comment ref="N70" authorId="1" shapeId="0" xr:uid="{E68568CD-03AD-409E-A9D2-C6723CE1E2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09.00 på oa.</t>
        </r>
      </text>
    </comment>
    <comment ref="O70" authorId="1" shapeId="0" xr:uid="{EED0A222-CB20-4864-8FB6-058DEA8E44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11.30</t>
        </r>
      </text>
    </comment>
    <comment ref="R70" authorId="1" shapeId="0" xr:uid="{4A335935-CD7B-43B7-8194-E8647EAC2F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S70" authorId="1" shapeId="0" xr:uid="{0DDB999D-13F6-4478-A9F9-EF807BE391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T70" authorId="1" shapeId="0" xr:uid="{D0FD19D1-1CF4-49EE-96D4-0D3DC6A7F1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U70" authorId="1" shapeId="0" xr:uid="{74ED23CD-2DC9-4414-9BAE-1B74BDA211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Z70" authorId="10" shapeId="0" xr:uid="{2E27D743-559C-4970-A8AB-9035B8BE538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10-vagt på oa</t>
      </text>
    </comment>
    <comment ref="T71" authorId="1" shapeId="0" xr:uid="{88F80824-1835-4516-B50F-66CF5CA13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 Møder først ca. 16.15</t>
        </r>
      </text>
    </comment>
    <comment ref="R72" authorId="1" shapeId="0" xr:uid="{3D63B786-FA5D-4139-90D9-356AB848C6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Lundtoftegade kl. 15.00-21.00</t>
        </r>
      </text>
    </comment>
    <comment ref="S72" authorId="1" shapeId="0" xr:uid="{78AB7C5F-2DAD-4459-9188-273C62A3B3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Lundtoftegade kl. 15.00-21.00</t>
        </r>
      </text>
    </comment>
    <comment ref="T72" authorId="1" shapeId="0" xr:uid="{D3F61B65-80AA-4DA0-889A-A32E7F737D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U72" authorId="1" shapeId="0" xr:uid="{CDD8D237-4E5B-47EA-A18F-8633402D3D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V72" authorId="1" shapeId="0" xr:uid="{A91AD07D-6DDF-4056-AAC5-95C052CB84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AB72" authorId="1" shapeId="0" xr:uid="{18609C5C-1E45-4B39-A7D8-F9A6321D07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AC72" authorId="1" shapeId="0" xr:uid="{73598EC3-07DE-4686-98D0-164057FDFB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P73" authorId="11" shapeId="0" xr:uid="{7FBB9D52-A67D-4F97-A56D-678D20F5119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 Grambo´s ferie</t>
      </text>
    </comment>
    <comment ref="D74" authorId="1" shapeId="0" xr:uid="{AE70E7DC-4200-490D-A4E9-511C6D0EA2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E74" authorId="1" shapeId="0" xr:uid="{BB160A63-DD7F-4163-91F1-3DD609DEF9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F74" authorId="1" shapeId="0" xr:uid="{FF9A4BFC-247F-4A1E-8674-CE05308E8B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G74" authorId="1" shapeId="0" xr:uid="{7B121DF2-33A0-42EB-903F-0FB6B3F704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H74" authorId="1" shapeId="0" xr:uid="{D6142097-B078-469C-ACF5-92A7ED2D3F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K78" authorId="0" shapeId="0" xr:uid="{2B9E59DB-9B7B-4470-8299-98EBB92F7BE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6-vagt sygdom</t>
        </r>
      </text>
    </comment>
    <comment ref="R79" authorId="1" shapeId="0" xr:uid="{CD948FA2-15F2-4118-A40F-349D0987DD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S79" authorId="1" shapeId="0" xr:uid="{AB62F3CD-8C0D-4D15-A2C2-C3E8746C73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T79" authorId="1" shapeId="0" xr:uid="{0B096512-AA88-4617-8CA8-007A0DAFA9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U79" authorId="1" shapeId="0" xr:uid="{0EBA0B7D-1EC3-4FE5-A7CE-B64DB3024A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H80" authorId="0" shapeId="0" xr:uid="{911DABBA-75A2-486C-AC5B-E481B201DFD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0" authorId="4" shapeId="0" xr:uid="{D085E602-2758-4FC5-A207-A30672ADE5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23 på OA går fra 4-vagt kl. 14.00</t>
        </r>
      </text>
    </comment>
    <comment ref="V82" authorId="1" shapeId="0" xr:uid="{B83713C7-B535-4A7F-882F-1BCD973F3B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OA.</t>
        </r>
      </text>
    </comment>
    <comment ref="Z83" authorId="3" shapeId="0" xr:uid="{87CB6081-68EA-4278-B016-5B2600DBE58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AA83" authorId="3" shapeId="0" xr:uid="{CFD3ED6C-EE80-4162-9516-D53D82D2B0B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AB83" authorId="3" shapeId="0" xr:uid="{83C0948F-8851-43BA-9DA2-02486D2559A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Z102" authorId="1" shapeId="0" xr:uid="{53DB4903-B646-46A9-A818-43CF6EDDA4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A102" authorId="1" shapeId="0" xr:uid="{B3FE118B-71A1-486A-BDE0-3E444DF67B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D103" authorId="2" shapeId="0" xr:uid="{D2CAA2BE-1CED-4B17-8B9E-B48D5CF289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E103" authorId="2" shapeId="0" xr:uid="{2D693CFA-1170-4C09-885F-8D417A42F28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F103" authorId="2" shapeId="0" xr:uid="{005D7285-8E10-4F9F-8743-B29153A9831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G103" authorId="2" shapeId="0" xr:uid="{17DEAEF3-1A2F-4F8F-9FCC-B0452AE800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H103" authorId="2" shapeId="0" xr:uid="{0E799FD2-78DE-49BB-83C2-9BDEB19299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I103" authorId="2" shapeId="0" xr:uid="{34ABF9E6-A71E-4F79-A057-46954F8DE0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J103" authorId="2" shapeId="0" xr:uid="{35086A79-8281-47BF-8DD5-F4C995D26E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K103" authorId="2" shapeId="0" xr:uid="{CF31C961-BC9B-49FD-B097-D303DE517B1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L103" authorId="2" shapeId="0" xr:uid="{9724F902-7037-41A3-89C2-1304F06CDCB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M103" authorId="2" shapeId="0" xr:uid="{1FD4EC7B-6542-45E2-AB46-FFEFD7BDFC7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N103" authorId="2" shapeId="0" xr:uid="{D41E17B7-CED6-4447-85F2-2F33FAD01C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O103" authorId="2" shapeId="0" xr:uid="{A44ECDA9-E915-401A-9141-E3785262E9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AC103" authorId="1" shapeId="0" xr:uid="{696C4E59-EFF7-496A-90CA-AEBDDFD0F4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15.00-20.00 på OA.</t>
        </r>
      </text>
    </comment>
    <comment ref="AD103" authorId="1" shapeId="0" xr:uid="{28D512D1-D792-4C6E-9291-A3B6E9F876FC}">
      <text>
        <r>
          <rPr>
            <b/>
            <sz val="9"/>
            <color indexed="81"/>
            <rFont val="Tahoma"/>
            <family val="2"/>
          </rPr>
          <t>Steen Hertin:
A2 på OA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E103" authorId="1" shapeId="0" xr:uid="{BB47CE31-F5EC-4BAC-802E-E0439C340F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F103" authorId="1" shapeId="0" xr:uid="{4787F3DB-6017-4F07-8E21-636EA4FB25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25-vagt på rådhhuset på OA</t>
        </r>
      </text>
    </comment>
    <comment ref="AF122" authorId="3" shapeId="0" xr:uid="{35C3C056-9C50-48D9-90DB-409C4B3B3F9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Dække 3-vagt</t>
        </r>
      </text>
    </comment>
    <comment ref="P124" authorId="1" shapeId="0" xr:uid="{AB8EAEE5-DE35-4017-BF46-6E54100DE3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kl. 10.00 til 14.30</t>
        </r>
      </text>
    </comment>
    <comment ref="AF124" authorId="2" shapeId="0" xr:uid="{4A54A5F9-1EEC-4395-8C62-B273001A27B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flyttet til uge 29</t>
        </r>
      </text>
    </comment>
    <comment ref="D125" authorId="1" shapeId="0" xr:uid="{EB9921D7-E032-40B6-82F5-0DB3298056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E125" authorId="1" shapeId="0" xr:uid="{CB7A56EA-95AB-4208-A445-8DF4A5D787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F125" authorId="1" shapeId="0" xr:uid="{2EC2D38A-2BA2-4E80-AB20-520B7EC4CD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G125" authorId="1" shapeId="0" xr:uid="{DEE5C974-F5FF-4E92-97F3-5A8996452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H125" authorId="1" shapeId="0" xr:uid="{8EBCEE68-DD7A-4C3E-B71B-A237072614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Kørsel for Per Larsen kl. 08.00</t>
        </r>
      </text>
    </comment>
    <comment ref="R157" authorId="12" shapeId="0" xr:uid="{360E0F3D-4A71-4F3A-A6D5-D36F47D262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Flemmings ferie</t>
      </text>
    </comment>
    <comment ref="H186" authorId="2" shapeId="0" xr:uid="{D47795C7-8F75-4913-B45A-5908286CC47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O186" authorId="2" shapeId="0" xr:uid="{88519482-89CE-4010-B72B-5C8C4DB9B8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V186" authorId="2" shapeId="0" xr:uid="{95EB01C9-0593-4842-8D33-501876A2E2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C186" authorId="2" shapeId="0" xr:uid="{26780459-D7B7-4A16-880E-C5692255C51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S189" authorId="1" shapeId="0" xr:uid="{171D5B0F-4D53-4E74-A246-37345EAE81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Læge. Møder først ca. kl. 12.00</t>
        </r>
      </text>
    </comment>
    <comment ref="R214" authorId="13" shapeId="0" xr:uid="{C3CAE9B8-0289-4585-9C6E-8529E6B61AC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Vaccinaionscenter 15.00-21.00</t>
      </text>
    </comment>
    <comment ref="S214" authorId="1" shapeId="0" xr:uid="{1E24F4A5-36E0-49D5-97B9-4BA54B248B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Y214" authorId="1" shapeId="0" xr:uid="{BF03A920-A902-4D38-950D-065A716EE1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Z214" authorId="1" shapeId="0" xr:uid="{7BF1380C-995B-4980-BEA7-30F7239EDC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AF214" authorId="1" shapeId="0" xr:uid="{B53548B8-4D9A-4F07-88CD-74857D50BA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Vermundsvej 43A. Kl. 15.00-21.00</t>
        </r>
      </text>
    </comment>
    <comment ref="AG214" authorId="1" shapeId="0" xr:uid="{2797859D-6AB8-417D-8A75-6068D920C1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Vermundsvej 43A. Kl. 15.00-21.00</t>
        </r>
      </text>
    </comment>
    <comment ref="R255" authorId="1" shapeId="0" xr:uid="{745DA3F0-F115-4ED9-96DF-737C6E579D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S255" authorId="1" shapeId="0" xr:uid="{66321144-F5CE-4E69-B5A3-E9CEDE9985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R260" authorId="1" shapeId="0" xr:uid="{C7D2137E-5414-48E2-B6CB-A028D53D10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S260" authorId="1" shapeId="0" xr:uid="{398A0C33-E8B4-46BA-8E51-D6E60D0AB9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D275" authorId="14" shapeId="0" xr:uid="{BA6BCDE2-2DD4-4F0A-BA8F-6E68FF3993B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E275" authorId="14" shapeId="0" xr:uid="{0B69D555-2E09-4F82-816C-74F6B5ED4FF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-1 time i afs</t>
        </r>
      </text>
    </comment>
    <comment ref="F275" authorId="14" shapeId="0" xr:uid="{9E9863E0-5902-4F99-8C41-8A0A3758E58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-1 time i afs</t>
        </r>
      </text>
    </comment>
    <comment ref="G275" authorId="14" shapeId="0" xr:uid="{258B7D35-92A2-48C1-B700-591E5816040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  <comment ref="Z275" authorId="0" shapeId="0" xr:uid="{B83E98C1-25F9-4FBA-A3FC-91F2352D8C9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afsp. 3 timer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Flemming Nielsen</author>
    <author>Kim Holm Aabroe</author>
    <author>Steen Hertin</author>
    <author>Mathias Hartvig Morell Nielsen</author>
    <author>tc={96366B8F-1FAA-41AA-83B6-5C3F4228103D}</author>
    <author>tc={FF803B0D-F070-4D15-8897-AA217E3D770D}</author>
    <author>tc={7500BB7F-1C3D-4668-A932-9E82A12F0CF4}</author>
    <author>marasm</author>
    <author>tc={2CA2EBA2-F0CC-4D79-990E-BAD7F65646CC}</author>
    <author>Marianne Rasmussen</author>
  </authors>
  <commentList>
    <comment ref="D12" authorId="0" shapeId="0" xr:uid="{D45BF594-E467-4456-BDEF-9FC92976BA4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HBR</t>
        </r>
      </text>
    </comment>
    <comment ref="H12" authorId="1" shapeId="0" xr:uid="{61CBB597-0E2F-4CB6-836D-52F0B96A54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79-vagt</t>
        </r>
      </text>
    </comment>
    <comment ref="I12" authorId="1" shapeId="0" xr:uid="{A327AF6E-6E1C-4424-B1D6-723FF0E0B5F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12" authorId="1" shapeId="0" xr:uid="{AD29ABB8-21BF-480B-A7BE-85AFDDCF103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i2 fra 07.45</t>
        </r>
      </text>
    </comment>
    <comment ref="AC12" authorId="1" shapeId="0" xr:uid="{CDAC72AD-4D2A-464E-8D3D-998D362F77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Hjælpe med tårntur</t>
        </r>
      </text>
    </comment>
    <comment ref="P15" authorId="2" shapeId="0" xr:uid="{15AA1DCC-1BB6-4B9B-B7C5-473AFF42920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Q15" authorId="2" shapeId="0" xr:uid="{BD7DB59A-C257-4EC8-9CD5-99F93CC4EEC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R15" authorId="2" shapeId="0" xr:uid="{F7A0986C-EB94-4136-8F79-9580045F149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S15" authorId="2" shapeId="0" xr:uid="{3CB35C85-EA75-4FFC-9395-DF399DFA534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E20" authorId="3" shapeId="0" xr:uid="{B011D766-238D-4D88-B761-7B16959595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12.45-14.30</t>
        </r>
      </text>
    </comment>
    <comment ref="Y20" authorId="3" shapeId="0" xr:uid="{F7BE7CAC-18DE-4077-9632-D801A41EFE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D21" authorId="0" shapeId="0" xr:uid="{DD0C4191-2BE6-483A-B44C-F5C7EC5EEF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HBR</t>
        </r>
      </text>
    </comment>
    <comment ref="I21" authorId="0" shapeId="0" xr:uid="{9D413431-B356-47AC-B002-3522D320507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aften med Holm </t>
        </r>
      </text>
    </comment>
    <comment ref="O21" authorId="0" shapeId="0" xr:uid="{FD37877D-AE85-4F2F-A97C-04B881EB01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lundtoftegade kl. 15.00-21.00</t>
        </r>
      </text>
    </comment>
    <comment ref="P21" authorId="0" shapeId="0" xr:uid="{FE1926BE-2523-4C1B-9F52-5F14DFDFC21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lundtoftegade kl. 15.00-21.00</t>
        </r>
      </text>
    </comment>
    <comment ref="R21" authorId="0" shapeId="0" xr:uid="{001FEF5A-7122-4B77-B15B-69BA420E208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+2,5</t>
        </r>
      </text>
    </comment>
    <comment ref="V21" authorId="0" shapeId="0" xr:uid="{D85E64FC-B7F9-4AC1-8F0B-3639C965BC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W21" authorId="0" shapeId="0" xr:uid="{8C63A05E-F26C-4950-9C00-D3819E49886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X21" authorId="0" shapeId="0" xr:uid="{FD018FE7-4C2B-4E39-95B2-55A285C612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Y21" authorId="0" shapeId="0" xr:uid="{6A2858A6-0100-4E01-9AF2-0F48E0B501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oa 
</t>
        </r>
      </text>
    </comment>
    <comment ref="Z21" authorId="0" shapeId="0" xr:uid="{F25C4598-6D74-48EE-843C-389FA23602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+ kl. 16.00-22.00 ungehuset Emdrup. Frederiksborgvej 210 
2400 København NV Alt OA.
</t>
        </r>
      </text>
    </comment>
    <comment ref="H25" authorId="3" shapeId="0" xr:uid="{237ED2B0-3F09-44D6-98A5-238D581E58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Tagensbo skole, Magistervej 4, kl.17.45</t>
        </r>
      </text>
    </comment>
    <comment ref="R26" authorId="0" shapeId="0" xr:uid="{D59A43C9-6D01-434B-9289-C328DEE9817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fra kl. 16:30 Mathias finder løsning.</t>
        </r>
      </text>
    </comment>
    <comment ref="Q37" authorId="4" shapeId="0" xr:uid="{660CA974-8778-4FA2-ADE7-8DA2A52A49F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X37" authorId="3" shapeId="0" xr:uid="{381AD2CD-2D3A-435E-9FAE-870D7AC1A9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pensionistcenter Ruten 20. 08.45-14.00</t>
        </r>
      </text>
    </comment>
    <comment ref="Y37" authorId="2" shapeId="0" xr:uid="{68A046C4-9A02-4958-8EC1-4261218CA57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vaccinecenter 
Rentemestervej 76
kl.15-21</t>
        </r>
      </text>
    </comment>
    <comment ref="Z37" authorId="3" shapeId="0" xr:uid="{3798AD18-948F-47C2-908C-2055E1677E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være på Rentemestervej kl. 18.00-20.00</t>
        </r>
      </text>
    </comment>
    <comment ref="C48" authorId="1" shapeId="0" xr:uid="{7DDC677C-737F-4561-A6C7-8A0F090D67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D48" authorId="1" shapeId="0" xr:uid="{0FC6B0C6-1DD3-4B35-8662-B0700EA98B3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E48" authorId="1" shapeId="0" xr:uid="{1B6BD569-553B-4A52-80DC-77E9C6D8B30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H62" authorId="3" shapeId="0" xr:uid="{9827D496-6565-4B7B-8338-760BAECE76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dagvagt.</t>
        </r>
      </text>
    </comment>
    <comment ref="P62" authorId="4" shapeId="0" xr:uid="{70971A2D-3811-472D-9031-9D51ABBACCE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AD62" authorId="3" shapeId="0" xr:uid="{97E9C94C-B059-484B-AD19-2F2B8A04BE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tirsdag mellem kl. 13.00-15.00
Ring til Henrik H.</t>
        </r>
      </text>
    </comment>
    <comment ref="C63" authorId="3" shapeId="0" xr:uid="{FAA8C88C-7A3E-4975-A287-EC0A8F8BAA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23-vagt på OA.</t>
        </r>
      </text>
    </comment>
    <comment ref="I63" authorId="3" shapeId="0" xr:uid="{3EC3D0A8-C521-4943-BB99-6A3233D5E5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63" authorId="3" shapeId="0" xr:uid="{B0B2FB7D-EC91-4734-AFC1-5710FD43E0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63" authorId="3" shapeId="0" xr:uid="{9219EE9A-CE3A-4558-9FFF-994C67B128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63" authorId="3" shapeId="0" xr:uid="{5DD9E59F-BDC4-4C53-BA84-5A7326579A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63" authorId="0" shapeId="0" xr:uid="{DAF30223-0289-4A1B-993E-38F24AC8A34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P63" authorId="0" shapeId="0" xr:uid="{A2E98E20-2474-4C6B-A218-C1AC78F0B1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
R-vagt på OA </t>
        </r>
      </text>
    </comment>
    <comment ref="Q63" authorId="0" shapeId="0" xr:uid="{381C6C74-2A44-4185-A1DF-531FD9C7F37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R63" authorId="0" shapeId="0" xr:uid="{E47E28D4-4174-40AE-B200-32DF3217F9A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S63" authorId="0" shapeId="0" xr:uid="{A0404F1B-191F-465D-93CF-4A9C8BAE5B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+ Rentemestervej kl. 18.00-20.00</t>
        </r>
      </text>
    </comment>
    <comment ref="V63" authorId="3" shapeId="0" xr:uid="{4EF01DA9-C6F3-4FF8-8DCD-50EFEFEEBB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63" authorId="3" shapeId="0" xr:uid="{31417B54-EBE3-4554-B70D-9D9485B1B4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63" authorId="0" shapeId="0" xr:uid="{F01E10FF-972F-4A76-94A4-5CFB0B15F0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</t>
        </r>
      </text>
    </comment>
    <comment ref="Y63" authorId="0" shapeId="0" xr:uid="{DC204E7F-3D74-4434-B85B-17393C9F75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</t>
        </r>
      </text>
    </comment>
    <comment ref="Z63" authorId="0" shapeId="0" xr:uid="{7AC4F7A0-299F-467D-9D71-1EF514B4F2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+ Rentemestervej kl. 18.00-20.00</t>
        </r>
      </text>
    </comment>
    <comment ref="AC63" authorId="3" shapeId="0" xr:uid="{655BA4A6-3F5E-47A1-8010-23ADB71E81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63" authorId="3" shapeId="0" xr:uid="{A95C3D69-9EB7-4479-AC82-66305D0BAC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63" authorId="3" shapeId="0" xr:uid="{0917963C-4BDD-44AD-A273-D1A1AF0E2C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Rentemestervej 20.00-23.00 på OA</t>
        </r>
      </text>
    </comment>
    <comment ref="AF63" authorId="3" shapeId="0" xr:uid="{A0CD2B12-A7A0-4FCA-9057-27C2397C68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64" authorId="3" shapeId="0" xr:uid="{3DCD4B14-BF36-4130-9CC5-E11EA5C4926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fra mandag kl. 13.00-tirsdag kl. 08.00</t>
        </r>
      </text>
    </comment>
    <comment ref="E65" authorId="3" shapeId="0" xr:uid="{69BD23D6-1C8F-44EB-936C-D3AA804B9F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13.00-15.00 passe reception.</t>
        </r>
      </text>
    </comment>
    <comment ref="I65" authorId="0" shapeId="0" xr:uid="{D3428A06-A1F2-452A-82AA-70016968062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J65" authorId="0" shapeId="0" xr:uid="{3A2200D0-E100-457F-A931-E03890F915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V65" authorId="3" shapeId="0" xr:uid="{E2D5827E-512F-4754-97F8-1364A3B84E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Vinhaven 4 15.00-21.00</t>
        </r>
      </text>
    </comment>
    <comment ref="W65" authorId="3" shapeId="0" xr:uid="{757E7F9D-E936-4567-8D7A-629B23FD45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Vinhaven 4 15.00-21.00</t>
        </r>
      </text>
    </comment>
    <comment ref="X65" authorId="0" shapeId="0" xr:uid="{E594DF9D-296C-439D-9AD9-7EEBA385513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Rentemestervej 76
kl.15-21
Tingbjerg oa kl.08.45-13</t>
        </r>
      </text>
    </comment>
    <comment ref="E68" authorId="5" shapeId="0" xr:uid="{96366B8F-1FAA-41AA-83B6-5C3F4228103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11-vagt på OA</t>
      </text>
    </comment>
    <comment ref="O68" authorId="0" shapeId="0" xr:uid="{7C607FD8-5322-4E45-B0C5-5F891CE8DA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P68" authorId="0" shapeId="0" xr:uid="{8243716D-48AD-4594-8E51-7E0D907000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Q68" authorId="0" shapeId="0" xr:uid="{877990D7-4AB1-490A-A109-24A6F00D8E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R68" authorId="0" shapeId="0" xr:uid="{B0D5768B-9DD4-4075-A9D6-B1C4E7C62E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U68" authorId="3" shapeId="0" xr:uid="{F6EF356C-4306-42CE-8636-DA10844B4C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08.15-16.00</t>
        </r>
      </text>
    </comment>
    <comment ref="X68" authorId="3" shapeId="0" xr:uid="{D9929981-6708-4058-882A-EF2AB27CA9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C68" authorId="3" shapeId="0" xr:uid="{3636FA7C-FED3-46AC-A931-F6D8D596DF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fra mandag kl. 13.00-tirsdag kl. 08.00</t>
        </r>
      </text>
    </comment>
    <comment ref="AD68" authorId="3" shapeId="0" xr:uid="{CE331040-45C4-428A-B664-B5BBC28C9B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tirsdag mellem kl. 13.00-15.00</t>
        </r>
      </text>
    </comment>
    <comment ref="AE68" authorId="3" shapeId="0" xr:uid="{76FB0536-650B-4A6E-9B8D-CB7CA82EE0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inden kl. 16.00</t>
        </r>
      </text>
    </comment>
    <comment ref="C70" authorId="3" shapeId="0" xr:uid="{FF7CA6CD-1E30-44DC-9A0A-CBFAE5FC76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OA.</t>
        </r>
      </text>
    </comment>
    <comment ref="E70" authorId="3" shapeId="0" xr:uid="{30BE4458-8685-4EDF-8EF8-2E8BEC064F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12.45 - 14.30</t>
        </r>
      </text>
    </comment>
    <comment ref="AC70" authorId="0" shapeId="0" xr:uid="{6B18F024-1447-4EEA-B006-8555B26B47C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D70" authorId="0" shapeId="0" xr:uid="{FFEE034C-9FB5-47D3-8F52-38149949800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E70" authorId="0" shapeId="0" xr:uid="{C8911162-375D-4C5F-AC6A-5D1A0A5B7A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F70" authorId="0" shapeId="0" xr:uid="{F72D600B-D016-40EE-A925-BF2FB4DDF9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O71" authorId="0" shapeId="0" xr:uid="{D86E4829-9468-4D96-9643-1B9A25115B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vermundsgade 43a kl. 15.00-21.00</t>
        </r>
      </text>
    </comment>
    <comment ref="P71" authorId="0" shapeId="0" xr:uid="{7DD6A1EC-BC14-40FA-9761-0181300F94E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vermundsgade 43a kl. 15.00-21.00</t>
        </r>
      </text>
    </comment>
    <comment ref="Q71" authorId="0" shapeId="0" xr:uid="{85CBD6D0-57BA-46DD-8291-40D89970D4F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R71" authorId="0" shapeId="0" xr:uid="{7C05C8FB-73C7-4472-9F5D-7D2E2956B6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S71" authorId="0" shapeId="0" xr:uid="{9F67C5A6-2325-415C-92BE-3403BD147A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AB71" authorId="0" shapeId="0" xr:uid="{2072F16E-F03B-40AA-96B3-CE48A7FF34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F72" authorId="3" shapeId="0" xr:uid="{AB02BF39-C6FA-4AEB-AEDF-D3190E3764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senest kl.20.00</t>
        </r>
      </text>
    </comment>
    <comment ref="O72" authorId="3" shapeId="0" xr:uid="{C4312750-9238-4284-9F71-9E06010DAA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P72" authorId="3" shapeId="0" xr:uid="{FC60EA59-88C6-4F27-B6C9-99696EDB94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Q72" authorId="3" shapeId="0" xr:uid="{E7EF6876-265E-4134-BB38-4AAC5A19D9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R72" authorId="3" shapeId="0" xr:uid="{98F25B54-2C49-4A51-AF3E-78FCF64890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Y72" authorId="3" shapeId="0" xr:uid="{A30FFD83-9839-4B58-9A23-23BD861EB3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Z72" authorId="3" shapeId="0" xr:uid="{243859A7-24D1-4571-BC96-1381E841F0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AB72" authorId="3" shapeId="0" xr:uid="{DEB2E86D-02C8-4C3A-B61A-43F0C195E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09.00-16.00 Opsætning af borde og stole.</t>
        </r>
      </text>
    </comment>
    <comment ref="AE72" authorId="0" shapeId="0" xr:uid="{658580C4-2394-44D0-9433-FC5DF8AEEBB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F72" authorId="0" shapeId="0" xr:uid="{DE187AC7-0CD8-4ED1-B506-359541CE396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O79" authorId="3" shapeId="0" xr:uid="{D5833B41-EE51-4D44-965A-5D2F642778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P79" authorId="3" shapeId="0" xr:uid="{9EE1A70B-D3AB-40F7-A6A7-F767410B93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Q79" authorId="3" shapeId="0" xr:uid="{E4D3985E-561F-421F-A675-5D7F790DFD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R79" authorId="3" shapeId="0" xr:uid="{9ACE6887-4B1D-4A28-81F4-0B39256CDB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Y79" authorId="0" shapeId="0" xr:uid="{FE84A014-6CF2-4F21-9B8E-38DA9118E0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tingbjerg skole
kl. 14.30-21.30+10 vagt OA</t>
        </r>
      </text>
    </comment>
    <comment ref="O80" authorId="2" shapeId="0" xr:uid="{F4922BEC-B6BE-4D00-A22D-876518EE9B2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 14.00-15.45</t>
        </r>
      </text>
    </comment>
    <comment ref="Z80" authorId="0" shapeId="0" xr:uid="{D2FD362F-BF3A-4F17-A2C0-32CB11E0013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Rentemestervej 76
kl.15-21</t>
        </r>
      </text>
    </comment>
    <comment ref="R81" authorId="2" shapeId="0" xr:uid="{175DCEBC-6045-4832-8829-E8D08792257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S81" authorId="2" shapeId="0" xr:uid="{92D5774B-4E8A-4AD1-BCF8-BEAA3E34480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AC81" authorId="0" shapeId="0" xr:uid="{51C79389-9302-44D1-9FAA-68109021ACA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D81" authorId="0" shapeId="0" xr:uid="{81E4EE7E-234E-44DD-BE60-565EB7ECA9A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E81" authorId="3" shapeId="0" xr:uid="{A5264A7C-37E9-4615-A008-98F3D8FD27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Kun dagvagt</t>
        </r>
      </text>
    </comment>
    <comment ref="D82" authorId="6" shapeId="0" xr:uid="{FF803B0D-F070-4D15-8897-AA217E3D770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23-vagt på OA</t>
      </text>
    </comment>
    <comment ref="E82" authorId="7" shapeId="0" xr:uid="{7500BB7F-1C3D-4668-A932-9E82A12F0CF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23-vagt på OA</t>
      </text>
    </comment>
    <comment ref="P82" authorId="2" shapeId="0" xr:uid="{FC645E54-3C4B-4D99-9D7B-3107EA88638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vaccinationscenter
blågården/ågården 
15.00-21.00 OA</t>
        </r>
      </text>
    </comment>
    <comment ref="H88" authorId="1" shapeId="0" xr:uid="{71343C02-F5AF-4434-8BA6-1410BB428E4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I88" authorId="1" shapeId="0" xr:uid="{2B9CC6FD-8FEC-4862-8A72-85AB01878C4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J88" authorId="1" shapeId="0" xr:uid="{62FFF0F7-8B77-442F-AE67-6A1888F4528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88" authorId="1" shapeId="0" xr:uid="{B2182BEF-195D-434D-A553-E809FA4AC71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88" authorId="1" shapeId="0" xr:uid="{AED2B3C5-4EE9-4D2F-AFF1-64E65EE0409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O88" authorId="1" shapeId="0" xr:uid="{67219F53-47B7-49CB-AB8E-B9F3AC54FA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P88" authorId="1" shapeId="0" xr:uid="{488B27CE-5210-42E3-AEDE-EF223C14F4A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Q88" authorId="1" shapeId="0" xr:uid="{D1D8A5E4-EB15-46DA-85AA-F597D27236B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R88" authorId="1" shapeId="0" xr:uid="{FCB5DCA2-703C-4D15-B2BE-61E625710FA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S88" authorId="1" shapeId="0" xr:uid="{059F7DAC-5690-407D-B4AF-1D1B7B51EB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S102" authorId="0" shapeId="0" xr:uid="{E9E0ED8A-264F-42B0-8A45-90DC9EF54E1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Svendborggade til kl. 11</t>
        </r>
      </text>
    </comment>
    <comment ref="H103" authorId="0" shapeId="0" xr:uid="{FE4487D2-9696-4E3D-9592-C2B58B6ECE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L103" authorId="0" shapeId="0" xr:uid="{9CC0D20A-A94E-418C-B6DA-FF37DD4019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Rentemestervej til event kl. 14-22</t>
        </r>
      </text>
    </comment>
    <comment ref="U103" authorId="0" shapeId="0" xr:uid="{278E32A6-70F7-4C9C-965E-B6244196A1B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V103" authorId="0" shapeId="0" xr:uid="{FFF7D732-B3F4-4E1B-A059-A5C9BC034F3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W103" authorId="0" shapeId="0" xr:uid="{4A4912FF-5045-4478-8CB9-BF4BDD3A9A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X103" authorId="0" shapeId="0" xr:uid="{B661DB62-1F1B-4E4F-A3C5-63EDD77660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Y103" authorId="0" shapeId="0" xr:uid="{4906D7D7-0F3E-4A50-B6DC-9F049ED2759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B103" authorId="0" shapeId="0" xr:uid="{E6C273CC-26A8-4D2B-93F2-07938E1AA89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C103" authorId="0" shapeId="0" xr:uid="{828879DB-684D-483F-BFE8-4CD9550668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D103" authorId="0" shapeId="0" xr:uid="{691A43E3-C2F6-4262-9436-FF53B4D9D0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E103" authorId="0" shapeId="0" xr:uid="{95A81C25-4351-4BEC-A8D9-C14D9071B5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F103" authorId="0" shapeId="0" xr:uid="{1F9FE2DF-6CC3-442F-B564-39266B1C7B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oaLukke vaccinecenter på Tinbjergskole + Pensionistcenter Ruten 20 kl.20.30</t>
        </r>
      </text>
    </comment>
    <comment ref="F124" authorId="3" shapeId="0" xr:uid="{E089FCA8-2AC2-4B1F-AAF8-8D3F8563EE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G124" authorId="3" shapeId="0" xr:uid="{993EC42A-E924-4C60-8B2E-6F19CCA673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N124" authorId="3" shapeId="0" xr:uid="{1C4E3FD3-2724-497F-92AF-4A2EADD14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L126" authorId="0" shapeId="0" xr:uid="{EADB5BB5-B1FF-4553-B77C-7728EF33CAD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afsp fra kl. 12:30</t>
        </r>
      </text>
    </comment>
    <comment ref="Q155" authorId="8" shapeId="0" xr:uid="{BC619EF9-7F70-44E1-B6BB-FBFF0A7ED33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5" authorId="8" shapeId="0" xr:uid="{E579E658-0250-4FEF-93F5-40475F8409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157" authorId="9" shapeId="0" xr:uid="{2CA2EBA2-F0CC-4D79-990E-BAD7F65646C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Flemmings ferie</t>
      </text>
    </comment>
    <comment ref="H184" authorId="3" shapeId="0" xr:uid="{FAA1D4AA-F4AB-41A1-AAD2-42CB07E42C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O184" authorId="3" shapeId="0" xr:uid="{F15E9859-E329-4169-A246-167BD2A10D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Y184" authorId="0" shapeId="0" xr:uid="{04796C8A-5AB2-436E-AB86-006A7B27AA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16.00-22.00 ungehuset Emdrup. Frederiksborgvej 210 
2400 København NV 
</t>
        </r>
      </text>
    </comment>
    <comment ref="Z184" authorId="0" shapeId="0" xr:uid="{A010889D-84C4-43D4-8212-E5C58A5980E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16.00-22.00 ungehuset Emdrup. Frederiksborgvej 210 
2400 København NV 
</t>
        </r>
      </text>
    </comment>
    <comment ref="R185" authorId="0" shapeId="0" xr:uid="{0094872C-C58E-494A-8666-BF83BA924D3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lægen 16:30</t>
        </r>
      </text>
    </comment>
    <comment ref="AB185" authorId="0" shapeId="0" xr:uid="{59A4B5BF-EC4D-46D1-B4D5-9E9BA0FD939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E186" authorId="0" shapeId="0" xr:uid="{9BDBCE20-D159-4C9C-80D5-9DD02C2D14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L186" authorId="0" shapeId="0" xr:uid="{D8DF1C65-9E37-4A6D-8FAE-3CF1B28822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186" authorId="0" shapeId="0" xr:uid="{3375FB09-7D9D-4B2D-9F3D-9C82F719C0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186" authorId="0" shapeId="0" xr:uid="{E9742107-B51B-4DAD-8916-51013375C9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C191" authorId="3" shapeId="0" xr:uid="{475F2461-DFE3-4D39-A353-ABDC1C5C55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Hospital</t>
        </r>
      </text>
    </comment>
    <comment ref="S193" authorId="0" shapeId="0" xr:uid="{95E8285F-C707-4A99-9942-FF1D5E14EE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 - møder kl.10:30</t>
        </r>
      </text>
    </comment>
    <comment ref="Y196" authorId="3" shapeId="0" xr:uid="{734661B2-0F8E-43D1-ABA7-562FA52883D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TJ fra kl. 12.00</t>
        </r>
      </text>
    </comment>
    <comment ref="D212" authorId="8" shapeId="0" xr:uid="{FE035959-A986-4982-99AC-3FC2A200BB2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afs</t>
        </r>
      </text>
    </comment>
    <comment ref="H214" authorId="3" shapeId="0" xr:uid="{44B18933-7563-4654-A1F0-12F82CD684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I214" authorId="3" shapeId="0" xr:uid="{EBEB73A1-F43E-40CE-8F09-466CFF7A94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O214" authorId="3" shapeId="0" xr:uid="{778F0BBE-C53C-4AC8-B52A-4E22286631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P214" authorId="3" shapeId="0" xr:uid="{7228D64A-7828-49A2-8423-A7FF85D5BA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Y217" authorId="3" shapeId="0" xr:uid="{96AF4626-B82A-49D4-8EF4-9EBB06EA0A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pensionistcenter 14.30-21.30 på OA</t>
        </r>
      </text>
    </comment>
    <comment ref="X255" authorId="0" shapeId="0" xr:uid="{1F18A4D9-AD3E-416D-A9DC-2B73EE3366D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 Ann tager den.</t>
        </r>
      </text>
    </comment>
    <comment ref="O275" authorId="10" shapeId="0" xr:uid="{F0871A25-F98D-4934-9C94-1966F52C11A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R275" authorId="10" shapeId="0" xr:uid="{1C47B294-1598-4624-A1C2-6940680BD6C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S275" authorId="10" shapeId="0" xr:uid="{13096F90-392E-4A25-9FA5-9C724EE674E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 afs</t>
        </r>
      </text>
    </comment>
    <comment ref="AF275" authorId="10" shapeId="0" xr:uid="{96A66956-C17F-46FC-85A1-B530AFCF385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- 7 timer afs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marasm</author>
    <author>Flemming Nielsen</author>
    <author>Steen Hertin</author>
    <author>Rasmus Sørensen</author>
    <author>Steen Hertin-Sandkær</author>
    <author>Mathias Hartvig Morell Nielsen</author>
    <author>Thomas Holm</author>
    <author>Kim Holm Aabroe</author>
    <author>Nikolaj Langtin Pamhede</author>
    <author>tc={DE70B514-629C-4621-A287-0B345DD51F20}</author>
    <author>Marianne Rasmussen</author>
  </authors>
  <commentList>
    <comment ref="Q12" authorId="0" shapeId="0" xr:uid="{F620CD77-133A-4B27-B557-E17B9AA8036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D12" authorId="1" shapeId="0" xr:uid="{87743A74-340A-452B-9F72-D7A0937E1C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2" authorId="1" shapeId="0" xr:uid="{7BA932F2-FB3C-4D87-9FDE-0E579F0951A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15" authorId="1" shapeId="0" xr:uid="{854EA28D-4910-4A1D-80E9-4CB3B847198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G15" authorId="1" shapeId="0" xr:uid="{DF7CA462-56B3-443E-B8BC-A1DAB929704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H15" authorId="1" shapeId="0" xr:uid="{D9E68F55-6D8B-4E70-84B3-370427A0EE8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I15" authorId="1" shapeId="0" xr:uid="{5FA336D4-31F2-4E98-90B5-2669BECCEE3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Q15" authorId="0" shapeId="0" xr:uid="{CD034DA8-5696-4A26-975C-D186C548B99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15" authorId="2" shapeId="0" xr:uid="{79A4306C-F83C-4B45-86AE-3FC07A9829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W15" authorId="2" shapeId="0" xr:uid="{786F9A7F-EBB4-4650-AA22-C508E2C119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C16" authorId="2" shapeId="0" xr:uid="{F1B899EE-A24A-4C63-9177-833E0F65135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HospitalGår kl. 10.30</t>
        </r>
      </text>
    </comment>
    <comment ref="Q16" authorId="0" shapeId="0" xr:uid="{98681699-2B32-4CD9-B455-C90E6E26A67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H17" authorId="2" shapeId="0" xr:uid="{0F24ABDC-BAC5-4A93-8A8A-A75B8864B3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T17" authorId="3" shapeId="0" xr:uid="{F8DB1A8C-65A5-44A8-870A-892F6D782B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17" authorId="3" shapeId="0" xr:uid="{926B31FF-16F5-4100-BE6E-0CA45980E9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17" authorId="3" shapeId="0" xr:uid="{97DC7518-CBF4-4D6B-B475-74D3046E59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18" authorId="2" shapeId="0" xr:uid="{0C6EDFF0-D285-4FF7-93AF-FDEA86CA4B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C20" authorId="2" shapeId="0" xr:uid="{FE017826-9D99-464D-972E-3F964F63AF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 10.30</t>
        </r>
      </text>
    </comment>
    <comment ref="I20" authorId="2" shapeId="0" xr:uid="{3B03BF6B-37CD-4907-BDF0-5AF5207830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Rundvisning</t>
        </r>
      </text>
    </comment>
    <comment ref="Q20" authorId="2" shapeId="0" xr:uid="{DA858EC2-8BBB-48AC-9324-B9B88750045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Kulturnat</t>
        </r>
      </text>
    </comment>
    <comment ref="T20" authorId="3" shapeId="0" xr:uid="{0829C382-56B7-47CC-BBC9-4028E549DB8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20" authorId="3" shapeId="0" xr:uid="{CC72E423-0909-4DEA-822F-F49624C9765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20" authorId="3" shapeId="0" xr:uid="{674DBEA6-0B03-4EDD-83D7-CBD1F20503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20" authorId="2" shapeId="0" xr:uid="{056B9D15-6694-40D7-9312-9882798D48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I21" authorId="2" shapeId="0" xr:uid="{365CCE04-4D47-4AEE-8732-C1DA747745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Rundvisning og APV posten</t>
        </r>
      </text>
    </comment>
    <comment ref="M21" authorId="4" shapeId="0" xr:uid="{3D3F521D-E16A-45D1-8610-74453283345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N21" authorId="4" shapeId="0" xr:uid="{77044A0E-9A31-46AD-A322-F7FC77AD7D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O21" authorId="4" shapeId="0" xr:uid="{FE821430-301B-44A2-814F-2E8EF676FD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KP hele dagen</t>
        </r>
      </text>
    </comment>
    <comment ref="P21" authorId="3" shapeId="0" xr:uid="{59CD6C7F-44DE-411B-A0D9-35E0FC3A76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Valgmøder</t>
        </r>
      </text>
    </comment>
    <comment ref="AA21" authorId="4" shapeId="0" xr:uid="{8AE887EE-2F15-4F00-82F5-F8B9F094450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B21" authorId="4" shapeId="0" xr:uid="{6562A350-DFE4-47D7-8EC8-66A54FD80A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C21" authorId="4" shapeId="0" xr:uid="{98033A01-882E-49A5-8BC3-F14663EA4A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D21" authorId="4" shapeId="0" xr:uid="{EC6C6A8F-5A9B-45B0-A1CF-2F71F15B5E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E21" authorId="4" shapeId="0" xr:uid="{F5D70DDD-326E-42A9-947B-50D4C1C7DA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22" authorId="2" shapeId="0" xr:uid="{FECBAD62-A531-4263-AFD6-79C5EB73D3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 fredag morgen.</t>
        </r>
      </text>
    </comment>
    <comment ref="O22" authorId="2" shapeId="0" xr:uid="{0AF14B76-3B89-4656-88B3-4D4A0586E4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P22" authorId="2" shapeId="0" xr:uid="{2533C888-EFC9-40AD-9678-4889EF6A27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Q22" authorId="0" shapeId="0" xr:uid="{BEF57BF8-9284-4B19-80FF-345A966EB66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26" authorId="2" shapeId="0" xr:uid="{65E66B8B-4617-4C3E-8009-320AAE6ABC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 til opsætning Rentemestervej. RH tager fuglebakken.</t>
        </r>
      </text>
    </comment>
    <comment ref="Q37" authorId="0" shapeId="0" xr:uid="{15F88FD8-24C0-4D8F-B13D-5DA9372E91E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37" authorId="5" shapeId="0" xr:uid="{CB6F3F4C-2C7D-4761-BF9F-951C9E9E0CB9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9'er vagt OA</t>
        </r>
      </text>
    </comment>
    <comment ref="AC37" authorId="2" shapeId="0" xr:uid="{6025E043-9762-44A9-81B3-CAE413D659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AD37" authorId="2" shapeId="0" xr:uid="{99B0719B-1ABD-4F51-B94B-57D67C313F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Q38" authorId="0" shapeId="0" xr:uid="{08BB2AC9-8E94-417A-B7C4-A3FC86E24A1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X38" authorId="2" shapeId="0" xr:uid="{BAB5FFAD-546B-4F70-8D6A-76BAD0F4EAA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 på OA.</t>
        </r>
      </text>
    </comment>
    <comment ref="Q41" authorId="6" shapeId="0" xr:uid="{AE10F36D-6544-4DA0-A0BC-DAB0FB5A52D5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11-vagt</t>
        </r>
      </text>
    </comment>
    <comment ref="H42" authorId="3" shapeId="0" xr:uid="{37FA0CB0-3E95-4B15-93CC-914A46711C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J42" authorId="3" shapeId="0" xr:uid="{58FA1184-1DAB-46FA-95BD-259E5A8602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M42" authorId="3" shapeId="0" xr:uid="{A47B18E3-8860-45B5-9A37-0B88A3EFCB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O42" authorId="3" shapeId="0" xr:uid="{F01C53FD-D492-4DA9-8050-6286737B71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Q42" authorId="3" shapeId="0" xr:uid="{735DEA8E-326C-4FFB-9809-6DA8FDBA936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T42" authorId="3" shapeId="0" xr:uid="{7B1C535A-5A01-4975-BACB-0560573731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
kommer efter læge.</t>
        </r>
      </text>
    </comment>
    <comment ref="V42" authorId="3" shapeId="0" xr:uid="{0E708BC4-0FA1-4B6B-99DE-C717FD9DFB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X42" authorId="3" shapeId="0" xr:uid="{AF6907C5-9B06-4391-A38A-154DFC6B4C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AA42" authorId="3" shapeId="0" xr:uid="{96EEE32E-C63D-49CE-8A00-6B6DD44BEF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C42" authorId="3" shapeId="0" xr:uid="{A0E283BA-AA50-42B0-9D8A-23C128C4A6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E42" authorId="3" shapeId="0" xr:uid="{65E364B3-EFFF-4150-B37E-AD66ABCA889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J44" authorId="2" shapeId="0" xr:uid="{9C0CB1AE-B6C7-4E6F-BF8C-DBC168A472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W44" authorId="3" shapeId="0" xr:uid="{369AA2B7-EEDD-495A-94B8-FBD4BBD357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X44" authorId="3" shapeId="0" xr:uid="{B5EE6E47-7F6C-4B3E-AE7B-DC6405759E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48" authorId="0" shapeId="0" xr:uid="{0FB1BCC7-B0AA-4C87-9601-0F2691339C0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61" authorId="4" shapeId="0" xr:uid="{37BC335E-1C8E-4B4F-A670-8523203908D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U61" authorId="4" shapeId="0" xr:uid="{D27390CB-E00A-4D2F-962F-32D07183BF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V61" authorId="4" shapeId="0" xr:uid="{A78124D6-74C4-4BF1-8F29-77C9F14DD8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W61" authorId="4" shapeId="0" xr:uid="{27C0B861-289C-4113-BAA9-B0A7EF0F86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X61" authorId="4" shapeId="0" xr:uid="{8707A96D-6FED-4C4B-A660-4BB50C0D1C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M62" authorId="2" shapeId="0" xr:uid="{1163FFE7-8849-422B-AF32-F4E9992C1C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N62" authorId="2" shapeId="0" xr:uid="{A7C5C5BE-D438-4A9E-A075-421D9BA6AF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O62" authorId="2" shapeId="0" xr:uid="{60818A8D-7741-40C2-AC5C-B2953A328A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P62" authorId="2" shapeId="0" xr:uid="{5854F732-848A-4703-A296-A586C0F0FE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Q62" authorId="2" shapeId="0" xr:uid="{97D6FA97-7527-44FC-8723-63E83455F4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A62" authorId="2" shapeId="0" xr:uid="{127D85ED-83E9-4EA7-94BD-E65A8B67FF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Vaccinationscenter Korsgadehallen kl. 14.30-20.30</t>
        </r>
      </text>
    </comment>
    <comment ref="AB62" authorId="2" shapeId="0" xr:uid="{B32E75D8-7D52-40BB-803E-C00993967D8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kørsler 10.00-18.00</t>
        </r>
      </text>
    </comment>
    <comment ref="AC62" authorId="2" shapeId="0" xr:uid="{791A1400-EEA0-40CB-BCEA-11F1F9BDCB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AD62" authorId="2" shapeId="0" xr:uid="{4A92757B-DA95-43D9-A593-BE885D8535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C63" authorId="2" shapeId="0" xr:uid="{7D751182-8FF4-499E-AA87-AB65837B22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 19 beredskab</t>
        </r>
      </text>
    </comment>
    <comment ref="E63" authorId="2" shapeId="0" xr:uid="{7ED4D963-C5A3-4CCF-A026-CE646E51C4D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Tom sal på Rentemestervej.</t>
        </r>
      </text>
    </comment>
    <comment ref="H63" authorId="2" shapeId="0" xr:uid="{4B2E3103-3C54-4059-AA2C-E923F24B26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J63" authorId="2" shapeId="0" xr:uid="{BDF2653C-DB00-4373-9423-6FE526CB2D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G-vagt på OA.</t>
        </r>
      </text>
    </comment>
    <comment ref="Q63" authorId="1" shapeId="0" xr:uid="{C194B321-CDDF-4D74-AF05-ED5DCFF389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D63" authorId="2" shapeId="0" xr:uid="{5EE7DC5A-FDE0-420D-84C2-5E60A8C7CE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på OA</t>
        </r>
      </text>
    </comment>
    <comment ref="AE63" authorId="2" shapeId="0" xr:uid="{2D521599-7260-4FA0-8D5F-371231635D4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på OA</t>
        </r>
      </text>
    </comment>
    <comment ref="F64" authorId="4" shapeId="0" xr:uid="{80F66EF2-7443-446D-9626-653341EC3D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G64" authorId="4" shapeId="0" xr:uid="{CC02467C-62B7-4F50-B2AC-6702797CDB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64" authorId="4" shapeId="0" xr:uid="{166F14B9-C703-48F5-A5A1-A30F8300EF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64" authorId="4" shapeId="0" xr:uid="{17F1DE90-7B42-44BF-A738-75E4218932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4" authorId="4" shapeId="0" xr:uid="{D2221368-FB1C-46A3-B92F-3AC403C684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R64" authorId="3" shapeId="0" xr:uid="{2A3934D8-A50A-4F77-AE1D-A7FFB7FDB6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W64" authorId="3" shapeId="0" xr:uid="{1A8642C1-62BE-4A56-99B0-6D0378C1F9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X64" authorId="3" shapeId="0" xr:uid="{ADB05D7D-8E08-4B0F-8BDF-97E7BF5035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67" authorId="3" shapeId="0" xr:uid="{E0C884B6-CD08-40A1-8BFB-84F8F45E59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B67" authorId="3" shapeId="0" xr:uid="{A7B438AD-1D13-4AFA-85F5-0994DF5D78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67" authorId="3" shapeId="0" xr:uid="{D601C67F-99B8-4A92-8886-269CA2F340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67" authorId="3" shapeId="0" xr:uid="{404629AA-D7F1-4350-9681-01D4844A16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E67" authorId="2" shapeId="0" xr:uid="{4FC23AAD-036F-47F1-8476-70A93D209B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C68" authorId="2" shapeId="0" xr:uid="{F8F267DD-792E-406B-8100-AF0B127B7D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før kl. 14</t>
        </r>
      </text>
    </comment>
    <comment ref="D68" authorId="2" shapeId="0" xr:uid="{606D8557-1A51-466C-B915-FB752B6159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stole og borde Rentemestervej kl. 09.00</t>
        </r>
      </text>
    </comment>
    <comment ref="L68" authorId="2" shapeId="0" xr:uid="{5E442C05-9169-4F16-8DB7-93F4932A95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efter kl. 16.00 nedtagning + opsætning.</t>
        </r>
      </text>
    </comment>
    <comment ref="N68" authorId="2" shapeId="0" xr:uid="{69A7C86A-E114-477A-91AA-707E7D1D1C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12.00</t>
        </r>
      </text>
    </comment>
    <comment ref="C70" authorId="3" shapeId="0" xr:uid="{AFBF3952-BE3C-4B72-A89C-0C2F52DAFC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F70" authorId="3" shapeId="0" xr:uid="{64D62706-DDAE-47D7-A12A-68B57A51EC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J70" authorId="3" shapeId="0" xr:uid="{EE22D234-013F-47DB-BDC5-5E8E818DEB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70" authorId="7" shapeId="0" xr:uid="{C5FF4918-7108-4566-8A6A-4CD77E7EBEC7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9-vagt OA</t>
        </r>
      </text>
    </comment>
    <comment ref="Y70" authorId="3" shapeId="0" xr:uid="{52350569-38FA-4C46-A01D-D1144AC723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Z70" authorId="3" shapeId="0" xr:uid="{39441622-EEE9-48B9-B633-C6F1067F86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70" authorId="2" shapeId="0" xr:uid="{B3675B94-906C-4722-A158-E9223EB4E7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B70" authorId="2" shapeId="0" xr:uid="{F20E5A04-D296-427E-8FF8-5E5C3CDAFD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C70" authorId="2" shapeId="0" xr:uid="{89A23D4F-92A1-48B6-B8BE-FA30E0337B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D70" authorId="2" shapeId="0" xr:uid="{2CAB903B-A41F-44D3-86D6-471AD5504A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E70" authorId="2" shapeId="0" xr:uid="{F2F1D14B-3A6A-4D20-8773-0842E615A8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F70" authorId="7" shapeId="0" xr:uid="{C6F1C2A4-4E6B-4860-A24A-C9E2B760DD85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B2 OA</t>
        </r>
      </text>
    </comment>
    <comment ref="AG70" authorId="7" shapeId="0" xr:uid="{4FEA1215-5949-45C7-BEA2-718A22DC6551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B2 OA</t>
        </r>
      </text>
    </comment>
    <comment ref="F71" authorId="6" shapeId="0" xr:uid="{4095E762-8C0D-42BB-965C-EFD95F4DC3A8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4-vagt 09.30-17.30</t>
        </r>
      </text>
    </comment>
    <comment ref="J71" authorId="3" shapeId="0" xr:uid="{CB918C5E-A924-4EB1-B096-CB2FF69B7ED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71" authorId="2" shapeId="0" xr:uid="{65FBF610-88B7-4B62-BC6F-4E0B858682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15.30</t>
        </r>
      </text>
    </comment>
    <comment ref="Q71" authorId="0" shapeId="0" xr:uid="{94B64DC6-21B5-45B5-A4E5-75E053C03A9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G72" authorId="3" shapeId="0" xr:uid="{59726127-A11D-4CF9-9838-0891F8E255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O72" authorId="3" shapeId="0" xr:uid="{BF596157-2387-45F8-8F4C-8B5EB6F2CE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Z72" authorId="3" shapeId="0" xr:uid="{6372D87B-C71D-4F43-924F-BBF659E315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73" authorId="1" shapeId="0" xr:uid="{71E69DD2-5CA3-4D28-A5CD-5B5AC73752C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78" authorId="2" shapeId="0" xr:uid="{D6157BB5-F275-4633-9E42-D07180A416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N78" authorId="2" shapeId="0" xr:uid="{FF3824EC-725D-4827-B6BA-ADCA33C67A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O78" authorId="6" shapeId="0" xr:uid="{86FD919E-E949-413F-84D1-B53AFD79D1FC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Møder 14.00-22.00</t>
        </r>
      </text>
    </comment>
    <comment ref="Q78" authorId="2" shapeId="0" xr:uid="{66C49D43-D5B2-4FC4-9376-6B7B27EE01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F79" authorId="2" shapeId="0" xr:uid="{0948282B-CBF5-427B-A7C2-13870AFB40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15.00 - 22.00
Lukke vaccinationscentre + hjælpe ved test på skoler.</t>
        </r>
      </text>
    </comment>
    <comment ref="G79" authorId="2" shapeId="0" xr:uid="{00A9A1EE-1EE3-4987-80C4-867C6A530D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15.00 - 22.00
Lukke vaccinationscentre + hjælpe ved test på skoler. 11-vagt på OA.</t>
        </r>
      </text>
    </comment>
    <comment ref="H79" authorId="3" shapeId="0" xr:uid="{3FE41453-6481-413B-850A-CAE8F38F6E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79" authorId="2" shapeId="0" xr:uid="{DBB3F740-CA95-40E5-832C-D32AB686EF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påOA.</t>
        </r>
      </text>
    </comment>
    <comment ref="J79" authorId="2" shapeId="0" xr:uid="{C745624A-4CE0-407F-B68D-64035956C7A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15.00 - 22.00
Lukke vaccinationscentre + hjælpe ved test på skoler.</t>
        </r>
      </text>
    </comment>
    <comment ref="K79" authorId="3" shapeId="0" xr:uid="{946CB895-F73B-403B-86E9-894962DAFB7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R79" authorId="3" shapeId="0" xr:uid="{47A612C6-00F4-44C9-BC60-5CF5D11573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S79" authorId="3" shapeId="0" xr:uid="{CDD88C9C-D118-4832-AA5F-07BD4B68BF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79" authorId="2" shapeId="0" xr:uid="{4D7910AA-391B-45D6-AC59-D9DAE02383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kommer så hurtigt muligt.</t>
        </r>
      </text>
    </comment>
    <comment ref="V79" authorId="3" shapeId="0" xr:uid="{353992CF-4732-46CE-B623-4AE42E21CE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Kødbyen OA
22-vagt</t>
        </r>
      </text>
    </comment>
    <comment ref="X79" authorId="7" shapeId="0" xr:uid="{84C1443F-E1FD-4FD5-8B8D-126AE1997D89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22 OA</t>
        </r>
      </text>
    </comment>
    <comment ref="Y79" authorId="3" shapeId="0" xr:uid="{51011D5C-7894-488D-9F95-9BE93DF154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79" authorId="7" shapeId="0" xr:uid="{7EF0B156-34D2-410B-921F-E621E51BFD60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4-vagt OA</t>
        </r>
      </text>
    </comment>
    <comment ref="AE79" authorId="8" shapeId="0" xr:uid="{402FCA54-1766-48CB-8A30-BFA738D1AD51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4 vagt oa</t>
        </r>
      </text>
    </comment>
    <comment ref="F80" authorId="3" shapeId="0" xr:uid="{246101C2-D9EC-415D-8F93-2C80D9CEFA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H80" authorId="3" shapeId="0" xr:uid="{1D8F1777-FE06-4C79-9150-3EB7E8710B3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80" authorId="3" shapeId="0" xr:uid="{E58138FC-C088-43E1-BAF9-396CD5CA47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N80" authorId="6" shapeId="0" xr:uid="{3F6063A8-22FD-4BAF-A6B8-A7271CFAC017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kl. 16.00-22.00 ungehuset Emdrup. Frederiksborgvej 210 
2400 København NV.</t>
        </r>
      </text>
    </comment>
    <comment ref="O80" authorId="6" shapeId="0" xr:uid="{2C521AC9-3A92-4599-8967-CF9EAB3983E6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kl. 16.00-22.00 ungehuset Emdrup. Frederiksborgvej 210 
2400 København NV.</t>
        </r>
      </text>
    </comment>
    <comment ref="P80" authorId="3" shapeId="0" xr:uid="{B5F3EBA6-2D7B-45CF-A6AE-9ED2D4D635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80" authorId="3" shapeId="0" xr:uid="{C9BB0E1D-062D-49E1-A277-8691619018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80" authorId="5" shapeId="0" xr:uid="{F964BDD4-A668-4CE1-8969-5A43192CA72C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9'er vagt OA</t>
        </r>
      </text>
    </comment>
    <comment ref="C81" authorId="3" shapeId="0" xr:uid="{DBF3376A-C50C-468F-8E12-75D0CBA607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D81" authorId="3" shapeId="0" xr:uid="{6590DBDD-1F5A-48ED-BD3D-E51DF5DE0C2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81" authorId="3" shapeId="0" xr:uid="{FDD34F3B-A580-4031-847B-85B0AEF6C0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81" authorId="3" shapeId="0" xr:uid="{870D6846-DA39-4DAC-81CA-A4F99E0D659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81" authorId="3" shapeId="0" xr:uid="{5782F1E7-561E-48F1-8D2B-674202156A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P81" authorId="3" shapeId="0" xr:uid="{79AA02AB-6BFB-46BD-950E-35CC444450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81" authorId="1" shapeId="0" xr:uid="{D2391FC6-6FA2-44AF-B7A7-FB24082595A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81" authorId="3" shapeId="0" xr:uid="{EA62A3D5-4078-4BD4-A808-4F2EB26E9E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81" authorId="3" shapeId="0" xr:uid="{84752376-2369-4AA5-860D-E40874C794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81" authorId="3" shapeId="0" xr:uid="{27DF25FA-D181-44DF-9C53-C7AFF5E896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B81" authorId="3" shapeId="0" xr:uid="{0721C832-0AED-4119-AC9A-0E2055B81EF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81" authorId="3" shapeId="0" xr:uid="{A1B6EECC-83FB-4887-ACC0-0B973E8520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81" authorId="3" shapeId="0" xr:uid="{8757E9F7-EDCA-4ACA-8775-640AA5B955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E81" authorId="2" shapeId="0" xr:uid="{F86E1FFD-5374-4B5D-BE61-66D46FB1D2E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23 vagt på OA.</t>
        </r>
      </text>
    </comment>
    <comment ref="Q83" authorId="3" shapeId="0" xr:uid="{CBEE36F0-2624-4294-98C2-EE619859BB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87" authorId="1" shapeId="0" xr:uid="{979D307B-04D7-44F9-ADEA-9AEAADE8F86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N87" authorId="1" shapeId="0" xr:uid="{EB5B73D9-BFD8-4F11-94BD-866C1370865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O87" authorId="1" shapeId="0" xr:uid="{38A6E7EC-28D3-4293-88E2-758185DAD7C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P87" authorId="1" shapeId="0" xr:uid="{2340960D-2B7E-4386-A4DE-935740006B4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Q87" authorId="1" shapeId="0" xr:uid="{00FF1207-002E-4C26-9BAF-96533A432B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A87" authorId="1" shapeId="0" xr:uid="{EBE69BF0-A746-4CD5-B00E-C7B6400BD3B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B87" authorId="1" shapeId="0" xr:uid="{484F158B-8324-47E6-9466-54F386B8EA0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C87" authorId="1" shapeId="0" xr:uid="{74BD4AA5-F363-4F96-B0E9-A6B585BF0BA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D87" authorId="1" shapeId="0" xr:uid="{D0FA94E7-10B3-4E41-B654-3F67D52B7EA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E87" authorId="1" shapeId="0" xr:uid="{2197323B-53BF-4454-8284-9099F96E53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U101" authorId="9" shapeId="0" xr:uid="{DE70B514-629C-4621-A287-0B345DD51F2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G-vagt på OA</t>
      </text>
    </comment>
    <comment ref="D102" authorId="3" shapeId="0" xr:uid="{03A9ACD7-5319-4741-A098-2D6E8CE71B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102" authorId="3" shapeId="0" xr:uid="{C159A3B8-EFD0-48A9-9820-E31F67FFD8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K102" authorId="3" shapeId="0" xr:uid="{27E0F761-5DCE-401D-87EE-84DEDEC7BE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02" authorId="3" shapeId="0" xr:uid="{01B901E0-3E6F-4E1A-95B8-E953C642CB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Q102" authorId="0" shapeId="0" xr:uid="{686C28CD-4756-4C1C-AC94-ED0D747AA46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102" authorId="3" shapeId="0" xr:uid="{3E3C4CC9-5284-4801-9837-D87A468D69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Z102" authorId="3" shapeId="0" xr:uid="{26F9A57B-F2CB-45A6-8C54-55761EA55F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G102" authorId="3" shapeId="0" xr:uid="{4DF45923-AD3B-4DEC-A5CD-9432F3B9E6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Q109" authorId="0" shapeId="0" xr:uid="{9D71F6C1-3C60-40E1-9034-FA31C3256A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22" authorId="0" shapeId="0" xr:uid="{2593885B-52D1-4429-8A65-9BFC5DE66CD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C123" authorId="3" shapeId="0" xr:uid="{566BB8CD-C226-4D06-9756-009A9836EF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beredskab - klargøring af sommerfest</t>
        </r>
      </text>
    </comment>
    <comment ref="Q123" authorId="0" shapeId="0" xr:uid="{AC0D00D6-E0DE-43E4-940D-4FCC18F5842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25" authorId="0" shapeId="0" xr:uid="{5CFD8EFA-D15C-4A20-9955-7D05FDA2B79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138" authorId="5" shapeId="0" xr:uid="{CFFABD73-74DF-4FDF-A3D1-3D5F64FA0DE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U138" authorId="5" shapeId="0" xr:uid="{7708A169-8711-4306-A55D-261386DB312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Q154" authorId="0" shapeId="0" xr:uid="{D7534ED7-226D-40CC-9774-EF19EB4A97C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5" authorId="0" shapeId="0" xr:uid="{604F7632-8F55-4129-90CA-1AC7356311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6" authorId="0" shapeId="0" xr:uid="{52FF05E4-57D9-4FE1-8874-C20A6A1C7DF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9" authorId="10" shapeId="0" xr:uid="{24C06468-AF66-4E46-8EB5-841B038D8E3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N181" authorId="3" shapeId="0" xr:uid="{05B08EB4-1EEE-4E23-AA3D-CD1D3AC5EF0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181" authorId="0" shapeId="0" xr:uid="{53B3AC19-96B3-422B-917C-A7E9F04F37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F182" authorId="3" shapeId="0" xr:uid="{6F7FAEE3-8CF0-4E97-94C0-5C7638E838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G182" authorId="3" shapeId="0" xr:uid="{E7E9322F-EF0E-4224-A6A0-C47141AD77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I182" authorId="3" shapeId="0" xr:uid="{76293143-4B66-40ED-8C9C-ED571742A08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Apv Posten kl. 13</t>
        </r>
      </text>
    </comment>
    <comment ref="Q182" authorId="0" shapeId="0" xr:uid="{26627613-4F92-4DEC-9C9A-41298DF8826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F183" authorId="3" shapeId="0" xr:uid="{7E69BB23-94E5-4EC5-B16E-689B9F60F8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G183" authorId="3" shapeId="0" xr:uid="{041AE89D-E8DE-45D7-83F9-941918B104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83" authorId="3" shapeId="0" xr:uid="{FAADFAED-FE0A-4AE9-BE6C-0D53AC7650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183" authorId="3" shapeId="0" xr:uid="{2FD13FC8-941B-4423-8D8B-36CCBC52607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183" authorId="0" shapeId="0" xr:uid="{B3622E0B-EAB5-451C-8294-1C97DFD3088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183" authorId="3" shapeId="0" xr:uid="{97D27010-C181-4554-844F-E8D50B411F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184" authorId="3" shapeId="0" xr:uid="{94733049-1F79-4F8C-BD65-A5EB6AB9A9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84" authorId="3" shapeId="0" xr:uid="{41CCFBE0-52FA-46CD-A9B8-A5892FA689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C185" authorId="3" shapeId="0" xr:uid="{B322551B-290F-43E8-B112-770935A17A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J185" authorId="3" shapeId="0" xr:uid="{47349783-BD29-4E73-B0CE-4C701F8565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Q185" authorId="3" shapeId="0" xr:uid="{A7224D75-0CF0-49FB-A4EB-754323D2B6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185" authorId="3" shapeId="0" xr:uid="{80684D32-F02F-46F9-84EA-2FD8D21CA80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M188" authorId="2" shapeId="0" xr:uid="{30A7C117-F06A-484C-96BC-2813A22C5F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13.00</t>
        </r>
      </text>
    </comment>
    <comment ref="Q188" authorId="0" shapeId="0" xr:uid="{459F4AF6-F13F-44E8-B993-BF7398A0A18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A188" authorId="2" shapeId="0" xr:uid="{5CA64E98-2340-4643-BE2F-C996E5CD75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på Rådhuset.</t>
        </r>
      </text>
    </comment>
    <comment ref="AC188" authorId="2" shapeId="0" xr:uid="{CEB2D8E1-0038-4F85-A9D5-9591F01238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AD188" authorId="2" shapeId="0" xr:uid="{CD8FF70E-75D8-43F9-97B4-4888204B1F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AE188" authorId="2" shapeId="0" xr:uid="{F1D15DC3-C291-4486-9FB6-A5C8103A2D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Q189" authorId="0" shapeId="0" xr:uid="{DC27AD56-64E9-447D-9BE3-0AB7675612D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A189" authorId="2" shapeId="0" xr:uid="{1FA4C4A6-7E38-49DE-B402-C0519CA5BF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14</t>
        </r>
      </text>
    </comment>
    <comment ref="Q211" authorId="0" shapeId="0" xr:uid="{64630611-BF42-476E-8871-072A5FAE527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213" authorId="0" shapeId="0" xr:uid="{369EDCAF-EBE5-4B97-A125-07CC8287D0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213" authorId="2" shapeId="0" xr:uid="{84DF7D93-0BBB-4E12-8BAC-0A88FD325C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W213" authorId="2" shapeId="0" xr:uid="{33050BE5-79F7-4954-B4EA-7373B433C1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AA213" authorId="2" shapeId="0" xr:uid="{5F7C1713-392B-4A3B-B56D-182F8F0C530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Vaccinationscenter Korsgadehallen kl. 14.30-20.30</t>
        </r>
      </text>
    </comment>
    <comment ref="Q216" authorId="0" shapeId="0" xr:uid="{D2D9B5F6-6CAB-4664-9C13-71BA521EFF5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216" authorId="2" shapeId="0" xr:uid="{FFDA5CB7-805D-4DE6-B809-6DDD7B3310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W216" authorId="2" shapeId="0" xr:uid="{B3F909B3-B46E-45DA-8754-05C57CADE1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X216" authorId="2" shapeId="0" xr:uid="{FB3F7D5E-C930-45A4-97A8-438C703514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Q217" authorId="0" shapeId="0" xr:uid="{56B0AC3B-D46F-4E4F-98E7-385BF9692C5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G274" authorId="10" shapeId="0" xr:uid="{7BBD1812-CAF9-4620-A830-1DCFE80F57A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M274" authorId="10" shapeId="0" xr:uid="{25437A8E-A5CC-4F88-A47D-67B6D1EDE4F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Steen Hertin-Sandkær</author>
    <author>Rasmus Sørensen</author>
    <author>Marianne Rasmussen</author>
    <author>Nikolaj Langtin Pamhede</author>
    <author>Michael Bo Pedersen</author>
    <author>Thomas Holm</author>
    <author>Kim Holm Aabroe</author>
    <author>marasm</author>
    <author>tc={CAA27E0C-4B07-4317-82DF-9D7ADDC0F08E}</author>
  </authors>
  <commentList>
    <comment ref="C12" authorId="0" shapeId="0" xr:uid="{125E3FC2-CA8E-4B71-A577-2C5A647D4C6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D12" authorId="0" shapeId="0" xr:uid="{49FF1DAA-C1C1-40F9-A223-770CB29EAFB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Rundvisning kl. 17</t>
        </r>
      </text>
    </comment>
    <comment ref="S12" authorId="1" shapeId="0" xr:uid="{23634424-EEF7-489D-8CED-6C0118EF00D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Retten med Kemal</t>
        </r>
      </text>
    </comment>
    <comment ref="Y12" authorId="0" shapeId="0" xr:uid="{C99AA99A-615B-4A0D-9232-5835E319238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Sidste dag :)</t>
        </r>
      </text>
    </comment>
    <comment ref="C15" authorId="0" shapeId="0" xr:uid="{753F2EE4-2B0E-47CB-852D-FABA3AC510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D15" authorId="0" shapeId="0" xr:uid="{F5FC20A9-55E9-45BE-B704-1BEB950C128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E15" authorId="0" shapeId="0" xr:uid="{50F51EBF-4E32-4FD8-A5BA-203E266C611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R15" authorId="2" shapeId="0" xr:uid="{9C7D3975-C4E8-4345-A346-2D1D6333047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</t>
        </r>
      </text>
    </comment>
    <comment ref="I17" authorId="1" shapeId="0" xr:uid="{7D13B903-18F0-44D2-9228-996DE7A2515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09.00 på RH til Møder med politi</t>
        </r>
      </text>
    </comment>
    <comment ref="R17" authorId="2" shapeId="0" xr:uid="{E872AA38-79AE-4B58-BBD0-29F88BEF7E7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</t>
        </r>
      </text>
    </comment>
    <comment ref="Z17" authorId="1" shapeId="0" xr:uid="{0B240DC1-C92D-4EB8-8DDD-08169FBA7D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11.30. kl. 15.00 på Arni Magnossongade 1 til kl. 22.00</t>
        </r>
      </text>
    </comment>
    <comment ref="D20" authorId="3" shapeId="0" xr:uid="{53AE4689-8339-4500-8CBD-8FBE95FF9F27}">
      <text>
        <r>
          <rPr>
            <b/>
            <sz val="9"/>
            <color indexed="81"/>
            <rFont val="Tahoma"/>
            <charset val="1"/>
          </rPr>
          <t>Rasmus Sørensen:
samtaler</t>
        </r>
      </text>
    </comment>
    <comment ref="F20" authorId="3" shapeId="0" xr:uid="{9E8235E5-620B-4A50-969C-4C68DB3FFA1E}">
      <text>
        <r>
          <rPr>
            <b/>
            <sz val="9"/>
            <color indexed="81"/>
            <rFont val="Tahoma"/>
            <charset val="1"/>
          </rPr>
          <t>Rasmus Sørensen:
samtaler</t>
        </r>
      </text>
    </comment>
    <comment ref="K20" authorId="0" shapeId="0" xr:uid="{10ECE54A-BF86-4791-9133-3B7816093B7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R20" authorId="2" shapeId="0" xr:uid="{07E2F50D-EEEF-4A68-AF69-41065C1DAEB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</t>
        </r>
      </text>
    </comment>
    <comment ref="S20" authorId="1" shapeId="0" xr:uid="{CF283A0C-43E6-4393-BF2F-E56FACF25F4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Retten med Kemal</t>
        </r>
      </text>
    </comment>
    <comment ref="AA20" authorId="1" shapeId="0" xr:uid="{8647787C-05AD-4ED4-921C-A2B6052542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AB20" authorId="1" shapeId="0" xr:uid="{570236FA-A042-4FC5-B725-6880C723FF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D21" authorId="3" shapeId="0" xr:uid="{58990446-C60E-4E51-B35E-AD783DF2ABEE}">
      <text>
        <r>
          <rPr>
            <b/>
            <sz val="9"/>
            <color indexed="81"/>
            <rFont val="Tahoma"/>
            <charset val="1"/>
          </rPr>
          <t>Rasmus Sørensen:
samtaler</t>
        </r>
      </text>
    </comment>
    <comment ref="E21" authorId="1" shapeId="0" xr:uid="{AB51A076-4C08-405B-8EB6-50620B46FD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udstilling hallen 08,30-16,15 Br-møde kl.1615-21,30 på OA.</t>
        </r>
      </text>
    </comment>
    <comment ref="F21" authorId="3" shapeId="0" xr:uid="{BE92218E-255D-4B8A-A76E-00B49781F57F}">
      <text>
        <r>
          <rPr>
            <b/>
            <sz val="9"/>
            <color indexed="81"/>
            <rFont val="Tahoma"/>
            <charset val="1"/>
          </rPr>
          <t>Rasmus Sørensen:
samtaler</t>
        </r>
      </text>
    </comment>
    <comment ref="I21" authorId="3" shapeId="0" xr:uid="{5D2BC42E-E9CF-45B3-94F7-42BC0586840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kun aften/nat</t>
        </r>
      </text>
    </comment>
    <comment ref="K21" authorId="1" shapeId="0" xr:uid="{73A3E7CC-1CAA-48AC-A896-6A239370579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med Flemming</t>
        </r>
      </text>
    </comment>
    <comment ref="M21" authorId="1" shapeId="0" xr:uid="{67A68D9E-1833-42CA-8A79-20B85AB900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Arrangement 16.00-22.00 oa kl 22-01</t>
        </r>
      </text>
    </comment>
    <comment ref="Q21" authorId="2" shapeId="0" xr:uid="{F234C60E-24D8-46D3-8EAD-1E5D9294D3E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 + dækker 4-vagt på OA</t>
        </r>
      </text>
    </comment>
    <comment ref="S21" authorId="1" shapeId="0" xr:uid="{1C0383D6-0DF9-4650-A648-1980304D65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med direktionen</t>
        </r>
      </text>
    </comment>
    <comment ref="X21" authorId="1" shapeId="0" xr:uid="{EE6D3E4F-9D8F-4C4F-8E54-8F8BC71DD60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med Flemming</t>
        </r>
      </text>
    </comment>
    <comment ref="Y21" authorId="4" shapeId="0" xr:uid="{4C8B2873-1F1D-4D12-8736-AEC6397277E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fra kl 16,00-</t>
        </r>
      </text>
    </comment>
    <comment ref="Z21" authorId="4" shapeId="0" xr:uid="{7D8176AA-4881-4288-A0C9-2E095E57AE4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15,30-</t>
        </r>
      </text>
    </comment>
    <comment ref="E22" authorId="1" shapeId="0" xr:uid="{4121D466-F25A-4B91-B86B-0A92FAB213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udstilling hallen 08,30-16,15 Br-møde kl.1615-21,45 på OA.</t>
        </r>
      </text>
    </comment>
    <comment ref="Q22" authorId="2" shapeId="0" xr:uid="{9C9AA223-95E4-464F-B540-372B1E17BEC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</t>
        </r>
      </text>
    </comment>
    <comment ref="R22" authorId="1" shapeId="0" xr:uid="{08AF5F22-B5ED-4FC3-93E1-566DEB42E7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 på OA.</t>
        </r>
      </text>
    </comment>
    <comment ref="Z22" authorId="5" shapeId="0" xr:uid="{36C0A79E-FC77-401A-8009-BBCA90D45FE3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Br møde på oa fra 14:45</t>
        </r>
      </text>
    </comment>
    <comment ref="AD22" authorId="6" shapeId="0" xr:uid="{BDE7778E-CE7E-4ECA-BE13-A88FA7E12687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Betjentvagt</t>
        </r>
      </text>
    </comment>
    <comment ref="AF22" authorId="1" shapeId="0" xr:uid="{7C16742E-D5C7-48C5-ACD0-8A74DFDD04F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hospital 09.30-12.00</t>
        </r>
      </text>
    </comment>
    <comment ref="C25" authorId="1" shapeId="0" xr:uid="{49623538-F9DA-48F1-A14A-1F2374AC31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D25" authorId="1" shapeId="0" xr:uid="{B070A589-8A99-4F9E-81BA-40E741CFE5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25" authorId="1" shapeId="0" xr:uid="{7D0F22BA-816A-46A0-AFB6-1317FBD7E5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25" authorId="1" shapeId="0" xr:uid="{E73461EE-8A44-4827-B641-33F0AFC959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J25" authorId="1" shapeId="0" xr:uid="{DC4F0952-F9CB-4AE7-8623-A87F1CE15C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K25" authorId="1" shapeId="0" xr:uid="{0C2022AE-9EAB-4675-9592-76A038E815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L25" authorId="1" shapeId="0" xr:uid="{56173B8D-2BCC-4D19-A195-C243580A23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25" authorId="1" shapeId="0" xr:uid="{DCE6FA62-C0DA-4E5F-831B-2B4983CAB3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C37" authorId="1" shapeId="0" xr:uid="{E8985FC3-FD7B-40AB-925A-E99FA9A6C7C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i1 på OA</t>
        </r>
      </text>
    </comment>
    <comment ref="D37" authorId="1" shapeId="0" xr:uid="{AEFCFBB1-1C79-4931-AF81-5DDDECF615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i1 på OA</t>
        </r>
      </text>
    </comment>
    <comment ref="E37" authorId="1" shapeId="0" xr:uid="{4430B662-E3D4-41CB-86BB-6923F0B0D3A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i1 på OA</t>
        </r>
      </text>
    </comment>
    <comment ref="F37" authorId="1" shapeId="0" xr:uid="{1BB821AF-AB61-4811-BB4F-516FACB5E66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i1 på OA</t>
        </r>
      </text>
    </comment>
    <comment ref="C38" authorId="1" shapeId="0" xr:uid="{C2D66EE2-BA9F-4E5B-9ED8-DE86950ECB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8-vagt på OA</t>
        </r>
      </text>
    </comment>
    <comment ref="D38" authorId="1" shapeId="0" xr:uid="{6C571D84-325A-4E52-948B-34CF57DDB4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8-vagt på OA</t>
        </r>
      </text>
    </comment>
    <comment ref="E38" authorId="1" shapeId="0" xr:uid="{53C6BDC2-A599-4D33-9ADF-FA7995DBB50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U38" authorId="1" shapeId="0" xr:uid="{C8B52B90-878B-42F4-9860-A91234BAA6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08.00-18.00</t>
        </r>
      </text>
    </comment>
    <comment ref="V38" authorId="1" shapeId="0" xr:uid="{123C051B-AE93-435F-9164-6B570714951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08.00-18.00</t>
        </r>
      </text>
    </comment>
    <comment ref="W38" authorId="1" shapeId="0" xr:uid="{161203C5-8623-49CA-8DDF-0AE32CC3BA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08.00-18.00
OA fra kl. 14.00</t>
        </r>
      </text>
    </comment>
    <comment ref="X38" authorId="1" shapeId="0" xr:uid="{CB18410E-1B50-40AC-A47B-461625CA7D2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08.00-22.00
OA fra kl. 14.00</t>
        </r>
      </text>
    </comment>
    <comment ref="Y38" authorId="1" shapeId="0" xr:uid="{D343C53C-CA48-43D6-83F6-CAD36FA09D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08.00-15.00
OA fra kl. 14.00</t>
        </r>
      </text>
    </comment>
    <comment ref="Z38" authorId="1" shapeId="0" xr:uid="{B2CF3606-BA40-426F-82F9-F64F0589BA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08.00-15.00
OA fra kl. 14.00</t>
        </r>
      </text>
    </comment>
    <comment ref="AA38" authorId="1" shapeId="0" xr:uid="{3CDC8D52-6F14-4DB8-9EE4-742F0B7F198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08.00-15.00
OA fra kl. 14.00</t>
        </r>
      </text>
    </comment>
    <comment ref="P41" authorId="2" shapeId="0" xr:uid="{28EFF80D-E5C9-41EE-9790-00B31726563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omlagt tjeneste skolesupport og video overvågning.</t>
        </r>
      </text>
    </comment>
    <comment ref="Q41" authorId="2" shapeId="0" xr:uid="{2B0CD1E4-D2C8-4697-8724-067A832D61C2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omlagt tjeneste skolesupport og video overvågning.</t>
        </r>
      </text>
    </comment>
    <comment ref="R41" authorId="2" shapeId="0" xr:uid="{C85F297F-6845-4435-A915-91DFC2AF6ED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Milestone kursus 08.00-16.00 i Brøndby</t>
        </r>
      </text>
    </comment>
    <comment ref="S41" authorId="2" shapeId="0" xr:uid="{FC2CF5D2-D9FF-4A5C-BBCC-6E1122E6454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omlagt tjeneste skolesupport og video overvågning.</t>
        </r>
      </text>
    </comment>
    <comment ref="T41" authorId="2" shapeId="0" xr:uid="{F7BFF3D6-8542-44B8-A00A-873C1C2C8D6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omlagt tjeneste skolesupport og video overvågning.</t>
        </r>
      </text>
    </comment>
    <comment ref="L43" authorId="2" shapeId="0" xr:uid="{18530598-857C-4400-A8AD-3D8E66B986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C48" authorId="1" shapeId="0" xr:uid="{FB39301E-8818-4222-9593-46208601EF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Har byttet med Kim. Bo er 8-vagt</t>
        </r>
      </text>
    </comment>
    <comment ref="D48" authorId="1" shapeId="0" xr:uid="{E5F3014B-10C0-44AC-96AE-C9A91CCBD6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Har byttet med Kim. Bo er 8-vagt</t>
        </r>
      </text>
    </comment>
    <comment ref="E48" authorId="1" shapeId="0" xr:uid="{6B8AF09F-946D-4F3D-94C7-4C87064DFA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Har byttet med Kim. Bo er 8-vagt</t>
        </r>
      </text>
    </comment>
    <comment ref="F48" authorId="1" shapeId="0" xr:uid="{567B7D14-8C62-4DA3-9966-979703F505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Har byttet med Kim. Bo er 8-vagt</t>
        </r>
      </text>
    </comment>
    <comment ref="Z48" authorId="2" shapeId="0" xr:uid="{E924B6AE-9934-4440-884D-14D697B7D13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1-vagt på OA</t>
        </r>
      </text>
    </comment>
    <comment ref="AA48" authorId="2" shapeId="0" xr:uid="{25A67262-F855-4FD0-B7E7-C66B723912F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1-vagt på OA</t>
        </r>
      </text>
    </comment>
    <comment ref="Y51" authorId="4" shapeId="0" xr:uid="{E81EA532-DCF5-49B4-B648-5A78DDE5CF6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kl. 17,30-</t>
        </r>
      </text>
    </comment>
    <comment ref="Z51" authorId="4" shapeId="0" xr:uid="{6F0D827D-AE28-472E-9DBC-293CBC90E69E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17,30</t>
        </r>
      </text>
    </comment>
    <comment ref="P61" authorId="5" shapeId="0" xr:uid="{2F15BD67-FAD7-42C2-9053-22ECD1756BF4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Afs. fra kl 10.00-16.00</t>
        </r>
      </text>
    </comment>
    <comment ref="Q61" authorId="5" shapeId="0" xr:uid="{67AEB13D-48D2-478C-804E-3ABD7921F547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Afs. fra kl 12.00-16.00</t>
        </r>
      </text>
    </comment>
    <comment ref="AF61" authorId="7" shapeId="0" xr:uid="{44AADEE1-7BAF-4926-BAAD-BA7DFFC45AB5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G-vagt fra kl. 11.00</t>
        </r>
      </text>
    </comment>
    <comment ref="E62" authorId="7" shapeId="0" xr:uid="{765FAD7B-59AC-4C41-BC5B-4CFE1C36FC90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Fuglebakken OA</t>
        </r>
      </text>
    </comment>
    <comment ref="S62" authorId="1" shapeId="0" xr:uid="{E0571B15-2458-4095-A1B4-9C34EFCFEA0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Retten kl. 11.45 - 13.45</t>
        </r>
      </text>
    </comment>
    <comment ref="Y62" authorId="2" shapeId="0" xr:uid="{2F64E182-39BA-4460-828E-1EA0857649D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08.00 - 15.00 på OA</t>
        </r>
      </text>
    </comment>
    <comment ref="Z62" authorId="2" shapeId="0" xr:uid="{0D130FE0-6D43-4413-AF48-AFDA69C3B67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08.00 - 15.00 på OA</t>
        </r>
      </text>
    </comment>
    <comment ref="AA62" authorId="2" shapeId="0" xr:uid="{E4899261-12EB-4777-A352-D016E092ACB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08.00 - 15.00 på OA</t>
        </r>
      </text>
    </comment>
    <comment ref="AD62" authorId="2" shapeId="0" xr:uid="{548BE2FD-9D32-4F9C-9703-89A1D3C31C6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AE62" authorId="2" shapeId="0" xr:uid="{B3582B6D-E39B-41C3-954C-2F2923166FC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Cabimm Metro kl. 15.00-22.00 OA</t>
        </r>
      </text>
    </comment>
    <comment ref="AF62" authorId="2" shapeId="0" xr:uid="{1420884C-F3FE-4D2A-870C-6E23FC0F0B2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C63" authorId="1" shapeId="0" xr:uid="{A216A9D9-C5E5-4917-926F-8EB84805AB3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 på OA</t>
        </r>
      </text>
    </comment>
    <comment ref="D63" authorId="1" shapeId="0" xr:uid="{047F1A5A-0A8F-49C1-A482-CAFAE866A6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 på OA</t>
        </r>
      </text>
    </comment>
    <comment ref="E63" authorId="1" shapeId="0" xr:uid="{C5DBA8B9-A944-4AF2-9E43-158B8A925A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udstilling hallen 08,30-16,15 Br-møde kl.1615-21,30 på OA.</t>
        </r>
      </text>
    </comment>
    <comment ref="N63" authorId="5" shapeId="0" xr:uid="{7234E61D-9156-4C6C-B052-B20AB804D73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koncert på Rådhuspladsen
Kl. 12:30- 00,15</t>
        </r>
      </text>
    </comment>
    <comment ref="AD63" authorId="2" shapeId="0" xr:uid="{8059E16A-E5C1-4E92-91CB-12AE11C68AB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AE63" authorId="2" shapeId="0" xr:uid="{073B5291-C8E1-4030-A5E2-62AAC8261D3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08.00-22.00</t>
        </r>
      </text>
    </comment>
    <comment ref="AF63" authorId="2" shapeId="0" xr:uid="{66CBC947-3FC1-4E63-810A-88229ECB1A6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AG63" authorId="2" shapeId="0" xr:uid="{4C4800B8-0146-4C84-9AAD-B8BC68EE9F7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V64" authorId="3" shapeId="0" xr:uid="{1C19512D-A288-478A-A6B9-5987C7B17E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Y64" authorId="1" shapeId="0" xr:uid="{5F830BE1-F723-4F28-BBBF-024A19BF72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08.00-15.00 OA</t>
        </r>
      </text>
    </comment>
    <comment ref="Z64" authorId="1" shapeId="0" xr:uid="{A0835AD1-0340-4415-BAAF-0C1421994B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08.00-15.00 OA</t>
        </r>
      </text>
    </comment>
    <comment ref="AA64" authorId="1" shapeId="0" xr:uid="{51A2A026-948F-44BA-B38E-2C4F1FBA07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08.00-15.00 OA</t>
        </r>
      </text>
    </comment>
    <comment ref="AC64" authorId="2" shapeId="0" xr:uid="{31AC1EC2-4DC5-42B7-87A0-C778323D59B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Cabinn Metro 15.00-22.00</t>
        </r>
      </text>
    </comment>
    <comment ref="AF64" authorId="8" shapeId="0" xr:uid="{AFA08D83-4102-47FB-91DD-395A58307DB2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O-vagt OA</t>
        </r>
      </text>
    </comment>
    <comment ref="C65" authorId="2" shapeId="0" xr:uid="{82D1FC5C-8C88-4F9B-8E33-3B11E4AD432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D65" authorId="1" shapeId="0" xr:uid="{D98B9B61-7C74-49BC-8624-4046902003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F65" authorId="1" shapeId="0" xr:uid="{66E4EA64-5498-4222-A014-D0D07550D0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H65" authorId="1" shapeId="0" xr:uid="{83CF66B9-6D66-4387-B0CA-4504C27C8A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I65" authorId="4" shapeId="0" xr:uid="{0768AB0D-5C69-4A72-8ED6-2B4278E1A85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8 vagt på OA</t>
        </r>
      </text>
    </comment>
    <comment ref="K65" authorId="0" shapeId="0" xr:uid="{D15AA9B6-406F-4AA5-9D2C-0698810622B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M65" authorId="1" shapeId="0" xr:uid="{9CF564D1-6A46-48CC-A700-A74A357A8A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kl. 14.45 på OA</t>
        </r>
      </text>
    </comment>
    <comment ref="N65" authorId="0" shapeId="0" xr:uid="{3CEA44A3-BF51-4992-9B67-163852032AB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Koncert på rådhuspladsen
Kl. 12:30- 00,15</t>
        </r>
      </text>
    </comment>
    <comment ref="O65" authorId="3" shapeId="0" xr:uid="{6D823905-9F2F-42C1-BCA1-0E0160795F2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U65" authorId="1" shapeId="0" xr:uid="{639C2791-9EF3-43AF-8688-C5D8602262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opsætning
kl.16.00 OA</t>
        </r>
      </text>
    </comment>
    <comment ref="V65" authorId="2" shapeId="0" xr:uid="{C70289E3-7D77-438B-9EB4-18CF0655D89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Skal blive på biblioteket til kl. 18.30 på OA til 21.00</t>
        </r>
      </text>
    </comment>
    <comment ref="W65" authorId="1" shapeId="0" xr:uid="{9299FC38-5280-49D1-BFCB-99FDE93CAD4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møder på Rådhuset.
</t>
        </r>
      </text>
    </comment>
    <comment ref="Y65" authorId="1" shapeId="0" xr:uid="{14514928-5292-43C3-BA95-3FD4AE7867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Metyro  kl. 15.00-22.00</t>
        </r>
      </text>
    </comment>
    <comment ref="Z65" authorId="1" shapeId="0" xr:uid="{31F32922-1C84-4B1E-9E8E-25504059A8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Metyro  kl. 15.00-22.00</t>
        </r>
      </text>
    </comment>
    <comment ref="AB65" authorId="2" shapeId="0" xr:uid="{AFCD26C6-2489-4FAF-84DB-FD1804A0EC3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Cabinn Metro 15.00 - 22.00</t>
        </r>
      </text>
    </comment>
    <comment ref="AC65" authorId="2" shapeId="0" xr:uid="{CFB3A973-9879-4A21-9A24-02BC0214D39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Cabinn Metro 08-00 - 15.00</t>
        </r>
      </text>
    </comment>
    <comment ref="AD65" authorId="1" shapeId="0" xr:uid="{9A2ED81A-6C92-4DFB-A0C7-166D7CC989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</t>
        </r>
      </text>
    </comment>
    <comment ref="AE65" authorId="1" shapeId="0" xr:uid="{E04AAD1A-A694-48D4-8D81-E8F133768C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</t>
        </r>
      </text>
    </comment>
    <comment ref="AF65" authorId="1" shapeId="0" xr:uid="{50FABEC5-C761-4B92-BB9B-FE2E28156E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Bliver til kl. 22.00.
kl.15.00-22.00 er på OA</t>
        </r>
      </text>
    </comment>
    <comment ref="AG65" authorId="1" shapeId="0" xr:uid="{0219E60D-75DE-4EE3-804C-310BADBBA1E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Bliver til kl. 22.00.
kl.15.00-22.00 er på OA</t>
        </r>
      </text>
    </comment>
    <comment ref="E68" authorId="1" shapeId="0" xr:uid="{A7378EB7-7A70-40F7-8449-CD222E6742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udstilling hallen 08,30-16,15 Br-møde kl.1615- på OA.</t>
        </r>
      </text>
    </comment>
    <comment ref="H68" authorId="3" shapeId="0" xr:uid="{3E4777F8-3629-4BF9-86C9-A77120CDC5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J68" authorId="4" shapeId="0" xr:uid="{1B7863CF-B342-452F-93E5-075DB0F1913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8 vagt på OA</t>
        </r>
      </text>
    </comment>
    <comment ref="Y68" authorId="4" shapeId="0" xr:uid="{CBD72249-5199-4562-B538-6F900B975B5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Møder 12-19,45 Arrangement i Hallen fra kl.16</t>
        </r>
      </text>
    </comment>
    <comment ref="AC68" authorId="5" shapeId="0" xr:uid="{B752DBD4-C60B-4457-A61B-CE1AF4BE6EFF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OA</t>
        </r>
      </text>
    </comment>
    <comment ref="U69" authorId="1" shapeId="0" xr:uid="{BBFC82EC-2745-45AD-88FF-5E3C6D86E2E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08.00-18.00</t>
        </r>
      </text>
    </comment>
    <comment ref="V69" authorId="1" shapeId="0" xr:uid="{51FD5E09-477A-4E93-89AA-A81F33DF7A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08.00-18.00</t>
        </r>
      </text>
    </comment>
    <comment ref="W69" authorId="1" shapeId="0" xr:uid="{437A8A76-55F6-42CE-A345-C0FCC09F81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Magnussonsgade kl. 08.00-17.30 på OA.</t>
        </r>
      </text>
    </comment>
    <comment ref="X69" authorId="1" shapeId="0" xr:uid="{19BDB367-0877-47EF-92F8-AFD9BAE40F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08.00-22.00</t>
        </r>
      </text>
    </comment>
    <comment ref="Y69" authorId="1" shapeId="0" xr:uid="{E3FEF957-16CA-49D1-A93E-C402B536D0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Z69" authorId="1" shapeId="0" xr:uid="{CDA6300C-34C9-458C-B064-B65ED9D3D4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A69" authorId="1" shapeId="0" xr:uid="{0C7C5AC8-E319-4A91-8678-66C209BD6F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D69" authorId="1" shapeId="0" xr:uid="{0C4DFD50-F95D-4722-A790-3B63524920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E69" authorId="1" shapeId="0" xr:uid="{8D6170FB-60D5-4692-BB67-04CE690CFB6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F69" authorId="1" shapeId="0" xr:uid="{226B5749-13B5-47BF-B67E-FCEDB3E8549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G69" authorId="1" shapeId="0" xr:uid="{32B7880A-E4B2-443E-A261-D0EC8ACA8C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C70" authorId="1" shapeId="0" xr:uid="{67AC2B1B-E5BA-48C2-89AA-6FAF05A319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0" authorId="1" shapeId="0" xr:uid="{0801D55B-6D17-410E-9D2B-AA8D6D42AE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E70" authorId="1" shapeId="0" xr:uid="{A3012D07-0455-406C-936C-D84EBAEA6E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F70" authorId="1" shapeId="0" xr:uid="{B1C6C6E3-C82B-46D4-B672-10FF066CD7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I70" authorId="1" shapeId="0" xr:uid="{9DF93E77-3A2F-4297-8D14-DCC27ED381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0" authorId="1" shapeId="0" xr:uid="{C07D7BBA-D0E9-440C-ADF6-99E578F0D8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0" authorId="1" shapeId="0" xr:uid="{9F5463AE-974E-4718-8422-DCCF9AD2D4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0" authorId="1" shapeId="0" xr:uid="{E94B1E39-807F-42C1-87C1-F3AF2D7B7D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3 vagt Møder efter han har afleveret barn kl 8.</t>
        </r>
      </text>
    </comment>
    <comment ref="M70" authorId="1" shapeId="0" xr:uid="{2CBA793C-BCB5-4E86-B450-B2885DF19E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 ….</t>
        </r>
      </text>
    </comment>
    <comment ref="P70" authorId="1" shapeId="0" xr:uid="{E92CEBD0-59C5-43E9-A370-A68A583379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0" authorId="1" shapeId="0" xr:uid="{8989A207-7868-4A71-BAB0-CC30C3E087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0" authorId="1" shapeId="0" xr:uid="{6EAA8029-D3F6-43AC-A94E-292B553F41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S70" authorId="1" shapeId="0" xr:uid="{CB360E87-948B-4C67-8D68-5091EEB259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T70" authorId="1" shapeId="0" xr:uid="{96E8E7CE-804D-4DB2-8A2E-404AF98AE9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12.00
derefter Covid-19 beredskab på stand by hjemme.til kl. 18.00</t>
        </r>
      </text>
    </comment>
    <comment ref="W70" authorId="1" shapeId="0" xr:uid="{D0E42B45-309F-415E-A1D5-97CB2E8DDC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X70" authorId="1" shapeId="0" xr:uid="{0CF13B5C-2E4B-4F73-BB9F-8528FD33E1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Y70" authorId="1" shapeId="0" xr:uid="{58E55F69-3D7B-4C90-829E-642E1AC403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Z70" authorId="1" shapeId="0" xr:uid="{B68A89BB-FF41-4F79-B676-955932AB78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AA70" authorId="1" shapeId="0" xr:uid="{BB36FC4F-4365-4104-A722-C4DD1A2EF3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22vagt</t>
        </r>
      </text>
    </comment>
    <comment ref="AB70" authorId="5" shapeId="0" xr:uid="{03B9C271-BE41-48FD-8BFD-FDE39564700F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OA
</t>
        </r>
      </text>
    </comment>
    <comment ref="AG70" authorId="1" shapeId="0" xr:uid="{B2AF0180-E362-4FDC-99D5-DA2F8E6AD6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O-vagt på OA.</t>
        </r>
      </text>
    </comment>
    <comment ref="M71" authorId="9" shapeId="0" xr:uid="{984CC497-E31A-40AF-B3F0-39253CA40B7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16-23,45
OA kl 23,45-01</t>
        </r>
      </text>
    </comment>
    <comment ref="V71" authorId="3" shapeId="0" xr:uid="{375430E2-6E5C-4EE4-AB85-63778AF6216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AC71" authorId="3" shapeId="0" xr:uid="{9AC94CFB-6B60-4F21-A595-67CB7FF4A6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Y75" authorId="2" shapeId="0" xr:uid="{229A3C87-3063-47A7-8EA6-690626FEEF1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89-vagt på OA</t>
        </r>
      </text>
    </comment>
    <comment ref="AB75" authorId="2" shapeId="0" xr:uid="{D830D38B-0F80-4B21-B491-88D13CB3233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Cabinn Metro 08.00-15.00</t>
        </r>
      </text>
    </comment>
    <comment ref="AC75" authorId="1" shapeId="0" xr:uid="{72300F2B-C7A6-4333-9799-3FA95EDA673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</t>
        </r>
      </text>
    </comment>
    <comment ref="AD75" authorId="1" shapeId="0" xr:uid="{56F8C4A2-300E-4768-9505-B3F456CA3C6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</t>
        </r>
      </text>
    </comment>
    <comment ref="AE75" authorId="1" shapeId="0" xr:uid="{1644E1C1-9A8F-425F-AB61-A003853985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</t>
        </r>
      </text>
    </comment>
    <comment ref="AF75" authorId="1" shapeId="0" xr:uid="{60D1A576-41F0-4D1F-BEFA-B5DEB66315E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</t>
        </r>
      </text>
    </comment>
    <comment ref="AG75" authorId="1" shapeId="0" xr:uid="{C914F434-CEE9-4171-ACE5-9684CF9A34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 + 15.00-22.00</t>
        </r>
      </text>
    </comment>
    <comment ref="AD105" authorId="1" shapeId="0" xr:uid="{94BC514C-81E4-45FF-B612-23553C47D9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8-vagt på OA</t>
        </r>
      </text>
    </comment>
    <comment ref="AE105" authorId="10" shapeId="0" xr:uid="{CAA27E0C-4B07-4317-82DF-9D7ADDC0F08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8-vagt på OA</t>
      </text>
    </comment>
    <comment ref="W106" authorId="8" shapeId="0" xr:uid="{1B4F702F-198F-4D91-A6FB-9E14EDA46957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1-vagt OA</t>
        </r>
      </text>
    </comment>
    <comment ref="Y106" authorId="1" shapeId="0" xr:uid="{4D126981-E312-4DC3-BFA1-37B0357736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</t>
        </r>
      </text>
    </comment>
    <comment ref="Z106" authorId="5" shapeId="0" xr:uid="{55DC1559-240C-41B1-AF41-36A6C039CEF9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E vagt på oa</t>
        </r>
      </text>
    </comment>
    <comment ref="AA106" authorId="5" shapeId="0" xr:uid="{CF34B7C7-F610-4AE2-AE23-D213D1AD43B3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E vagt på OA</t>
        </r>
      </text>
    </comment>
    <comment ref="AF106" authorId="1" shapeId="0" xr:uid="{9ADE4363-089C-473E-B611-E4D07FBD7B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N-vagt</t>
        </r>
      </text>
    </comment>
    <comment ref="E113" authorId="1" shapeId="0" xr:uid="{60C89C02-5130-43A4-9856-A433F0DE36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fra.14.45</t>
        </r>
      </text>
    </comment>
    <comment ref="Z113" authorId="4" shapeId="0" xr:uid="{8285C694-5091-4F7E-9314-3F08793C5BA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14,45-</t>
        </r>
      </text>
    </comment>
    <comment ref="L125" authorId="1" shapeId="0" xr:uid="{C41AB80F-78FC-4962-9111-719F056B8C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Retten kl. 11.00</t>
        </r>
      </text>
    </comment>
    <comment ref="Z125" authorId="4" shapeId="0" xr:uid="{67260474-B5FB-4C12-B829-FD66009CB49C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16,30-</t>
        </r>
      </text>
    </comment>
    <comment ref="AD125" authorId="1" shapeId="0" xr:uid="{82DD4C8D-0F57-411C-89E4-A3071D2FE0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Møders osm i1</t>
        </r>
      </text>
    </comment>
    <comment ref="AE125" authorId="1" shapeId="0" xr:uid="{CC77B9B7-3A9B-454E-8FF4-B56C3DF8FE1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Møders osm i1</t>
        </r>
      </text>
    </comment>
    <comment ref="AF125" authorId="1" shapeId="0" xr:uid="{676D9C0E-9EFB-47C0-A149-243DB7983F6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Møders osm i1</t>
        </r>
      </text>
    </comment>
    <comment ref="AG125" authorId="1" shapeId="0" xr:uid="{156C7291-5827-4FB5-899C-C79C12C876C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Møders osm i1</t>
        </r>
      </text>
    </comment>
    <comment ref="E126" authorId="4" shapeId="0" xr:uid="{E64DBE7B-5809-45A2-8263-DFB6216F9D1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16-21,30</t>
        </r>
      </text>
    </comment>
    <comment ref="J126" authorId="4" shapeId="0" xr:uid="{67B9B5D2-3214-4445-A214-B07E09C19B63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kl 16-</t>
        </r>
      </text>
    </comment>
    <comment ref="K126" authorId="0" shapeId="0" xr:uid="{0C8195CF-3333-44AE-84A9-217E9351E2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Z126" authorId="4" shapeId="0" xr:uid="{0FED85E7-CA6B-49B7-8928-0D7B7385C6F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15,30-</t>
        </r>
      </text>
    </comment>
    <comment ref="E127" authorId="9" shapeId="0" xr:uid="{3E5EC871-B2E2-41EC-8FDD-E7C6236A93C9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 på OA 16-21,30</t>
        </r>
      </text>
    </comment>
    <comment ref="I127" authorId="1" shapeId="0" xr:uid="{E988357C-2022-4463-A290-3750AE390E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J127" authorId="1" shapeId="0" xr:uid="{D5C51387-11C8-4DAC-81CA-E7E05BDF0D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
Arrangement på OA kl 16-</t>
        </r>
      </text>
    </comment>
    <comment ref="K127" authorId="0" shapeId="0" xr:uid="{5CFD2DDF-CCD8-47EE-923B-3F0FA62080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L127" authorId="1" shapeId="0" xr:uid="{3AC9E181-AE34-4351-BDDC-13A88F8C6F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M127" authorId="4" shapeId="0" xr:uid="{6A1E7200-C106-4E02-922A-B88C092F4B3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17-01</t>
        </r>
      </text>
    </comment>
    <comment ref="N127" authorId="1" shapeId="0" xr:uid="{098B24FA-9A8F-413B-9DA4-338B9F42DE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O127" authorId="1" shapeId="0" xr:uid="{DA97F6C0-EC0B-49C3-AF3A-643B76BA12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Y127" authorId="4" shapeId="0" xr:uid="{49FA97BD-E5A1-4354-B4D6-AB93577AA13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16,00-</t>
        </r>
      </text>
    </comment>
    <comment ref="Z127" authorId="4" shapeId="0" xr:uid="{094B64F5-B51F-4CB3-83E3-DD3921357F7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16-</t>
        </r>
      </text>
    </comment>
    <comment ref="AB127" authorId="4" shapeId="0" xr:uid="{2CB5092A-A5B1-48D4-AEE7-482F3CA0946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Udstilling i Hallen på OA 9,30-13,30</t>
        </r>
      </text>
    </comment>
    <comment ref="J128" authorId="4" shapeId="0" xr:uid="{14D9C889-790E-4D4D-B835-E960ADD561E4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kl 15,30-</t>
        </r>
      </text>
    </comment>
    <comment ref="Y128" authorId="4" shapeId="0" xr:uid="{A4DEB470-1AC3-4929-B850-A3CEA386185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16,00-</t>
        </r>
      </text>
    </comment>
    <comment ref="Z128" authorId="9" shapeId="0" xr:uid="{70992DC9-3D3E-4531-A2C3-AD6E45233C21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 16-</t>
        </r>
      </text>
    </comment>
    <comment ref="AB128" authorId="6" shapeId="0" xr:uid="{6EEDD7D5-2260-4CB8-806D-646C57F50D70}">
      <text>
        <r>
          <rPr>
            <b/>
            <sz val="9"/>
            <color indexed="81"/>
            <rFont val="Tahoma"/>
            <charset val="1"/>
          </rPr>
          <t>Marianne Rasmussen:
Udstilling i Hallen på OA 9,30-13,30</t>
        </r>
      </text>
    </comment>
    <comment ref="J129" authorId="4" shapeId="0" xr:uid="{DF7738F2-1B89-48FB-AAD4-2B55D12ECEFC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kl 16</t>
        </r>
      </text>
    </comment>
    <comment ref="K129" authorId="0" shapeId="0" xr:uid="{C468AB16-1405-43CF-B336-DCCFD83332D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M129" authorId="4" shapeId="0" xr:uid="{E53A8AEA-D1A5-470F-AEBD-F6F94A09EC8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16-01</t>
        </r>
      </text>
    </comment>
    <comment ref="P129" authorId="1" shapeId="0" xr:uid="{7A31F7D8-412D-4A2D-9B36-F6177C4481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Q129" authorId="1" shapeId="0" xr:uid="{7EFDB916-CE51-4F81-9E0C-53B03556B57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R129" authorId="1" shapeId="0" xr:uid="{FA63454E-6A36-418C-85FC-92867D4167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S129" authorId="1" shapeId="0" xr:uid="{5C1EFF2D-3F15-4BCD-B097-E72057F17C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Z129" authorId="2" shapeId="0" xr:uid="{BC192559-5FA7-4D3D-A3FA-A7228FDE753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AMR</t>
        </r>
      </text>
    </comment>
    <comment ref="AA129" authorId="2" shapeId="0" xr:uid="{AD6DDF77-8C23-447B-A43B-5F51292306A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AMR</t>
        </r>
      </text>
    </comment>
    <comment ref="E158" authorId="1" shapeId="0" xr:uid="{02F635FE-0780-4F9F-9BDE-7843BF8DC54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fra.15.30-21,30</t>
        </r>
      </text>
    </comment>
    <comment ref="F158" authorId="9" shapeId="0" xr:uid="{7E5113E3-D40F-45F8-A086-0951E05FD684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58" authorId="9" shapeId="0" xr:uid="{20F2DA3C-E826-4F10-AA7D-FB71F402829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158" authorId="4" shapeId="0" xr:uid="{06BA639B-3BD8-4DEC-9994-272D8D2999C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kl 15,30</t>
        </r>
      </text>
    </comment>
    <comment ref="K158" authorId="9" shapeId="0" xr:uid="{3110F9F1-8C2A-41F3-AEA6-09B6F1529094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158" authorId="9" shapeId="0" xr:uid="{8509B9FD-845F-4E6D-A6C7-D46EAF1868B2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P158" authorId="9" shapeId="0" xr:uid="{FEEFD82B-0B7A-4752-AD88-324668F5F09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158" authorId="9" shapeId="0" xr:uid="{852EADB6-912D-40C9-94FF-2305D3AED791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 </t>
        </r>
      </text>
    </comment>
    <comment ref="W158" authorId="9" shapeId="0" xr:uid="{01806183-467C-4CC6-AF96-4C9932CA4CA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Y158" authorId="4" shapeId="0" xr:uid="{DCA8C380-CFB5-4983-9F1C-861EBEF2C33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Arrangement på OA fra kl 15,30-</t>
        </r>
      </text>
    </comment>
    <comment ref="AA158" authorId="9" shapeId="0" xr:uid="{A4ACA796-9DA3-4422-85D6-D0ACB1CF9881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58" authorId="9" shapeId="0" xr:uid="{840C7F7D-5581-4A66-B5CD-1A96B3E9D76B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D159" authorId="0" shapeId="0" xr:uid="{88CD20A7-8B79-415D-9C50-8A58F0913F5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Rundvisning kl. 17</t>
        </r>
      </text>
    </comment>
    <comment ref="E163" authorId="1" shapeId="0" xr:uid="{2FA53BF1-99DC-4FAC-BD2E-8312CE0F72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fra.15.15-21,30</t>
        </r>
      </text>
    </comment>
    <comment ref="Z163" authorId="4" shapeId="0" xr:uid="{472197A8-EACC-42BD-832E-ADFB10D9C9F0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kl 15,15-</t>
        </r>
      </text>
    </comment>
    <comment ref="W187" authorId="1" shapeId="0" xr:uid="{04F6C368-D01A-4258-8078-8540150E045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Y187" authorId="1" shapeId="0" xr:uid="{FEEF41DC-334C-4E1B-AC3B-0B192279FD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B187" authorId="1" shapeId="0" xr:uid="{8720796A-AB0E-456A-A73F-1E87EAA3F3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C187" authorId="1" shapeId="0" xr:uid="{435F9A8A-09A8-43CC-AAA7-1DB38B2A05B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AD187" authorId="1" shapeId="0" xr:uid="{D094B8D4-E360-46E5-8109-6E09636513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AF189" authorId="7" shapeId="0" xr:uid="{3316B5B3-D00D-4F48-9155-15FCBAE9AEAE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Til lægen kl. 11.00</t>
        </r>
      </text>
    </comment>
    <comment ref="F216" authorId="4" shapeId="0" xr:uid="{59AC9806-E3AF-4DED-BAB3-800A5A77C0F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216" authorId="4" shapeId="0" xr:uid="{DC2D7EC5-C669-4C66-BFC8-3060BACC5648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A216" authorId="1" shapeId="0" xr:uid="{C70A72C9-E505-45A0-ABAE-E02C345DB7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15.00-22.00
AFS 3,5 time</t>
        </r>
      </text>
    </comment>
    <comment ref="AB216" authorId="1" shapeId="0" xr:uid="{8FBEA98F-847D-41CD-8765-7D6F8CA5F4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og Cabinn Metro. 14,30-22</t>
        </r>
      </text>
    </comment>
    <comment ref="AC216" authorId="1" shapeId="0" xr:uid="{8FDDA5B8-BC95-400C-B426-D2ED602A8E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AD216" authorId="1" shapeId="0" xr:uid="{663C19B1-0F11-4399-88C1-05BD73506706}">
      <text>
        <r>
          <rPr>
            <b/>
            <sz val="9"/>
            <color indexed="81"/>
            <rFont val="Tahoma"/>
            <charset val="1"/>
          </rPr>
          <t>Steen Hertin:
Cabinn  Metro Arne Jacobsens alle</t>
        </r>
        <r>
          <rPr>
            <sz val="9"/>
            <color indexed="81"/>
            <rFont val="Tahoma"/>
            <charset val="1"/>
          </rPr>
          <t xml:space="preserve"> kl. 15.00-22.00</t>
        </r>
      </text>
    </comment>
    <comment ref="AA217" authorId="1" shapeId="0" xr:uid="{BF9A573A-88B3-4C24-AF5C-2501C37CC0F8}">
      <text>
        <r>
          <rPr>
            <b/>
            <sz val="9"/>
            <color indexed="81"/>
            <rFont val="Tahoma"/>
            <charset val="1"/>
          </rPr>
          <t>Steen Hertin:
Cabinn  Metro Arne Jacobsens alle</t>
        </r>
        <r>
          <rPr>
            <sz val="9"/>
            <color indexed="81"/>
            <rFont val="Tahoma"/>
            <charset val="1"/>
          </rPr>
          <t xml:space="preserve"> kl. 15.00-22.00</t>
        </r>
      </text>
    </comment>
    <comment ref="AB217" authorId="1" shapeId="0" xr:uid="{747830E9-5C88-4070-A442-9A6799914FF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15.00-22.00</t>
        </r>
      </text>
    </comment>
    <comment ref="AC217" authorId="1" shapeId="0" xr:uid="{0B3D490B-9CF1-41C8-A695-D5202E2808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Magnussongade 1 kl. 15.00-22.00</t>
        </r>
      </text>
    </comment>
    <comment ref="AA277" authorId="4" shapeId="0" xr:uid="{3B8009EF-F82B-496D-8C1B-A86B33E63D24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- 3,5 afs</t>
        </r>
      </text>
    </comment>
    <comment ref="AE277" authorId="4" shapeId="0" xr:uid="{41ED15E8-7429-42A4-B0AD-99F286857D90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- 1,5 afs </t>
        </r>
      </text>
    </comment>
    <comment ref="AE279" authorId="4" shapeId="0" xr:uid="{C9D0CD89-5717-457E-9B72-B9DA73370DE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- 2,5 t afs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marasm</author>
    <author>Steen Hertin</author>
    <author>Rasmus Sørensen</author>
    <author>Mathias Hartvig Morell Nielsen</author>
    <author>Steen Hertin-Sandkær</author>
    <author>Kim Holm Aabroe</author>
    <author>Nikolaj Langtin Pamhede</author>
    <author>Marianne Rasmussen</author>
  </authors>
  <commentList>
    <comment ref="H14" authorId="0" shapeId="0" xr:uid="{E2A1CACD-BFCC-467A-80BB-88E58EB6DBB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Arrangenent på OA kl. 14,45-21</t>
        </r>
      </text>
    </comment>
    <comment ref="I14" authorId="0" shapeId="0" xr:uid="{CD63363E-15BF-47E0-AB77-88237BB3186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14,45-</t>
        </r>
      </text>
    </comment>
    <comment ref="Y15" authorId="1" shapeId="0" xr:uid="{BDFE3DC8-9DCF-421B-8C2E-38850829D4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Vagterne + oplæring dækker 89-vagten</t>
        </r>
      </text>
    </comment>
    <comment ref="E17" authorId="1" shapeId="0" xr:uid="{DFCAE349-B863-49B8-9C9D-EA257EE7BE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</t>
        </r>
      </text>
    </comment>
    <comment ref="I17" authorId="1" shapeId="0" xr:uid="{9C3C3DCE-CA42-41EA-BFFB-EC76F1DC3A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Kødbyen 21.00-23.00</t>
        </r>
      </text>
    </comment>
    <comment ref="N17" authorId="1" shapeId="0" xr:uid="{F6BFB806-FC4E-4065-B70A-23CBE895F04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</t>
        </r>
      </text>
    </comment>
    <comment ref="O17" authorId="1" shapeId="0" xr:uid="{27F86976-F36C-413F-9076-76BCB48637B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P17" authorId="1" shapeId="0" xr:uid="{62AE125E-37AE-4D9B-AEBE-CFFD09E881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S17" authorId="1" shapeId="0" xr:uid="{0A296DFB-CB0B-412F-9BD8-3C83C606B84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08.00-16.00</t>
        </r>
      </text>
    </comment>
    <comment ref="D20" authorId="1" shapeId="0" xr:uid="{A37197B7-2581-4A55-A95F-FCA97D3EF9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E20" authorId="1" shapeId="0" xr:uid="{F26C67DD-B525-4451-BC72-77F328D248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I20" authorId="1" shapeId="0" xr:uid="{943F99D9-1A59-4A52-B10A-62AC0150817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15.00 - 23.00 GRUS Kødbyen 21.00-23.00</t>
        </r>
      </text>
    </comment>
    <comment ref="K20" authorId="1" shapeId="0" xr:uid="{820F7F09-6B39-49E4-ABB7-D960EF33C0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L20" authorId="1" shapeId="0" xr:uid="{71E747EE-32A8-44E1-BE19-162732357D5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M20" authorId="1" shapeId="0" xr:uid="{67A27654-118B-4C80-BF54-6E8EB0B0E9D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 </t>
        </r>
      </text>
    </comment>
    <comment ref="N20" authorId="1" shapeId="0" xr:uid="{8655DE3A-68B1-4466-BDB1-4C5450110C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</t>
        </r>
      </text>
    </comment>
    <comment ref="O20" authorId="1" shapeId="0" xr:uid="{C5CABBD7-689E-45EB-9C6F-0407B1EF374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møder hele dagen</t>
        </r>
      </text>
    </comment>
    <comment ref="P20" authorId="1" shapeId="0" xr:uid="{01E159F8-E47C-4784-BB29-352B2508F9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Q20" authorId="1" shapeId="0" xr:uid="{91FD98D3-6AD3-4259-BB58-3F0563563A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4-vagthavende på OA</t>
        </r>
      </text>
    </comment>
    <comment ref="Z20" authorId="1" shapeId="0" xr:uid="{89E370D3-F612-48EC-8410-269F204DE5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I21" authorId="0" shapeId="0" xr:uid="{A3DA409D-EBE1-44C5-8234-7586070E5C5E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16-</t>
        </r>
      </text>
    </comment>
    <comment ref="H22" authorId="0" shapeId="0" xr:uid="{D113F363-8AD9-47D0-99C6-C985B2D65DA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Arrangenent på OA kl. 16-21</t>
        </r>
      </text>
    </comment>
    <comment ref="X26" authorId="2" shapeId="0" xr:uid="{F4D4A7FC-9BAA-4197-BE99-F0744BD3E8F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hovedporten skla holdes åben til kl.18:15</t>
        </r>
      </text>
    </comment>
    <comment ref="M37" authorId="3" shapeId="0" xr:uid="{DED8C163-9DD2-443D-8309-6B6FFB77696F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Fuglebakken OA til kl. 06:00</t>
        </r>
      </text>
    </comment>
    <comment ref="G38" authorId="1" shapeId="0" xr:uid="{41A712C0-B4B6-4286-BE4B-E81D81E012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H38" authorId="1" shapeId="0" xr:uid="{431C5DF9-E9B1-44EC-B413-052018D70BB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I38" authorId="1" shapeId="0" xr:uid="{FEF6BFB6-3CD7-4F30-9AB0-CB23AB96FF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J38" authorId="1" shapeId="0" xr:uid="{A6D1EB78-FAE3-4989-B57F-83CE37A91E0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M38" authorId="4" shapeId="0" xr:uid="{D11A6DB5-150D-4EEC-A70F-9ECA33E4DD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N38" authorId="4" shapeId="0" xr:uid="{916C7FAE-828D-4E75-BB06-76575563A3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U38" authorId="1" shapeId="0" xr:uid="{5EEEEF72-F038-4620-AA73-5FC7284CB1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08-22</t>
        </r>
      </text>
    </comment>
    <comment ref="V38" authorId="1" shapeId="0" xr:uid="{F89C8B27-1206-4F79-B78E-9557294DEB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08-22</t>
        </r>
      </text>
    </comment>
    <comment ref="W38" authorId="1" shapeId="0" xr:uid="{9BB355A4-B4D7-4822-9C5C-67EBE9B28A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</t>
        </r>
      </text>
    </comment>
    <comment ref="X38" authorId="1" shapeId="0" xr:uid="{76E47CA5-C240-4B2A-92EE-790B707628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</t>
        </r>
      </text>
    </comment>
    <comment ref="Z38" authorId="1" shapeId="0" xr:uid="{AA29FBEC-0A8E-4DFC-B67D-7730257AA4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AA38" authorId="1" shapeId="0" xr:uid="{7F08C2F5-596D-43B5-887D-C2ECB0941FB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AB38" authorId="1" shapeId="0" xr:uid="{4F643837-9DFE-4407-BD70-2A7618E21E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AC38" authorId="1" shapeId="0" xr:uid="{6C65284D-5CE9-4D55-BD90-2FF9C24A07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AF38" authorId="1" shapeId="0" xr:uid="{D12A7577-D9AB-4002-AFDB-1223625243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AG38" authorId="1" shapeId="0" xr:uid="{ABB2A357-1D71-497C-BC24-0CE451CFE0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M41" authorId="4" shapeId="0" xr:uid="{D4C656E0-0ADC-44FA-9108-CE753BA0411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N41" authorId="4" shapeId="0" xr:uid="{602F1DC8-FCA8-4682-81A3-5D1141AC049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U41" authorId="4" shapeId="0" xr:uid="{97CBE0A9-C185-4317-9F9D-63B2B6B8950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V41" authorId="4" shapeId="0" xr:uid="{B40AD7B1-FDC3-49B8-8339-4CA6C55216D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W41" authorId="4" shapeId="0" xr:uid="{0A1F912C-9935-4548-B10B-13B951A6FA4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X41" authorId="4" shapeId="0" xr:uid="{4838ECC9-9FD5-4DE6-88B9-61F323E5B30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AA41" authorId="4" shapeId="0" xr:uid="{0EBCDA8D-E681-4D0F-B3DE-37BA8158FCD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AB41" authorId="4" shapeId="0" xr:uid="{6AF24CC6-E78D-4C5F-BF35-0E3D9F4FCF9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AC41" authorId="4" shapeId="0" xr:uid="{1F4A3505-15FA-4DF8-A14B-049E8A73A3A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AD41" authorId="4" shapeId="0" xr:uid="{99D77991-28A8-424D-AA7C-D55AE936D5A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AE41" authorId="4" shapeId="0" xr:uid="{AB536B27-A327-41F3-AFD0-2139BD7201F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Laver IT arbejde</t>
        </r>
      </text>
    </comment>
    <comment ref="R47" authorId="1" shapeId="0" xr:uid="{405F4BCA-997A-4655-943E-BE7E8F7525E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S47" authorId="1" shapeId="0" xr:uid="{30FCE3BA-3E65-400A-A8B7-CB00F6859C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G61" authorId="3" shapeId="0" xr:uid="{EDF43C74-1B09-426B-B12B-94A89CB92F6B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22-vagt OA</t>
        </r>
      </text>
    </comment>
    <comment ref="H61" authorId="3" shapeId="0" xr:uid="{AE914CEC-21CD-4DAB-BA59-2612B5EE1205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22-vagt OA</t>
        </r>
      </text>
    </comment>
    <comment ref="I61" authorId="3" shapeId="0" xr:uid="{289229EE-D190-4E22-B620-B5FC67BA2829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22-vagt OA</t>
        </r>
      </text>
    </comment>
    <comment ref="L61" authorId="3" shapeId="0" xr:uid="{76FDA356-A6DE-48DE-9ECE-7E8D79885335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22-vagt OA</t>
        </r>
      </text>
    </comment>
    <comment ref="C62" authorId="4" shapeId="0" xr:uid="{E320F841-8271-47DC-997F-181A0055721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F62" authorId="1" shapeId="0" xr:uid="{1841EFAF-1888-4D2B-A3A1-7FD3DE8302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G62" authorId="1" shapeId="0" xr:uid="{9575201E-E7D4-4138-88A8-CD0B45CB569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H62" authorId="1" shapeId="0" xr:uid="{B70D0C89-0C25-4691-9C7C-A0252C700E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I62" authorId="1" shapeId="0" xr:uid="{A02F632D-C589-4649-A229-1592001D94E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K62" authorId="1" shapeId="0" xr:uid="{07FC45F3-2847-4A34-9F42-29C30204883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L62" authorId="1" shapeId="0" xr:uid="{4A814036-9542-477D-AD13-AEF985F9F1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M62" authorId="1" shapeId="0" xr:uid="{0302FB0B-EFC0-4ACE-A51F-EAA56713F21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N62" authorId="1" shapeId="0" xr:uid="{C2D6F495-CAB1-44AE-BAF0-5901279B7E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O62" authorId="1" shapeId="0" xr:uid="{82C6EA23-D03C-4155-92E2-8415DEE619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W62" authorId="1" shapeId="0" xr:uid="{D0BD93CC-BFC1-4D66-B480-9DEEE96CF35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X62" authorId="1" shapeId="0" xr:uid="{DFB4BDA1-4250-4040-83E6-9587385763F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Y62" authorId="1" shapeId="0" xr:uid="{F7214296-572B-4BBE-942B-655FD15320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Z62" authorId="1" shapeId="0" xr:uid="{3698A96C-F304-40CB-9BAF-D0F5BC7532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AA62" authorId="1" shapeId="0" xr:uid="{566010F8-E47F-491D-84D6-6314E2E630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AB62" authorId="1" shapeId="0" xr:uid="{BF6DBCFF-C346-4C5A-A57B-FAAAA52AD8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AC62" authorId="1" shapeId="0" xr:uid="{BA858159-7628-45CC-A9EE-08B58D5D04D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på OA</t>
        </r>
      </text>
    </comment>
    <comment ref="C63" authorId="4" shapeId="0" xr:uid="{D59A405F-DAFF-4F20-92B0-8C0C69A4F10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D63" authorId="4" shapeId="0" xr:uid="{9FC4538E-000B-4073-A3D1-462DF3613E4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G63" authorId="1" shapeId="0" xr:uid="{D37F8E57-9488-4F11-B5D0-7611939C17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8-15 på OA</t>
        </r>
      </text>
    </comment>
    <comment ref="I63" authorId="1" shapeId="0" xr:uid="{2FE6FD5C-4F77-47CE-AFFB-335725E41F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8-15 på OA skal blive på biblioteket til kl. 21.00</t>
        </r>
      </text>
    </comment>
    <comment ref="L63" authorId="4" shapeId="0" xr:uid="{33AB2786-9CF7-4CB2-8A31-F69A787904E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U63" authorId="1" shapeId="0" xr:uid="{FAFC22A5-9406-4413-A611-2279F1DF96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V63" authorId="2" shapeId="0" xr:uid="{7C44747F-92E3-4EA8-81D0-BB32BDE5BAB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rådhuset</t>
        </r>
      </text>
    </comment>
    <comment ref="W63" authorId="1" shapeId="0" xr:uid="{BEE98F40-8A58-49FD-8F96-5A204BD2E3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Y63" authorId="1" shapeId="0" xr:uid="{AA9CF89E-218B-452B-BB0A-7DCE4146365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Z63" authorId="1" shapeId="0" xr:uid="{314398AC-A663-472B-8ECF-557CD0BF6A3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AA63" authorId="1" shapeId="0" xr:uid="{B4767DEB-6F9D-4270-B1E8-5E0A994F25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 kl. 10.00</t>
        </r>
      </text>
    </comment>
    <comment ref="AB63" authorId="1" shapeId="0" xr:uid="{8737C6BA-488C-4B54-945D-0C2AB6A509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Metro kl. 08.00-15.00</t>
        </r>
      </text>
    </comment>
    <comment ref="AC63" authorId="1" shapeId="0" xr:uid="{31257199-5429-4AD9-A680-F83839C4AB1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G-vagt fra kl. 12.00</t>
        </r>
      </text>
    </comment>
    <comment ref="C64" authorId="5" shapeId="0" xr:uid="{10C7C688-1BC0-4748-9F1C-7ACC35AA0F1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O-vagt OA</t>
        </r>
      </text>
    </comment>
    <comment ref="F64" authorId="1" shapeId="0" xr:uid="{662BAD26-F61C-4203-873C-CA663A60EB2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15.00-22.00 OA</t>
        </r>
      </text>
    </comment>
    <comment ref="G64" authorId="1" shapeId="0" xr:uid="{62C48A5A-1F39-4515-8FE6-EE567D883A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15.00-22.00 OA</t>
        </r>
      </text>
    </comment>
    <comment ref="H64" authorId="1" shapeId="0" xr:uid="{8B595319-A78B-4294-9661-799EA43FAB3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15.00-22.00 OA</t>
        </r>
      </text>
    </comment>
    <comment ref="I64" authorId="1" shapeId="0" xr:uid="{CC38DDC0-FA4D-4A5E-9109-77DF6C4B27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12.00-22.00 OA</t>
        </r>
      </text>
    </comment>
    <comment ref="J64" authorId="1" shapeId="0" xr:uid="{65E87C33-EFEC-4C5C-B05E-AEC8D2EF8E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K64" authorId="1" shapeId="0" xr:uid="{DB88D99C-A65B-4852-BFCA-3F23F4D721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P64" authorId="4" shapeId="0" xr:uid="{7E551626-D9E0-4031-A8B4-E9A96BA6D6C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Q64" authorId="4" shapeId="0" xr:uid="{D0C62069-A0A2-4E51-9497-E87720E465B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R64" authorId="1" shapeId="0" xr:uid="{3FE51B16-C5BB-4DFC-B1DE-C155514E0BA1}">
      <text>
        <r>
          <rPr>
            <b/>
            <sz val="9"/>
            <color indexed="81"/>
            <rFont val="Tahoma"/>
            <charset val="1"/>
          </rPr>
          <t>Steen Hertin:Metro 08-15</t>
        </r>
      </text>
    </comment>
    <comment ref="S64" authorId="1" shapeId="0" xr:uid="{544A862F-F519-4871-BB87-CD14FF9F4714}">
      <text>
        <r>
          <rPr>
            <b/>
            <sz val="9"/>
            <color indexed="81"/>
            <rFont val="Tahoma"/>
            <charset val="1"/>
          </rPr>
          <t>Steen Hertin:Metro 08-15</t>
        </r>
      </text>
    </comment>
    <comment ref="T64" authorId="1" shapeId="0" xr:uid="{16A0276D-DA02-4BB8-AFB6-C03FA44453D0}">
      <text>
        <r>
          <rPr>
            <b/>
            <sz val="9"/>
            <color indexed="81"/>
            <rFont val="Tahoma"/>
            <charset val="1"/>
          </rPr>
          <t>Steen Hertin:Metro 08-15</t>
        </r>
      </text>
    </comment>
    <comment ref="V64" authorId="1" shapeId="0" xr:uid="{37830745-EF9E-49AC-BEBA-232B0340D96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W64" authorId="1" shapeId="0" xr:uid="{C5135586-E69E-485D-BBDE-CBD9B759C9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X64" authorId="1" shapeId="0" xr:uid="{F319E2EC-C266-45D9-B777-2ABECACFBD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AA64" authorId="1" shapeId="0" xr:uid="{C08800F1-0F54-4F67-B02A-3214C55A46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Metor 08-15 + 15-22 på oa </t>
        </r>
      </text>
    </comment>
    <comment ref="AB64" authorId="1" shapeId="0" xr:uid="{6B986BD1-58F1-4BC2-BEEE-0C7645E59F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Metro kl. 15-22 på OA.</t>
        </r>
      </text>
    </comment>
    <comment ref="C65" authorId="1" shapeId="0" xr:uid="{6963A2B4-7042-45DC-A1B5-E0B16874A21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Bliver til kl. 22.00.
kl.15.00-22.00 er på OA</t>
        </r>
      </text>
    </comment>
    <comment ref="E65" authorId="1" shapeId="0" xr:uid="{D1E5B4C0-E40F-470F-8495-0D85978F3D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</t>
        </r>
      </text>
    </comment>
    <comment ref="F65" authorId="1" shapeId="0" xr:uid="{3D425678-793D-40C7-9619-E7AFA8ADFA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08-15 på OA</t>
        </r>
      </text>
    </comment>
    <comment ref="I65" authorId="1" shapeId="0" xr:uid="{61AEF75D-B9A5-43FC-97EC-0465DBEEF4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08-15 på OA</t>
        </r>
      </text>
    </comment>
    <comment ref="M65" authorId="1" shapeId="0" xr:uid="{E4B7207F-932B-45D1-9112-80DC9513CF1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</t>
        </r>
      </text>
    </comment>
    <comment ref="N65" authorId="1" shapeId="0" xr:uid="{A8D5CC98-3E02-4E37-869D-BE1781FF34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</t>
        </r>
      </text>
    </comment>
    <comment ref="O65" authorId="1" shapeId="0" xr:uid="{96190490-6B38-4912-8470-E1C452CE61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</t>
        </r>
      </text>
    </comment>
    <comment ref="P65" authorId="1" shapeId="0" xr:uid="{C1448BD4-D2EA-4B00-AE3A-3BCC395282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08.00-22.00</t>
        </r>
      </text>
    </comment>
    <comment ref="Q65" authorId="1" shapeId="0" xr:uid="{4737148B-7E92-4EB1-8BFC-4059820D0B8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08.00-22.00</t>
        </r>
      </text>
    </comment>
    <comment ref="U65" authorId="1" shapeId="0" xr:uid="{CFBD5606-A2EB-4457-A330-2795740075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08-15 på oa.</t>
        </r>
      </text>
    </comment>
    <comment ref="G66" authorId="4" shapeId="0" xr:uid="{7A6C117E-5850-481A-9C02-25519775E20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først kl. 11.15</t>
        </r>
      </text>
    </comment>
    <comment ref="J68" authorId="6" shapeId="0" xr:uid="{1D57D4CA-9407-4E98-BAE4-3C1A5BC16B6A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22-vagt oa</t>
        </r>
      </text>
    </comment>
    <comment ref="R68" authorId="1" shapeId="0" xr:uid="{0DF97F60-2E4C-4231-AC3F-ABBA97BADC7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B2 på OA</t>
        </r>
      </text>
    </comment>
    <comment ref="S68" authorId="1" shapeId="0" xr:uid="{3419154A-E97E-4B80-ABC4-D477B7FCAE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B2 på OA</t>
        </r>
      </text>
    </comment>
    <comment ref="C69" authorId="1" shapeId="0" xr:uid="{DDF6FB8E-32FF-4649-996C-F10DC3F1DD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E69" authorId="1" shapeId="0" xr:uid="{F9C30B7E-7646-4655-9042-48C236D0BB5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Copenhagen 08-15 OA</t>
        </r>
      </text>
    </comment>
    <comment ref="H69" authorId="1" shapeId="0" xr:uid="{16BC5F4F-8D4B-473B-98C0-02A9649CA5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08.00-15.00 </t>
        </r>
      </text>
    </comment>
    <comment ref="I69" authorId="1" shapeId="0" xr:uid="{ECCD78D2-C0BC-403A-A8E2-E223839BE09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kl. 15.00-22.00</t>
        </r>
      </text>
    </comment>
    <comment ref="J69" authorId="1" shapeId="0" xr:uid="{26B1D540-CB3B-4861-9175-589FFE7B75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</t>
        </r>
      </text>
    </comment>
    <comment ref="K69" authorId="4" shapeId="0" xr:uid="{4681489C-800C-4D68-AA03-A114C613358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P69" authorId="4" shapeId="0" xr:uid="{C765AE85-A4C8-45C9-83E1-7111BF88B6B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Q69" authorId="4" shapeId="0" xr:uid="{F925ADF4-2299-489D-BF5C-5B97F1D783F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T69" authorId="4" shapeId="0" xr:uid="{C4EB9BE3-94B3-4D90-82C5-31B6AF4EA22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W69" authorId="1" shapeId="0" xr:uid="{D369E671-D24E-49A3-949F-662CDFB8A2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Cabinn Copenhagen 15-22… fortsætter på OA Rentemestervej.</t>
        </r>
      </text>
    </comment>
    <comment ref="X69" authorId="4" shapeId="0" xr:uid="{B31A5657-F48A-491B-8871-4F003A5CD86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</t>
        </r>
      </text>
    </comment>
    <comment ref="AA69" authorId="1" shapeId="0" xr:uid="{87EE13E5-64D3-4807-BBF8-A88FDAD2E5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15.00 - 22.00</t>
        </r>
      </text>
    </comment>
    <comment ref="AB69" authorId="1" shapeId="0" xr:uid="{C8FC5A6B-244B-40CB-8E32-20DDD246D2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15.00 - 22.00</t>
        </r>
      </text>
    </comment>
    <comment ref="AC69" authorId="1" shapeId="0" xr:uid="{47CAAC27-1A94-4F78-BB59-57FDC8AC561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15.00 - 22.00</t>
        </r>
      </text>
    </comment>
    <comment ref="I70" authorId="1" shapeId="0" xr:uid="{CE453C65-8E2C-497D-AE76-46CEE14126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Ekstra aftenvagt 16.00-24.00
Hjælpe med at trække nøgler.</t>
        </r>
      </text>
    </comment>
    <comment ref="N70" authorId="1" shapeId="0" xr:uid="{7CBC0D0D-6AA0-4883-B186-64FB34910A7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Ekstra aftenvagt 16.00-24.00
Hjælpe med at trække nøgler.</t>
        </r>
      </text>
    </comment>
    <comment ref="W70" authorId="6" shapeId="0" xr:uid="{7E785100-C326-4B53-BBAB-5F466102E802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E-vagt på OA</t>
        </r>
      </text>
    </comment>
    <comment ref="U71" authorId="1" shapeId="0" xr:uid="{A794D4B4-C020-4529-A5AF-4510FEE6AA8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Skal blive på Rentemestervej til kl. 22.00</t>
        </r>
      </text>
    </comment>
    <comment ref="F72" authorId="4" shapeId="0" xr:uid="{82C5CCE2-ADDD-40DA-BE13-D13A89AFC429}">
      <text>
        <r>
          <rPr>
            <b/>
            <sz val="9"/>
            <color indexed="81"/>
            <rFont val="Tahoma"/>
            <charset val="1"/>
          </rPr>
          <t>Steen Hertin-Sandkær: Cabinn Copenhagen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H72" authorId="4" shapeId="0" xr:uid="{39B4603F-A242-44F3-BFEA-5D2496424F07}">
      <text>
        <r>
          <rPr>
            <b/>
            <sz val="9"/>
            <color indexed="81"/>
            <rFont val="Tahoma"/>
            <charset val="1"/>
          </rPr>
          <t>Steen Hertin-Sandkær: Cabinn Copenhagen</t>
        </r>
        <r>
          <rPr>
            <sz val="9"/>
            <color indexed="81"/>
            <rFont val="Tahoma"/>
            <charset val="1"/>
          </rPr>
          <t xml:space="preserve">
Arni Magnussongade 1 kl. 08.00-15.00</t>
        </r>
      </text>
    </comment>
    <comment ref="O72" authorId="1" shapeId="0" xr:uid="{898CF5DF-20F4-45E3-B13E-9C4C1CD38E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R72" authorId="4" shapeId="0" xr:uid="{054FACAF-0BF0-4809-9290-2CCA4942A82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S72" authorId="4" shapeId="0" xr:uid="{C0481C86-2C5F-4D06-BDAE-329F6469D49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08.00-15.00 OA</t>
        </r>
      </text>
    </comment>
    <comment ref="V72" authorId="1" shapeId="0" xr:uid="{4C3BE3DB-48A1-4C85-800B-C4B9E3FFC6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</t>
        </r>
      </text>
    </comment>
    <comment ref="C73" authorId="4" shapeId="0" xr:uid="{42AD322F-750B-4231-8EF5-50A5718B59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C74" authorId="4" shapeId="0" xr:uid="{2CE5C69C-A511-4F06-B824-11093EFB5E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C76" authorId="1" shapeId="0" xr:uid="{D013C318-7FD5-4F27-B27C-2CF4F76A98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Arni Magnussons gade 1 kl 08.00-15.00 </t>
        </r>
      </text>
    </comment>
    <comment ref="E76" authorId="1" shapeId="0" xr:uid="{78EB7F1E-3516-487A-855A-EB20BA85ED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F76" authorId="1" shapeId="0" xr:uid="{362C4B9D-0D88-40E2-AC62-7550D26218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OA</t>
        </r>
      </text>
    </comment>
    <comment ref="G76" authorId="1" shapeId="0" xr:uid="{C095AFC3-182C-4D09-90CD-9D1FEE31CB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kl. 08-15</t>
        </r>
      </text>
    </comment>
    <comment ref="H76" authorId="1" shapeId="0" xr:uid="{EB1A9D6D-C093-4496-8A31-2DDA16059B8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OA</t>
        </r>
      </text>
    </comment>
    <comment ref="J76" authorId="4" shapeId="0" xr:uid="{AC62A5C4-DE2B-4C94-8248-ED853C14877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08-15 på Copenhagen</t>
        </r>
      </text>
    </comment>
    <comment ref="L76" authorId="4" shapeId="0" xr:uid="{A331D586-39B7-4351-9E2C-E0EBC9B139E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M76" authorId="4" shapeId="0" xr:uid="{F63EFCA6-4BDF-4EB7-955B-09F8B51F481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O76" authorId="4" shapeId="0" xr:uid="{21974385-6673-4658-8F08-5E5EE5CC9C2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U76" authorId="4" shapeId="0" xr:uid="{C24C55DE-C2D4-4ADC-A7DA-D0279D69AC72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AD76" authorId="1" shapeId="0" xr:uid="{A0836499-C76B-41EB-8137-1C60E5D127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OA</t>
        </r>
      </text>
    </comment>
    <comment ref="AE76" authorId="1" shapeId="0" xr:uid="{AB5BAF86-314C-485E-A031-474FA9A8CB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08-15 OA</t>
        </r>
      </text>
    </comment>
    <comment ref="AG76" authorId="4" shapeId="0" xr:uid="{EFE9DB87-6FEB-4710-99D1-2C41C5FB729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L110" authorId="2" shapeId="0" xr:uid="{E01FF28F-45C3-41E2-8523-84E19A53A1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Z110" authorId="2" shapeId="0" xr:uid="{770CACD5-99EF-4BFF-A10D-B288782E116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C129" authorId="1" shapeId="0" xr:uid="{B10C8207-F8C5-4238-960B-4C09D53220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Møders osm i1</t>
        </r>
      </text>
    </comment>
    <comment ref="I130" authorId="0" shapeId="0" xr:uid="{454FCE0D-48DE-4F35-B520-A04C6D0C311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16-</t>
        </r>
      </text>
    </comment>
    <comment ref="K130" authorId="7" shapeId="0" xr:uid="{2A43170D-8A1F-48C2-9C2C-6835C070907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Udstilling i Hallen på OA 9,30-13,30</t>
        </r>
      </text>
    </comment>
    <comment ref="D131" authorId="7" shapeId="0" xr:uid="{35171AC6-3724-482A-BE58-9BA69538DC8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Udstilling i Hallen på OA 9,30-13,30</t>
        </r>
      </text>
    </comment>
    <comment ref="H131" authorId="0" shapeId="0" xr:uid="{FAC19BE6-763E-44DA-8BC0-815F852827F2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Arrangenent på OA kl. 16-21</t>
        </r>
      </text>
    </comment>
    <comment ref="I131" authorId="0" shapeId="0" xr:uid="{025CA76E-F59E-46AF-98D0-42518FB27E01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16-</t>
        </r>
      </text>
    </comment>
    <comment ref="R131" authorId="0" shapeId="0" xr:uid="{9E2B5A20-812A-400D-A77B-04AA8353456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V131" authorId="1" shapeId="0" xr:uid="{BB5C080B-950F-49A1-BF55-619B6D46FC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W131" authorId="1" shapeId="0" xr:uid="{48BB3C3C-97B5-4B4F-9489-7FCB5E413F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X131" authorId="1" shapeId="0" xr:uid="{3AA3E5E0-9463-46E4-8C51-0EF7829D73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 + Cabinn Copenhagen på OA 15-22</t>
        </r>
      </text>
    </comment>
    <comment ref="Y131" authorId="1" shapeId="0" xr:uid="{A7F932D8-E833-4B64-908E-FECC64CA1B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Copenhagen 08-?</t>
        </r>
      </text>
    </comment>
    <comment ref="H132" authorId="0" shapeId="0" xr:uid="{F9583449-3BE5-4B31-AE33-803759B962B9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Arrangenent på OA kl. 16,30-21</t>
        </r>
      </text>
    </comment>
    <comment ref="I132" authorId="0" shapeId="0" xr:uid="{F4962971-FE47-4735-9621-52C8C49A391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16,30-</t>
        </r>
      </text>
    </comment>
    <comment ref="R132" authorId="0" shapeId="0" xr:uid="{6565906E-FB3C-4842-8D86-69078C16D43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D133" authorId="4" shapeId="0" xr:uid="{0B57F577-6828-4496-B24B-8584A0F2EA9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H133" authorId="0" shapeId="0" xr:uid="{51319745-BEA7-4278-B4F0-00F1BEEBC075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Arrangenent på OA kl. 15,30-21</t>
        </r>
      </text>
    </comment>
    <comment ref="I133" authorId="0" shapeId="0" xr:uid="{C0AE3553-B961-4C2B-A737-E9634AF04DEE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15,30-</t>
        </r>
      </text>
    </comment>
    <comment ref="K133" authorId="4" shapeId="0" xr:uid="{D6DB39D8-7F0A-4B8A-AA40-C89F1F034D0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Bellahøjhallen 15.00 - 23.30</t>
        </r>
      </text>
    </comment>
    <comment ref="L133" authorId="4" shapeId="0" xr:uid="{84645F75-2137-4BA9-9F65-9FC173C4055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Bellahøjhallen 15.00 - 23.30</t>
        </r>
      </text>
    </comment>
    <comment ref="R133" authorId="4" shapeId="0" xr:uid="{DB5C6A7D-92D5-4004-AB5F-7CDA7546E2E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S133" authorId="4" shapeId="0" xr:uid="{8846BBCA-936F-4B4A-914E-0FBBCDFD245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Arni Magnussongade 1 kl. 15.00-22.00 OA</t>
        </r>
      </text>
    </comment>
    <comment ref="AA133" authorId="1" shapeId="0" xr:uid="{67AB42A7-7126-4C5E-989F-2EE888E46E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søndag aften i Kødbyen 21.30 - 05.15 APV Møder ikke mandag på RH. Cabin copenhagen 15-22</t>
        </r>
      </text>
    </comment>
    <comment ref="AB133" authorId="1" shapeId="0" xr:uid="{C0DB953B-68AB-4D8F-9C32-778EB67D44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AC133" authorId="1" shapeId="0" xr:uid="{228838DF-018B-46F4-A586-BD9A1CC693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AD133" authorId="1" shapeId="0" xr:uid="{84B96C24-A3FA-4EB8-836D-CFDCB92DE0E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Oplæring Rundviser</t>
        </r>
      </text>
    </comment>
    <comment ref="N146" authorId="1" shapeId="0" xr:uid="{043EA109-2207-4963-BC69-D420164CCC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N147" authorId="1" shapeId="0" xr:uid="{46D69ADE-A8B0-49AC-8298-5DB0FF01FB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N148" authorId="1" shapeId="0" xr:uid="{EF62ADEB-784A-4B69-BAE2-DA01359E88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I149" authorId="1" shapeId="0" xr:uid="{9997A58A-9001-43D0-A868-46FE0685C54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I150" authorId="1" shapeId="0" xr:uid="{1DAE2A2A-2CA0-4497-B399-9E8D0E7C0DA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I151" authorId="1" shapeId="0" xr:uid="{67AB885B-7509-4515-A679-5D8D6686A2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GRUS i kødbyen kl. 21.00</t>
        </r>
      </text>
    </comment>
    <comment ref="F162" authorId="0" shapeId="0" xr:uid="{18F96162-AC17-4766-84B5-DAD9918A5867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H162" authorId="0" shapeId="0" xr:uid="{42CC595A-89E3-429E-8C3B-0C793D75D564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62" authorId="0" shapeId="0" xr:uid="{AEE7FD53-4CAF-4100-B178-06F72563A9C5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kl.15,30-</t>
        </r>
      </text>
    </comment>
    <comment ref="U162" authorId="0" shapeId="0" xr:uid="{BB0732CB-62F2-4170-BCED-74DE8452B8EF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162" authorId="0" shapeId="0" xr:uid="{A2D26742-9EC4-4384-9AC6-9BA0FB57477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A162" authorId="0" shapeId="0" xr:uid="{C27B4661-3337-490B-AEC0-D840A42797C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162" authorId="0" shapeId="0" xr:uid="{6CABEB77-E428-4CB3-B896-F6BD832FCF91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67" authorId="0" shapeId="0" xr:uid="{F41D0060-F2A0-446F-93E2-0589422E64D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BR-Møde på OA kl. 15,15-</t>
        </r>
      </text>
    </comment>
    <comment ref="Q167" authorId="1" shapeId="0" xr:uid="{46F6CE4F-EC57-49EA-A8C4-E5EC929BF70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R167" authorId="1" shapeId="0" xr:uid="{342D7AAD-2790-4EAD-8F11-502108F7AC1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T167" authorId="1" shapeId="0" xr:uid="{51308F7F-82B3-4FAB-B6EC-6F8744FAAF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G189" authorId="1" shapeId="0" xr:uid="{6FAD89C6-548C-4850-AF38-2DCB1F345E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flex</t>
        </r>
      </text>
    </comment>
    <comment ref="D190" authorId="1" shapeId="0" xr:uid="{F75F99D9-8908-4D6F-8DEF-8BD3215146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T190" authorId="1" shapeId="0" xr:uid="{E7317AB1-7A7A-47FB-8590-93FD56355E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</t>
        </r>
      </text>
    </comment>
    <comment ref="U190" authorId="2" shapeId="0" xr:uid="{70E8BABD-0F67-425F-9F61-65D11A58D6B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ferie slettet </t>
        </r>
      </text>
    </comment>
    <comment ref="W190" authorId="2" shapeId="0" xr:uid="{3BE17E81-EBC3-4017-BA4D-6C5CE7EEEF2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RH hele dagen </t>
        </r>
      </text>
    </comment>
    <comment ref="F191" authorId="1" shapeId="0" xr:uid="{E0B80521-837A-4F6C-8AB3-021736231A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OA</t>
        </r>
      </text>
    </comment>
    <comment ref="V192" authorId="2" shapeId="0" xr:uid="{B0DFE81E-D444-47A7-BA82-AA996FB8790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Hospital </t>
        </r>
      </text>
    </comment>
    <comment ref="AC193" authorId="6" shapeId="0" xr:uid="{126AD839-F214-416F-9F52-222252FB994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Går kl 12:30.</t>
        </r>
      </text>
    </comment>
    <comment ref="U194" authorId="1" shapeId="0" xr:uid="{659C511F-5215-40BE-A249-949FF54FD57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Ferie flyttet.</t>
        </r>
      </text>
    </comment>
    <comment ref="D196" authorId="7" shapeId="0" xr:uid="{71BE6368-DD0B-42F2-9873-C329768F6F76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Udstilling i Hallen på OA 9,30-13,30</t>
        </r>
      </text>
    </comment>
    <comment ref="K196" authorId="7" shapeId="0" xr:uid="{D030D89A-5C58-4794-A0DD-F0AC95C90E0E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Udstilling i Hallen på OA 9,30-13,30</t>
        </r>
      </text>
    </comment>
    <comment ref="G220" authorId="7" shapeId="0" xr:uid="{21C2B57C-B820-4E9C-A302-05B8A6567208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afs</t>
        </r>
      </text>
    </comment>
    <comment ref="J220" authorId="1" shapeId="0" xr:uid="{3AE48506-C4FD-413E-8AFE-F08D814D88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Q220" authorId="1" shapeId="0" xr:uid="{E6A08CBC-13E2-4F46-886E-79ACF4A1B4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R220" authorId="1" shapeId="0" xr:uid="{4689662B-8062-4362-B886-009A2D1A4E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T220" authorId="1" shapeId="0" xr:uid="{47DA2EB0-AF0F-47A4-863F-B6ADF24067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08.00-15.00</t>
        </r>
      </text>
    </comment>
    <comment ref="D221" authorId="1" shapeId="0" xr:uid="{D40EA6A3-D13D-4452-9B3F-10AB3716FA2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8-22</t>
        </r>
      </text>
    </comment>
    <comment ref="E221" authorId="1" shapeId="0" xr:uid="{6E9A8991-C0A4-45B2-93AC-A86FC5F0830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</t>
        </r>
      </text>
    </comment>
    <comment ref="G221" authorId="1" shapeId="0" xr:uid="{3CD2D73D-2708-483F-8E74-17D5C5AA1B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15-22 på OA</t>
        </r>
      </text>
    </comment>
    <comment ref="K221" authorId="1" shapeId="0" xr:uid="{B09D8C25-E218-4D3C-97ED-01F7CE145A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Copenhagen 15.00-22.00</t>
        </r>
      </text>
    </comment>
    <comment ref="L221" authorId="1" shapeId="0" xr:uid="{A35AE6EE-09E7-4293-9D66-62A63F44CE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M221" authorId="1" shapeId="0" xr:uid="{FF45F3A8-DD55-4F3B-9FA1-33C345DB09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 på OA</t>
        </r>
      </text>
    </comment>
    <comment ref="N221" authorId="1" shapeId="0" xr:uid="{5B93D060-C3E3-434A-A89E-4F4DF1631F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 på OA</t>
        </r>
      </text>
    </comment>
    <comment ref="O221" authorId="1" shapeId="0" xr:uid="{AFA92AA1-0A2B-4F63-863C-9B07A5DF87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 på OA</t>
        </r>
      </text>
    </comment>
    <comment ref="R221" authorId="1" shapeId="0" xr:uid="{DB06D59D-E8EF-4B36-ADFB-1CFD0A9A97E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</t>
        </r>
      </text>
    </comment>
    <comment ref="S221" authorId="1" shapeId="0" xr:uid="{D3C7F142-88F5-44CD-A0A2-178847EF483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</t>
        </r>
      </text>
    </comment>
    <comment ref="T221" authorId="1" shapeId="0" xr:uid="{11EC071B-ADFF-448D-8058-B4DA5311E5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</t>
        </r>
      </text>
    </comment>
    <comment ref="U221" authorId="1" shapeId="0" xr:uid="{CF850046-D4BD-488D-B2BD-62C9EAE73F1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15-22 på OA</t>
        </r>
      </text>
    </comment>
    <comment ref="Y221" authorId="1" shapeId="0" xr:uid="{55BC3125-33AE-4EE6-99F2-0C1E27C256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Z221" authorId="1" shapeId="0" xr:uid="{CA1A3E8D-37FA-4F5F-9014-94A1AA9CFBB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08.00-22.00 OA</t>
        </r>
      </text>
    </comment>
    <comment ref="AF221" authorId="1" shapeId="0" xr:uid="{A3BA060A-3D7B-4A7F-A284-8553D6ACAD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08.00-15.00</t>
        </r>
      </text>
    </comment>
    <comment ref="AG221" authorId="1" shapeId="0" xr:uid="{1C238D6F-6B6A-4346-8AD3-9017CEC766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Cabinn metro 08.00-15.00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Steen Hertin</author>
    <author>Steen Hertin-Sandkær</author>
    <author>Mathias Hartvig Morell Nielsen</author>
    <author>Michael Bo Pedersen</author>
    <author>Nikolaj Langtin Pamhede</author>
    <author>tc={5EAF535D-6F56-40F7-93EB-9E6D0B55C47A}</author>
    <author>tc={7BD03921-5A37-435C-B6BF-F505E8634249}</author>
    <author>tc={617CF488-B950-4EAD-AE3E-44076778F8B9}</author>
    <author>tc={FCC22D96-3269-42BE-BB27-A1B7612F9F0A}</author>
    <author>tc={7FECEF8C-4A47-4DA0-942B-CB5189DDADAD}</author>
    <author>tc={716CDDC7-B346-4262-8155-6332FFD7ACBE}</author>
    <author>tc={9F14BE8A-4F8C-4ADB-A508-DBA1D4124094}</author>
    <author>Kim Holm Aabroe</author>
    <author>tc={5F8A42DA-4819-4BB8-A36D-6A7C4916E1FD}</author>
    <author>tc={E6D009A0-4B89-4F34-9A1F-FC78B3A7A892}</author>
    <author>tc={0BF9A0C2-A3E4-4A82-AFD1-C767BA1A6DE7}</author>
    <author>Marianne Rasmussen</author>
    <author>tc={B772CECE-20C4-4A52-87B3-FBA5792EE482}</author>
    <author>tc={62243F12-A9AD-4684-A3EE-E99E83FA0161}</author>
    <author>marasm</author>
    <author>tc={BD5C5A99-CCD5-48C9-8B51-1384E7B12EC5}</author>
    <author>tc={5EF163ED-E5F8-4693-9014-26E6DAE1B280}</author>
  </authors>
  <commentList>
    <comment ref="F12" authorId="0" shapeId="0" xr:uid="{657EA01A-B0D8-4B29-8C41-1BD1F3B18E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2" authorId="1" shapeId="0" xr:uid="{5BDF98E0-F486-425F-ABCE-9AE5FE60F6F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12" authorId="1" shapeId="0" xr:uid="{602EA656-B840-415F-A432-EF999A9D158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J15" authorId="0" shapeId="0" xr:uid="{4E11DD35-B7D7-476D-A2B8-CD54BB08299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K15" authorId="0" shapeId="0" xr:uid="{0EDD02DD-41D0-4F25-B936-2BF4EBC971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L15" authorId="0" shapeId="0" xr:uid="{8CA55E4C-4F0B-45BB-81AB-A4B585AB0D8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M15" authorId="0" shapeId="0" xr:uid="{C3CFF8B2-5C8D-4E43-8A0E-053E0FA8CF7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C20" authorId="1" shapeId="0" xr:uid="{AF3CDF2D-2FA8-491C-BF0E-1BD41CA6BBE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 Fuglebakken </t>
        </r>
      </text>
    </comment>
    <comment ref="Q20" authorId="2" shapeId="0" xr:uid="{C4847B3D-813C-466F-ACF7-2FA5527D89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Forberedelse valg.</t>
        </r>
      </text>
    </comment>
    <comment ref="S20" authorId="2" shapeId="0" xr:uid="{D4F5E267-AC48-43FF-9CF7-6AFA7085CD6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Lokomativhallen</t>
        </r>
      </text>
    </comment>
    <comment ref="C21" authorId="1" shapeId="0" xr:uid="{98F25D7E-FEDD-401F-97C4-8A9E45745F8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 Fuglebakken </t>
        </r>
      </text>
    </comment>
    <comment ref="D21" authorId="1" shapeId="0" xr:uid="{CC9D6396-D42C-4107-8CC4-112FD2D501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RH</t>
        </r>
      </text>
    </comment>
    <comment ref="F21" authorId="1" shapeId="0" xr:uid="{CCC224A0-15F5-43F4-98FB-0CBB70D2B19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RH</t>
        </r>
      </text>
    </comment>
    <comment ref="J21" authorId="1" shapeId="0" xr:uid="{19290EF5-EB3D-4368-A46C-944BC6DAEEB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+ 5</t>
        </r>
      </text>
    </comment>
    <comment ref="Q21" authorId="1" shapeId="0" xr:uid="{F43FA88A-C5BD-44D6-9543-3866EE2DBE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
HNG fra kl. 13</t>
        </r>
      </text>
    </comment>
    <comment ref="R21" authorId="1" shapeId="0" xr:uid="{EAD1E8A6-3BDA-40FF-80EC-7EC693A5004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21" authorId="1" shapeId="0" xr:uid="{076B0A51-24F6-4E86-AE3A-57951956B1F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T21" authorId="1" shapeId="0" xr:uid="{1CF63A71-FFF8-4A8A-B17E-4C7130939F3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U21" authorId="1" shapeId="0" xr:uid="{4D084759-4DEB-4E3C-A34D-326716789F9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X21" authorId="1" shapeId="0" xr:uid="{F8A4B69D-1896-4CD6-BECE-BFA91DDD638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fra 11:30</t>
        </r>
      </text>
    </comment>
    <comment ref="Y21" authorId="1" shapeId="0" xr:uid="{1AD5BB5F-007A-4872-AAC6-BCEE3F065EA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fra kl 12:30</t>
        </r>
      </text>
    </comment>
    <comment ref="Z21" authorId="1" shapeId="0" xr:uid="{535AA2A4-AC0F-4F88-9205-D2644AEE47D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møder kl. 12 </t>
        </r>
      </text>
    </comment>
    <comment ref="AE21" authorId="3" shapeId="0" xr:uid="{26A031B0-0424-495B-945B-3E3607CF6B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1" authorId="3" shapeId="0" xr:uid="{A890F024-F077-4E49-A5FC-1B9C608AAB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+5</t>
        </r>
      </text>
    </comment>
    <comment ref="K22" authorId="4" shapeId="0" xr:uid="{C084A5A6-CB2E-4BF1-A92E-6C73E2499D62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+2</t>
        </r>
      </text>
    </comment>
    <comment ref="X22" authorId="3" shapeId="0" xr:uid="{AF4F2337-7443-48EB-8568-A9842A84C5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OA Peder Lykke centret  14.30-20.30</t>
        </r>
      </text>
    </comment>
    <comment ref="Y22" authorId="3" shapeId="0" xr:uid="{54A4B175-F392-418C-9C41-E7C455B42A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OA Peder Lykke centret  14.30-20.30</t>
        </r>
      </text>
    </comment>
    <comment ref="Z22" authorId="3" shapeId="0" xr:uid="{F112FA21-1C42-4BB4-93E2-E8DB8F3866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A22" authorId="3" shapeId="0" xr:uid="{58183A0E-57BC-4AB8-AD2C-379BBC2BEE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B22" authorId="3" shapeId="0" xr:uid="{BDD8B476-0C32-4063-BE67-D9ED2A21A2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E22" authorId="3" shapeId="0" xr:uid="{5C8E75C6-4B05-4D08-801B-809285621C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2" authorId="4" shapeId="0" xr:uid="{92FEE537-0E9A-4F96-8D03-6F1FFD1CD2A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I24" authorId="5" shapeId="0" xr:uid="{9AA26402-5E6D-454B-84A6-0811AAC54E93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fra 14.30-20.30</t>
        </r>
      </text>
    </comment>
    <comment ref="N24" authorId="6" shapeId="0" xr:uid="{E308E329-F0A0-40CD-8F35-1DEE0AE7CA2C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14:30- ?
Rentemester vej på OA</t>
        </r>
      </text>
    </comment>
    <comment ref="R24" authorId="0" shapeId="0" xr:uid="{013CF195-065D-4FA9-A1A1-4142795B0FD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Valg</t>
        </r>
      </text>
    </comment>
    <comment ref="S24" authorId="2" shapeId="0" xr:uid="{2E1DCA3E-C605-43A1-ACB3-0FE6E45FA8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Lokomativhallen</t>
        </r>
      </text>
    </comment>
    <comment ref="W24" authorId="5" shapeId="0" xr:uid="{B6AD6D11-05D5-4F18-9B2E-619BB5ED19B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fra kl. 17.00</t>
        </r>
      </text>
    </comment>
    <comment ref="N25" authorId="2" shapeId="0" xr:uid="{2D5432EE-E782-4DFC-A4F7-B9448BC7A5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Mjølnerparken kl.08.00</t>
        </r>
      </text>
    </comment>
    <comment ref="S25" authorId="2" shapeId="0" xr:uid="{D6D32420-3A24-40AE-9E51-EB55077E91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P-vagt fra kl. 13.00 Sendes fra Lokmotivhallen.</t>
        </r>
      </text>
    </comment>
    <comment ref="C37" authorId="7" shapeId="0" xr:uid="{5EAF535D-6F56-40F7-93EB-9E6D0B55C47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S-vagt på OA</t>
      </text>
    </comment>
    <comment ref="D37" authorId="8" shapeId="0" xr:uid="{7BD03921-5A37-435C-B6BF-F505E863424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S-vagt på OA</t>
      </text>
    </comment>
    <comment ref="F37" authorId="9" shapeId="0" xr:uid="{617CF488-B950-4EAD-AE3E-44076778F8B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N-vagt, Svanevej på OA</t>
      </text>
    </comment>
    <comment ref="I37" authorId="10" shapeId="0" xr:uid="{FCC22D96-3269-42BE-BB27-A1B7612F9F0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21-vagt på OA (Kødbyen)</t>
      </text>
    </comment>
    <comment ref="R37" authorId="0" shapeId="0" xr:uid="{9FBCFE2C-E188-400F-9A3D-DC092B9A913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Valgsted</t>
        </r>
      </text>
    </comment>
    <comment ref="S37" authorId="1" shapeId="0" xr:uid="{951C4F11-FC30-4D8F-8241-12C7E1DE2F8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L38" authorId="11" shapeId="0" xr:uid="{7FECEF8C-4A47-4DA0-942B-CB5189DDADA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Vagthavende</t>
      </text>
    </comment>
    <comment ref="M38" authorId="12" shapeId="0" xr:uid="{716CDDC7-B346-4262-8155-6332FFD7ACB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Vagthavende</t>
      </text>
    </comment>
    <comment ref="Q38" authorId="1" shapeId="0" xr:uid="{18091D87-4D18-4489-AC26-9C290821E1F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HNG fra kl. 13 </t>
        </r>
      </text>
    </comment>
    <comment ref="R38" authorId="1" shapeId="0" xr:uid="{69ECA9B4-6C13-445D-A701-9C62B90249C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38" authorId="1" shapeId="0" xr:uid="{1BEE58A3-93BF-43AC-8E26-78FC105A24A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Q39" authorId="4" shapeId="0" xr:uid="{B1B7CB5A-84D7-460A-B9DA-70205BB16E4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Til 14.30</t>
        </r>
      </text>
    </comment>
    <comment ref="U39" authorId="4" shapeId="0" xr:uid="{BD59923D-74E8-4D1D-9F79-46DE82FD2CE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Møder kl. 08.00</t>
        </r>
      </text>
    </comment>
    <comment ref="R41" authorId="2" shapeId="0" xr:uid="{A86DB601-96FE-4686-8CE5-FFA895ECA4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Presse </t>
        </r>
      </text>
    </comment>
    <comment ref="C42" authorId="1" shapeId="0" xr:uid="{F6114ACF-7BCB-4387-9FBF-F11E731D7A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E42" authorId="1" shapeId="0" xr:uid="{103CBA19-C993-4EFF-AF7F-9998123D51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G42" authorId="1" shapeId="0" xr:uid="{75E0BE08-3A97-4315-B22A-0DB08A9D9C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J42" authorId="1" shapeId="0" xr:uid="{2B51494D-1013-465F-ABAE-708142CDF0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L42" authorId="1" shapeId="0" xr:uid="{6D3AE065-6571-458A-AB60-7530DF8919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N42" authorId="1" shapeId="0" xr:uid="{5AC0B596-5A68-47EB-838C-2536D01A8E0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Q42" authorId="1" shapeId="0" xr:uid="{BAA70967-036B-4801-938F-5F40295929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S42" authorId="1" shapeId="0" xr:uid="{2828621E-4DAC-4AA8-BA5C-11C78E30D4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U42" authorId="1" shapeId="0" xr:uid="{594B5553-DB9C-4A70-9675-3CC4BCE9AF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 11-14
bagportsvagt</t>
        </r>
      </text>
    </comment>
    <comment ref="X42" authorId="1" shapeId="0" xr:uid="{E0F5ABC3-B234-4947-98BE-552839E60C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Z42" authorId="1" shapeId="0" xr:uid="{61FE6CCC-757B-4FF9-96D5-45E046571DE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B42" authorId="1" shapeId="0" xr:uid="{06C526E9-9F81-48E1-97EA-631772C585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A43" authorId="4" shapeId="0" xr:uid="{285A6919-D510-4C6F-8606-A736B6D6DB19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Hospital</t>
        </r>
      </text>
    </comment>
    <comment ref="K44" authorId="2" shapeId="0" xr:uid="{A9CA1747-EC49-4F6F-AE48-01BE04B7B8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H-vagt på OA.</t>
        </r>
      </text>
    </comment>
    <comment ref="R44" authorId="0" shapeId="0" xr:uid="{8710B66F-A7E6-442E-A153-67DCC3B4C582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Kl. 20.  til pressen</t>
        </r>
      </text>
    </comment>
    <comment ref="X44" authorId="2" shapeId="0" xr:uid="{11F25DFD-0B8B-4813-AABD-3D239846316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Arbejder som m-vagt</t>
        </r>
      </text>
    </comment>
    <comment ref="Y44" authorId="2" shapeId="0" xr:uid="{CBC545D2-EE61-4EFB-9422-2D659AFD65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Arbejder som m-vagt</t>
        </r>
      </text>
    </comment>
    <comment ref="Z44" authorId="2" shapeId="0" xr:uid="{DC0A013D-5DA6-455A-B2C1-F0626EF302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Arbejder som m-vagt</t>
        </r>
      </text>
    </comment>
    <comment ref="D45" authorId="13" shapeId="0" xr:uid="{9F14BE8A-4F8C-4ADB-A508-DBA1D412409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O-vagt på OA</t>
      </text>
    </comment>
    <comment ref="Q47" authorId="14" shapeId="0" xr:uid="{E782E6D4-D6B5-4D57-8FDD-7B751560BFA8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S-Vagt</t>
        </r>
      </text>
    </comment>
    <comment ref="R48" authorId="2" shapeId="0" xr:uid="{3BF20477-A95F-40F8-BAC0-6C5F3FC561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K49" authorId="2" shapeId="0" xr:uid="{2A6A63DE-FBC9-44EE-A6F7-44F63912DE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kl. 10.00 derefter på Rådhuset.</t>
        </r>
      </text>
    </comment>
    <comment ref="S61" authorId="2" shapeId="0" xr:uid="{76841DFD-8B6B-4D3F-BCD0-A15B426D45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T61" authorId="2" shapeId="0" xr:uid="{95D32EB2-4ACF-4721-9E52-361DE9D0954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3-vagt på OA.
Gået hjem kl. 14.00</t>
        </r>
      </text>
    </comment>
    <comment ref="X61" authorId="14" shapeId="0" xr:uid="{AB148A3B-CB41-475B-AFE2-68B5870381DC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89 OA</t>
        </r>
      </text>
    </comment>
    <comment ref="D62" authorId="15" shapeId="0" xr:uid="{5F8A42DA-4819-4BB8-A36D-6A7C4916E1F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P-vagt på OA</t>
      </text>
    </comment>
    <comment ref="E62" authorId="16" shapeId="0" xr:uid="{E6D009A0-4B89-4F34-9A1F-FC78B3A7A89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P-vagt på OA</t>
      </text>
    </comment>
    <comment ref="Q62" authorId="2" shapeId="0" xr:uid="{A382AC9B-48D1-4700-8238-25FCD3352D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Peter Lykke centret 14.30-2030</t>
        </r>
      </text>
    </comment>
    <comment ref="R62" authorId="1" shapeId="0" xr:uid="{462E5942-3FC0-4D0E-A298-AF01CD30F90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Halvt bud fra kl.16</t>
        </r>
      </text>
    </comment>
    <comment ref="X62" authorId="2" shapeId="0" xr:uid="{6284FEC0-54AB-4978-A917-390D798DAF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Tagensbo sklole 14.30-20.30</t>
        </r>
      </text>
    </comment>
    <comment ref="Z62" authorId="2" shapeId="0" xr:uid="{0144FC47-2B4F-47DA-A3BD-3F9B6302EB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</t>
        </r>
      </text>
    </comment>
    <comment ref="AA62" authorId="2" shapeId="0" xr:uid="{FAF59CDB-8DDF-46C6-8A01-2119897FC11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14.15-20.30. Møder på Rådhuset på OA fra 07.45-14.15</t>
        </r>
      </text>
    </comment>
    <comment ref="D63" authorId="17" shapeId="0" xr:uid="{0BF9A0C2-A3E4-4A82-AFD1-C767BA1A6DE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G-vagt på OA</t>
      </text>
    </comment>
    <comment ref="F63" authorId="18" shapeId="0" xr:uid="{F92598BE-AEC5-4838-9448-19E0C32C8A9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H vagt op oa</t>
        </r>
      </text>
    </comment>
    <comment ref="H63" authorId="19" shapeId="0" xr:uid="{B772CECE-20C4-4A52-87B3-FBA5792EE48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21-vagt på OA (Kødbyen)</t>
      </text>
    </comment>
    <comment ref="J63" authorId="5" shapeId="0" xr:uid="{6F5B6CF1-F2B5-4385-9909-230483AD812A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G vagt på OA</t>
        </r>
      </text>
    </comment>
    <comment ref="R63" authorId="1" shapeId="0" xr:uid="{AC415990-1C00-4FE1-AB90-34597A3592C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63" authorId="1" shapeId="0" xr:uid="{5DAC77AC-E951-4A63-9A7F-E42C93B3B09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U63" authorId="4" shapeId="0" xr:uid="{CA8716C9-9105-42C0-B7F2-FF7E884D3A9B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går 13.30</t>
        </r>
      </text>
    </comment>
    <comment ref="X63" authorId="3" shapeId="0" xr:uid="{BEAD0F52-9155-424A-BE56-E3C0EF27FC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OA Peder Lykke centret  14.30-20.30</t>
        </r>
      </text>
    </comment>
    <comment ref="AA63" authorId="2" shapeId="0" xr:uid="{F7F916EB-A836-4DB1-8DA1-0C221C4FA1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14.15-20.30</t>
        </r>
      </text>
    </comment>
    <comment ref="AE63" authorId="4" shapeId="0" xr:uid="{64DF3767-EB0D-4E32-B1F5-7B9F138089B5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99-vagt OA</t>
        </r>
      </text>
    </comment>
    <comment ref="C64" authorId="3" shapeId="0" xr:uid="{080332BD-C4FD-4499-9D95-036F198790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D64" authorId="3" shapeId="0" xr:uid="{B639469E-0C8D-472C-93A9-A3CACB3FB8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E64" authorId="3" shapeId="0" xr:uid="{9D7FD377-B6C6-473C-82EC-8FD65C28ED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F64" authorId="3" shapeId="0" xr:uid="{4E7093F3-8ACB-48F8-961E-C911BE18F8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G64" authorId="3" shapeId="0" xr:uid="{BC67009B-F7DC-4D3B-935D-1995B42638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4" authorId="3" shapeId="0" xr:uid="{AD1C656A-C869-4AFB-9EA2-CB860E8E5C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64" authorId="3" shapeId="0" xr:uid="{2A0AB1BE-6DEC-4E6C-814C-E085A6CBCE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64" authorId="3" shapeId="0" xr:uid="{BB68EE1B-B4E7-468B-A3B7-9145D80319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M64" authorId="3" shapeId="0" xr:uid="{8936FF1B-B007-45CE-BA54-622121905D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N64" authorId="3" shapeId="0" xr:uid="{190098B7-9FA9-4B92-A2C5-6A58E162FB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Q64" authorId="2" shapeId="0" xr:uid="{F1E96DAB-8A8E-401D-A6B3-2B8DD591CB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Hjemløseenheden kl. 12.45 OA</t>
        </r>
      </text>
    </comment>
    <comment ref="R64" authorId="2" shapeId="0" xr:uid="{E3E477AD-6940-48E1-B45D-CB57E739BF0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69-vagt på OA.</t>
        </r>
      </text>
    </comment>
    <comment ref="S64" authorId="2" shapeId="0" xr:uid="{D21DAD83-1DC6-4A85-AC10-E4507E4C0CE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3-vagt på OA.</t>
        </r>
      </text>
    </comment>
    <comment ref="X64" authorId="2" shapeId="0" xr:uid="{4FE59CEB-53BB-4494-ABA5-3F8BD4A0EE9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P-vagt på OA.</t>
        </r>
      </text>
    </comment>
    <comment ref="Y64" authorId="2" shapeId="0" xr:uid="{F47BE3D9-BF52-485A-9BE6-0FF665D46B5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P-vagt på OA.</t>
        </r>
      </text>
    </comment>
    <comment ref="Z64" authorId="2" shapeId="0" xr:uid="{48E6FC99-B027-4EB1-A1AF-E3EFB95A8E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P-vagt på OA.</t>
        </r>
      </text>
    </comment>
    <comment ref="K65" authorId="2" shapeId="0" xr:uid="{3BC6C3D9-76E0-4C78-B20D-CA5C08AE254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L65" authorId="2" shapeId="0" xr:uid="{F715D0DE-69A4-4076-89B1-FB68F765B2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R65" authorId="1" shapeId="0" xr:uid="{8A9146DA-2683-4D8D-AF3B-382F2F9ED2C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helt bud</t>
        </r>
      </text>
    </comment>
    <comment ref="S65" authorId="1" shapeId="0" xr:uid="{FACAE166-CA55-4FB1-A8B6-065EFBCF628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C67" authorId="2" shapeId="0" xr:uid="{77535FC7-51F4-4516-B379-3A5409CD6E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Modtagelse på Rådhuset. 08.15-15.49</t>
        </r>
      </text>
    </comment>
    <comment ref="D67" authorId="2" shapeId="0" xr:uid="{0024856F-5574-4C31-8D4D-40916F2281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I67" authorId="5" shapeId="0" xr:uid="{9F2042AB-749B-48D8-A563-53D846201759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A3 på OA</t>
        </r>
      </text>
    </comment>
    <comment ref="L67" authorId="20" shapeId="0" xr:uid="{62243F12-A9AD-4684-A3EE-E99E83FA016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11-vagt på OA</t>
      </text>
    </comment>
    <comment ref="R67" authorId="2" shapeId="0" xr:uid="{6ABC4112-F5EC-48B0-8476-0A45C85DF8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Peter Lykke centret 14.30-21.00 fortsætter på Thorvaldsens museum til kl. 07.00</t>
        </r>
      </text>
    </comment>
    <comment ref="X67" authorId="2" shapeId="0" xr:uid="{6B66DACF-CEEE-4FF6-9CAF-B3B17DC4E1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D-vagt på OA.</t>
        </r>
      </text>
    </comment>
    <comment ref="Z67" authorId="2" shapeId="0" xr:uid="{81C27F99-11A7-49E4-8482-78EFC94D05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08.00-13.30</t>
        </r>
      </text>
    </comment>
    <comment ref="AA67" authorId="2" shapeId="0" xr:uid="{3A61A5AB-F1FC-4718-9DDD-C6B332D5BA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H-vagt på OA.</t>
        </r>
      </text>
    </comment>
    <comment ref="C68" authorId="5" shapeId="0" xr:uid="{24085225-5D3F-45E0-BAAC-1A8387BB667A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Oa 15.30-17.00
Rentemestervej</t>
        </r>
      </text>
    </comment>
    <comment ref="I68" authorId="5" shapeId="0" xr:uid="{FBAA6249-F11E-487F-8677-146478CB14F7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26-vagt på OA
Rentemestervej fra 16.00-20.30 OA</t>
        </r>
      </text>
    </comment>
    <comment ref="K68" authorId="2" shapeId="0" xr:uid="{46F2AF93-0F90-4858-B62A-07C5E2F8B1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G-vagt på OA.</t>
        </r>
      </text>
    </comment>
    <comment ref="N68" authorId="6" shapeId="0" xr:uid="{CE427849-3625-4A5A-880C-DD62260BB208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14:30-?
Rentemestervej på OA</t>
        </r>
      </text>
    </comment>
    <comment ref="R68" authorId="5" shapeId="0" xr:uid="{EDBFD830-9097-41FD-BEE3-FD5A0A22764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Presse fra kl. 00.30</t>
        </r>
      </text>
    </comment>
    <comment ref="W68" authorId="5" shapeId="0" xr:uid="{1C70E782-7B08-47A7-8B85-23F370E9D648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fra kl 17.00</t>
        </r>
      </text>
    </comment>
    <comment ref="Z68" authorId="2" shapeId="0" xr:uid="{2CCE5C1E-5223-4BD1-856C-B372E6028FE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A68" authorId="2" shapeId="0" xr:uid="{8EB2BC3A-B579-475E-88F8-161370A149C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B68" authorId="2" shapeId="0" xr:uid="{3068BA34-A467-49F7-B095-3CFF895658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E68" authorId="3" shapeId="0" xr:uid="{DA715472-6B0E-47C3-A6E4-6005820FD2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Tagensboskole 14.15-20.30 OA</t>
        </r>
      </text>
    </comment>
    <comment ref="AF68" authorId="3" shapeId="0" xr:uid="{E183F351-D0C3-4362-9905-15BE74530F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71" authorId="2" shapeId="0" xr:uid="{DF1574F0-1679-40E6-988E-B5A61A319F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D71" authorId="2" shapeId="0" xr:uid="{9BCE5129-8556-40D6-9E7A-249F9B0E5B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E71" authorId="2" shapeId="0" xr:uid="{5E4DE4F6-A452-492C-AD5D-7494117D8FB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F71" authorId="2" shapeId="0" xr:uid="{C8FAA67E-3EEF-467C-9339-E7FD86093F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G71" authorId="2" shapeId="0" xr:uid="{06165671-546B-4B1D-BA7C-39F12C5587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Vaccinatincenter Rentemestervej 14.30-20.30</t>
        </r>
      </text>
    </comment>
    <comment ref="Q71" authorId="1" shapeId="0" xr:uid="{D59230E4-05F8-4C87-A26D-77E4B221FF3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til brevstemmer lokomotivhallen kl. 16:00-06:00</t>
        </r>
      </text>
    </comment>
    <comment ref="R71" authorId="1" shapeId="0" xr:uid="{616FEFD9-5916-4260-BF15-4D1FB62E47A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71" authorId="1" shapeId="0" xr:uid="{70E97434-776D-44A7-A28B-7D864AA2E9A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R72" authorId="1" shapeId="0" xr:uid="{7CE7A656-A80E-4C6E-9389-AB171935F07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halvt bud fra kl. 16</t>
        </r>
      </text>
    </comment>
    <comment ref="R73" authorId="18" shapeId="0" xr:uid="{274DE36F-5F61-4707-82A1-038FFA65E88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Valgsted</t>
        </r>
      </text>
    </comment>
    <comment ref="C75" authorId="2" shapeId="0" xr:uid="{3B24329E-8D07-4FC7-B0A6-582EAC78DA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D75" authorId="2" shapeId="0" xr:uid="{292FC501-F310-4247-95F7-253F85FAA7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E75" authorId="2" shapeId="0" xr:uid="{650916FE-4B5A-4112-A703-4084FB603F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F75" authorId="2" shapeId="0" xr:uid="{EE940EC5-FDCF-41CB-BB33-53E5A271E2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G75" authorId="2" shapeId="0" xr:uid="{0105BC9A-E06E-4F7D-984D-05A89FE5A3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R75" authorId="2" shapeId="0" xr:uid="{6F82E1EE-C50A-4EF6-ABA7-C40EC48EDD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Hovedport fra kl. 17.00</t>
        </r>
      </text>
    </comment>
    <comment ref="C76" authorId="14" shapeId="0" xr:uid="{E6C4F072-F021-421E-B15E-D30990436814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P-vagt OA</t>
        </r>
      </text>
    </comment>
    <comment ref="E76" authorId="5" shapeId="0" xr:uid="{305FF4F9-0912-428D-BA04-589977906A1F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21-vagt på OA</t>
        </r>
      </text>
    </comment>
    <comment ref="G76" authorId="4" shapeId="0" xr:uid="{F289AE34-B458-4F62-82D0-EF330AB8B8AF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21-vagt OA</t>
        </r>
      </text>
    </comment>
    <comment ref="H76" authorId="5" shapeId="0" xr:uid="{D18FFB57-21D0-4F08-86AB-E54CE1E6E498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07-14 på oa for A3</t>
        </r>
      </text>
    </comment>
    <comment ref="K76" authorId="2" shapeId="0" xr:uid="{9F1F2ADA-681F-43F0-8C4F-4814EC12C26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P76" authorId="1" shapeId="0" xr:uid="{AEE34FCA-BBE6-4275-91F5-4D2F3F23138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lokomotivværkstedet kl. 18-07</t>
        </r>
      </text>
    </comment>
    <comment ref="Q76" authorId="2" shapeId="0" xr:uid="{DB674FA8-01BC-47AF-A06C-EADABCA090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Peter Lykke centret 14.30-2030</t>
        </r>
      </text>
    </comment>
    <comment ref="R76" authorId="2" shapeId="0" xr:uid="{C82BFA89-5D46-45BF-945B-EF4B44255F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Peter Lykke centret 14.30-2030</t>
        </r>
      </text>
    </comment>
    <comment ref="S76" authorId="1" shapeId="0" xr:uid="{6794564A-99FA-4FA1-9B4C-6D040D7619F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T76" authorId="2" shapeId="0" xr:uid="{943B8499-9511-401E-91EA-6AC19EF857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U76" authorId="2" shapeId="0" xr:uid="{1F969DF9-DC86-4A9E-8BF7-7593FEFE60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Z76" authorId="2" shapeId="0" xr:uid="{4760AA0F-E489-44F9-B92F-5689775E54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AE76" authorId="2" shapeId="0" xr:uid="{C733AE96-57C0-4032-8D29-7313CBA47FC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Tagensboskole 14.15-20.30</t>
        </r>
      </text>
    </comment>
    <comment ref="C77" authorId="2" shapeId="0" xr:uid="{37D2BB7F-CC40-48BE-9A03-1E59D4CCBA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Modtagelse på Rådhuset. 08.15-15.49</t>
        </r>
      </text>
    </comment>
    <comment ref="F77" authorId="1" shapeId="0" xr:uid="{47E0372D-5237-486E-B256-03D9E09A366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9-18</t>
        </r>
      </text>
    </comment>
    <comment ref="J77" authorId="2" shapeId="0" xr:uid="{635B02FF-E474-4B9A-A0B7-544E0B46D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K77" authorId="2" shapeId="0" xr:uid="{4DC821FD-100C-4511-9BE8-E2EE15A6FD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L77" authorId="2" shapeId="0" xr:uid="{9A9B5C03-82F5-4750-AEB9-9119A4CFAF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M77" authorId="2" shapeId="0" xr:uid="{D8467A75-9CF5-4E90-A826-26AFCF0054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N77" authorId="2" shapeId="0" xr:uid="{E40AE7B7-C72E-4DF2-8754-80917D4D32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
G-vagt på OA</t>
        </r>
      </text>
    </comment>
    <comment ref="S77" authorId="1" shapeId="0" xr:uid="{F4B39D3B-F8DC-4531-8763-204DF9A10A5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T77" authorId="2" shapeId="0" xr:uid="{C5B4CDDA-DC9B-4A9B-8154-E571160C71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
fra kl. 15.00</t>
        </r>
      </text>
    </comment>
    <comment ref="U77" authorId="2" shapeId="0" xr:uid="{9CD4D4BF-AB42-4702-A642-7AD8BDFFEF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Z77" authorId="2" shapeId="0" xr:uid="{CC03526D-9DA9-4BD7-AC3B-B4014C0223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dagvagt.</t>
        </r>
      </text>
    </comment>
    <comment ref="J78" authorId="2" shapeId="0" xr:uid="{74C458C1-1E33-41E0-B836-5F4A718D0E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Z78" authorId="2" shapeId="0" xr:uid="{1363DE7C-E4EF-45BF-87B4-6FC3A92567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skal være i Griffenfeldsgade kl. 12.00
og afløse Erik.</t>
        </r>
      </text>
    </comment>
    <comment ref="G79" authorId="2" shapeId="0" xr:uid="{071292B4-DCCA-4C29-A526-F9E7F4314C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N79" authorId="2" shapeId="0" xr:uid="{1A1E11BB-FF4A-400C-86BE-83C9A5B14B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U79" authorId="2" shapeId="0" xr:uid="{698CD1BD-0960-480B-8FD0-FB09B8C8DB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X79" authorId="2" shapeId="0" xr:uid="{16D93143-23F5-46A4-B3FE-BD68CCB012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Y79" authorId="2" shapeId="0" xr:uid="{36F242F3-5798-4763-9BCF-6122D23FE61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B79" authorId="2" shapeId="0" xr:uid="{B73781B9-6408-4907-80CC-F0DA464480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79" authorId="2" shapeId="0" xr:uid="{B72CCC49-9650-4863-A03D-49FEAD1C6F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F79" authorId="2" shapeId="0" xr:uid="{C2D2389B-8949-4C72-80B8-548CBA3E03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E91" authorId="0" shapeId="0" xr:uid="{E3C1FA99-FC6C-402C-8F3F-B406B29BC52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AF91" authorId="0" shapeId="0" xr:uid="{C4D6625A-CBD4-4D36-A1D9-7C0E744C174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N105" authorId="6" shapeId="0" xr:uid="{9BF3BCED-6090-48A4-A955-F37BDC4E0B57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10 vagt på oa</t>
        </r>
      </text>
    </comment>
    <comment ref="Q105" authorId="4" shapeId="0" xr:uid="{726DE64A-3894-4DDF-93B6-87806EEA7B53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M-vagt OA</t>
        </r>
      </text>
    </comment>
    <comment ref="R105" authorId="4" shapeId="0" xr:uid="{96BF2FBD-A246-4D1E-A43D-9ACC4A273BF2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M-vagt OA</t>
        </r>
      </text>
    </comment>
    <comment ref="S105" authorId="4" shapeId="0" xr:uid="{BC77768B-AE5E-48D8-8546-929243BFFE9B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M-vagt + hjemmeløseenheden + rådhuset vagt OA</t>
        </r>
      </text>
    </comment>
    <comment ref="X105" authorId="5" shapeId="0" xr:uid="{AFD15D25-FE73-42EB-BEF4-F4C27B7D32F3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Tagens Bo Skole
14.30-20-30</t>
        </r>
      </text>
    </comment>
    <comment ref="Z105" authorId="2" shapeId="0" xr:uid="{6CA6AB65-2BD8-4904-ABDE-137FBEF5B2E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AA105" authorId="2" shapeId="0" xr:uid="{D75F542D-3C49-4C17-AE58-90F58BC875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AE105" authorId="2" shapeId="0" xr:uid="{BE465395-9153-48A7-8EB2-15DE096884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Peder Lykkecentret 08.15-13.30</t>
        </r>
      </text>
    </comment>
    <comment ref="I106" authorId="1" shapeId="0" xr:uid="{193ED58D-192F-47CA-838E-A06593CEB21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P106" authorId="1" shapeId="0" xr:uid="{2F9021B8-BE75-4763-9D22-031398CB4F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W106" authorId="1" shapeId="0" xr:uid="{12A29C47-1312-406C-9953-620D2D4726F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X106" authorId="5" shapeId="0" xr:uid="{FAAD7DFE-9251-4F43-823D-CD879226D74F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7-vagt på OA </t>
        </r>
      </text>
    </comment>
    <comment ref="AA106" authorId="2" shapeId="0" xr:uid="{675EFC88-C466-45A5-907F-4B7B280CA5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Tandlæge</t>
        </r>
      </text>
    </comment>
    <comment ref="AB106" authorId="2" shapeId="0" xr:uid="{C5F534B9-4D70-4BCA-850C-A87BE50904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kl. 15.00-23.30</t>
        </r>
      </text>
    </comment>
    <comment ref="AD106" authorId="1" shapeId="0" xr:uid="{E4719AA2-5160-4591-BF04-4CCEEAAB490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V129" authorId="2" shapeId="0" xr:uid="{DBE57DE0-E31C-4F47-88C0-0ECDB580F9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</t>
        </r>
      </text>
    </comment>
    <comment ref="AB129" authorId="2" shapeId="0" xr:uid="{0B4631F7-7EFB-4302-B16C-C0B41A18EA3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R158" authorId="1" shapeId="0" xr:uid="{4170B98D-46D9-4AFA-BCF1-5A07B1A59D0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158" authorId="21" shapeId="0" xr:uid="{AC0362AD-004D-44A5-B2D4-881D8B7456C8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Fintælling</t>
        </r>
      </text>
    </comment>
    <comment ref="T158" authorId="21" shapeId="0" xr:uid="{D46BF7E3-B281-4204-ADA2-4557D2C8DFA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Fintælling</t>
        </r>
      </text>
    </comment>
    <comment ref="R160" authorId="0" shapeId="0" xr:uid="{020680C9-AC03-41E1-9B4F-DB951209631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Valgsted</t>
        </r>
      </text>
    </comment>
    <comment ref="R163" authorId="1" shapeId="0" xr:uid="{BD0082A4-C0D2-473F-863E-907D7850012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163" authorId="21" shapeId="0" xr:uid="{BBD0B586-EF62-431C-AA95-88471F893D0B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Fintælling</t>
        </r>
      </text>
    </comment>
    <comment ref="T163" authorId="21" shapeId="0" xr:uid="{2A2D89E2-1FBE-45D9-B399-201BA1AFA518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Fintælling</t>
        </r>
      </text>
    </comment>
    <comment ref="U163" authorId="21" shapeId="0" xr:uid="{21FFABD7-A448-47E6-8B1A-77F91E209DF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Fintælling</t>
        </r>
      </text>
    </comment>
    <comment ref="J186" authorId="2" shapeId="0" xr:uid="{68484DBF-552B-4EEE-9821-29F787E0731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K186" authorId="2" shapeId="0" xr:uid="{1CD5E798-86B4-40BD-9A85-326134C03B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L186" authorId="2" shapeId="0" xr:uid="{C9F6A613-F59C-4583-8D8C-67F84C65A4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M186" authorId="2" shapeId="0" xr:uid="{C28B344F-E296-4FA7-94BF-216E25F5C52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R186" authorId="1" shapeId="0" xr:uid="{3BE51AC6-BC2A-4FA6-8491-AE5B1776311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Valgsted</t>
        </r>
      </text>
    </comment>
    <comment ref="S186" authorId="1" shapeId="0" xr:uid="{2736632B-EA92-43AE-A9E8-DA26F665EAA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X186" authorId="2" shapeId="0" xr:uid="{AFF16C77-581E-46C0-A3BE-A85196095E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AB186" authorId="2" shapeId="0" xr:uid="{3EC7F05F-8B32-4BBE-9AC1-39AC250406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</t>
        </r>
      </text>
    </comment>
    <comment ref="Q187" authorId="2" shapeId="0" xr:uid="{D1479FFD-983C-4F5F-931A-5CD034EDD9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R187" authorId="2" shapeId="0" xr:uid="{F91BBA21-5837-42FB-B1A0-36AAD0029B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Halvt bud.</t>
        </r>
      </text>
    </comment>
    <comment ref="X187" authorId="2" shapeId="0" xr:uid="{0C6E627E-B682-4528-A0F1-5F95961889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K188" authorId="2" shapeId="0" xr:uid="{A4A3D566-CE2D-4355-935A-79C56C47A6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Kommer først kl. 10.00</t>
        </r>
      </text>
    </comment>
    <comment ref="G189" authorId="1" shapeId="0" xr:uid="{FEB95F99-4A69-45A3-9ACB-DA7887A9E5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N189" authorId="1" shapeId="0" xr:uid="{339B0F14-F8C8-452F-8ACF-077B7440AB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C192" authorId="2" shapeId="0" xr:uid="{EA992551-EE92-481E-8E3D-07DDE358A8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D192" authorId="2" shapeId="0" xr:uid="{75FA80B3-A986-4D69-8FB9-240DC91C116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E192" authorId="2" shapeId="0" xr:uid="{D68D0420-B619-464B-803B-05BCCFE0B5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F192" authorId="2" shapeId="0" xr:uid="{983AA147-D81E-4085-B96E-D755FA59695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G192" authorId="2" shapeId="0" xr:uid="{5A771C23-1CCF-4D54-B536-29B83C10A53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J192" authorId="2" shapeId="0" xr:uid="{8060A432-A170-4A0D-81CD-816622025B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K192" authorId="2" shapeId="0" xr:uid="{5EF41135-1B17-4A9A-9252-B7CC06CE4E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L192" authorId="2" shapeId="0" xr:uid="{7E0DA0B4-A9EF-4575-B994-035575F2D6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M192" authorId="2" shapeId="0" xr:uid="{337FB6CE-E3C1-4D2D-B952-1893C73EBD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N192" authorId="2" shapeId="0" xr:uid="{28274900-A14A-4232-8A2B-2E46FD0639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Q192" authorId="2" shapeId="0" xr:uid="{766FAD5C-0758-4CF3-8BD8-9FE775E9D6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R192" authorId="2" shapeId="0" xr:uid="{7788A164-2EBC-4011-B6C2-948F9C2FA5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S192" authorId="2" shapeId="0" xr:uid="{E6D398F5-9588-4B01-A5F2-6DD5227FDF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T192" authorId="2" shapeId="0" xr:uid="{11DAC407-EF88-44A8-A32D-9D98301A7C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U192" authorId="2" shapeId="0" xr:uid="{53E25F74-983F-43B5-90CD-809E256B21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kørsel.</t>
        </r>
      </text>
    </comment>
    <comment ref="Y195" authorId="14" shapeId="0" xr:uid="{15A7A023-17AF-4518-AF88-5ECE0EADFC86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gået syg hjem</t>
        </r>
      </text>
    </comment>
    <comment ref="F196" authorId="2" shapeId="0" xr:uid="{575DB3B6-B997-4C26-AD08-C96FF0027B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13.00</t>
        </r>
      </text>
    </comment>
    <comment ref="S196" authorId="2" shapeId="0" xr:uid="{D8402CAC-693A-44DD-9694-FC6DEA9B45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13.00</t>
        </r>
      </text>
    </comment>
    <comment ref="G197" authorId="22" shapeId="0" xr:uid="{BD5C5A99-CCD5-48C9-8B51-1384E7B12EC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Ingen afløsning fredag 5-11-21</t>
      </text>
    </comment>
    <comment ref="G198" authorId="23" shapeId="0" xr:uid="{5EF163ED-E5F8-4693-9014-26E6DAE1B28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Ingen afløsning fredag 5-11-21</t>
      </text>
    </comment>
    <comment ref="E217" authorId="2" shapeId="0" xr:uid="{482D1911-863D-4C0A-B8C9-12B46372F4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F217" authorId="2" shapeId="0" xr:uid="{7EE23819-E48F-484A-82BE-66D1AEB32C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G217" authorId="21" shapeId="0" xr:uid="{D2BFF0C1-7C09-4BA6-B254-BD110DAA601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9,30-12 afs timer</t>
        </r>
      </text>
    </comment>
    <comment ref="R217" authorId="1" shapeId="0" xr:uid="{BFE57E61-4B37-457B-9DED-F693CE8FF09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 kl. 20</t>
        </r>
      </text>
    </comment>
    <comment ref="S217" authorId="1" shapeId="0" xr:uid="{DC90DC81-6CB1-46DE-AA10-FADCB554297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lokomotivhallen</t>
        </r>
      </text>
    </comment>
    <comment ref="Y217" authorId="3" shapeId="0" xr:uid="{012B3002-B779-4BDD-977E-71E04E1C96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OA Peder Lykke centret  14.30-20.30</t>
        </r>
      </text>
    </comment>
    <comment ref="R218" authorId="18" shapeId="0" xr:uid="{55C595ED-4723-49B5-94BE-B7C939733B45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Fintølling</t>
        </r>
      </text>
    </comment>
    <comment ref="S218" authorId="18" shapeId="0" xr:uid="{3B4A7A72-ADDA-47E6-B9CA-33AF10BF277E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Fintølling</t>
        </r>
      </text>
    </comment>
    <comment ref="E220" authorId="21" shapeId="0" xr:uid="{A43D1FF4-1EED-4ABF-BE7F-4CA5C6FA444E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- 3 timer FE</t>
        </r>
      </text>
    </comment>
    <comment ref="J220" authorId="2" shapeId="0" xr:uid="{45B9966E-961B-488C-957A-8F94CAF1202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K220" authorId="2" shapeId="0" xr:uid="{FD31673B-BDD3-4AC3-8D80-78B5920908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Vaccinatonncenter Korsgadehallen, Korsgade 29 kl. 14.30-20.30</t>
        </r>
      </text>
    </comment>
    <comment ref="L220" authorId="2" shapeId="0" xr:uid="{9B6BF79F-61F6-4727-85E0-9A4FECA60F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M220" authorId="2" shapeId="0" xr:uid="{F713616B-15C3-465A-B019-4461C88662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S221" authorId="18" shapeId="0" xr:uid="{C14A5561-A5A9-49E0-B805-B9EEB26365C5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Fintølling</t>
        </r>
      </text>
    </comment>
    <comment ref="S222" authorId="0" shapeId="0" xr:uid="{85B5B590-DA7B-4A84-875C-C4E416A0E75C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Valg</t>
        </r>
      </text>
    </comment>
    <comment ref="D278" authorId="21" shapeId="0" xr:uid="{9221F02E-C21B-4AEC-B8FB-663AA0F1909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- 4 timer afs</t>
        </r>
      </text>
    </comment>
    <comment ref="N278" authorId="18" shapeId="0" xr:uid="{A01C9A75-088E-4F9D-8744-DA3B414DFA5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- 3,5 time afs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Kim Holm Aabroe</author>
    <author>Steen Hertin-Sandkær</author>
    <author>Rasmus Sørensen</author>
    <author>Michael Bo Pedersen</author>
    <author>Nikolaj Langtin Pamhede</author>
    <author>tc={AB06E455-14BA-48AE-8391-7EC3060CD7A4}</author>
    <author>tc={CB48B2CF-EF75-49F9-A3B7-2D3923860F41}</author>
    <author>Flemming Nielsen</author>
    <author>Marianne Rasmussen</author>
    <author>marasm</author>
  </authors>
  <commentList>
    <comment ref="AC15" authorId="0" shapeId="0" xr:uid="{1B79FF0D-38C2-410E-8AF2-69C5A7E1E2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AD15" authorId="0" shapeId="0" xr:uid="{057BCA37-FBA0-4714-AEF9-8BDE8F5DB1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AE15" authorId="0" shapeId="0" xr:uid="{55224B24-F8F0-4438-9450-7CBF0541FB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AF15" authorId="0" shapeId="0" xr:uid="{73B63E52-7314-4036-9A6E-A82C1B2A817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AG15" authorId="1" shapeId="0" xr:uid="{B5DC42B6-C93C-4166-AD01-75672D43BA2B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omlagt tjeneste</t>
        </r>
      </text>
    </comment>
    <comment ref="I18" authorId="0" shapeId="0" xr:uid="{02B8E410-72EA-4FDB-9780-FC374D796E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1-VH på OA</t>
        </r>
      </text>
    </comment>
    <comment ref="C21" authorId="2" shapeId="0" xr:uid="{0FB439A6-BA04-4A51-A1C4-3C65499B61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ang. kongehuset
Københavns Museum på OA. 16-20:30</t>
        </r>
      </text>
    </comment>
    <comment ref="D21" authorId="2" shapeId="0" xr:uid="{EAD93270-D0B6-4282-8857-3B9416C422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
+3</t>
        </r>
      </text>
    </comment>
    <comment ref="E21" authorId="2" shapeId="0" xr:uid="{2EA6BAF3-2D74-4413-9F21-F1401E1A7B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
+1</t>
        </r>
      </text>
    </comment>
    <comment ref="H21" authorId="2" shapeId="0" xr:uid="{E6DD26FD-D8E4-4E43-A91F-ACAB02E09B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21" authorId="2" shapeId="0" xr:uid="{2FB5CEFF-73BC-40C9-9B54-6CA7258341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21" authorId="2" shapeId="0" xr:uid="{7DE6B7F4-8F97-4249-9745-87D650AF2E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21" authorId="2" shapeId="0" xr:uid="{FF95004C-020E-4E44-A7C0-B5E1B72D01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21" authorId="2" shapeId="0" xr:uid="{C65906DC-06EE-4074-BBF7-7C9B36BAE1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O21" authorId="2" shapeId="0" xr:uid="{24541CDF-1DE0-4856-A289-75B2F80B66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P21" authorId="3" shapeId="0" xr:uid="{48238DE5-2A60-42F2-8E44-6B59634842B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KP hele dagen 
Carlsbergbyen </t>
        </r>
      </text>
    </comment>
    <comment ref="Q21" authorId="2" shapeId="0" xr:uid="{2ABCACEA-D321-4816-8245-325576D94A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+ 3-vagt på OA</t>
        </r>
      </text>
    </comment>
    <comment ref="R21" authorId="2" shapeId="0" xr:uid="{1EAEF977-DD64-4D4A-9087-EEECEA8486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S21" authorId="2" shapeId="0" xr:uid="{B29B828A-F84A-4F86-BB10-C44395C00F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+ 3-vagt på OA</t>
        </r>
      </text>
    </comment>
    <comment ref="V21" authorId="3" shapeId="0" xr:uid="{9F081DB3-4379-4DB0-B291-62C7A07B031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betjentvagt</t>
        </r>
      </text>
    </comment>
    <comment ref="AC21" authorId="2" shapeId="0" xr:uid="{D029EDDC-6D89-4DDA-9B39-9218D5FAF2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21" authorId="2" shapeId="0" xr:uid="{F5F8EDE6-5FBA-49B1-9D33-6E59702369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21" authorId="2" shapeId="0" xr:uid="{90508635-3B7F-49DC-8245-703D3DBEBE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1" authorId="2" shapeId="0" xr:uid="{26DE256C-E5F6-4DA0-9E7B-3A7914E7E3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G21" authorId="2" shapeId="0" xr:uid="{EF86ACC4-76FC-4080-A574-7ED34A9E9D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22" authorId="2" shapeId="0" xr:uid="{B182004D-8088-427C-822B-BBD4434C6C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Københavns Museum på OA. 16-20:30</t>
        </r>
      </text>
    </comment>
    <comment ref="D22" authorId="2" shapeId="0" xr:uid="{BFFD4556-0270-4AFB-9F08-A99D9F4BC4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E22" authorId="2" shapeId="0" xr:uid="{2C9C82F9-8214-4166-AD2A-0520991DB2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22" authorId="2" shapeId="0" xr:uid="{D4EAAD90-EAA0-4D3C-BF3E-F72065172C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22" authorId="2" shapeId="0" xr:uid="{F2551540-3E6E-4923-8077-588140A6743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22" authorId="2" shapeId="0" xr:uid="{881E1FFC-477A-42D8-B258-781C432BC1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22" authorId="2" shapeId="0" xr:uid="{9417A8FF-BF0B-4BE2-BBE7-98756ABDAF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V22" authorId="2" shapeId="0" xr:uid="{ADFF3E01-2911-4E5E-A363-426EAAC0053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W22" authorId="2" shapeId="0" xr:uid="{EF7D586E-39D6-4994-8100-36C5D4D6A0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X22" authorId="2" shapeId="0" xr:uid="{DC83848F-C926-4C59-A2EB-8580DA6466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Y22" authorId="2" shapeId="0" xr:uid="{706EACCE-A13F-45BC-9DFE-A8905E89E0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P24" authorId="4" shapeId="0" xr:uid="{D643C933-1367-418A-81F9-27EA6E888731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kl.20.00 OA</t>
        </r>
      </text>
    </comment>
    <comment ref="Q24" authorId="4" shapeId="0" xr:uid="{8C571D00-47E3-41F8-9C18-1D910744C4FA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kl.21.oo OA</t>
        </r>
      </text>
    </comment>
    <comment ref="U24" authorId="4" shapeId="0" xr:uid="{7BA6D5CC-8F65-4275-AF91-CE0CE6F9ADD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kl.14.00 OA</t>
        </r>
      </text>
    </comment>
    <comment ref="C25" authorId="0" shapeId="0" xr:uid="{93D4DB5E-1823-4BD2-925F-68E6F899AF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D25" authorId="0" shapeId="0" xr:uid="{C692FC0A-A600-4B6F-BEE9-D289F7C3B3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Q25" authorId="0" shapeId="0" xr:uid="{B33A725E-BDB4-4159-BFA4-361682A41A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Vagten på Rentemestervej skal blive til kl. 21.00</t>
        </r>
      </text>
    </comment>
    <comment ref="R25" authorId="0" shapeId="0" xr:uid="{AC34886C-B6B1-40E7-A28C-8331B098BD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Vagten på Rentemestervej skal blive til kl. 21.00</t>
        </r>
      </text>
    </comment>
    <comment ref="Y25" authorId="0" shapeId="0" xr:uid="{F784A81C-F48C-46FB-A0AA-B063D0F1B3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37" authorId="0" shapeId="0" xr:uid="{95848CFB-EF39-40CE-AAAB-DBD5E2634B7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E-vagt</t>
        </r>
      </text>
    </comment>
    <comment ref="J37" authorId="0" shapeId="0" xr:uid="{F88C6344-BA81-4B75-BB29-36088E6EF61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E-vagt</t>
        </r>
      </text>
    </comment>
    <comment ref="D41" authorId="0" shapeId="0" xr:uid="{7CE3FE5E-F12F-4A77-901E-6490EFE780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tjeneste.</t>
        </r>
      </text>
    </comment>
    <comment ref="AG44" authorId="0" shapeId="0" xr:uid="{FF332874-4B83-4ABA-AEFF-D045568DD4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11.00 på OA og lukker bygninger.</t>
        </r>
      </text>
    </comment>
    <comment ref="X45" authorId="5" shapeId="0" xr:uid="{678696F5-D18F-451D-97AE-A6971BEE1BFF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møde kl 14</t>
        </r>
      </text>
    </comment>
    <comment ref="Z48" authorId="0" shapeId="0" xr:uid="{6D71F137-8D16-4195-94F9-12407794A4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6-vagt OA.</t>
        </r>
      </text>
    </comment>
    <comment ref="K61" authorId="4" shapeId="0" xr:uid="{8EA9BB42-8E15-4C98-BBA2-2DE6F3691683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Covid 19 kørsel fra kl 15.00</t>
        </r>
      </text>
    </comment>
    <comment ref="V61" authorId="0" shapeId="0" xr:uid="{B960C4BB-BD87-48FF-BDE8-67CE5540C2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61" authorId="0" shapeId="0" xr:uid="{200312CE-C3AD-4792-848B-70CBC5580E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61" authorId="0" shapeId="0" xr:uid="{82715B39-0F32-451A-8A89-ADC2D3F6F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Y61" authorId="0" shapeId="0" xr:uid="{4F8DAD7F-F984-4B84-87D8-5FF0B1E666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Z61" authorId="0" shapeId="0" xr:uid="{7F8C233D-5494-4D96-AFF6-B16AC65E92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beredskab10.00-16.00</t>
        </r>
      </text>
    </comment>
    <comment ref="AD61" authorId="5" shapeId="0" xr:uid="{CF0BC87F-DFC8-4F04-9AD7-8E717B710CA8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Gik syg hjem.</t>
        </r>
      </text>
    </comment>
    <comment ref="H62" authorId="2" shapeId="0" xr:uid="{F1183A2C-A6E6-4402-A2D7-222E4BEF60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62" authorId="2" shapeId="0" xr:uid="{29343074-F892-4ABE-9C1C-B87F33A331D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2" authorId="2" shapeId="0" xr:uid="{CE6EA20A-B111-440F-B827-DDF17198A2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62" authorId="2" shapeId="0" xr:uid="{B76B0D4B-AEF7-42B3-858E-6CED196973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62" authorId="2" shapeId="0" xr:uid="{B0F2812F-FEEA-42DE-9ED3-6332E061D8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63" authorId="0" shapeId="0" xr:uid="{FACEED5F-6267-4408-B509-9CEB571E0E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D63" authorId="0" shapeId="0" xr:uid="{D5BD4967-30F3-4035-B305-6217EC6927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H63" authorId="1" shapeId="0" xr:uid="{4F28872F-6A80-44EF-95FA-E58E8366F5B2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g-vagt OA</t>
        </r>
      </text>
    </comment>
    <comment ref="J63" authorId="0" shapeId="0" xr:uid="{373E67E6-9B23-4C7A-9418-23F2F58039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K63" authorId="0" shapeId="0" xr:uid="{1948E427-23CB-476B-BDE9-51A0888C5FE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O63" authorId="0" shapeId="0" xr:uid="{CE32885D-D342-498C-90D0-7DED922CE8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P63" authorId="0" shapeId="0" xr:uid="{820A5951-B884-4B1F-BE8B-C853B0B992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Q63" authorId="0" shapeId="0" xr:uid="{CE1CF055-1F06-46A7-83C5-14A368DC62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R63" authorId="0" shapeId="0" xr:uid="{3763EBEF-1A98-493B-B316-4B4BA988D4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S63" authorId="0" shapeId="0" xr:uid="{CFABCD26-143A-4489-BFB1-D389381F52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Z63" authorId="2" shapeId="0" xr:uid="{A528AF4D-B86E-482C-A1D6-4EB19341B4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A63" authorId="2" shapeId="0" xr:uid="{F4FFDA0C-C8C2-45A6-B25E-68193E4FFEF6}">
      <text>
        <r>
          <rPr>
            <b/>
            <sz val="9"/>
            <color indexed="81"/>
            <rFont val="Tahoma"/>
            <family val="2"/>
          </rPr>
          <t>Steen Hertin</t>
        </r>
        <r>
          <rPr>
            <sz val="9"/>
            <color indexed="81"/>
            <rFont val="Tahoma"/>
            <family val="2"/>
          </rPr>
          <t>Vaccinationscenter Edith Rohdes vej 4, kl. 08.00-16.00</t>
        </r>
      </text>
    </comment>
    <comment ref="C64" authorId="2" shapeId="0" xr:uid="{EF7EDB99-6F81-423A-856F-0D7F354D04D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D64" authorId="2" shapeId="0" xr:uid="{7BF6B45B-1912-4D2D-B9F8-2624105E1C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E64" authorId="2" shapeId="0" xr:uid="{D427FEA4-DD14-4DF7-8C1E-05D9D20F0D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H64" authorId="0" shapeId="0" xr:uid="{3B149103-7840-4740-B160-3ACDD40A7A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I64" authorId="0" shapeId="0" xr:uid="{11F64D74-BE8B-4637-B27D-E8C95860B0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J64" authorId="0" shapeId="0" xr:uid="{9C5B3661-9860-44BB-93F3-8619D25A1E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K64" authorId="0" shapeId="0" xr:uid="{81D4905D-EEFF-42B7-A08C-BEBD413967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L64" authorId="0" shapeId="0" xr:uid="{D610A8E7-88FA-4384-BEE1-5E9E23D601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V64" authorId="0" shapeId="0" xr:uid="{1134909E-938C-4F54-9AB2-7D88881E01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W64" authorId="0" shapeId="0" xr:uid="{A94202D9-DA88-4912-8C02-E51412A9CB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X64" authorId="0" shapeId="0" xr:uid="{F4732F13-0CBD-4788-9588-0B7D33440F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C64" authorId="0" shapeId="0" xr:uid="{B39770E1-C229-42E3-988D-AD585B4909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64" authorId="0" shapeId="0" xr:uid="{35763B33-C479-43B7-8DE0-385E3BD0BC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64" authorId="0" shapeId="0" xr:uid="{8A4BCCB7-4645-42BB-8E88-1324AB5A21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F64" authorId="0" shapeId="0" xr:uid="{30349D80-1720-43FF-917A-AC334110C7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OA 17.00-19:30</t>
        </r>
      </text>
    </comment>
    <comment ref="AG64" authorId="0" shapeId="0" xr:uid="{D1EBD2B7-4BF5-41B1-97B6-1528E11BC1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beredskab10.00-16.00</t>
        </r>
      </text>
    </comment>
    <comment ref="C65" authorId="0" shapeId="0" xr:uid="{FA092C7E-C218-4A79-84D8-2005617B102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 + 6-vagt på OA</t>
        </r>
      </text>
    </comment>
    <comment ref="D65" authorId="0" shapeId="0" xr:uid="{1BF045F8-0C90-4AD9-AAA9-CC8CABB66D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E65" authorId="0" shapeId="0" xr:uid="{1B869D1F-0225-48E5-9D28-8DD05A3486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S-vagt på OA</t>
        </r>
      </text>
    </comment>
    <comment ref="J65" authorId="0" shapeId="0" xr:uid="{AA58AE11-1BC3-4146-9B54-C14AF73003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K65" authorId="0" shapeId="0" xr:uid="{E3BBC5CD-AC1C-4C67-B207-94638BD997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AC65" authorId="0" shapeId="0" xr:uid="{071A0FAD-D5CA-40CA-8C8D-C326578BF3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5" authorId="0" shapeId="0" xr:uid="{3EF1979F-24EA-4295-B012-20BA0BBABC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E65" authorId="0" shapeId="0" xr:uid="{53750B9D-E468-48DF-BDA9-70DB69DB79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F65" authorId="0" shapeId="0" xr:uid="{13BA2EEE-9483-4E71-8065-024B04AE5C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C67" authorId="0" shapeId="0" xr:uid="{AE486762-9CD2-4C4F-960E-E5F4AE5B79A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08.00-13.30</t>
        </r>
      </text>
    </comment>
    <comment ref="D67" authorId="0" shapeId="0" xr:uid="{12F91FA5-98BE-4A76-BD84-7E68CC1E44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14.15-20.30</t>
        </r>
      </text>
    </comment>
    <comment ref="F67" authorId="0" shapeId="0" xr:uid="{20D1EB4C-F4FA-4EF5-933B-903B48D0234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</t>
        </r>
      </text>
    </comment>
    <comment ref="C68" authorId="2" shapeId="0" xr:uid="{A0054B4E-87C1-440B-92A8-50F941C519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D68" authorId="2" shapeId="0" xr:uid="{526CC5BC-499D-4CB3-AC8C-0BCD4F86D2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+ 6-vagt på OA</t>
        </r>
      </text>
    </comment>
    <comment ref="E68" authorId="2" shapeId="0" xr:uid="{15FBE0FB-A15B-4364-8D47-3EDA1ACA7A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+ 6-vagt på OA</t>
        </r>
      </text>
    </comment>
    <comment ref="O68" authorId="2" shapeId="0" xr:uid="{66432958-60F8-48DD-854D-61D0F63CC7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</t>
        </r>
      </text>
    </comment>
    <comment ref="P68" authorId="2" shapeId="0" xr:uid="{ED8254A5-9720-4D68-B009-4C71A24FBB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 + Rentemestervej kl. 20.00 på OA.</t>
        </r>
      </text>
    </comment>
    <comment ref="Q68" authorId="2" shapeId="0" xr:uid="{7D5163FD-2D53-4003-8BAA-70C5965BCE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 Rentemestervej kl.21 OA</t>
        </r>
      </text>
    </comment>
    <comment ref="R68" authorId="2" shapeId="0" xr:uid="{02C4FE49-7111-4AB4-90CC-499E262DC2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</t>
        </r>
      </text>
    </comment>
    <comment ref="S68" authorId="2" shapeId="0" xr:uid="{DEB9DF6C-BEC3-4ED5-B93D-A7156C2DB3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U68" authorId="4" shapeId="0" xr:uid="{3C9E3F23-0EFA-483E-AD33-AB49313ECB9F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kl.14.00 OA</t>
        </r>
      </text>
    </comment>
    <comment ref="Y68" authorId="2" shapeId="0" xr:uid="{FB2EEB20-147D-4550-A0AE-DE5694D61A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Z68" authorId="2" shapeId="0" xr:uid="{96B11EA2-A05F-48E5-BA99-500DF971FE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C68" authorId="2" shapeId="0" xr:uid="{FCEE2C53-F03D-45A8-95A3-4CBF6CC158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68" authorId="2" shapeId="0" xr:uid="{DA14C1F5-DE95-4FE9-AAE3-A37CD7BA51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68" authorId="2" shapeId="0" xr:uid="{03AEA647-85EB-434B-8998-3C788F1BE3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68" authorId="2" shapeId="0" xr:uid="{BF41A487-F906-4B63-A204-91AE01759F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G68" authorId="2" shapeId="0" xr:uid="{FE18CD26-ACFB-4E3B-A18E-9CC0050FBF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69" authorId="0" shapeId="0" xr:uid="{9C9504FD-0F68-4CF1-A03F-37914B5763D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først kl. 12.00</t>
        </r>
      </text>
    </comment>
    <comment ref="J70" authorId="0" shapeId="0" xr:uid="{B57329B6-5A0E-4987-B16B-728CA0536B4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08.00-13.30</t>
        </r>
      </text>
    </comment>
    <comment ref="K70" authorId="0" shapeId="0" xr:uid="{7A441A52-B4A6-4A54-BC91-ED5BDCB38A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testcenter 14.15-20.30</t>
        </r>
      </text>
    </comment>
    <comment ref="Z71" authorId="2" shapeId="0" xr:uid="{EF510B28-4653-4B95-AEFD-6671DBA4B0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Vaccinationscenter Edith Rohdes vej 4, kl. 08.00-16.00</t>
        </r>
      </text>
    </comment>
    <comment ref="AC71" authorId="2" shapeId="0" xr:uid="{90FE6917-73B0-4C01-BB13-4E8D5B4B86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71" authorId="2" shapeId="0" xr:uid="{8039E110-9479-453F-BB9D-5812B14873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71" authorId="2" shapeId="0" xr:uid="{3FEE6CD8-5EF1-479D-AFDA-7ECEF6D719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71" authorId="2" shapeId="0" xr:uid="{34205C74-5D9C-46D0-971E-F42EC0FD6C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73" authorId="0" shapeId="0" xr:uid="{45C47F37-6D5F-4E70-BAE8-AC382A6872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08.00-13.30</t>
        </r>
      </text>
    </comment>
    <comment ref="D73" authorId="0" shapeId="0" xr:uid="{75AAAA89-3C8C-49CE-8BE4-E2AE6F12AF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bibliotek 14.15-20.30</t>
        </r>
      </text>
    </comment>
    <comment ref="E74" authorId="0" shapeId="0" xr:uid="{F3F41D1C-1560-4935-94D6-F4661E90D9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16.30 - 03.00 på GLK OA. Fra kl. 20.30</t>
        </r>
      </text>
    </comment>
    <comment ref="P74" authorId="0" shapeId="0" xr:uid="{2AC9B184-0875-4615-AA3E-EBB88EF46D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fra kl. 20.00</t>
        </r>
      </text>
    </comment>
    <comment ref="Q74" authorId="4" shapeId="0" xr:uid="{1A774FD7-2708-4EF0-9CB4-3F566AB60C2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Rentemestervej kl.21 OA</t>
        </r>
      </text>
    </comment>
    <comment ref="T74" authorId="6" shapeId="0" xr:uid="{AB06E455-14BA-48AE-8391-7EC3060CD7A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B1 på OA</t>
      </text>
    </comment>
    <comment ref="E75" authorId="0" shapeId="0" xr:uid="{D3A2DC06-2997-4ED6-9048-22AD1CCC7C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S75" authorId="7" shapeId="0" xr:uid="{CB48B2CF-EF75-49F9-A3B7-2D3923860F4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6-vagt på OA</t>
      </text>
    </comment>
    <comment ref="C76" authorId="0" shapeId="0" xr:uid="{3FD299F6-2A25-49CB-9C7E-32846E0E42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D76" authorId="0" shapeId="0" xr:uid="{27CE90D2-6943-417D-94D9-8659FB12F18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K76" authorId="0" shapeId="0" xr:uid="{5D759436-D02E-4DDD-8685-0B01F0D232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5-vagt på OA</t>
        </r>
      </text>
    </comment>
    <comment ref="L76" authorId="0" shapeId="0" xr:uid="{490E76C7-6DE3-42B7-8B42-1E8FC7CA97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76" authorId="0" shapeId="0" xr:uid="{10D673F1-D992-4EC0-B88D-2A5EB24D08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76" authorId="0" shapeId="0" xr:uid="{44AEE10F-7056-4C24-8180-D685170ABA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G76" authorId="0" shapeId="0" xr:uid="{EA42BAC8-DD77-416D-9DD9-7C9F646527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F84" authorId="5" shapeId="0" xr:uid="{8172E21D-8170-439D-80D3-2B6617693FF1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Møder kl 18:00</t>
        </r>
      </text>
    </comment>
    <comment ref="C90" authorId="8" shapeId="0" xr:uid="{10C32027-CD4A-4C39-BFF0-E47DD8A51CFC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D90" authorId="8" shapeId="0" xr:uid="{AFB9B587-8E93-4607-8E0C-0D856DAD3C5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E90" authorId="8" shapeId="0" xr:uid="{14EB8F27-6998-4597-809F-77563C18DA4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H90" authorId="8" shapeId="0" xr:uid="{85DB333B-72E1-4562-A587-CFA7E05A86E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I90" authorId="8" shapeId="0" xr:uid="{93DAC5FF-060E-4DBB-9771-9C1302857162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J90" authorId="8" shapeId="0" xr:uid="{E514E2F1-8CA1-4A58-AA17-C81585A8605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K90" authorId="8" shapeId="0" xr:uid="{DEE2CF31-1F27-4BE9-A70E-A16FF2D84A2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L90" authorId="8" shapeId="0" xr:uid="{1051FCE0-E2BE-4CB4-987E-909B1C9202C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Arrangementservice</t>
        </r>
      </text>
    </comment>
    <comment ref="O104" authorId="4" shapeId="0" xr:uid="{B806D3E6-7CE1-4A99-836E-F248F4813B49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N-vagt på OA</t>
        </r>
      </text>
    </comment>
    <comment ref="G105" authorId="3" shapeId="0" xr:uid="{D9F1D5B3-E77B-49FB-ADF6-1AAE8C5C89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J105" authorId="0" shapeId="0" xr:uid="{C9A7764B-494F-4E03-8446-E254FD83513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5-vagt på OA</t>
        </r>
      </text>
    </comment>
    <comment ref="L105" authorId="4" shapeId="0" xr:uid="{71660A7A-24B3-4675-B2FA-ED8C7E2C37B7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Covid kørsel fra kl. 14.15-21.00 OA</t>
        </r>
      </text>
    </comment>
    <comment ref="N105" authorId="3" shapeId="0" xr:uid="{CE145EF3-EBE1-4784-A579-645B6A06175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S105" authorId="0" shapeId="0" xr:uid="{5469B1EF-0D34-4178-9E79-B5A1634288E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fra kl. 14.15</t>
        </r>
      </text>
    </comment>
    <comment ref="U105" authorId="3" shapeId="0" xr:uid="{CF24AA0C-5EC4-42A6-9FE8-74F46A0932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B105" authorId="0" shapeId="0" xr:uid="{CB46A207-B570-4C62-A7FB-A772FA51D93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</t>
        </r>
      </text>
    </comment>
    <comment ref="AC105" authorId="0" shapeId="0" xr:uid="{3996B654-3EEF-4564-AD51-F659878ED9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arbejde</t>
        </r>
      </text>
    </comment>
    <comment ref="AD105" authorId="0" shapeId="0" xr:uid="{4D73E2A4-6538-4F54-B83F-F92B79CFF82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arbejde</t>
        </r>
      </text>
    </comment>
    <comment ref="AE105" authorId="0" shapeId="0" xr:uid="{91F2ECF4-EDA4-46EE-921A-01EF91CBFB7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arbejde</t>
        </r>
      </text>
    </comment>
    <comment ref="AF105" authorId="0" shapeId="0" xr:uid="{15BA123B-5159-491A-A35E-9954289706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arbejde</t>
        </r>
      </text>
    </comment>
    <comment ref="E126" authorId="0" shapeId="0" xr:uid="{7D03DF75-7E41-4EB6-9C47-EF3F8F90C4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 kl. 07.00 på OA</t>
        </r>
      </text>
    </comment>
    <comment ref="G128" authorId="0" shapeId="0" xr:uid="{40D9DD85-0B14-4127-8AC2-C649430D301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</t>
        </r>
      </text>
    </comment>
    <comment ref="L128" authorId="0" shapeId="0" xr:uid="{EBC8F240-E5EA-489D-9EFC-3CE3CA1F12E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10.00</t>
        </r>
      </text>
    </comment>
    <comment ref="T128" authorId="0" shapeId="0" xr:uid="{6EEEA0F1-3E1A-4098-B79F-58D3F1C0FB3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 kl. 15.00-23.30</t>
        </r>
      </text>
    </comment>
    <comment ref="U128" authorId="0" shapeId="0" xr:uid="{7D04365A-74FD-438D-860E-26757012FA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 kl. 15.00-23.30</t>
        </r>
      </text>
    </comment>
    <comment ref="O157" authorId="9" shapeId="0" xr:uid="{EC2C4E97-2DB1-4FE2-89FC-E45982465A90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P157" authorId="9" shapeId="0" xr:uid="{EAC34ADF-7924-4263-B883-AC74A1BE024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157" authorId="9" shapeId="0" xr:uid="{D32C2B41-09CC-4FE9-93D9-88ADD2C803E0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S157" authorId="9" shapeId="0" xr:uid="{E0776C46-97C4-46BE-B62B-C828E0AFB885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184" authorId="0" shapeId="0" xr:uid="{4EB5797C-DE72-4B7B-B505-EC6117597E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F184" authorId="0" shapeId="0" xr:uid="{B7B68DB3-3F43-4DBE-8BE9-A86842B67C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V185" authorId="0" shapeId="0" xr:uid="{12776777-D533-4F6E-8A17-CFE6F8E66D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Afløses mellem 10.30-13.00</t>
        </r>
      </text>
    </comment>
    <comment ref="AC192" authorId="0" shapeId="0" xr:uid="{BF812CE5-2E78-4BEC-94FA-E738B77DE4C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biksen:-)</t>
        </r>
      </text>
    </comment>
    <comment ref="AD192" authorId="0" shapeId="0" xr:uid="{856BA782-910C-4603-AD49-15F2AD4B99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biksen:-)</t>
        </r>
      </text>
    </comment>
    <comment ref="AE192" authorId="0" shapeId="0" xr:uid="{BDCD3266-5E8D-44AC-8C97-96222431A5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biksen:-)</t>
        </r>
      </text>
    </comment>
    <comment ref="AF192" authorId="0" shapeId="0" xr:uid="{317E6C7E-B750-48C7-929E-749F9C641E0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biksen:-)</t>
        </r>
      </text>
    </comment>
    <comment ref="W197" authorId="0" shapeId="0" xr:uid="{15B90962-494E-4B90-B3A5-475D7C2010B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Hjemsendt </t>
        </r>
      </text>
    </comment>
    <comment ref="X197" authorId="0" shapeId="0" xr:uid="{6A1D011D-2B9B-4A3E-BA23-517B1AC60B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Hjemsendt </t>
        </r>
      </text>
    </comment>
    <comment ref="Y197" authorId="0" shapeId="0" xr:uid="{A8E7BEA8-EF34-4AE0-90CF-EF7993B5DE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Hjemsendt </t>
        </r>
      </text>
    </comment>
    <comment ref="D216" authorId="10" shapeId="0" xr:uid="{176E2A29-CEEE-4074-A81A-4BB88373D91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- 5 Timer afs</t>
        </r>
      </text>
    </comment>
    <comment ref="H221" authorId="10" shapeId="0" xr:uid="{53B2A1D0-AF7E-4BFC-84EE-2A3F11B2B71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- 1,5 Time afs
12,15-13,45</t>
        </r>
      </text>
    </comment>
    <comment ref="X274" authorId="9" shapeId="0" xr:uid="{1EAB8BB6-2A2A-48FC-9449-86F8039A1443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FE</t>
        </r>
      </text>
    </comment>
    <comment ref="D277" authorId="10" shapeId="0" xr:uid="{FA1B8012-5CD1-4B64-9794-8A7FCE4E07A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- 3 timer i afs.</t>
        </r>
      </text>
    </comment>
    <comment ref="O277" authorId="9" shapeId="0" xr:uid="{133DA883-5A7E-4B11-8228-E6E5FAE545C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- 5 timer i afs</t>
        </r>
      </text>
    </comment>
    <comment ref="S278" authorId="10" shapeId="0" xr:uid="{A8F28F06-F197-4C19-BA70-662ED9AE0825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- 2 timer i afs</t>
        </r>
      </text>
    </comment>
    <comment ref="X281" authorId="9" shapeId="0" xr:uid="{7B8C58E5-2DEF-4C28-9D78-03653C6E226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 timer i FE</t>
        </r>
      </text>
    </comment>
    <comment ref="K282" authorId="10" shapeId="0" xr:uid="{85A8BE4C-BDD7-4B33-B426-7E843B5F2D0F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- 4 timer FE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Steen Hertin</author>
    <author>Nikolaj Langtin Pamhede</author>
    <author>Mathias Hartvig Morell Nielsen</author>
    <author>Kim Holm Aabroe</author>
    <author>tc={91FA7826-88B0-45CA-83AE-492BC808D548}</author>
    <author>tc={7EAC567C-352E-4A84-9E50-6CB958FF0D3F}</author>
    <author>Thomas Holm</author>
    <author>marasm</author>
    <author>tc={402A4348-E5A5-416B-B80A-E2875C568D6C}</author>
    <author>tc={36DB66A2-AD7D-4681-917C-B77492A70832}</author>
    <author>tc={3200A473-AF0D-41CD-B8C1-111CCC52D88F}</author>
    <author>Marianne Rasmussen</author>
  </authors>
  <commentList>
    <comment ref="L12" authorId="0" shapeId="0" xr:uid="{B54C3EF4-EA57-401F-AD33-F29EF0AEC26E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89 fra 13.30- 16</t>
        </r>
      </text>
    </comment>
    <comment ref="P12" authorId="0" shapeId="0" xr:uid="{D92F6CB1-8183-4CCA-AF92-A0E4F6FE04D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U12" authorId="0" shapeId="0" xr:uid="{ABE68752-00F3-475C-ABE8-6E7ACCE3858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V12" authorId="0" shapeId="0" xr:uid="{5EE65667-852C-40FC-A0B5-BF4160B40B9E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2" authorId="0" shapeId="0" xr:uid="{D497838B-DDDE-490D-A1F1-1B41A07B8CB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12" authorId="0" shapeId="0" xr:uid="{147C0682-ABF3-4429-A823-909099D8256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2" authorId="0" shapeId="0" xr:uid="{5A103522-051A-47BF-BDC1-F65940759FAF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4" authorId="1" shapeId="0" xr:uid="{776B6B2E-D28B-457B-A059-2504E9DEEB7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M-vagt oa</t>
        </r>
      </text>
    </comment>
    <comment ref="AC14" authorId="2" shapeId="0" xr:uid="{2C6E3777-E7D1-4C4F-94BF-53982C5B7F7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Fejer for Johnny</t>
        </r>
      </text>
    </comment>
    <comment ref="AD14" authorId="2" shapeId="0" xr:uid="{885B7F97-4D59-48D6-BAC0-B532B0CD62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Fejer for Johnny</t>
        </r>
      </text>
    </comment>
    <comment ref="E15" authorId="2" shapeId="0" xr:uid="{04F91C90-0444-4E98-A0CC-98F477AFAD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F15" authorId="2" shapeId="0" xr:uid="{46CFD522-B952-4FA2-A151-E02E97E3DE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G15" authorId="2" shapeId="0" xr:uid="{EE907CF8-11FA-41E6-A309-27E1A09864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H15" authorId="2" shapeId="0" xr:uid="{01C4F8EA-516D-489A-98A7-353BDB2ABB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I15" authorId="2" shapeId="0" xr:uid="{2E2F2366-26AD-42F1-9AF0-7C7D093AA13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Briksystem</t>
        </r>
      </text>
    </comment>
    <comment ref="L15" authorId="1" shapeId="0" xr:uid="{45423878-684D-48BD-BA42-5587B06665A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M-vagt på oa</t>
        </r>
      </text>
    </comment>
    <comment ref="M15" authorId="1" shapeId="0" xr:uid="{8C240B24-3B97-448B-9327-E4C32AC562A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M-vagt på oa</t>
        </r>
      </text>
    </comment>
    <comment ref="V17" authorId="2" shapeId="0" xr:uid="{820B1359-ECE7-4C8E-948D-EFEA6CD240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Fejer for Johnny
+ BR-Møde på OA slut 19.00</t>
        </r>
      </text>
    </comment>
    <comment ref="W17" authorId="2" shapeId="0" xr:uid="{461F8A32-547F-48EC-BD2F-C19EA97861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2-vagt på OA</t>
        </r>
      </text>
    </comment>
    <comment ref="N21" authorId="1" shapeId="0" xr:uid="{BECE4746-4B4B-4C28-9E31-D250575C90A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møder på rh hele dagen</t>
        </r>
      </text>
    </comment>
    <comment ref="P21" authorId="1" shapeId="0" xr:uid="{7FB5087F-BB9A-4682-BD6F-A91F1C570F1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E-lærning </t>
        </r>
      </text>
    </comment>
    <comment ref="T21" authorId="1" shapeId="0" xr:uid="{626ACC8B-B2BE-479F-8AB6-FD33220D60E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triomøde kl. 13-14:30</t>
        </r>
      </text>
    </comment>
    <comment ref="V21" authorId="2" shapeId="0" xr:uid="{1BE9A53B-8DB3-47F9-924E-3CFE44B5830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16-19.00
Møder med KFF.</t>
        </r>
      </text>
    </comment>
    <comment ref="Z21" authorId="2" shapeId="0" xr:uid="{5F8CF8BD-E04E-4632-B1AA-9BC81CBDB8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Arbejder hjemme</t>
        </r>
      </text>
    </comment>
    <comment ref="AD21" authorId="2" shapeId="0" xr:uid="{A4DCB3BA-BD73-4792-9F1E-74BF2CCD87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Rådhuset. Ingen vagt.</t>
        </r>
      </text>
    </comment>
    <comment ref="AG21" authorId="2" shapeId="0" xr:uid="{097B7F7A-39E7-4BB0-A519-63723787EE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Rådhuset. ¤-vagt på OA</t>
        </r>
      </text>
    </comment>
    <comment ref="G22" authorId="3" shapeId="0" xr:uid="{1169798A-D5FD-49F4-B3DE-E71EFB0E4CAF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Hospitalet 10.30 - 12.30</t>
        </r>
      </text>
    </comment>
    <comment ref="L22" authorId="2" shapeId="0" xr:uid="{42EEE5D0-9CD2-4BD5-9878-2740AD79C1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22" authorId="2" shapeId="0" xr:uid="{85A08BCD-5743-4ACA-B5D9-D4FB4CDCF6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</t>
        </r>
      </text>
    </comment>
    <comment ref="N22" authorId="2" shapeId="0" xr:uid="{A1842E00-F512-4B57-BBCF-1229B518C5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O22" authorId="2" shapeId="0" xr:uid="{1B2F6D4E-9329-40D7-B559-96E5FA2BD9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På stand by hjemme.</t>
        </r>
      </text>
    </comment>
    <comment ref="P22" authorId="2" shapeId="0" xr:uid="{6F583E61-DFEA-4D02-A4DC-35EA7B27AC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S22" authorId="2" shapeId="0" xr:uid="{00BC5747-B397-451A-B669-89D288D068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U22" authorId="2" shapeId="0" xr:uid="{16DA7B7B-4062-4840-BEB8-496CEB8CC7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Kun dagvagt</t>
        </r>
      </text>
    </comment>
    <comment ref="V22" authorId="2" shapeId="0" xr:uid="{57FB20DE-03DE-48F1-9589-4504F10C8F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16-23,45</t>
        </r>
      </text>
    </comment>
    <comment ref="W22" authorId="2" shapeId="0" xr:uid="{18438FDD-19A8-48A2-8298-96D808669D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Kun dagvagt</t>
        </r>
      </text>
    </comment>
    <comment ref="V24" authorId="2" shapeId="0" xr:uid="{1286633C-AE36-4C19-A1C2-B806B1C11CCB}">
      <text>
        <r>
          <rPr>
            <b/>
            <sz val="9"/>
            <color indexed="81"/>
            <rFont val="Tahoma"/>
            <charset val="1"/>
          </rPr>
          <t>Steen Hertin:Hospital</t>
        </r>
      </text>
    </comment>
    <comment ref="AG24" authorId="2" shapeId="0" xr:uid="{E512F65C-24B0-43B0-9739-F453E6ED6D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opsætning Rentemestervej på OA  kl. 12.30 - 16.00</t>
        </r>
      </text>
    </comment>
    <comment ref="AD26" authorId="2" shapeId="0" xr:uid="{AAC78C37-2817-4438-AFBD-B4B4348AD4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John Stengård fra 09.30-13.15 derefter tilbage på RH</t>
        </r>
      </text>
    </comment>
    <comment ref="AG27" authorId="2" shapeId="0" xr:uid="{5207FCEF-524C-42FD-B3C1-19DAF11579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U-vagt til møde 12.15-13.30</t>
        </r>
      </text>
    </comment>
    <comment ref="L28" authorId="2" shapeId="0" xr:uid="{0D94C694-A2D8-4612-8498-ABBC59B8A9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Arrangemant service</t>
        </r>
      </text>
    </comment>
    <comment ref="M28" authorId="2" shapeId="0" xr:uid="{2BB498BA-A97C-41E8-BDCF-0D932BB1AA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Arrangemant service</t>
        </r>
      </text>
    </comment>
    <comment ref="N28" authorId="2" shapeId="0" xr:uid="{439A2106-BD5F-470F-8AE7-C732DCC02B3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Arrangemant service</t>
        </r>
      </text>
    </comment>
    <comment ref="O28" authorId="2" shapeId="0" xr:uid="{2745BFDA-EAC1-4434-AB28-C8BB312744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Arrangemant service</t>
        </r>
      </text>
    </comment>
    <comment ref="P28" authorId="2" shapeId="0" xr:uid="{C85DDF80-C7D0-48F2-BBE5-C804EFD28A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Arrangemant service</t>
        </r>
      </text>
    </comment>
    <comment ref="C38" authorId="4" shapeId="0" xr:uid="{F3E3BF94-9656-43C9-A391-E6EAEA7CB7AE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23-vagt OA</t>
        </r>
      </text>
    </comment>
    <comment ref="D38" authorId="4" shapeId="0" xr:uid="{8F414251-B5AA-42D4-B862-9AE007BADBAE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23-vagt OA</t>
        </r>
      </text>
    </comment>
    <comment ref="Z38" authorId="5" shapeId="0" xr:uid="{83BA3C47-2FFD-4176-B224-077121BA1943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Lyongade OA</t>
        </r>
      </text>
    </comment>
    <comment ref="T39" authorId="6" shapeId="0" xr:uid="{91FA7826-88B0-45CA-83AE-492BC808D548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F40" authorId="1" shapeId="0" xr:uid="{2CDA4B04-12B2-4A2B-99A3-2C062718EEF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til lægen</t>
        </r>
      </text>
    </comment>
    <comment ref="M43" authorId="2" shapeId="0" xr:uid="{795FE031-A020-416E-A0F2-A6C6A7B923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Kan starte hvis symptomer er væk</t>
        </r>
      </text>
    </comment>
    <comment ref="AC43" authorId="4" shapeId="0" xr:uid="{093997D9-B3E6-4B79-BD99-F43FE68CA46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10'er vagt OA</t>
        </r>
      </text>
    </comment>
    <comment ref="Y47" authorId="2" shapeId="0" xr:uid="{EA2344EB-35B1-467D-9BBE-0039F3B7A6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Martin starter som omviser</t>
        </r>
      </text>
    </comment>
    <comment ref="V48" authorId="2" shapeId="0" xr:uid="{E7226EFA-3D99-4E51-9001-521DE12AD2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OA BR-møde til 19.15</t>
        </r>
      </text>
    </comment>
    <comment ref="AF48" authorId="4" shapeId="0" xr:uid="{BCB89533-99E6-42FD-93B4-4E61854C6E8D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B2 OA</t>
        </r>
      </text>
    </comment>
    <comment ref="Q60" authorId="0" shapeId="0" xr:uid="{6A671AA3-CFD8-4A54-B586-945E81EA323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ca. 35 vagter… 11 fra Buffergruppe</t>
        </r>
      </text>
    </comment>
    <comment ref="T60" authorId="0" shapeId="0" xr:uid="{7707774C-6349-4578-9A4B-69D1A5899AF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3 vagter til Politiets Nytårsparole. En leder og 2 vagter i buerne
Mødetid kl. 09.00</t>
        </r>
      </text>
    </comment>
    <comment ref="V60" authorId="0" shapeId="0" xr:uid="{E69F6544-F372-40E7-A28B-F64B04A948B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8 vagter til BR
Per, Marianne og Anders
5 vagter bliver til middagen</t>
        </r>
      </text>
    </comment>
    <comment ref="U63" authorId="5" shapeId="0" xr:uid="{9E400B98-E3BE-4AA9-942E-A9B8114970E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Brønshøjvej 17 OA</t>
        </r>
      </text>
    </comment>
    <comment ref="V63" authorId="2" shapeId="0" xr:uid="{3460B60E-E41E-4E28-B551-3B5E3594C9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9-vagt på OA.</t>
        </r>
      </text>
    </comment>
    <comment ref="W63" authorId="2" shapeId="0" xr:uid="{1CDF2A74-AFB7-48FE-9211-2C087B907F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9-vagt på OA.</t>
        </r>
      </text>
    </comment>
    <comment ref="Z63" authorId="2" shapeId="0" xr:uid="{0961F7FD-0627-4F8C-91C8-8E8B92A1EA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Covid-19 beredskab kl. 10.00-15.00 på OA</t>
        </r>
      </text>
    </comment>
    <comment ref="AA63" authorId="2" shapeId="0" xr:uid="{7836E948-2251-4C0F-BBCC-51FDB87AB4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89 Vagt OA</t>
        </r>
      </text>
    </comment>
    <comment ref="AB63" authorId="2" shapeId="0" xr:uid="{2EDD99F1-785E-4EAE-AA5D-981C90C63D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til kl 00.30</t>
        </r>
      </text>
    </comment>
    <comment ref="AC63" authorId="2" shapeId="0" xr:uid="{ACBB9845-642B-4390-A287-87E513C4FF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3" authorId="2" shapeId="0" xr:uid="{37A3C074-515A-4CE5-B6B5-A99054D9A2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F63" authorId="1" shapeId="0" xr:uid="{F63A2904-0914-407E-886C-2CD0F2015C9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G63" authorId="2" shapeId="0" xr:uid="{FA4063E6-AF39-4532-9C55-3008035C376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Opstilling Rentemestervej kl. 12.30-16.00 + igen fra kl. 23.30</t>
        </r>
      </text>
    </comment>
    <comment ref="E64" authorId="2" shapeId="0" xr:uid="{4A3EE775-C28E-46E3-9306-89AC6B4E6C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F64" authorId="2" shapeId="0" xr:uid="{D2376AAC-A9B5-4AAE-9CC5-F9AF610B6E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G64" authorId="2" shapeId="0" xr:uid="{A6E06845-414F-4AEE-BEF2-04FAD59637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3-vagt på OA</t>
        </r>
      </text>
    </comment>
    <comment ref="H64" authorId="2" shapeId="0" xr:uid="{49BDC022-5718-401A-924D-3E49A1D6D7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64" authorId="2" shapeId="0" xr:uid="{2AA9D051-38C2-4907-8CF8-203522F82A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K64" authorId="1" shapeId="0" xr:uid="{549165B0-365F-4B68-8AD1-E3429D6207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R64" authorId="1" shapeId="0" xr:uid="{13BC2DCB-1C30-4325-97FE-991F9F9D63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W64" authorId="2" shapeId="0" xr:uid="{89B8DF6B-9719-4FE7-95E8-4FB1CB7619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E65" authorId="2" shapeId="0" xr:uid="{0012C997-439A-4F2C-8A6E-D8009A60A6D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kørt som 26-vagt</t>
        </r>
      </text>
    </comment>
    <comment ref="F65" authorId="2" shapeId="0" xr:uid="{8BF66ABC-C705-4F50-A655-BCE46E6DD65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26-vagten</t>
        </r>
      </text>
    </comment>
    <comment ref="I65" authorId="2" shapeId="0" xr:uid="{81B225F5-44F4-499C-842B-F1CF346EE1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
oa til 17</t>
        </r>
      </text>
    </comment>
    <comment ref="J65" authorId="2" shapeId="0" xr:uid="{7034AD09-0F1C-4EC4-99E5-5A8DF3E1C6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K65" authorId="2" shapeId="0" xr:uid="{235B454C-8DC0-43A3-9052-EDF31465EC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
Oa til 22.00</t>
        </r>
      </text>
    </comment>
    <comment ref="M65" authorId="1" shapeId="0" xr:uid="{1DA27713-95F9-4451-8F6E-0FCA252066C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på oa</t>
        </r>
      </text>
    </comment>
    <comment ref="P65" authorId="2" shapeId="0" xr:uid="{0EBBA960-2F2A-42E9-9E87-724ADCC212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Z65" authorId="2" shapeId="0" xr:uid="{CDD37771-CD82-456E-92BF-4662E4DF8A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A65" authorId="2" shapeId="0" xr:uid="{4B373484-6B19-4482-B82F-B742C6A030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5" authorId="2" shapeId="0" xr:uid="{CE14C838-668F-4DB9-84A6-B35455E9D9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Møder kl. 9.30 OA</t>
        </r>
      </text>
    </comment>
    <comment ref="AG65" authorId="2" shapeId="0" xr:uid="{38E52B6A-0F81-4DBF-B1AA-97555F8161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</t>
        </r>
      </text>
    </comment>
    <comment ref="G67" authorId="2" shapeId="0" xr:uid="{B2FFDBD6-92DA-4645-94CE-F573A10C6D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26-vagten</t>
        </r>
      </text>
    </comment>
    <comment ref="H67" authorId="2" shapeId="0" xr:uid="{4824FD69-5F14-42A3-8C77-DDBD29C9D6E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26-vagten</t>
        </r>
      </text>
    </comment>
    <comment ref="I67" authorId="2" shapeId="0" xr:uid="{EF2248CF-BB9C-44D5-8BCC-375554D0F9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26-vagten</t>
        </r>
      </text>
    </comment>
    <comment ref="L67" authorId="2" shapeId="0" xr:uid="{35938BE8-4698-4B0F-ACA0-550215AE9F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bag i Keld</t>
        </r>
      </text>
    </comment>
    <comment ref="M67" authorId="2" shapeId="0" xr:uid="{EC38F0A3-595B-4288-8B20-0607D0793A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bag i Keld</t>
        </r>
      </text>
    </comment>
    <comment ref="P67" authorId="7" shapeId="0" xr:uid="{7EAC567C-352E-4A84-9E50-6CB958FF0D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Matthæusgade 1 10.00 - 13.00</t>
      </text>
    </comment>
    <comment ref="S67" authorId="2" shapeId="0" xr:uid="{BAEBB041-6787-4C94-BFF5-A4CEE4769E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Gået syg bhjem kl. 17.30</t>
        </r>
      </text>
    </comment>
    <comment ref="Z67" authorId="2" shapeId="0" xr:uid="{6FD52716-E276-4484-A3A3-D47B221D9F0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Hvis Thomas ikke er rask, må Keld køre 25-vagt.</t>
        </r>
      </text>
    </comment>
    <comment ref="L68" authorId="2" shapeId="0" xr:uid="{85EFA662-B123-4B85-8C48-5A5EE044DD8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M68" authorId="2" shapeId="0" xr:uid="{592F843B-C648-406A-820E-E55EE3004D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N68" authorId="2" shapeId="0" xr:uid="{17ED1819-FE7E-4ED4-BCDD-DE77C2F50E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O68" authorId="2" shapeId="0" xr:uid="{5CA35E62-A28A-46B6-9233-CF344C5D0F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T68" authorId="2" shapeId="0" xr:uid="{A598A548-E3A3-487D-94F1-CC62E46605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+ Covid-19 bereddskab 10.00-15.00 på OA</t>
        </r>
      </text>
    </comment>
    <comment ref="U68" authorId="2" shapeId="0" xr:uid="{0CD3DB60-897A-4DD0-A5EB-48544FDE42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V68" authorId="2" shapeId="0" xr:uid="{B6AC5ABD-28AF-4853-B0AB-E8C0210405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W68" authorId="2" shapeId="0" xr:uid="{9EE71AE8-373F-4A65-AC90-8DDE03CDB6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AG68" authorId="2" shapeId="0" xr:uid="{5C8A8950-B539-47B7-BD50-B4D43565432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Oa Rentemestervej 12.30-16.00 og igen kl. 23.30 OA fra kl. 00.30</t>
        </r>
      </text>
    </comment>
    <comment ref="T70" authorId="2" shapeId="0" xr:uid="{7BFB022D-93C9-48DA-8F65-B5893650B2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6-vagt på OA. Møder efter R-vagt</t>
        </r>
      </text>
    </comment>
    <comment ref="U70" authorId="2" shapeId="0" xr:uid="{E84A9708-630D-42D9-B18D-0EFC44F222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6-vagt på OA. Møder efter R-vagt</t>
        </r>
      </text>
    </comment>
    <comment ref="AG71" authorId="2" shapeId="0" xr:uid="{7B7952B9-D8C8-4A69-A428-EC342B5B82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72" authorId="2" shapeId="0" xr:uid="{FF2FF961-EADC-415C-95D8-18CFE3FBBF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22 vagt på OA</t>
        </r>
      </text>
    </comment>
    <comment ref="V72" authorId="2" shapeId="0" xr:uid="{1BF95128-A8E2-4CE6-B0D0-B15034834A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på OA</t>
        </r>
      </text>
    </comment>
    <comment ref="Y72" authorId="1" shapeId="0" xr:uid="{7CC7FBDF-8483-4DD0-A3A6-3EEEEA9405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13:00-18:45</t>
        </r>
      </text>
    </comment>
    <comment ref="E73" authorId="2" shapeId="0" xr:uid="{D2029F27-EDB1-4075-8120-9C6100379F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F73" authorId="2" shapeId="0" xr:uid="{62C27442-243C-4693-B44B-61480B1E27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oa kl. 18-22:30</t>
        </r>
      </text>
    </comment>
    <comment ref="G73" authorId="2" shapeId="0" xr:uid="{CFBACB23-0EDB-4645-BC7F-BA6A1CD811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+ 1 time</t>
        </r>
      </text>
    </comment>
    <comment ref="H73" authorId="2" shapeId="0" xr:uid="{6EC050E2-E739-4BEC-9F6F-4DA183366C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I73" authorId="2" shapeId="0" xr:uid="{AD831C6B-11ED-445F-97B9-5674C4192E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L73" authorId="2" shapeId="0" xr:uid="{EDCBB1A8-6AA1-415C-ADE1-474D0879C1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OA fra 18.00-21.00
 pga. mange kørsler</t>
        </r>
      </text>
    </comment>
    <comment ref="M73" authorId="2" shapeId="0" xr:uid="{FDF77CDE-1B74-4662-A184-D11B86D645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N73" authorId="2" shapeId="0" xr:uid="{C244CC16-1C72-4813-B372-616A0E8CFE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73" authorId="2" shapeId="0" xr:uid="{A217DD98-7D69-49A3-8D8B-B6142F18E5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P73" authorId="2" shapeId="0" xr:uid="{455D539D-81C9-4347-87E3-EADD7BC63B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73" authorId="2" shapeId="0" xr:uid="{44CB604C-65B3-4FC6-84F5-22A70CF805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10.00-18.00.
Efter kl. 18.00 er Simon 6-vagt på OA</t>
        </r>
      </text>
    </comment>
    <comment ref="T73" authorId="2" shapeId="0" xr:uid="{6F433F4A-FCFE-4DEF-BB7B-01F7A876F3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U73" authorId="2" shapeId="0" xr:uid="{6E095AD1-2491-4675-B8B5-9EEDA4928E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3" authorId="2" shapeId="0" xr:uid="{BC384577-FEE5-401F-8F9F-CBB1BD2C5D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W73" authorId="2" shapeId="0" xr:uid="{314AA3E3-102C-4C8E-A02B-1B2420BC25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73" authorId="2" shapeId="0" xr:uid="{B8FDE987-BA43-4A4D-9392-25528711E1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A73" authorId="2" shapeId="0" xr:uid="{D91A81FF-66E8-4D0A-8DD8-D29DDC15A1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73" authorId="2" shapeId="0" xr:uid="{1BDDF05D-987B-4F2E-BB20-F53791C8B6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3" authorId="2" shapeId="0" xr:uid="{1630D83D-E2AA-4114-8ACE-E7ED57B9BB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D73" authorId="2" shapeId="0" xr:uid="{9699AF23-4184-4316-B1BD-E684D01C0D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73" authorId="8" shapeId="0" xr:uid="{3DA671B4-0699-44C8-B0A1-682620F49FF5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Covid-19 beredskab
10-21 oa</t>
        </r>
      </text>
    </comment>
    <comment ref="AF73" authorId="9" shapeId="0" xr:uid="{8E0297C1-8208-4A86-8DC2-E9F5EC2BEDF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Covid-19 beredskab
10-21 oa</t>
        </r>
      </text>
    </comment>
    <comment ref="AG73" authorId="2" shapeId="0" xr:uid="{36FF1FEB-5527-4F18-8287-A2B31C6087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6" authorId="2" shapeId="0" xr:uid="{C086A58F-6382-492D-A7B5-5F011EC564A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11-vagt på OA.</t>
        </r>
      </text>
    </comment>
    <comment ref="M76" authorId="2" shapeId="0" xr:uid="{BE4FDE42-8857-464E-B15B-9F7C1E2A28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11-vagt på OA.</t>
        </r>
      </text>
    </comment>
    <comment ref="V76" authorId="10" shapeId="0" xr:uid="{402A4348-E5A5-416B-B80A-E2875C568D6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W76" authorId="11" shapeId="0" xr:uid="{36DB66A2-AD7D-4681-917C-B77492A7083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Y76" authorId="2" shapeId="0" xr:uid="{46C8A87B-F771-436F-953C-5524E61184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Martin starter som omviser</t>
        </r>
      </text>
    </comment>
    <comment ref="AD76" authorId="4" shapeId="0" xr:uid="{DA4BA0C5-41EE-409E-9FC2-ADB684C93876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møder kl. 12.00</t>
        </r>
      </text>
    </comment>
    <comment ref="Y77" authorId="2" shapeId="0" xr:uid="{7358DC45-32AA-4CED-B9A8-0962244906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Martin starter som omviser</t>
        </r>
      </text>
    </comment>
    <comment ref="D81" authorId="2" shapeId="0" xr:uid="{422E5877-FD70-4E6F-B050-C2E881A5EB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10.00-21.00</t>
        </r>
      </text>
    </comment>
    <comment ref="D105" authorId="1" shapeId="0" xr:uid="{E2A2D18C-B827-4527-8C49-5427D5337E5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K105" authorId="1" shapeId="0" xr:uid="{723074B6-24DB-4BF9-9CFC-025D57598A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R105" authorId="1" shapeId="0" xr:uid="{CB95D579-665E-4376-AFB2-16ED813A8A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S105" authorId="2" shapeId="0" xr:uid="{60607E80-DB4F-4ABD-B51C-B337021055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S-vagt på OA.</t>
        </r>
      </text>
    </comment>
    <comment ref="T105" authorId="2" shapeId="0" xr:uid="{0D273C35-D65F-46DB-B450-5D8F246B2BA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S-vagt på OA.</t>
        </r>
      </text>
    </comment>
    <comment ref="U105" authorId="12" shapeId="0" xr:uid="{3200A473-AF0D-41CD-B8C1-111CCC52D88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L-vagt på OA</t>
      </text>
    </comment>
    <comment ref="Z105" authorId="5" shapeId="0" xr:uid="{2544CF0B-B9D2-4995-A583-A3F935C10E46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Sydbanestien OA</t>
        </r>
      </text>
    </comment>
    <comment ref="AA105" authorId="5" shapeId="0" xr:uid="{A37FB070-3B18-407E-A662-C241099AC348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Sydbanestien OA</t>
        </r>
      </text>
    </comment>
    <comment ref="V112" authorId="2" shapeId="0" xr:uid="{5D7162C1-7CED-4CC8-9EC5-93CFCCCB28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til kl. 19.00</t>
        </r>
      </text>
    </comment>
    <comment ref="F124" authorId="2" shapeId="0" xr:uid="{A1EC7EB3-E317-4444-8F89-FF799EDF35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hospital</t>
        </r>
      </text>
    </comment>
    <comment ref="Q126" authorId="2" shapeId="0" xr:uid="{60997EC8-F418-4DE6-9409-DD1D99710C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R126" authorId="2" shapeId="0" xr:uid="{F6080DE9-420A-4C47-8486-07B11D2DF6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U126" authorId="0" shapeId="0" xr:uid="{E0FB34EE-16FC-41ED-9228-14056D79857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16-? + møder som vagt i bagporten til kl. 23.00 når arragement er færdig</t>
        </r>
      </text>
    </comment>
    <comment ref="V126" authorId="13" shapeId="0" xr:uid="{72A3CD03-3E65-439F-9BA6-0F1249DCFA8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W126" authorId="2" shapeId="0" xr:uid="{627CF77F-28F5-4F05-82E9-9BE9D06027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OA som 7-vagt</t>
        </r>
      </text>
    </comment>
    <comment ref="X126" authorId="2" shapeId="0" xr:uid="{37184D76-3507-439B-A15D-BD0AE98A3F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Y126" authorId="2" shapeId="0" xr:uid="{AE7A3D42-CA02-4405-91AC-FBE0CF5F99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U127" authorId="0" shapeId="0" xr:uid="{4F636DAE-B2CF-46FB-8CB4-1D0A8820CD0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16.oo-19.30</t>
        </r>
      </text>
    </comment>
    <comment ref="AD127" authorId="4" shapeId="0" xr:uid="{F86116D2-46E6-4629-83F1-0CBFFFD53B1D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10'er vagt OA</t>
        </r>
      </text>
    </comment>
    <comment ref="E128" authorId="2" shapeId="0" xr:uid="{79FF51D8-5363-4A7E-90AA-4B0D069407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FOA til kl. 12.00</t>
        </r>
      </text>
    </comment>
    <comment ref="L128" authorId="1" shapeId="0" xr:uid="{036BE041-2AF6-430C-895E-FC9DC87BC27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 AMR kl. 13:30-15:30</t>
        </r>
      </text>
    </comment>
    <comment ref="N128" authorId="2" shapeId="0" xr:uid="{042FEBC9-328C-4BF0-9BFB-BE8B5BD1B4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Kursus</t>
        </r>
      </text>
    </comment>
    <comment ref="O128" authorId="2" shapeId="0" xr:uid="{6D246F2D-A5A5-43A5-B820-267ADD9F67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Kursus</t>
        </r>
      </text>
    </comment>
    <comment ref="T128" authorId="1" shapeId="0" xr:uid="{70CFA913-FBD0-4AC8-A6D7-657D9540A14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fra kl. 12 - 14:30</t>
        </r>
      </text>
    </comment>
    <comment ref="U128" authorId="0" shapeId="0" xr:uid="{B5FD3606-12A9-4562-B1A7-C467FDF7688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16.30-19.30</t>
        </r>
      </text>
    </comment>
    <comment ref="V128" authorId="13" shapeId="0" xr:uid="{5AE0B817-8D70-4EBD-B4CC-2CD02EE9148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AD128" authorId="2" shapeId="0" xr:uid="{0221D70B-F129-400E-899D-BE5D31F0FA1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kl.14.30-23.30 på OA</t>
        </r>
      </text>
    </comment>
    <comment ref="AE128" authorId="2" shapeId="0" xr:uid="{300EFD59-E327-450D-B4D8-3B2C3D90CE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Efter 89-vagt på Bellahøjhallen til kl. 23.30 også OA</t>
        </r>
      </text>
    </comment>
    <comment ref="AF128" authorId="2" shapeId="0" xr:uid="{FB381103-3E69-495E-A9BE-6A0FFFCC08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kl.14.30-23.30 på OA</t>
        </r>
      </text>
    </comment>
    <comment ref="V157" authorId="2" shapeId="0" xr:uid="{2A1F992D-1A21-4C22-917E-D75F9AC50B2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til 19.00</t>
        </r>
      </text>
    </comment>
    <comment ref="G158" authorId="2" shapeId="0" xr:uid="{2D9D8A76-9B94-46D9-8351-CBFCE29CDA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15.00-23.00 på OA</t>
        </r>
      </text>
    </comment>
    <comment ref="H158" authorId="2" shapeId="0" xr:uid="{03BF658C-E3DD-410E-A436-023C75441A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til covid-19 beredskab 15.00-23.00</t>
        </r>
      </text>
    </comment>
    <comment ref="I158" authorId="2" shapeId="0" xr:uid="{185B13E5-59AD-459F-B31F-E16D542D90D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til covid-19 beredskab 15.00-23.00</t>
        </r>
      </text>
    </comment>
    <comment ref="N158" authorId="0" shapeId="0" xr:uid="{9CCEC4E7-61B7-4F53-8DC5-42A339157AF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89-vagt</t>
        </r>
      </text>
    </comment>
    <comment ref="O158" authorId="0" shapeId="0" xr:uid="{87578E74-C40D-460A-B9B3-7274FFFA183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89-vagt</t>
        </r>
      </text>
    </comment>
    <comment ref="P158" authorId="0" shapeId="0" xr:uid="{9529750D-EFE5-4143-A807-7A5CFE234C8C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Covid19 kørsel 9-16
Kristoffer kørte også efter kl. 16.00</t>
        </r>
      </text>
    </comment>
    <comment ref="Y159" authorId="2" shapeId="0" xr:uid="{DBA7B322-61D9-468B-97C4-9ABC9E28AB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Martin starter som omviser</t>
        </r>
      </text>
    </comment>
    <comment ref="V162" authorId="2" shapeId="0" xr:uid="{FF8C66F9-FBB1-4308-8A96-918E6603C7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til 19.00</t>
        </r>
      </text>
    </comment>
    <comment ref="T185" authorId="1" shapeId="0" xr:uid="{FB21E1A9-3F17-458B-BF2C-2A2B24018B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fra kl. 12-14:30</t>
        </r>
      </text>
    </comment>
    <comment ref="U186" authorId="5" shapeId="0" xr:uid="{17444D3E-D9EC-4297-8BBF-168C6504F1B9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O-vagt</t>
        </r>
      </text>
    </comment>
    <comment ref="V215" authorId="0" shapeId="0" xr:uid="{9FF574ED-C518-4AB7-80A0-F1BD8D23E7F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215" authorId="0" shapeId="0" xr:uid="{2F652F1F-D874-4771-8563-4273E57665F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215" authorId="0" shapeId="0" xr:uid="{B7551BF9-4137-44CD-969D-89B16E647E62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Y215" authorId="0" shapeId="0" xr:uid="{D9007D53-6EA7-4616-82E0-C5BF901D0762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Z215" authorId="0" shapeId="0" xr:uid="{6AEC4766-16EB-4826-8DF6-01808698177C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A215" authorId="0" shapeId="0" xr:uid="{F83DDB9F-8A08-43B3-B7E0-2D77EBBE7777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H218" authorId="3" shapeId="0" xr:uid="{266E6D1B-1FBD-4740-A59E-142AEDC2A439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oa 89 vagt,  til 16:00</t>
        </r>
      </text>
    </comment>
    <comment ref="S221" authorId="13" shapeId="0" xr:uid="{5289976C-EFE4-48C1-8BA8-ADFB2B9CDA0E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afs
11,45-13,45</t>
        </r>
      </text>
    </comment>
    <comment ref="L222" authorId="0" shapeId="0" xr:uid="{22233E0F-8CDF-424D-ABDA-5C3195EA1D3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1-vagt</t>
        </r>
      </text>
    </comment>
    <comment ref="M222" authorId="0" shapeId="0" xr:uid="{9740442A-FAAA-474C-9FE8-95B12668B9C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1-vagt</t>
        </r>
      </text>
    </comment>
    <comment ref="N222" authorId="0" shapeId="0" xr:uid="{9BE263C9-2054-46BE-8408-5C3BB675065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1-vagt</t>
        </r>
      </text>
    </comment>
    <comment ref="O222" authorId="0" shapeId="0" xr:uid="{BA5E66E6-CC70-453D-B419-417A9FF5C0C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1-vagt</t>
        </r>
      </text>
    </comment>
    <comment ref="G276" authorId="13" shapeId="0" xr:uid="{5FCF87C3-EFA5-49B0-8B1C-F5F5FFC52BB5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afs</t>
        </r>
      </text>
    </comment>
    <comment ref="I276" authorId="13" shapeId="0" xr:uid="{28C82CE1-3537-4561-860E-6847BC92576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- 3,5 time afs</t>
        </r>
      </text>
    </comment>
    <comment ref="O276" authorId="13" shapeId="0" xr:uid="{AA764F3C-C4B3-4880-9945-D3C542151A9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afs</t>
        </r>
      </text>
    </comment>
    <comment ref="P276" authorId="13" shapeId="0" xr:uid="{37E27ADD-2D2E-4D5E-BD04-100752474D9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-3,5 time afs</t>
        </r>
      </text>
    </comment>
    <comment ref="V276" authorId="9" shapeId="0" xr:uid="{1052B59F-A94D-4B8E-B424-BB6B5422AF9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- 3 Timer afs</t>
        </r>
      </text>
    </comment>
    <comment ref="AB276" authorId="13" shapeId="0" xr:uid="{102EE3CE-3480-42D3-AFCE-7552E8AFA211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- 4,5 Time afs</t>
        </r>
      </text>
    </comment>
    <comment ref="W277" authorId="9" shapeId="0" xr:uid="{F88B122B-D4FC-4FC7-983A-4559C40DF98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- 2 Timer afs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Marianne Rasmussen</author>
    <author>marasm</author>
    <author>Steen Hertin</author>
    <author>Steen Hertin-Sandkær</author>
    <author>Nikolaj Langtin Pamhede</author>
    <author>Rasmus Sørensen</author>
    <author>Michael Bo Pedersen</author>
  </authors>
  <commentList>
    <comment ref="F12" authorId="0" shapeId="0" xr:uid="{001DBA70-9155-4D04-A24D-657092EABE7B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L12" authorId="0" shapeId="0" xr:uid="{75B3AE8F-6E5F-47E9-9179-91848F1B2BD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12" authorId="0" shapeId="0" xr:uid="{CE949C03-4BFC-4B22-AA33-A9C05F955E0F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S12" authorId="0" shapeId="0" xr:uid="{48DC48CE-33CB-45AC-9D90-FCB5C12481F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2" authorId="1" shapeId="0" xr:uid="{3C326294-3B26-4F7F-AA60-A65E966F329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Hjælpe med rundvisninger</t>
        </r>
      </text>
    </comment>
    <comment ref="X12" authorId="2" shapeId="0" xr:uid="{63CC81EE-CF0D-457A-B26C-1B97220A466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Grundlovs cermoni kl. 08.00-15</t>
        </r>
      </text>
    </comment>
    <comment ref="C15" authorId="0" shapeId="0" xr:uid="{73D46BC0-DB56-482B-A96F-841681B80F1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D15" authorId="0" shapeId="0" xr:uid="{78BA36BF-40D2-454A-81BB-B51FF3CCA81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E15" authorId="0" shapeId="0" xr:uid="{7C68841B-E074-4F74-BCE9-E97FF31EB00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AA17" authorId="3" shapeId="0" xr:uid="{D9FF18F8-369E-4E0B-9A5F-38F56EEE03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7-vagt på OA</t>
        </r>
      </text>
    </comment>
    <comment ref="AB17" authorId="3" shapeId="0" xr:uid="{1BBE73AC-633D-4C57-9658-F82D0F555D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14.00-22.00 på OA</t>
        </r>
      </text>
    </comment>
    <comment ref="O20" authorId="3" shapeId="0" xr:uid="{6B6EDE51-DBFC-4969-BF9D-C069102CBFD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06.00-14.00</t>
        </r>
      </text>
    </comment>
    <comment ref="U20" authorId="4" shapeId="0" xr:uid="{4D311F22-D7F1-4D89-80DB-B3C95B26F63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06.00-14.00</t>
        </r>
      </text>
    </comment>
    <comment ref="AC20" authorId="4" shapeId="0" xr:uid="{D238D77B-3BF1-4AD5-971B-E9ECA46F2A1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06.00-18.30</t>
        </r>
      </text>
    </comment>
    <comment ref="E21" authorId="1" shapeId="0" xr:uid="{B8572C3A-361E-4008-BECB-DA319D564B34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BR.Møde kl 15,30-21,15</t>
        </r>
      </text>
    </comment>
    <comment ref="K21" authorId="3" shapeId="0" xr:uid="{BE5FE563-248F-43D3-8DDD-E920073A02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Teamsmøder</t>
        </r>
      </text>
    </comment>
    <comment ref="Q21" authorId="3" shapeId="0" xr:uid="{48976161-5506-4484-A3AE-C56C3E87E3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Fejer for Johnny</t>
        </r>
      </text>
    </comment>
    <comment ref="W21" authorId="3" shapeId="0" xr:uid="{27124B15-12AA-40C0-BC4D-01A97B651A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Fuglebakke kl. 09.00-14.00</t>
        </r>
      </text>
    </comment>
    <comment ref="X21" authorId="2" shapeId="0" xr:uid="{835B7763-F0FF-46F4-B392-4C4FA3C1543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12-14,30 oa Arrangement</t>
        </r>
      </text>
    </comment>
    <comment ref="F22" authorId="3" shapeId="0" xr:uid="{376FF67E-1B46-44F1-B4F1-0ECACF8CF8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
OA til 19.30</t>
        </r>
      </text>
    </comment>
    <comment ref="P24" authorId="4" shapeId="0" xr:uid="{03EC7A10-991E-4C01-AE8B-D6057FA34B9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Rentemestervej kl. 14.00-15.45 OA.</t>
        </r>
      </text>
    </comment>
    <comment ref="Q24" authorId="3" shapeId="0" xr:uid="{8EDC1393-EF88-41C7-BC7B-A75373CD531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Hospital.</t>
        </r>
      </text>
    </comment>
    <comment ref="X24" authorId="2" shapeId="0" xr:uid="{A431A9A4-2A21-46EC-87A8-62873609FCA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13,45-15 oa Arragement</t>
        </r>
      </text>
    </comment>
    <comment ref="E25" authorId="3" shapeId="0" xr:uid="{5761529D-0AEA-4743-A2F3-4148DC9CF7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Husk vagt til Hjemløseenheden. Tjek kalender.</t>
        </r>
      </text>
    </comment>
    <comment ref="F25" authorId="3" shapeId="0" xr:uid="{F3BC6D87-5A75-40E0-A506-9ED8BDAA52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25" authorId="3" shapeId="0" xr:uid="{E305615B-B5FB-4930-974E-6CD472650C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Arrangement kl. 12.00-17.00</t>
        </r>
      </text>
    </comment>
    <comment ref="N37" authorId="3" shapeId="0" xr:uid="{A9BE8E37-D9ED-462D-B0F9-6FAA6924964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22.00-06.00</t>
        </r>
      </text>
    </comment>
    <comment ref="O37" authorId="3" shapeId="0" xr:uid="{43D1A751-485B-437C-94BC-5F6512520D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22.00-06.00</t>
        </r>
      </text>
    </comment>
    <comment ref="V37" authorId="3" shapeId="0" xr:uid="{95032E03-4398-4616-97CA-DC2270E118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22.00-06.00</t>
        </r>
      </text>
    </comment>
    <comment ref="G38" authorId="3" shapeId="0" xr:uid="{8BACFA27-FB71-4A8F-8374-345851B5BD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fra kl. 13.00 på OA</t>
        </r>
      </text>
    </comment>
    <comment ref="Q39" authorId="3" shapeId="0" xr:uid="{7071FDF1-F9CE-4E43-829A-3C3365777B9A}">
      <text>
        <r>
          <rPr>
            <b/>
            <sz val="9"/>
            <color indexed="81"/>
            <rFont val="Tahoma"/>
            <charset val="1"/>
          </rPr>
          <t>Steen Hertin:Til møde kl. 10.00</t>
        </r>
      </text>
    </comment>
    <comment ref="AD42" authorId="3" shapeId="0" xr:uid="{83CF3C26-DD67-408D-8DEF-F01B1B53F5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I1 på OA.</t>
        </r>
      </text>
    </comment>
    <comment ref="Y44" authorId="4" shapeId="0" xr:uid="{B936551A-0272-48E3-BFE3-07EB5A9AB99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kl. 09.00 og hjælper med at dække i1 og 1-vagt på OA</t>
        </r>
      </text>
    </comment>
    <comment ref="Q46" authorId="3" shapeId="0" xr:uid="{B9FEC7A6-A8C0-4758-80B7-580164E923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R46" authorId="3" shapeId="0" xr:uid="{369BE6D2-1474-449A-8B7E-4E201BF18C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S46" authorId="3" shapeId="0" xr:uid="{F1797116-F081-4E0F-916B-AA6782C247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T46" authorId="4" shapeId="0" xr:uid="{60F688D5-2CC6-4D0F-B795-A859EFA7C75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 på OA</t>
        </r>
      </text>
    </comment>
    <comment ref="W46" authorId="0" shapeId="0" xr:uid="{FF58CF16-8619-43F6-B446-DC584964979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17-22</t>
        </r>
      </text>
    </comment>
    <comment ref="X46" authorId="0" shapeId="0" xr:uid="{D32F78B1-E13F-478B-A934-336283711EB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 ca. 19</t>
        </r>
      </text>
    </comment>
    <comment ref="AD48" authorId="3" shapeId="0" xr:uid="{1F001D24-A56A-4811-8260-9FA7BB5C27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Har byttet med Kim. Bo er 8-vagt</t>
        </r>
      </text>
    </comment>
    <comment ref="J49" authorId="5" shapeId="0" xr:uid="{2B278A92-C090-4CFB-9D37-DABBF437C555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OA Covid kørsel
23:15-03:00</t>
        </r>
      </text>
    </comment>
    <comment ref="P62" authorId="3" shapeId="0" xr:uid="{8A397A76-49AE-426B-878E-BA2B90075A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bag Lars</t>
        </r>
      </text>
    </comment>
    <comment ref="Q62" authorId="3" shapeId="0" xr:uid="{6A1ABBB1-01EB-445F-A323-EB42DA65562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bag Lars</t>
        </r>
      </text>
    </comment>
    <comment ref="R62" authorId="3" shapeId="0" xr:uid="{D5483ADF-0746-4BDA-A3E9-26190864B60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bag Lars</t>
        </r>
      </text>
    </comment>
    <comment ref="C63" authorId="3" shapeId="0" xr:uid="{49C25EBE-A701-40E8-A09E-3CE3D59023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J63" authorId="2" shapeId="0" xr:uid="{8646A9CA-092D-46E2-80B6-086B234B00F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89 på OA</t>
        </r>
      </text>
    </comment>
    <comment ref="K63" authorId="3" shapeId="0" xr:uid="{8F199BE8-A253-4B9F-8287-8E33685A71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16.15-06.00</t>
        </r>
      </text>
    </comment>
    <comment ref="N63" authorId="3" shapeId="0" xr:uid="{3B652B65-35C5-4902-838E-C68327B008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+ KA på OA</t>
        </r>
      </text>
    </comment>
    <comment ref="P63" authorId="3" shapeId="0" xr:uid="{ED8A3468-5BCC-4175-B753-27E52AF9FE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17.00-06.00 på OA</t>
        </r>
      </text>
    </comment>
    <comment ref="Q63" authorId="3" shapeId="0" xr:uid="{43583D2B-C8F4-4AFC-B45A-C87EB60A699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17.00-06.00 på OA</t>
        </r>
      </text>
    </comment>
    <comment ref="R63" authorId="3" shapeId="0" xr:uid="{5AD2F417-C08B-4511-AEFD-18107190A1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17.00-06.00 på OA</t>
        </r>
      </text>
    </comment>
    <comment ref="S63" authorId="3" shapeId="0" xr:uid="{D47FBCD1-709C-4BD3-83D7-0E70FD657C9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16.30-06.00 På OA fra kl.23.30 -06.00 Vagtpåsat som 1-vagt</t>
        </r>
      </text>
    </comment>
    <comment ref="T63" authorId="3" shapeId="0" xr:uid="{0509A859-FD75-4F60-BE34-9B854FC731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16.30-06.00 på OA fra kl. 22.30. Vagtpåsat som i1-vagt</t>
        </r>
      </text>
    </comment>
    <comment ref="W63" authorId="4" shapeId="0" xr:uid="{6A38A708-A397-40ED-9C1A-3E92CC0682F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X63" authorId="4" shapeId="0" xr:uid="{9F1B987D-651A-4F4C-9A3A-CE1AFC4CFDC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AD63" authorId="4" shapeId="0" xr:uid="{D7911DAC-A1D6-4CE4-8038-EADE95EC22A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C64" authorId="3" shapeId="0" xr:uid="{14EAFF20-B69E-4E83-8EC2-9C2214F7D0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på OA.</t>
        </r>
      </text>
    </comment>
    <comment ref="W64" authorId="3" shapeId="0" xr:uid="{3E8FC582-AE18-477A-964A-E62D9981DD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X64" authorId="3" shapeId="0" xr:uid="{45BB1175-81C0-4C3D-9891-983DA2861BB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Bliver til kl.19.00 pga bryllupper. OA</t>
        </r>
      </text>
    </comment>
    <comment ref="Z64" authorId="3" shapeId="0" xr:uid="{2BC933B6-045A-4F45-8CD6-9F6F619D0A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4-vagt på OA</t>
        </r>
      </text>
    </comment>
    <comment ref="AA64" authorId="3" shapeId="0" xr:uid="{4ED7E0F7-784B-4BC8-9AB3-83303506F15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i2 på OA</t>
        </r>
      </text>
    </comment>
    <comment ref="AB64" authorId="3" shapeId="0" xr:uid="{C530D283-258C-4687-AD5C-3ED1B6D0B3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AC64" authorId="3" shapeId="0" xr:uid="{3563D326-C740-4C43-8E15-F798844126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
OA til 00:00</t>
        </r>
      </text>
    </comment>
    <comment ref="H66" authorId="6" shapeId="0" xr:uid="{3FD8297C-D1CA-423C-BB54-F9A20B36DF0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P66" authorId="3" shapeId="0" xr:uid="{9DB02A01-FF6C-43BA-8C22-648AE88D2F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Hjemløseenheden ved møder</t>
        </r>
      </text>
    </comment>
    <comment ref="Q66" authorId="3" shapeId="0" xr:uid="{032A6814-BEEF-4CB1-AA97-4A75340EB65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Hjemløseenheden ved møder</t>
        </r>
      </text>
    </comment>
    <comment ref="R66" authorId="3" shapeId="0" xr:uid="{8A247157-5CC6-4B28-8A28-EA3B1D49437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Hjemløseenheden ved møder</t>
        </r>
      </text>
    </comment>
    <comment ref="S66" authorId="3" shapeId="0" xr:uid="{C6DFC414-3F6D-4E8A-A219-4A813A3C29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Hjemløseenheden ved møder</t>
        </r>
      </text>
    </comment>
    <comment ref="T66" authorId="3" shapeId="0" xr:uid="{22BD8CB8-C736-4BA9-B7B3-21E7DC7A8D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 Hjemløseenheden ved møder</t>
        </r>
      </text>
    </comment>
    <comment ref="V66" authorId="4" shapeId="0" xr:uid="{D2168003-9936-496C-AC5B-E769EA778B2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14.00-22.00</t>
        </r>
      </text>
    </comment>
    <comment ref="X66" authorId="4" shapeId="0" xr:uid="{9538C8C5-806F-4803-9D51-8A430591E96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9-vagt på OA.</t>
        </r>
      </text>
    </comment>
    <comment ref="Y66" authorId="6" shapeId="0" xr:uid="{D20AA1B8-580F-4FF5-A4C7-04FE226C1CE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23-vagt i kødbyen på oa</t>
        </r>
      </text>
    </comment>
    <comment ref="Z66" authorId="4" shapeId="0" xr:uid="{ACB3E604-844C-451D-9E66-512C77E6531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9-vagt på OA. Ændret til 21-vagt på OA</t>
        </r>
      </text>
    </comment>
    <comment ref="AB66" authorId="3" shapeId="0" xr:uid="{B2E34CD9-6F66-4A52-9D96-AAC27D5BCB5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22.00-06.00 på oa.</t>
        </r>
      </text>
    </comment>
    <comment ref="AD66" authorId="3" shapeId="0" xr:uid="{C3FB5481-1448-4CFD-9D33-B6C3A28922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Arrangement kl. 12.00-17.00</t>
        </r>
      </text>
    </comment>
    <comment ref="G67" authorId="3" shapeId="0" xr:uid="{91A1E93B-59B7-46E9-98C3-80FBD28D3C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fra kl. 13.00 på OA</t>
        </r>
      </text>
    </comment>
    <comment ref="P67" authorId="4" shapeId="0" xr:uid="{B9DFE865-C8B4-40EB-A732-D4541A9D440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Rentemestervej 11.00-16.15 på OA.</t>
        </r>
      </text>
    </comment>
    <comment ref="U67" authorId="4" shapeId="0" xr:uid="{36853A26-7612-4EA3-9794-91C698120C9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14.00-22.00</t>
        </r>
      </text>
    </comment>
    <comment ref="X67" authorId="4" shapeId="0" xr:uid="{09C4A573-E2AE-40E9-B58A-A3E8B3FDDB3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I2 på OA</t>
        </r>
      </text>
    </comment>
    <comment ref="Y67" authorId="4" shapeId="0" xr:uid="{D6226F80-F4CB-4663-9A53-94D3E3FB8DB2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kl. 07.00 som 1-vagt og kl. 09.00 som 99-vagt alt er på OA.</t>
        </r>
      </text>
    </comment>
    <comment ref="AB67" authorId="3" shapeId="0" xr:uid="{D6618E58-727B-4748-92BA-12DB6895E3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 kl. 06.00-14.00</t>
        </r>
      </text>
    </comment>
    <comment ref="AC67" authorId="6" shapeId="0" xr:uid="{17042AFA-DF76-49BA-839C-2F41CF4EEB7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C70" authorId="3" shapeId="0" xr:uid="{0102B705-F897-4D43-9355-91DFE8795F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70" authorId="3" shapeId="0" xr:uid="{35A44E42-259D-4C50-9D5E-CD69CF5CEF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16-23,45</t>
        </r>
      </text>
    </comment>
    <comment ref="G70" authorId="3" shapeId="0" xr:uid="{E278E103-9BCA-428A-991C-8853FBB991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H70" authorId="3" shapeId="0" xr:uid="{C6FAC362-9743-4810-B4DF-156BB8C725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L70" authorId="3" shapeId="0" xr:uid="{EA46338D-D367-412A-B6C6-033AA79B5AB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 17.00-06.00 OA fra 00.45</t>
        </r>
      </text>
    </comment>
    <comment ref="M70" authorId="3" shapeId="0" xr:uid="{C94C444B-6D31-476D-B932-1DC398FB8C6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 17.00-06.00 OA fra 23.00</t>
        </r>
      </text>
    </comment>
    <comment ref="P70" authorId="3" shapeId="0" xr:uid="{C90191D1-2AAD-4CAC-B8A6-8B884FF23A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fra 23.00-23.30</t>
        </r>
      </text>
    </comment>
    <comment ref="Q70" authorId="3" shapeId="0" xr:uid="{EB546DF2-043F-4092-8E95-A1C45419B9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T70" authorId="3" shapeId="0" xr:uid="{9DC1A7B3-7AE9-4EAE-A1A0-9A9C0BB445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Y70" authorId="4" shapeId="0" xr:uid="{28479935-7913-455E-9E12-05E0BBD629A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Z70" authorId="4" shapeId="0" xr:uid="{80F3309A-F9AF-4CCB-AC57-14E2CC114C0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AA70" authorId="4" shapeId="0" xr:uid="{622755B7-DFED-40C1-8D0C-0BF4B3851BE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</t>
        </r>
      </text>
    </comment>
    <comment ref="I71" authorId="3" shapeId="0" xr:uid="{E49689B4-0EF2-4EA0-B8EB-F84B7C5C23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J71" authorId="3" shapeId="0" xr:uid="{877E3A03-0DA9-4C3C-8A64-6B79482214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23:00 - 03:00</t>
        </r>
      </text>
    </comment>
    <comment ref="K71" authorId="3" shapeId="0" xr:uid="{9634A318-87C3-40FE-AE5E-8054D1D602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L71" authorId="3" shapeId="0" xr:uid="{C9D24607-8F81-4DF7-B9A7-F8BDC9D17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71" authorId="3" shapeId="0" xr:uid="{EB1C1D4B-3BFE-49B3-931C-E204598BF2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N71" authorId="3" shapeId="0" xr:uid="{D25E7DE6-B9C8-40FE-BCCB-C2F9BD812D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06.00-14.00</t>
        </r>
      </text>
    </comment>
    <comment ref="O71" authorId="3" shapeId="0" xr:uid="{7379B05D-2375-49F2-B3C8-4F901D2052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KA på OA</t>
        </r>
      </text>
    </comment>
    <comment ref="W71" authorId="4" shapeId="0" xr:uid="{5C9E6ED3-76F6-4C61-8022-45C388B1AB4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9-vagt på OA</t>
        </r>
      </text>
    </comment>
    <comment ref="Y71" authorId="4" shapeId="0" xr:uid="{2B0344FF-2FAB-4A90-9F3E-6B3FE3E0EB8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9-vagt på OA</t>
        </r>
      </text>
    </comment>
    <comment ref="AA71" authorId="4" shapeId="0" xr:uid="{855FFF63-2E38-4970-B81E-6C44498B4F97}">
      <text>
        <r>
          <rPr>
            <b/>
            <sz val="9"/>
            <color indexed="81"/>
            <rFont val="Tahoma"/>
            <charset val="1"/>
          </rPr>
          <t>Steen Hertin-Sandkær:
21-vagt på OA.</t>
        </r>
      </text>
    </comment>
    <comment ref="AC71" authorId="3" shapeId="0" xr:uid="{5F1E3BB8-21B7-4AE1-B451-9133F0132B6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 18.30-06.00 på OA</t>
        </r>
      </text>
    </comment>
    <comment ref="C72" authorId="3" shapeId="0" xr:uid="{489E6BA4-6866-4A40-AD42-E93161FB20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2" authorId="3" shapeId="0" xr:uid="{359DA528-302B-4704-A649-1713331E90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til kl. 23.00 OA fra 18.00</t>
        </r>
      </text>
    </comment>
    <comment ref="E72" authorId="3" shapeId="0" xr:uid="{8681A4FE-EF04-4360-838D-C3E7CD7C3A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til kl. 23.00 OA fra 17.00</t>
        </r>
      </text>
    </comment>
    <comment ref="F72" authorId="3" shapeId="0" xr:uid="{036BF9F2-FFE8-40CB-8F02-241A254226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I72" authorId="3" shapeId="0" xr:uid="{5C9E755C-C33C-4066-A061-62D500F617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2" authorId="3" shapeId="0" xr:uid="{16475301-5AD7-4241-94EB-CD7B729FF7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2" authorId="3" shapeId="0" xr:uid="{36064C77-BCAC-422E-AC6E-5832868F1A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2" authorId="3" shapeId="0" xr:uid="{6BC21ADA-8F33-4EBF-914E-8310E580D2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M72" authorId="3" shapeId="0" xr:uid="{2AFC4361-4AB1-4149-988B-C0A369AACA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P72" authorId="3" shapeId="0" xr:uid="{D9971AEB-BAEF-4053-8FA0-7613FCF233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2" authorId="3" shapeId="0" xr:uid="{8BA08B4D-62F0-43D8-8070-33205574F9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2" authorId="3" shapeId="0" xr:uid="{DBEC9E45-1849-41BD-A58C-30F50AE4D6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beredskab hjemme til kl. 23.00</t>
        </r>
      </text>
    </comment>
    <comment ref="S72" authorId="3" shapeId="0" xr:uid="{0EB78A01-2159-4FED-8BE7-58991D2D3C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beredskab hjemme til kl. 23.00</t>
        </r>
      </text>
    </comment>
    <comment ref="T72" authorId="3" shapeId="0" xr:uid="{F2C5E4D9-9B13-458E-9377-530632E39B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W72" authorId="3" shapeId="0" xr:uid="{FDCBE4ED-9AFF-432C-89AB-213DF07D94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2" authorId="3" shapeId="0" xr:uid="{88ADCC3D-725E-476E-8CA1-9CE45406FB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18.00 Covid-19 
Færdig Kl. 02:00 OA</t>
        </r>
      </text>
    </comment>
    <comment ref="Y72" authorId="3" shapeId="0" xr:uid="{468D20C6-9B23-44AE-8692-B9DAF531A8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18.00 Covid-19 beredskab på tilkald</t>
        </r>
      </text>
    </comment>
    <comment ref="Z72" authorId="3" shapeId="0" xr:uid="{6A2B9572-88A7-4BE5-B385-2405BB337B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17.00 Covid-19 beredskab på tilkald</t>
        </r>
      </text>
    </comment>
    <comment ref="AA72" authorId="3" shapeId="0" xr:uid="{EBC83549-997F-4AB1-958F-1DDAE88957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D72" authorId="3" shapeId="0" xr:uid="{10F6149C-8730-44EE-9698-9AF9A1C2F0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+ 8-vagt på OA</t>
        </r>
      </text>
    </comment>
    <comment ref="H74" authorId="6" shapeId="0" xr:uid="{420A3EBF-A032-4395-B773-C91C03BE5F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V74" authorId="6" shapeId="0" xr:uid="{DBDA2F5D-2A4A-42B0-9DA3-95717FC5F4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Q75" authorId="3" shapeId="0" xr:uid="{56AE8C55-DACA-4AED-827B-9225EBA1F1E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99-vagt på OA.</t>
        </r>
      </text>
    </comment>
    <comment ref="R75" authorId="3" shapeId="0" xr:uid="{C0245A26-BCB9-43BF-9870-E19204D5CD2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S75" authorId="3" shapeId="0" xr:uid="{E5A69DEF-081E-4D8F-BA13-485B22DB45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1-vagt på oa.</t>
        </r>
      </text>
    </comment>
    <comment ref="T75" authorId="4" shapeId="0" xr:uid="{288EFFFE-E99C-4357-B7EE-74DBFE011C6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 på OA</t>
        </r>
      </text>
    </comment>
    <comment ref="W75" authorId="0" shapeId="0" xr:uid="{17A68471-AF7A-40DB-9A25-96E12B44FAF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17-22</t>
        </r>
      </text>
    </comment>
    <comment ref="X75" authorId="0" shapeId="0" xr:uid="{7E99753E-B7B6-439C-AA6C-523A877A9AE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 ca. 19</t>
        </r>
      </text>
    </comment>
    <comment ref="AB79" authorId="3" shapeId="0" xr:uid="{60D62451-51AE-4902-BAFE-07BCE0A4A09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21-vagt på OA</t>
        </r>
      </text>
    </comment>
    <comment ref="AC79" authorId="3" shapeId="0" xr:uid="{5163C1D2-6FD6-458B-97A9-469E47A1A19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21-vagt på OA</t>
        </r>
      </text>
    </comment>
    <comment ref="T80" authorId="3" shapeId="0" xr:uid="{523F6913-E6EB-4377-8465-843C998058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Brylupper kl. 17.30-20.30 på OA</t>
        </r>
      </text>
    </comment>
    <comment ref="T104" authorId="1" shapeId="0" xr:uid="{A756C4FE-8622-4595-AB49-4174CD51431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i1 på oa 7-13</t>
        </r>
      </text>
    </comment>
    <comment ref="U104" authorId="4" shapeId="0" xr:uid="{1C0F17A1-123C-495A-B0F9-C3B1DED1167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22.00-06.00
Martin møder lidt senere søndag morgen. Dimitrios bliver til han kommer.</t>
        </r>
      </text>
    </comment>
    <comment ref="W104" authorId="0" shapeId="0" xr:uid="{EE2E5429-B99D-46DC-B559-7E1AB09E4D6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17-19</t>
        </r>
      </text>
    </comment>
    <comment ref="F105" authorId="3" shapeId="0" xr:uid="{BB2D5F62-DEE7-432E-B157-645616850E2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Kødbyen 22-vagt på OA</t>
        </r>
      </text>
    </comment>
    <comment ref="G105" authorId="3" shapeId="0" xr:uid="{05413E4D-F71F-456B-B665-91F8288F60E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Kødbyen 22-vagt på OA</t>
        </r>
      </text>
    </comment>
    <comment ref="O105" authorId="6" shapeId="0" xr:uid="{BE92F8AF-7216-43D3-9A22-7F53576B8F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AA105" authorId="4" shapeId="0" xr:uid="{06C3EF11-6F38-42BC-8718-B6C8BA76F02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kl. 17.00-06.00 også på OA</t>
        </r>
      </text>
    </comment>
    <comment ref="E112" authorId="3" shapeId="0" xr:uid="{A68FE86C-1AEC-4B29-A321-5ED86F2BE87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fra.14.45-20,30</t>
        </r>
      </text>
    </comment>
    <comment ref="E124" authorId="1" shapeId="0" xr:uid="{BEE5E609-8983-4C74-99A3-AD20C867725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fra kl. 16-20,30</t>
        </r>
      </text>
    </comment>
    <comment ref="E125" authorId="1" shapeId="0" xr:uid="{92CA92FC-99C9-4D9B-9715-268081C5D266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fra kl. 16-20,30</t>
        </r>
      </text>
    </comment>
    <comment ref="X125" authorId="2" shapeId="0" xr:uid="{7A7EC19C-A3ED-4FC8-902F-9EA945CC2EB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Grundlovs cermoni 8-9 OA
</t>
        </r>
      </text>
    </comment>
    <comment ref="AB125" authorId="3" shapeId="0" xr:uid="{2196B4CE-B86D-41B4-9170-68B56B4B49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89-vagt på OA.</t>
        </r>
      </text>
    </comment>
    <comment ref="N126" authorId="3" shapeId="0" xr:uid="{33348ADA-FE48-4D72-97B7-5698B3D141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O126" authorId="3" shapeId="0" xr:uid="{EFAFFFE8-0376-4BB9-9FF6-6FB3F6163D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P126" authorId="3" shapeId="0" xr:uid="{3B341212-604D-4F1A-BAFE-DF549517AE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Går kl. 12.00</t>
        </r>
      </text>
    </comment>
    <comment ref="U126" authorId="3" shapeId="0" xr:uid="{67EAA8AC-4943-457E-9288-ACF5A27C1B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V126" authorId="3" shapeId="0" xr:uid="{BE9F8FD8-8926-458E-9FD8-D1DC76A9A0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E127" authorId="1" shapeId="0" xr:uid="{BCFE95CE-BAD6-48B3-AC90-4A243632C27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fra kl. 15,30-20,30
på som eks.</t>
        </r>
      </text>
    </comment>
    <comment ref="V127" authorId="4" shapeId="0" xr:uid="{6F66870B-2073-4308-B0FE-270AC3DC0BE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Fuglebakken 06.00-14.00</t>
        </r>
      </text>
    </comment>
    <comment ref="X127" authorId="2" shapeId="0" xr:uid="{83543D87-7C22-44F5-A5BD-2D312258935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Grundlovs cermoni kl. 8-8,30 OA</t>
        </r>
      </text>
    </comment>
    <comment ref="C128" authorId="3" shapeId="0" xr:uid="{90905330-7B80-4F8C-9D43-0B219A30FEA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fra 13.30-15.30</t>
        </r>
      </text>
    </comment>
    <comment ref="E128" authorId="1" shapeId="0" xr:uid="{AD386D7A-878A-49FC-B3E8-FC1F2022972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BR-Møde på oa fra kl. 16-19,45</t>
        </r>
      </text>
    </comment>
    <comment ref="G128" authorId="3" shapeId="0" xr:uid="{02AA4FB7-B771-4233-A480-A91A717776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 </t>
        </r>
      </text>
    </comment>
    <comment ref="H128" authorId="3" shapeId="0" xr:uid="{76D87703-4F74-47F7-8F34-A38A99178FC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 </t>
        </r>
      </text>
    </comment>
    <comment ref="L128" authorId="7" shapeId="0" xr:uid="{66A28F1D-F607-4DD6-A9E2-9CBD473CC0BA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Møde fra 09.00 - 11.00</t>
        </r>
      </text>
    </comment>
    <comment ref="N128" authorId="3" shapeId="0" xr:uid="{0C5BACA6-5DFF-4538-A3EC-C9CA6D3C8B2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07.00-15.00</t>
        </r>
      </text>
    </comment>
    <comment ref="W128" authorId="0" shapeId="0" xr:uid="{2E1F53A3-4D05-4571-A915-0CFF038201B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16.30-19?</t>
        </r>
      </text>
    </comment>
    <comment ref="AB128" authorId="3" shapeId="0" xr:uid="{BD5CE942-A8F0-41D8-9D14-16CFBF0A49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</t>
        </r>
      </text>
    </comment>
    <comment ref="AC128" authorId="3" shapeId="0" xr:uid="{D25E9ECD-8155-4A64-B5B0-E8C7F9C32E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Bellahøjhallen 15.00-23.30</t>
        </r>
      </text>
    </comment>
    <comment ref="E157" authorId="3" shapeId="0" xr:uid="{44DB2814-BA68-4B86-BDF1-D831FB1D20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fra.15.30-20,30</t>
        </r>
      </text>
    </comment>
    <comment ref="M157" authorId="1" shapeId="0" xr:uid="{22B54FBB-6E89-4753-B9F5-7B6C1AF6457C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157" authorId="1" shapeId="0" xr:uid="{9C4A7578-E0FC-4D38-A9AA-6C7D5333879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57" authorId="2" shapeId="0" xr:uid="{29C74B67-F20E-4453-B3DF-49DC2C17C18B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157" authorId="2" shapeId="0" xr:uid="{BA5F16D0-8C30-4146-ACD1-042F982399DF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Grundlovs cermoni kl. 08.00-12</t>
        </r>
      </text>
    </comment>
    <comment ref="Z157" authorId="1" shapeId="0" xr:uid="{9C6746C7-EE6E-490E-8D29-6AE0CCC301B8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57" authorId="2" shapeId="0" xr:uid="{EF638C44-F763-443F-8478-EC46FAC4FC3C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U158" authorId="0" shapeId="0" xr:uid="{E23DF283-727A-40B7-BB2B-CC4212E99FC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14-22</t>
        </r>
      </text>
    </comment>
    <comment ref="X158" authorId="0" shapeId="0" xr:uid="{8CF2686F-E6F3-4E95-9323-D479541FE1B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17-23</t>
        </r>
      </text>
    </comment>
    <comment ref="E162" authorId="3" shapeId="0" xr:uid="{BA9AC338-5630-4468-8E69-B5B11BE4CC2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Br-møde på OA fra.15.15-20,30</t>
        </r>
      </text>
    </comment>
    <comment ref="E184" authorId="0" shapeId="0" xr:uid="{C584BFE1-9038-4BF5-874A-27D4FCF1EF0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Internflex</t>
        </r>
      </text>
    </comment>
    <comment ref="F184" authorId="0" shapeId="0" xr:uid="{4F60680D-1500-4C9C-8AAA-87120A93648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Internflex</t>
        </r>
      </text>
    </comment>
    <comment ref="I184" authorId="0" shapeId="0" xr:uid="{BAED63D5-0B65-47E0-A7B0-B54063ED95B9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Internflex</t>
        </r>
      </text>
    </comment>
    <comment ref="J184" authorId="0" shapeId="0" xr:uid="{03325E4F-9814-4DF4-8022-507EE0A391C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Internflex</t>
        </r>
      </text>
    </comment>
    <comment ref="K184" authorId="0" shapeId="0" xr:uid="{01E6E437-FCE0-437C-878D-AC12D1939A9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Internflex</t>
        </r>
      </text>
    </comment>
    <comment ref="N185" authorId="3" shapeId="0" xr:uid="{640BD548-48A5-404C-B93C-F4C758039B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14-22</t>
        </r>
      </text>
    </comment>
    <comment ref="O185" authorId="3" shapeId="0" xr:uid="{7B018E73-1420-4527-A2C2-B2E8FCE4F8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14-22</t>
        </r>
      </text>
    </comment>
    <comment ref="P186" authorId="3" shapeId="0" xr:uid="{CAA7485D-4FF3-471B-95DC-C2C4F6CBB95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flex</t>
        </r>
      </text>
    </comment>
    <comment ref="M193" authorId="3" shapeId="0" xr:uid="{27561F89-7D20-4A99-9C36-A6C14EE872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Læge.</t>
        </r>
      </text>
    </comment>
    <comment ref="E213" authorId="2" shapeId="0" xr:uid="{1F873B94-60A8-4780-BC74-4D22B6E8D40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- 3 time afs</t>
        </r>
      </text>
    </comment>
    <comment ref="I216" authorId="0" shapeId="0" xr:uid="{6FCAD2E4-6E4D-437D-B530-D6E06A03C8C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216" authorId="0" shapeId="0" xr:uid="{723A13FD-3E2B-4884-BDBB-A87B12AC7D9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216" authorId="0" shapeId="0" xr:uid="{44A2D9B8-9055-4F93-8382-97FEFF312EFE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217" authorId="0" shapeId="0" xr:uid="{1BE4DE71-8FB4-4D1E-A4AB-574900ACE2A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217" authorId="0" shapeId="0" xr:uid="{D5EE704B-3D0A-49EA-814C-CCF3BFFAB0EC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217" authorId="0" shapeId="0" xr:uid="{A09737FE-82B0-4A33-B71F-979F6C5C365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217" authorId="2" shapeId="0" xr:uid="{12D1D207-DCF3-4531-AB4B-90DB04086FF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8-14</t>
        </r>
      </text>
    </comment>
    <comment ref="P217" authorId="2" shapeId="0" xr:uid="{E0AFB4D1-A23F-4BDB-915D-55FD117DE41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6-13,45
14-15-16</t>
        </r>
      </text>
    </comment>
    <comment ref="Z219" authorId="2" shapeId="0" xr:uid="{B26AE730-F33A-4FBF-B519-C8B8472F339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fra kl 9,45-14,45</t>
        </r>
      </text>
    </comment>
    <comment ref="P222" authorId="2" shapeId="0" xr:uid="{ACFAF54C-2312-44AD-AC1A-74B4936BED67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- 2 timer afd 
11,45-13,45</t>
        </r>
      </text>
    </comment>
    <comment ref="X261" authorId="0" shapeId="0" xr:uid="{1D6EAC50-9F5F-4F3B-A5B7-FA0741E74E3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Teater i Borgersalen
17- ca. 19</t>
        </r>
      </text>
    </comment>
    <comment ref="F276" authorId="1" shapeId="0" xr:uid="{8D16A721-441A-4D81-B836-43CFC138CAD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- 3,5 time afs</t>
        </r>
      </text>
    </comment>
    <comment ref="I276" authorId="1" shapeId="0" xr:uid="{23B14708-4254-4BAC-A898-5521A606694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- 5 timer afs</t>
        </r>
      </text>
    </comment>
    <comment ref="P276" authorId="2" shapeId="0" xr:uid="{AC68B7F8-7EDC-4BE3-8467-66C0CAFCF1E4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- 4 timer i AFS</t>
        </r>
      </text>
    </comment>
    <comment ref="S276" authorId="2" shapeId="0" xr:uid="{46F5C558-5825-4821-AE75-ECEE09B1F56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- 3 Timer afs</t>
        </r>
      </text>
    </comment>
    <comment ref="AA276" authorId="1" shapeId="0" xr:uid="{72701C02-71B4-4588-BE6D-028BE1146DD6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afs</t>
        </r>
      </text>
    </comment>
  </commentList>
</comments>
</file>

<file path=xl/sharedStrings.xml><?xml version="1.0" encoding="utf-8"?>
<sst xmlns="http://schemas.openxmlformats.org/spreadsheetml/2006/main" count="35461" uniqueCount="990">
  <si>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</si>
  <si>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</si>
  <si>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</si>
  <si>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</si>
  <si>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</si>
  <si>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</si>
  <si>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</si>
  <si>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</si>
  <si>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</si>
  <si>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</si>
  <si>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</si>
  <si>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</si>
  <si>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</si>
  <si>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</si>
  <si>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</si>
  <si>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</si>
  <si>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</si>
  <si>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</si>
  <si>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1714 Afsnit 1702</t>
  </si>
  <si>
    <t>Vagter for turnusformænd</t>
  </si>
  <si>
    <r>
      <t>1</t>
    </r>
    <r>
      <rPr>
        <sz val="9"/>
        <rFont val="Arial"/>
        <family val="2"/>
      </rPr>
      <t>: Vagthavende kl. 0630 - 1445</t>
    </r>
  </si>
  <si>
    <r>
      <t>2</t>
    </r>
    <r>
      <rPr>
        <sz val="9"/>
        <rFont val="Arial"/>
        <family val="2"/>
      </rPr>
      <t>: Vagthavende kl. 1430 - 2230</t>
    </r>
  </si>
  <si>
    <r>
      <t>4</t>
    </r>
    <r>
      <rPr>
        <sz val="9"/>
        <rFont val="Arial"/>
        <family val="2"/>
      </rPr>
      <t>: Vagthavende kl. 2230 - 0645</t>
    </r>
  </si>
  <si>
    <r>
      <t>A</t>
    </r>
    <r>
      <rPr>
        <sz val="9"/>
        <rFont val="Arial"/>
        <family val="2"/>
      </rPr>
      <t>: Vagthavende kl. 0630 - 1845 (lør-, søndage)</t>
    </r>
  </si>
  <si>
    <r>
      <t>B</t>
    </r>
    <r>
      <rPr>
        <sz val="9"/>
        <rFont val="Arial"/>
        <family val="2"/>
      </rPr>
      <t>: Vagthavende kl. 1830 - 0645 (lør-, søndage)</t>
    </r>
  </si>
  <si>
    <r>
      <t>l:</t>
    </r>
    <r>
      <rPr>
        <sz val="9"/>
        <rFont val="Arial"/>
        <family val="2"/>
      </rPr>
      <t xml:space="preserve"> Man. - tor. Kl. 0815 - 1600, fre.Kl 0815 - 1415 </t>
    </r>
  </si>
  <si>
    <r>
      <t>Steen:</t>
    </r>
    <r>
      <rPr>
        <sz val="9"/>
        <rFont val="Arial"/>
        <family val="2"/>
      </rPr>
      <t xml:space="preserve"> Man-Ons 0815-1545 Tors 0900-1830 Fre 0815-1315 </t>
    </r>
  </si>
  <si>
    <t>Nøgle uge nr.:</t>
  </si>
  <si>
    <t>Plan</t>
  </si>
  <si>
    <t>Navn</t>
  </si>
  <si>
    <t>Normtid</t>
  </si>
  <si>
    <t>807 Flemming Nielsen</t>
  </si>
  <si>
    <t>I</t>
  </si>
  <si>
    <t>Turnusformænd</t>
  </si>
  <si>
    <r>
      <t xml:space="preserve">IV  </t>
    </r>
    <r>
      <rPr>
        <sz val="9"/>
        <rFont val="Arial"/>
        <family val="2"/>
      </rPr>
      <t>664 Dennis Rise</t>
    </r>
  </si>
  <si>
    <t>A</t>
  </si>
  <si>
    <t>F</t>
  </si>
  <si>
    <t>B</t>
  </si>
  <si>
    <t>442 Kim Aabroe</t>
  </si>
  <si>
    <r>
      <t xml:space="preserve">I  </t>
    </r>
    <r>
      <rPr>
        <sz val="9"/>
        <rFont val="Arial"/>
        <family val="2"/>
      </rPr>
      <t>902 Erik Andersen</t>
    </r>
  </si>
  <si>
    <t>393 Thomas Holm</t>
  </si>
  <si>
    <r>
      <t xml:space="preserve">II </t>
    </r>
    <r>
      <rPr>
        <sz val="9"/>
        <rFont val="Arial"/>
        <family val="2"/>
      </rPr>
      <t>890 Michael Bo Pedersen</t>
    </r>
  </si>
  <si>
    <t>Formændsafløsere</t>
  </si>
  <si>
    <t>Forskudttid</t>
  </si>
  <si>
    <t>Denne måned</t>
  </si>
  <si>
    <t>Difference</t>
  </si>
  <si>
    <t>Hele året</t>
  </si>
  <si>
    <t>Fra April 2021</t>
  </si>
  <si>
    <t>993 Steen Hertin</t>
  </si>
  <si>
    <t>448 Rasmus Sørensen</t>
  </si>
  <si>
    <t>G</t>
  </si>
  <si>
    <t>453 Mathias Nielsen</t>
  </si>
  <si>
    <t>M</t>
  </si>
  <si>
    <t xml:space="preserve">G </t>
  </si>
  <si>
    <t>327 Johnny Hansen</t>
  </si>
  <si>
    <t>Vagter for turnus Rådhuset Plankode 8516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</si>
  <si>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</si>
  <si>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</si>
  <si>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</si>
  <si>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</si>
  <si>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</si>
  <si>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</si>
  <si>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</si>
  <si>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</si>
  <si>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</si>
  <si>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</si>
  <si>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</si>
  <si>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</si>
  <si>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</si>
  <si>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</si>
  <si>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</si>
  <si>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</si>
  <si>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</si>
  <si>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B3</t>
  </si>
  <si>
    <t>A2</t>
  </si>
  <si>
    <t>469 Nikolaj Pamhede</t>
  </si>
  <si>
    <t>B1</t>
  </si>
  <si>
    <t>B2</t>
  </si>
  <si>
    <t>A1</t>
  </si>
  <si>
    <t>420 Carsten Dahl</t>
  </si>
  <si>
    <t>A3</t>
  </si>
  <si>
    <t>402 Ole Albertsen</t>
  </si>
  <si>
    <t>308 Kim B. T. Pedersen</t>
  </si>
  <si>
    <t>444 Lara Andersen</t>
  </si>
  <si>
    <t>414 Steffen Grube</t>
  </si>
  <si>
    <t>463 John Stengaard</t>
  </si>
  <si>
    <t>961 Sonny Ingerslev</t>
  </si>
  <si>
    <t>424 Martin/Flemming G</t>
  </si>
  <si>
    <t>411  Niels C. Frederiksen</t>
  </si>
  <si>
    <t>387 Bo Iversen</t>
  </si>
  <si>
    <t>421 Niels Bo Jensen</t>
  </si>
  <si>
    <t xml:space="preserve"> 394 Gorm Wilhjelm</t>
  </si>
  <si>
    <t>313 Erik M. Nielsen</t>
  </si>
  <si>
    <t>Buffer gruppen</t>
  </si>
  <si>
    <t>Mandag</t>
  </si>
  <si>
    <t>Tirsdag</t>
  </si>
  <si>
    <t>Onsdag</t>
  </si>
  <si>
    <t>Torsdag</t>
  </si>
  <si>
    <t>Fredag</t>
  </si>
  <si>
    <t>Lørdag</t>
  </si>
  <si>
    <t>Søndag</t>
  </si>
  <si>
    <t>Bemærkninger</t>
  </si>
  <si>
    <t>Normal daglig tjeneste</t>
  </si>
  <si>
    <t>0815-1600</t>
  </si>
  <si>
    <t>0815-1415</t>
  </si>
  <si>
    <t>25-vagt (Patruljeleder)</t>
  </si>
  <si>
    <t>1730-0030</t>
  </si>
  <si>
    <t>467 Nicolaj Beck Thilesen</t>
  </si>
  <si>
    <t>K2</t>
  </si>
  <si>
    <t>KA</t>
  </si>
  <si>
    <t>470 Asawin Chinwithee</t>
  </si>
  <si>
    <t>%</t>
  </si>
  <si>
    <t>478 Kemal Türkmen</t>
  </si>
  <si>
    <t>C</t>
  </si>
  <si>
    <t>465 Peter Tystgaard</t>
  </si>
  <si>
    <t>H</t>
  </si>
  <si>
    <t>k2</t>
  </si>
  <si>
    <t>479 Nick Lorentzen</t>
  </si>
  <si>
    <t>D</t>
  </si>
  <si>
    <t>482 Lars Nordhøj</t>
  </si>
  <si>
    <t xml:space="preserve">494 Thomas Bay </t>
  </si>
  <si>
    <t>R)</t>
  </si>
  <si>
    <t>R</t>
  </si>
  <si>
    <t>489 Henrik W. Hansen</t>
  </si>
  <si>
    <t>O</t>
  </si>
  <si>
    <t>l</t>
  </si>
  <si>
    <t>E</t>
  </si>
  <si>
    <t>U</t>
  </si>
  <si>
    <t>497 Ditte Sommer</t>
  </si>
  <si>
    <t>D)</t>
  </si>
  <si>
    <t>488 Frederik Jensen</t>
  </si>
  <si>
    <t>496 Peter Johansen</t>
  </si>
  <si>
    <t>K</t>
  </si>
  <si>
    <t xml:space="preserve">495 Rasmus Olsen </t>
  </si>
  <si>
    <t>462 Flemming Grambo</t>
  </si>
  <si>
    <t>L</t>
  </si>
  <si>
    <t>10</t>
  </si>
  <si>
    <t>477 Emil Veitner</t>
  </si>
  <si>
    <t>Vikarer</t>
  </si>
  <si>
    <t>Anders Pedersen</t>
  </si>
  <si>
    <t xml:space="preserve">Frederik Friis Sørensen </t>
  </si>
  <si>
    <t>N</t>
  </si>
  <si>
    <t>Elev</t>
  </si>
  <si>
    <t>Pratik og vikarer</t>
  </si>
  <si>
    <t>Praktikanter</t>
  </si>
  <si>
    <t>Kredse</t>
  </si>
  <si>
    <t>Plankode 8513</t>
  </si>
  <si>
    <t>Timer ugentligt</t>
  </si>
  <si>
    <t>Uge 1</t>
  </si>
  <si>
    <r>
      <t>K1</t>
    </r>
    <r>
      <rPr>
        <sz val="9"/>
        <rFont val="Arial"/>
        <family val="2"/>
      </rPr>
      <t xml:space="preserve"> 0815 – 1530</t>
    </r>
  </si>
  <si>
    <r>
      <t>K1</t>
    </r>
    <r>
      <rPr>
        <sz val="9"/>
        <rFont val="Arial"/>
        <family val="2"/>
      </rPr>
      <t xml:space="preserve"> 09.00 – 1815</t>
    </r>
  </si>
  <si>
    <r>
      <t>K1</t>
    </r>
    <r>
      <rPr>
        <sz val="9"/>
        <rFont val="Arial"/>
        <family val="2"/>
      </rPr>
      <t xml:space="preserve"> 0815 – 1415</t>
    </r>
  </si>
  <si>
    <t>Uge 2</t>
  </si>
  <si>
    <r>
      <t>K2</t>
    </r>
    <r>
      <rPr>
        <sz val="9"/>
        <rFont val="Arial"/>
        <family val="2"/>
      </rPr>
      <t xml:space="preserve"> 1545 – 0030</t>
    </r>
  </si>
  <si>
    <r>
      <t>K2</t>
    </r>
    <r>
      <rPr>
        <sz val="9"/>
        <rFont val="Arial"/>
        <family val="2"/>
      </rPr>
      <t xml:space="preserve"> 1400 – 0030</t>
    </r>
  </si>
  <si>
    <t xml:space="preserve">K2 </t>
  </si>
  <si>
    <t>1545 – 0030</t>
  </si>
  <si>
    <r>
      <t>K2</t>
    </r>
    <r>
      <rPr>
        <sz val="9"/>
        <rFont val="Arial"/>
        <family val="2"/>
      </rPr>
      <t xml:space="preserve"> 1545 -0030</t>
    </r>
  </si>
  <si>
    <t>1330-0030</t>
  </si>
  <si>
    <t>Uge 3</t>
  </si>
  <si>
    <t>FRI</t>
  </si>
  <si>
    <t>Uge 4</t>
  </si>
  <si>
    <t>Buffer</t>
  </si>
  <si>
    <t>K1</t>
  </si>
  <si>
    <t>447 Dimitrios Kostis</t>
  </si>
  <si>
    <t>380 Ali Capcan</t>
  </si>
  <si>
    <t>KA)</t>
  </si>
  <si>
    <t>Informationen</t>
  </si>
  <si>
    <t>fln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</si>
  <si>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</si>
  <si>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</si>
  <si>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</si>
  <si>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</si>
  <si>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</si>
  <si>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</si>
  <si>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</si>
  <si>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0900-1600</t>
  </si>
  <si>
    <t>0800-1600</t>
  </si>
  <si>
    <t>0830-1600</t>
  </si>
  <si>
    <t>0830-1630</t>
  </si>
  <si>
    <t>0900-1430</t>
  </si>
  <si>
    <t>0900-1630</t>
  </si>
  <si>
    <t>Uge 5</t>
  </si>
  <si>
    <t>i2</t>
  </si>
  <si>
    <t>0745 - 1530</t>
  </si>
  <si>
    <t>0800-1400</t>
  </si>
  <si>
    <t>456 Oliver Villadsen</t>
  </si>
  <si>
    <t>89)</t>
  </si>
  <si>
    <t>473 Tarik Saji</t>
  </si>
  <si>
    <t>486 Anne Mette Jensen</t>
  </si>
  <si>
    <t>480 Johnny Larsen</t>
  </si>
  <si>
    <t>Kødbyen</t>
  </si>
  <si>
    <t>Uge 1- 21-vagt</t>
  </si>
  <si>
    <t>21.00-07.00</t>
  </si>
  <si>
    <t>21.30-07.00</t>
  </si>
  <si>
    <t>Uge 3- 22-vagt</t>
  </si>
  <si>
    <t>Uge 5-23-vagt</t>
  </si>
  <si>
    <t>21.30-05.30</t>
  </si>
  <si>
    <t>Uge 6</t>
  </si>
  <si>
    <t xml:space="preserve">485 Daniel Tuveri                </t>
  </si>
  <si>
    <t>450 Thomas Lindenskov</t>
  </si>
  <si>
    <t>474 Atle Johansen</t>
  </si>
  <si>
    <t>468 Kenneth Kejlstrup</t>
  </si>
  <si>
    <t>476 Jesper Larsen</t>
  </si>
  <si>
    <t>457 Michael Schou</t>
  </si>
  <si>
    <t>Rundviser</t>
  </si>
  <si>
    <t>1000-1600</t>
  </si>
  <si>
    <t>0900-1700</t>
  </si>
  <si>
    <t>0900-1400</t>
  </si>
  <si>
    <t>316 Marianne Rasmussen</t>
  </si>
  <si>
    <t>370 Kristoffer Sahlholdt</t>
  </si>
  <si>
    <t>R2</t>
  </si>
  <si>
    <t>R3</t>
  </si>
  <si>
    <t>R1</t>
  </si>
  <si>
    <t>Martin/Flemming</t>
  </si>
  <si>
    <t>Claudia Frers</t>
  </si>
  <si>
    <t>Ritha Ayerkai</t>
  </si>
  <si>
    <t>886 Per Larsen</t>
  </si>
  <si>
    <t>Socialcenter København</t>
  </si>
  <si>
    <t>1700-2400</t>
  </si>
  <si>
    <t>Plankode</t>
  </si>
  <si>
    <t>Griffen</t>
  </si>
  <si>
    <t>815-1545</t>
  </si>
  <si>
    <t>915-1845</t>
  </si>
  <si>
    <t>815-1315</t>
  </si>
  <si>
    <t>Brønshøjvej</t>
  </si>
  <si>
    <t>Lyongade</t>
  </si>
  <si>
    <t>845-1615</t>
  </si>
  <si>
    <t>830-1615</t>
  </si>
  <si>
    <t>1130-20</t>
  </si>
  <si>
    <t>830-1415</t>
  </si>
  <si>
    <t>Spaniensgade</t>
  </si>
  <si>
    <t>815-1515</t>
  </si>
  <si>
    <t>0745-1600</t>
  </si>
  <si>
    <t>745-1700</t>
  </si>
  <si>
    <t>815-1415</t>
  </si>
  <si>
    <t>Valdemarsgade</t>
  </si>
  <si>
    <t>Matthæusgade</t>
  </si>
  <si>
    <t>Svanevej</t>
  </si>
  <si>
    <t>830-1700</t>
  </si>
  <si>
    <t>Gl. Køge landevej</t>
  </si>
  <si>
    <t>Svendborggade</t>
  </si>
  <si>
    <t>P</t>
  </si>
  <si>
    <t>Gammel Vasbygade</t>
  </si>
  <si>
    <t>815-1600</t>
  </si>
  <si>
    <t>Sydbanestien</t>
  </si>
  <si>
    <t>S</t>
  </si>
  <si>
    <t>Hjemløseenheden</t>
  </si>
  <si>
    <t>439 Erik H. Hansen</t>
  </si>
  <si>
    <t>691 Flemming Dam</t>
  </si>
  <si>
    <t>492 Thomas Hartmann</t>
  </si>
  <si>
    <t xml:space="preserve">395 Lars Lionette </t>
  </si>
  <si>
    <t>433 Simon Botfeldt</t>
  </si>
  <si>
    <t xml:space="preserve">839 Johnny Karlsson </t>
  </si>
  <si>
    <t>490 Hafrún Simonardottir</t>
  </si>
  <si>
    <t>491 Michael Thomsen</t>
  </si>
  <si>
    <t>M)</t>
  </si>
  <si>
    <t>682 Carl-Erik Holm</t>
  </si>
  <si>
    <t>N)</t>
  </si>
  <si>
    <t>396 Wojciech Jagielski</t>
  </si>
  <si>
    <t>O)</t>
  </si>
  <si>
    <t>982 Frank Falkenskov</t>
  </si>
  <si>
    <t>493 Michael Dyhr</t>
  </si>
  <si>
    <t>Henning Larsen</t>
  </si>
  <si>
    <t>U)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</si>
  <si>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</si>
  <si>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</si>
  <si>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</si>
  <si>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</si>
  <si>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</si>
  <si>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</si>
  <si>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</si>
  <si>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</si>
  <si>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</si>
  <si>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r>
      <t xml:space="preserve">19: </t>
    </r>
    <r>
      <rPr>
        <sz val="9"/>
        <rFont val="Arial"/>
        <family val="2"/>
      </rPr>
      <t>kl. 11 - 1845</t>
    </r>
  </si>
  <si>
    <r>
      <t xml:space="preserve">19: </t>
    </r>
    <r>
      <rPr>
        <sz val="9"/>
        <rFont val="Arial"/>
        <family val="2"/>
      </rPr>
      <t>kl. 11 - 17</t>
    </r>
  </si>
  <si>
    <t>Afdeling 1722 afsnit 1701</t>
  </si>
  <si>
    <t>Michael Riis-Jensen</t>
  </si>
  <si>
    <t>I)</t>
  </si>
  <si>
    <t>Chef for Arrangementservice</t>
  </si>
  <si>
    <t>Charlotte Dalsgaard</t>
  </si>
  <si>
    <t>Arrangementformmand</t>
  </si>
  <si>
    <t>416 Dorte Ramassi</t>
  </si>
  <si>
    <t>320 Mikael M. Andersen</t>
  </si>
  <si>
    <t>Arrangementservice</t>
  </si>
  <si>
    <t>445 Jeanett Røjbæk</t>
  </si>
  <si>
    <t xml:space="preserve">323 Inge Hansen </t>
  </si>
  <si>
    <t>364 Henning Haaning</t>
  </si>
  <si>
    <t>908 Kenny  Hautop</t>
  </si>
  <si>
    <t>410 Karina Schiöpffe</t>
  </si>
  <si>
    <t>Michael Hansen</t>
  </si>
  <si>
    <t>Nina Selma Sommer</t>
  </si>
  <si>
    <t>Katrine Muir</t>
  </si>
  <si>
    <t>Linnedstuen</t>
  </si>
  <si>
    <t>504 Maya Villadsen</t>
  </si>
  <si>
    <t>Ludmilla Stidl</t>
  </si>
  <si>
    <t>309 Birthe Pedersen</t>
  </si>
  <si>
    <t>Rikke EngHolm</t>
  </si>
  <si>
    <t>Postservice</t>
  </si>
  <si>
    <t>0700-1430</t>
  </si>
  <si>
    <t>0700-1400</t>
  </si>
  <si>
    <t>0830-1530</t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</si>
  <si>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</si>
  <si>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</si>
  <si>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</si>
  <si>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</si>
  <si>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r>
      <t xml:space="preserve">P3 </t>
    </r>
    <r>
      <rPr>
        <sz val="10"/>
        <rFont val="Arial"/>
        <family val="2"/>
      </rPr>
      <t>0845-1615</t>
    </r>
  </si>
  <si>
    <r>
      <t>PF3</t>
    </r>
    <r>
      <rPr>
        <sz val="10"/>
        <rFont val="Arial"/>
        <family val="2"/>
      </rPr>
      <t xml:space="preserve"> 0815-1545</t>
    </r>
  </si>
  <si>
    <t>Afdeling 1721 afsnit 1701</t>
  </si>
  <si>
    <t>401 Karsten Nielsen</t>
  </si>
  <si>
    <t xml:space="preserve">419 Karina Petersen </t>
  </si>
  <si>
    <t>429 Ann Rudolf Nielsen</t>
  </si>
  <si>
    <t>Postruter</t>
  </si>
  <si>
    <t>434 Marco Minerba</t>
  </si>
  <si>
    <t>P2</t>
  </si>
  <si>
    <t>)</t>
  </si>
  <si>
    <t>984 Jannie M.-Andersen</t>
  </si>
  <si>
    <t>P1</t>
  </si>
  <si>
    <t>409 Martin Holse</t>
  </si>
  <si>
    <t>P3</t>
  </si>
  <si>
    <t>Afdeling/afsnit 4420/4420</t>
  </si>
  <si>
    <t>Afdeling/afsnit 4250/4210</t>
  </si>
  <si>
    <t>Karsten Hallander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</si>
  <si>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</si>
  <si>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</si>
  <si>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</si>
  <si>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</si>
  <si>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</si>
  <si>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</si>
  <si>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</si>
  <si>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Sine Broe Andersen</t>
  </si>
  <si>
    <t>Henrik Olsen</t>
  </si>
  <si>
    <t>Nicolai Schrøder</t>
  </si>
  <si>
    <t>1)</t>
  </si>
  <si>
    <t>4)</t>
  </si>
  <si>
    <t>9)</t>
  </si>
  <si>
    <t>3)</t>
  </si>
  <si>
    <t>b2</t>
  </si>
  <si>
    <t>4</t>
  </si>
  <si>
    <t>5</t>
  </si>
  <si>
    <t>Martin Hvorslev</t>
  </si>
  <si>
    <t>8</t>
  </si>
  <si>
    <t>Nicklas Robert Stenfelt</t>
  </si>
  <si>
    <t>I2</t>
  </si>
  <si>
    <t>487 Brian Glob</t>
  </si>
  <si>
    <t>P)</t>
  </si>
  <si>
    <t>l)</t>
  </si>
  <si>
    <t>23</t>
  </si>
  <si>
    <t>25</t>
  </si>
  <si>
    <t>89</t>
  </si>
  <si>
    <t>Rajan Kunz Sakaria</t>
  </si>
  <si>
    <t>6</t>
  </si>
  <si>
    <t>Jess Holmboe Mogensen</t>
  </si>
  <si>
    <t>486 Anne-Mette Jensen</t>
  </si>
  <si>
    <t>z</t>
  </si>
  <si>
    <t>L)</t>
  </si>
  <si>
    <t>P1)</t>
  </si>
  <si>
    <t>6)</t>
  </si>
  <si>
    <t>G)</t>
  </si>
  <si>
    <t>Martin Svanebjerg</t>
  </si>
  <si>
    <t>10)</t>
  </si>
  <si>
    <t>22)</t>
  </si>
  <si>
    <t>C)</t>
  </si>
  <si>
    <t>F)</t>
  </si>
  <si>
    <t>B2)</t>
  </si>
  <si>
    <t>25)</t>
  </si>
  <si>
    <t>424 Martin Hvorslev</t>
  </si>
  <si>
    <t>7)</t>
  </si>
  <si>
    <t>3</t>
  </si>
  <si>
    <t>Maria W. M. Olsen</t>
  </si>
  <si>
    <t>k1</t>
  </si>
  <si>
    <t>99)</t>
  </si>
  <si>
    <t>23)</t>
  </si>
  <si>
    <t>R3)</t>
  </si>
  <si>
    <t>TJ</t>
  </si>
  <si>
    <t>ew</t>
  </si>
  <si>
    <t>K)</t>
  </si>
  <si>
    <t>P2)</t>
  </si>
  <si>
    <t xml:space="preserve">     </t>
  </si>
  <si>
    <t>8)</t>
  </si>
  <si>
    <t>B3)</t>
  </si>
  <si>
    <t>26-vagt</t>
  </si>
  <si>
    <t>17.00 - 23.30</t>
  </si>
  <si>
    <t>08-15 - 18.15</t>
  </si>
  <si>
    <t>14.00 - 00.30</t>
  </si>
  <si>
    <t xml:space="preserve">  </t>
  </si>
  <si>
    <t xml:space="preserve">        </t>
  </si>
  <si>
    <t>22</t>
  </si>
  <si>
    <t>Praktik</t>
  </si>
  <si>
    <t>Pia Nicolaisen</t>
  </si>
  <si>
    <t>P3)</t>
  </si>
  <si>
    <t>1</t>
  </si>
  <si>
    <t xml:space="preserve"> Står i buffer</t>
  </si>
  <si>
    <t>5)</t>
  </si>
  <si>
    <t>1615 - 2330</t>
  </si>
  <si>
    <t>1700 - 2330</t>
  </si>
  <si>
    <t>1500-0030</t>
  </si>
  <si>
    <t>1400-0030</t>
  </si>
  <si>
    <t>Simon Botfeldt</t>
  </si>
  <si>
    <t>Keld Prehn</t>
  </si>
  <si>
    <t>Sune Vernal</t>
  </si>
  <si>
    <t>Mads</t>
  </si>
  <si>
    <t>i1)</t>
  </si>
  <si>
    <t>i</t>
  </si>
  <si>
    <t>Står i buffer</t>
  </si>
  <si>
    <t xml:space="preserve">395 Lars Lionett </t>
  </si>
  <si>
    <t>S)</t>
  </si>
  <si>
    <t>Lars Kromann</t>
  </si>
  <si>
    <t>Hamid Shah</t>
  </si>
  <si>
    <t>Rasmus Lehmann Hottenroth</t>
  </si>
  <si>
    <t xml:space="preserve"> Flemming Grambo</t>
  </si>
  <si>
    <t>I )</t>
  </si>
  <si>
    <t>26</t>
  </si>
  <si>
    <r>
      <t xml:space="preserve"> </t>
    </r>
    <r>
      <rPr>
        <b/>
        <sz val="8"/>
        <rFont val="Arial"/>
        <family val="2"/>
      </rPr>
      <t>Simon Botfeld.</t>
    </r>
  </si>
  <si>
    <t>Hoger Fendi</t>
  </si>
  <si>
    <t>IDEN FØRSTE HALVE TIME PÅ tEAMS</t>
  </si>
  <si>
    <t>H)</t>
  </si>
  <si>
    <t>21)</t>
  </si>
  <si>
    <t>+</t>
  </si>
  <si>
    <t>Praktik/Vikarer</t>
  </si>
  <si>
    <t>Maria Winch Mylius Olsen</t>
  </si>
  <si>
    <t>2</t>
  </si>
  <si>
    <t xml:space="preserve">                                                                             </t>
  </si>
  <si>
    <t>æ</t>
  </si>
  <si>
    <t>Lars Emil Hartvig</t>
  </si>
  <si>
    <t>Jess</t>
  </si>
  <si>
    <t>i2)</t>
  </si>
  <si>
    <t>E)</t>
  </si>
  <si>
    <t xml:space="preserve">                                                                                                                 </t>
  </si>
  <si>
    <t>Nikolaj Pamhede</t>
  </si>
  <si>
    <t>1(11)</t>
  </si>
  <si>
    <t>6(12)</t>
  </si>
  <si>
    <t>11(13)</t>
  </si>
  <si>
    <t>2(14)</t>
  </si>
  <si>
    <t>7(15)</t>
  </si>
  <si>
    <t>12(16)</t>
  </si>
  <si>
    <t>11)</t>
  </si>
  <si>
    <t>3(17)</t>
  </si>
  <si>
    <t>8(18)</t>
  </si>
  <si>
    <t>A3)</t>
  </si>
  <si>
    <t>13(19)</t>
  </si>
  <si>
    <t>4(20)</t>
  </si>
  <si>
    <t>9(21)</t>
  </si>
  <si>
    <t>14(22)</t>
  </si>
  <si>
    <t>5(23)</t>
  </si>
  <si>
    <t>10(24)</t>
  </si>
  <si>
    <t>15(25)</t>
  </si>
  <si>
    <t>,</t>
  </si>
  <si>
    <t>26)</t>
  </si>
  <si>
    <t xml:space="preserve"> )</t>
  </si>
  <si>
    <t>Tobias Bolander Jensen</t>
  </si>
  <si>
    <t>K2 1545 – 0030</t>
  </si>
  <si>
    <t>69)</t>
  </si>
  <si>
    <t>f</t>
  </si>
  <si>
    <t>Maria Olsen</t>
  </si>
  <si>
    <t>R1)</t>
  </si>
  <si>
    <t>p3</t>
  </si>
  <si>
    <t>Timepriser i Rådhusservice 2022</t>
  </si>
  <si>
    <t>Timepris</t>
  </si>
  <si>
    <t>Teknisk
 service</t>
  </si>
  <si>
    <t>Servering</t>
  </si>
  <si>
    <r>
      <t>Timepris: A</t>
    </r>
    <r>
      <rPr>
        <sz val="14"/>
        <rFont val="Arial"/>
        <family val="2"/>
      </rPr>
      <t>rrangementer mv. (6 til 17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</si>
  <si>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50 % timer ved arrangementer mv. (17 til 20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</si>
  <si>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100 % timer ved arrangementer mv. (20 til 6 på hverdage)</t>
    </r>
  </si>
  <si>
    <r>
      <rPr>
        <b/>
        <sz val="14"/>
        <rFont val="Arial"/>
        <family val="2"/>
      </rPr>
      <t>Udlejning af Betjente:</t>
    </r>
    <r>
      <rPr>
        <sz val="14"/>
        <rFont val="Arial"/>
        <family val="2"/>
      </rPr>
      <t xml:space="preserve"> Socialcentre, Borgerservice </t>
    </r>
  </si>
  <si>
    <r>
      <t>375</t>
    </r>
    <r>
      <rPr>
        <b/>
        <sz val="14"/>
        <color rgb="FFFF0000"/>
        <rFont val="Arial"/>
        <family val="2"/>
      </rPr>
      <t>?</t>
    </r>
  </si>
  <si>
    <t>Borgmestre chauffør, omvisninger og ved ad hoc opgaver.</t>
  </si>
  <si>
    <r>
      <t>450</t>
    </r>
    <r>
      <rPr>
        <b/>
        <sz val="14"/>
        <color rgb="FFFF0000"/>
        <rFont val="Arial"/>
        <family val="2"/>
      </rPr>
      <t>?</t>
    </r>
  </si>
  <si>
    <r>
      <t xml:space="preserve">Rundering: </t>
    </r>
    <r>
      <rPr>
        <sz val="14"/>
        <rFont val="Arial"/>
        <family val="2"/>
      </rPr>
      <t xml:space="preserve"> </t>
    </r>
  </si>
  <si>
    <r>
      <rPr>
        <b/>
        <sz val="14"/>
        <rFont val="Arial"/>
        <family val="2"/>
      </rPr>
      <t>Rundering</t>
    </r>
    <r>
      <rPr>
        <sz val="14"/>
        <rFont val="Arial"/>
        <family val="2"/>
      </rPr>
      <t xml:space="preserve">: Årsværk med alt inklusivt </t>
    </r>
  </si>
  <si>
    <t>Skolesupport</t>
  </si>
  <si>
    <t>Skolessupport Rundvisning</t>
  </si>
  <si>
    <r>
      <t>500</t>
    </r>
    <r>
      <rPr>
        <b/>
        <sz val="14"/>
        <color rgb="FFFF0000"/>
        <rFont val="Arial"/>
        <family val="2"/>
      </rPr>
      <t>?</t>
    </r>
  </si>
  <si>
    <t>Udlejning af personale til kantinen</t>
  </si>
  <si>
    <r>
      <t>220</t>
    </r>
    <r>
      <rPr>
        <b/>
        <sz val="14"/>
        <color rgb="FFFF0000"/>
        <rFont val="Arial"/>
        <family val="2"/>
      </rPr>
      <t>?</t>
    </r>
  </si>
  <si>
    <t>Postopgaver</t>
  </si>
  <si>
    <r>
      <t>255</t>
    </r>
    <r>
      <rPr>
        <b/>
        <sz val="14"/>
        <color rgb="FFFF0000"/>
        <rFont val="Arial"/>
        <family val="2"/>
      </rPr>
      <t>?</t>
    </r>
  </si>
  <si>
    <t>Postkørsel: Ad hoc opgaver</t>
  </si>
  <si>
    <r>
      <t>350</t>
    </r>
    <r>
      <rPr>
        <b/>
        <sz val="14"/>
        <color rgb="FFFF0000"/>
        <rFont val="Arial"/>
        <family val="2"/>
      </rPr>
      <t>?</t>
    </r>
  </si>
  <si>
    <t>Frankering: Tillæg pr. brev + portoen</t>
  </si>
  <si>
    <t>Leje af helt Dueslag pr. dag. (Inklusiv 1 daglig levering af post)</t>
  </si>
  <si>
    <t>Årligt 64.260</t>
  </si>
  <si>
    <t>?</t>
  </si>
  <si>
    <t>Leje af halvt Dueslag pr. dag. (Inklusiv 1 daglig levering af post)</t>
  </si>
  <si>
    <t>Årligt 32.130</t>
  </si>
  <si>
    <t>Leje af kvart Dueslag pr. dag. (Kunden skal selv tømme for post)</t>
  </si>
  <si>
    <t>Årligt 16.065</t>
  </si>
  <si>
    <t>Skanning pr. time</t>
  </si>
  <si>
    <t>368,-</t>
  </si>
  <si>
    <r>
      <rPr>
        <b/>
        <sz val="14"/>
        <rFont val="Arial"/>
        <family val="2"/>
      </rPr>
      <t>Rådhusnøgler</t>
    </r>
    <r>
      <rPr>
        <sz val="14"/>
        <rFont val="Arial"/>
        <family val="2"/>
      </rPr>
      <t xml:space="preserve"> pr. stk. </t>
    </r>
  </si>
  <si>
    <t>ID kort + adgangsbrikker</t>
  </si>
  <si>
    <t>Yoyo</t>
  </si>
  <si>
    <t>Kortholder</t>
  </si>
  <si>
    <t>Arrangement service</t>
  </si>
  <si>
    <t>Vagt</t>
  </si>
  <si>
    <t>Teknisk service</t>
  </si>
  <si>
    <t>GRUS/MUS 2021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</si>
  <si>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</si>
  <si>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</si>
  <si>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</si>
  <si>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</si>
  <si>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</si>
  <si>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</si>
  <si>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</si>
  <si>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 xml:space="preserve">Mathias Hartvig Morell Nielsen </t>
  </si>
  <si>
    <t>Erik Andersen</t>
  </si>
  <si>
    <t>Michael Bo Pedersen</t>
  </si>
  <si>
    <t>Thomas Holm</t>
  </si>
  <si>
    <t>Nick Lorentzen</t>
  </si>
  <si>
    <t>Kim Aabroe</t>
  </si>
  <si>
    <t>Rasmus Sørensen</t>
  </si>
  <si>
    <t>Mathias Nielsen</t>
  </si>
  <si>
    <t>Per Larsen</t>
  </si>
  <si>
    <t>Frederik Jensen</t>
  </si>
  <si>
    <t>Steen Hertin</t>
  </si>
  <si>
    <t>327 Johnny V. Hansen</t>
  </si>
  <si>
    <t>Henrik W. Hansen</t>
  </si>
  <si>
    <t>Administration og arrangements afd.</t>
  </si>
  <si>
    <t xml:space="preserve"> 463 John Stengaard</t>
  </si>
  <si>
    <t>Peter Johansen</t>
  </si>
  <si>
    <t>Mike Riis-Jensen</t>
  </si>
  <si>
    <t>445 Jeanet Røjbæk</t>
  </si>
  <si>
    <t>394 Gorm Wilhjelm</t>
  </si>
  <si>
    <t>Ludmilla Stiedl</t>
  </si>
  <si>
    <t>410Karina Holm</t>
  </si>
  <si>
    <t>Nina Selmi Sommer</t>
  </si>
  <si>
    <t>Rikke EengHolm</t>
  </si>
  <si>
    <t>*Afholdes når corona er overstået</t>
  </si>
  <si>
    <t>473 Tarik Sajl</t>
  </si>
  <si>
    <t>486 Anne-Mette</t>
  </si>
  <si>
    <t>Nikolaj Palmhede</t>
  </si>
  <si>
    <t xml:space="preserve">380 Ali Capkan </t>
  </si>
  <si>
    <t>Rundvisning</t>
  </si>
  <si>
    <t>Thomas Bay</t>
  </si>
  <si>
    <t>478 Kemal Turkmen</t>
  </si>
  <si>
    <t>370 Kristoffer Ruth Sahlholdt</t>
  </si>
  <si>
    <t>Socialcentre</t>
  </si>
  <si>
    <t>Thomas Hartmann</t>
  </si>
  <si>
    <t>Rasmus Olsen</t>
  </si>
  <si>
    <t>Michael Thomsen</t>
  </si>
  <si>
    <t>Michael Dyhr</t>
  </si>
  <si>
    <t>Daniel Tuveri</t>
  </si>
  <si>
    <t>Thomas Lindskov</t>
  </si>
  <si>
    <t>Michael Schou Schmidt</t>
  </si>
  <si>
    <t>Jesper Larsen</t>
  </si>
  <si>
    <t>Kenneth Kejlstrup</t>
  </si>
  <si>
    <t>Atle Johansen</t>
  </si>
  <si>
    <t>Vagterleder</t>
  </si>
  <si>
    <t>Plankode 8502</t>
  </si>
  <si>
    <t>Jørgen Pyrmer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</si>
  <si>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</si>
  <si>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</si>
  <si>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</si>
  <si>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</si>
  <si>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</si>
  <si>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</si>
  <si>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</si>
  <si>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</si>
  <si>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</si>
  <si>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</si>
  <si>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</si>
  <si>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</si>
  <si>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</si>
  <si>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</si>
  <si>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</si>
  <si>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</si>
  <si>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</si>
  <si>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</si>
  <si>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</si>
  <si>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</si>
  <si>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</si>
  <si>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</si>
  <si>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</si>
  <si>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</si>
  <si>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</si>
  <si>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9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</si>
  <si>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</si>
  <si>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</si>
  <si>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</si>
  <si>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</si>
  <si>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9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</si>
  <si>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</si>
  <si>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</si>
  <si>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9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</si>
  <si>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</si>
  <si>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9"/>
        <rFont val="Arial"/>
        <family val="2"/>
      </rPr>
      <t xml:space="preserve">                      Henrik Dencker</t>
    </r>
  </si>
  <si>
    <r>
      <t>7</t>
    </r>
    <r>
      <rPr>
        <sz val="9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</si>
  <si>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</si>
  <si>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</si>
  <si>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9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</si>
  <si>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</si>
  <si>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</si>
  <si>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</si>
  <si>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9"/>
        <rFont val="Arial"/>
        <family val="2"/>
      </rPr>
      <t xml:space="preserve">          Mikael M. Martensen</t>
    </r>
  </si>
  <si>
    <r>
      <t xml:space="preserve">8                    </t>
    </r>
    <r>
      <rPr>
        <sz val="9"/>
        <rFont val="Arial"/>
        <family val="2"/>
      </rPr>
      <t>Steen Hertin</t>
    </r>
  </si>
  <si>
    <r>
      <t xml:space="preserve">13       </t>
    </r>
    <r>
      <rPr>
        <sz val="9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</si>
  <si>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</si>
  <si>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</si>
  <si>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9"/>
        <rFont val="Arial"/>
        <family val="2"/>
      </rPr>
      <t>Kurt Foldberg</t>
    </r>
  </si>
  <si>
    <t>0830 - 1530</t>
  </si>
  <si>
    <r>
      <t>9</t>
    </r>
    <r>
      <rPr>
        <sz val="9"/>
        <rFont val="Arial"/>
        <family val="2"/>
      </rPr>
      <t xml:space="preserve">                            Per A. Olsen</t>
    </r>
  </si>
  <si>
    <r>
      <t xml:space="preserve">14 </t>
    </r>
    <r>
      <rPr>
        <sz val="9"/>
        <rFont val="Arial"/>
        <family val="2"/>
      </rPr>
      <t xml:space="preserve">               Henning Haaning</t>
    </r>
  </si>
  <si>
    <t>Hold 5</t>
  </si>
  <si>
    <r>
      <t>5</t>
    </r>
    <r>
      <rPr>
        <sz val="9"/>
        <rFont val="Arial"/>
        <family val="2"/>
      </rPr>
      <t xml:space="preserve">               Jannie M-Andersen</t>
    </r>
  </si>
  <si>
    <r>
      <t>10</t>
    </r>
    <r>
      <rPr>
        <sz val="9"/>
        <rFont val="Arial"/>
        <family val="2"/>
      </rPr>
      <t xml:space="preserve">                       Jim H. Larsen</t>
    </r>
  </si>
  <si>
    <r>
      <t xml:space="preserve">15              </t>
    </r>
    <r>
      <rPr>
        <sz val="9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</si>
  <si>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</si>
  <si>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</si>
  <si>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</si>
  <si>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</si>
  <si>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</si>
  <si>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</si>
  <si>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</si>
  <si>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</si>
  <si>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</si>
  <si>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</si>
  <si>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</si>
  <si>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</si>
  <si>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</si>
  <si>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</si>
  <si>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</si>
  <si>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</si>
  <si>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</si>
  <si>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</si>
  <si>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</si>
  <si>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</si>
  <si>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</si>
  <si>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</si>
  <si>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</si>
  <si>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</si>
  <si>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</si>
  <si>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</si>
  <si>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</si>
  <si>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</si>
  <si>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</si>
  <si>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</si>
  <si>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</si>
  <si>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</si>
  <si>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</si>
  <si>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</si>
  <si>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</si>
  <si>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</si>
  <si>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</si>
  <si>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</si>
  <si>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</si>
  <si>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</si>
  <si>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</si>
  <si>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</si>
  <si>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</si>
  <si>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</si>
  <si>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</si>
  <si>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</si>
  <si>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</si>
  <si>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</si>
  <si>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</si>
  <si>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</si>
  <si>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</si>
  <si>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</si>
  <si>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</si>
  <si>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</si>
  <si>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</si>
  <si>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</si>
  <si>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</si>
  <si>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</si>
  <si>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</si>
  <si>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</si>
  <si>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</si>
  <si>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</si>
  <si>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</si>
  <si>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</si>
  <si>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</si>
  <si>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</si>
  <si>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</si>
  <si>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</si>
  <si>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</si>
  <si>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</si>
  <si>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</si>
  <si>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</si>
  <si>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</si>
  <si>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Ugentligt</t>
  </si>
  <si>
    <t>Månedligt</t>
  </si>
  <si>
    <t>Årligt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</si>
  <si>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</si>
  <si>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</si>
  <si>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</si>
  <si>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t>Timeopgørelse</t>
  </si>
  <si>
    <r>
      <t>2:</t>
    </r>
    <r>
      <rPr>
        <sz val="9"/>
        <rFont val="Arial"/>
        <family val="2"/>
      </rPr>
      <t xml:space="preserve"> Vagthavende kl. 1430 - 2230</t>
    </r>
  </si>
  <si>
    <t>Timer i 2./3. skift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</si>
  <si>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</si>
  <si>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9"/>
        <rFont val="Arial"/>
        <family val="2"/>
      </rPr>
      <t>886 Per Larsen</t>
    </r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</si>
  <si>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</si>
  <si>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</si>
  <si>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</si>
  <si>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</si>
  <si>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</si>
  <si>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</si>
  <si>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t>Total</t>
  </si>
  <si>
    <r>
      <t>V</t>
    </r>
    <r>
      <rPr>
        <sz val="9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</si>
  <si>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</si>
  <si>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</si>
  <si>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37 timer x 4 uger =</t>
  </si>
  <si>
    <t>timer</t>
  </si>
  <si>
    <r>
      <t xml:space="preserve">VI </t>
    </r>
    <r>
      <rPr>
        <sz val="9"/>
        <rFont val="Arial"/>
        <family val="2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</si>
  <si>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</si>
  <si>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</si>
  <si>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</si>
  <si>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</si>
  <si>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</si>
  <si>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</si>
  <si>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</si>
  <si>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</si>
  <si>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</si>
  <si>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</si>
  <si>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</si>
  <si>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</si>
  <si>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</si>
  <si>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9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</si>
  <si>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</si>
  <si>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</si>
  <si>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9"/>
        <rFont val="Arial"/>
        <family val="2"/>
      </rPr>
      <t>0700 - 1400 + helligdage kl. 0700-1400</t>
    </r>
  </si>
  <si>
    <r>
      <t>Uge 1</t>
    </r>
    <r>
      <rPr>
        <sz val="9"/>
        <rFont val="Arial"/>
        <family val="2"/>
      </rPr>
      <t xml:space="preserve"> </t>
    </r>
  </si>
  <si>
    <r>
      <t>2</t>
    </r>
    <r>
      <rPr>
        <sz val="9"/>
        <rFont val="Arial"/>
        <family val="2"/>
      </rPr>
      <t>udgået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</si>
  <si>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</si>
  <si>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</si>
  <si>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9"/>
        <rFont val="Arial"/>
        <family val="2"/>
      </rPr>
      <t xml:space="preserve"> 0730 - 1530 + helligdage kl. 0730-1530</t>
    </r>
  </si>
  <si>
    <r>
      <t xml:space="preserve">6 </t>
    </r>
    <r>
      <rPr>
        <sz val="9"/>
        <rFont val="Arial"/>
        <family val="2"/>
      </rPr>
      <t xml:space="preserve">                Betina Knøsgaard</t>
    </r>
  </si>
  <si>
    <t xml:space="preserve">Uge 6 </t>
  </si>
  <si>
    <r>
      <t>4</t>
    </r>
    <r>
      <rPr>
        <sz val="9"/>
        <rFont val="Arial"/>
        <family val="2"/>
      </rPr>
      <t xml:space="preserve"> 0930 - 1730</t>
    </r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</si>
  <si>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</si>
  <si>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</si>
  <si>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9"/>
        <rFont val="Arial"/>
        <family val="2"/>
      </rPr>
      <t xml:space="preserve">            Mariane Hillebrand</t>
    </r>
  </si>
  <si>
    <r>
      <t>Uge 11</t>
    </r>
    <r>
      <rPr>
        <sz val="9"/>
        <rFont val="Arial"/>
        <family val="2"/>
      </rPr>
      <t xml:space="preserve">            </t>
    </r>
  </si>
  <si>
    <r>
      <t>A1</t>
    </r>
    <r>
      <rPr>
        <sz val="9"/>
        <rFont val="Arial"/>
        <family val="2"/>
      </rPr>
      <t xml:space="preserve"> 0845 - 1745 Lørdag (Hovedporten), Niels Hemmingsens Gade</t>
    </r>
  </si>
  <si>
    <r>
      <t>2</t>
    </r>
    <r>
      <rPr>
        <sz val="9"/>
        <rFont val="Arial"/>
        <family val="2"/>
      </rPr>
      <t xml:space="preserve">                     Jørn Rasmussen</t>
    </r>
  </si>
  <si>
    <r>
      <t>Uge 2</t>
    </r>
    <r>
      <rPr>
        <sz val="9"/>
        <rFont val="Arial"/>
        <family val="2"/>
      </rPr>
      <t xml:space="preserve">                             </t>
    </r>
  </si>
  <si>
    <t>Uge 7</t>
  </si>
  <si>
    <t>Uge 8</t>
  </si>
  <si>
    <r>
      <t>A2</t>
    </r>
    <r>
      <rPr>
        <sz val="9"/>
        <rFont val="Arial"/>
        <family val="2"/>
      </rPr>
      <t xml:space="preserve"> 0700 - 1900 Lør-, søndage</t>
    </r>
  </si>
  <si>
    <r>
      <t xml:space="preserve">7 </t>
    </r>
    <r>
      <rPr>
        <sz val="9"/>
        <rFont val="Arial"/>
        <family val="2"/>
      </rPr>
      <t xml:space="preserve">             Kim B.T. Pedersen</t>
    </r>
  </si>
  <si>
    <t>Uge 9</t>
  </si>
  <si>
    <r>
      <t>A3</t>
    </r>
    <r>
      <rPr>
        <sz val="9"/>
        <rFont val="Arial"/>
        <family val="2"/>
      </rPr>
      <t xml:space="preserve"> 0700 - 1915</t>
    </r>
  </si>
  <si>
    <r>
      <t xml:space="preserve">A3 </t>
    </r>
    <r>
      <rPr>
        <sz val="9"/>
        <rFont val="Arial"/>
        <family val="2"/>
      </rPr>
      <t>0700 - 1915</t>
    </r>
  </si>
  <si>
    <t>Uge 10</t>
  </si>
  <si>
    <r>
      <t>A3</t>
    </r>
    <r>
      <rPr>
        <sz val="9"/>
        <rFont val="Arial"/>
        <family val="2"/>
      </rPr>
      <t xml:space="preserve"> 0700 - 1915 Lør-, søndage</t>
    </r>
  </si>
  <si>
    <r>
      <t>12</t>
    </r>
    <r>
      <rPr>
        <sz val="9"/>
        <rFont val="Arial"/>
        <family val="2"/>
      </rPr>
      <t xml:space="preserve">                  Kristoffer Ruth</t>
    </r>
  </si>
  <si>
    <r>
      <t>Uge 12</t>
    </r>
    <r>
      <rPr>
        <sz val="9"/>
        <rFont val="Arial"/>
        <family val="2"/>
      </rPr>
      <t xml:space="preserve">                  </t>
    </r>
  </si>
  <si>
    <t>Uge 11</t>
  </si>
  <si>
    <r>
      <t>8</t>
    </r>
    <r>
      <rPr>
        <sz val="9"/>
        <rFont val="Arial"/>
        <family val="2"/>
      </rPr>
      <t xml:space="preserve"> 1600 - 2300</t>
    </r>
  </si>
  <si>
    <r>
      <t>8</t>
    </r>
    <r>
      <rPr>
        <sz val="9"/>
        <rFont val="Arial"/>
        <family val="2"/>
      </rPr>
      <t xml:space="preserve"> 1600 - 2230</t>
    </r>
  </si>
  <si>
    <r>
      <t xml:space="preserve">A2 </t>
    </r>
    <r>
      <rPr>
        <sz val="9"/>
        <rFont val="Arial"/>
        <family val="2"/>
      </rPr>
      <t>0700 - 1900</t>
    </r>
  </si>
  <si>
    <t>Uge 12</t>
  </si>
  <si>
    <t>Aften tjeneste</t>
  </si>
  <si>
    <r>
      <t>Uge 3</t>
    </r>
    <r>
      <rPr>
        <sz val="9"/>
        <rFont val="Arial"/>
        <family val="2"/>
      </rPr>
      <t xml:space="preserve"> </t>
    </r>
  </si>
  <si>
    <t>Uge 13</t>
  </si>
  <si>
    <r>
      <t xml:space="preserve">5 </t>
    </r>
    <r>
      <rPr>
        <sz val="9"/>
        <rFont val="Arial"/>
        <family val="2"/>
      </rPr>
      <t>1600 - 2330</t>
    </r>
  </si>
  <si>
    <r>
      <t>6</t>
    </r>
    <r>
      <rPr>
        <sz val="9"/>
        <rFont val="Arial"/>
        <family val="2"/>
      </rPr>
      <t xml:space="preserve"> 1600 - 2300</t>
    </r>
  </si>
  <si>
    <r>
      <t>A1</t>
    </r>
    <r>
      <rPr>
        <sz val="9"/>
        <rFont val="Arial"/>
        <family val="2"/>
      </rPr>
      <t xml:space="preserve"> 0845 - 1745</t>
    </r>
  </si>
  <si>
    <t>Uge 14</t>
  </si>
  <si>
    <r>
      <t>6</t>
    </r>
    <r>
      <rPr>
        <sz val="9"/>
        <rFont val="Arial"/>
        <family val="2"/>
      </rPr>
      <t xml:space="preserve"> Aften 1600-2300 </t>
    </r>
  </si>
  <si>
    <r>
      <t xml:space="preserve">8                   </t>
    </r>
    <r>
      <rPr>
        <sz val="9"/>
        <rFont val="Arial"/>
        <family val="2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</si>
  <si>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</si>
  <si>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</si>
  <si>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</si>
  <si>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9"/>
        <rFont val="Arial"/>
        <family val="2"/>
      </rPr>
      <t xml:space="preserve"> Aften 1600-2300 / fre. 1600 - 2230</t>
    </r>
  </si>
  <si>
    <r>
      <t xml:space="preserve">13 </t>
    </r>
    <r>
      <rPr>
        <sz val="9"/>
        <rFont val="Arial"/>
        <family val="2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</si>
  <si>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</si>
  <si>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</si>
  <si>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9"/>
        <rFont val="Arial"/>
        <family val="2"/>
      </rPr>
      <t>Bo Lundvall</t>
    </r>
  </si>
  <si>
    <r>
      <t>9</t>
    </r>
    <r>
      <rPr>
        <sz val="9"/>
        <rFont val="Arial"/>
        <family val="2"/>
      </rPr>
      <t xml:space="preserve"> Nat 2300 - 0600 </t>
    </r>
  </si>
  <si>
    <r>
      <t>10</t>
    </r>
    <r>
      <rPr>
        <sz val="9"/>
        <rFont val="Arial"/>
        <family val="2"/>
      </rPr>
      <t xml:space="preserve"> Nat 2300 - 0700 </t>
    </r>
  </si>
  <si>
    <r>
      <t>9</t>
    </r>
    <r>
      <rPr>
        <sz val="9"/>
        <rFont val="Arial"/>
        <family val="2"/>
      </rPr>
      <t xml:space="preserve">                   Daniel Ben jakler</t>
    </r>
  </si>
  <si>
    <r>
      <t>11</t>
    </r>
    <r>
      <rPr>
        <sz val="9"/>
        <rFont val="Arial"/>
        <family val="2"/>
      </rPr>
      <t xml:space="preserve"> Nat 2300 - 0715</t>
    </r>
  </si>
  <si>
    <r>
      <t>14</t>
    </r>
    <r>
      <rPr>
        <sz val="9"/>
        <rFont val="Arial"/>
        <family val="2"/>
      </rPr>
      <t xml:space="preserve">               Sonny Thomsen</t>
    </r>
  </si>
  <si>
    <r>
      <t>Uge 14</t>
    </r>
    <r>
      <rPr>
        <sz val="9"/>
        <rFont val="Arial"/>
        <family val="2"/>
      </rPr>
      <t xml:space="preserve"> </t>
    </r>
  </si>
  <si>
    <r>
      <t>B1</t>
    </r>
    <r>
      <rPr>
        <sz val="9"/>
        <rFont val="Arial"/>
        <family val="2"/>
      </rPr>
      <t xml:space="preserve"> Nat 1900 - 0600  Lør-, søndage</t>
    </r>
  </si>
  <si>
    <r>
      <t>1</t>
    </r>
    <r>
      <rPr>
        <sz val="9"/>
        <rFont val="Arial"/>
        <family val="2"/>
      </rPr>
      <t xml:space="preserve"> 0700 - 1400</t>
    </r>
  </si>
  <si>
    <r>
      <t>Uge 5</t>
    </r>
    <r>
      <rPr>
        <sz val="9"/>
        <rFont val="Arial"/>
        <family val="2"/>
      </rPr>
      <t xml:space="preserve">               </t>
    </r>
  </si>
  <si>
    <r>
      <t>B2</t>
    </r>
    <r>
      <rPr>
        <sz val="9"/>
        <rFont val="Arial"/>
        <family val="2"/>
      </rPr>
      <t xml:space="preserve"> Nat 1900 - 0700  Lør-, søndage </t>
    </r>
  </si>
  <si>
    <r>
      <t>5</t>
    </r>
    <r>
      <rPr>
        <sz val="9"/>
        <rFont val="Arial"/>
        <family val="2"/>
      </rPr>
      <t xml:space="preserve"> 1600 - 2330</t>
    </r>
  </si>
  <si>
    <r>
      <t>Uge 10</t>
    </r>
    <r>
      <rPr>
        <sz val="9"/>
        <rFont val="Arial"/>
        <family val="2"/>
      </rPr>
      <t xml:space="preserve"> </t>
    </r>
  </si>
  <si>
    <r>
      <t>B3</t>
    </r>
    <r>
      <rPr>
        <sz val="9"/>
        <rFont val="Arial"/>
        <family val="2"/>
      </rPr>
      <t xml:space="preserve"> Nat 1900 - 0715  Lør-, søndage</t>
    </r>
  </si>
  <si>
    <r>
      <t>3</t>
    </r>
    <r>
      <rPr>
        <sz val="9"/>
        <rFont val="Arial"/>
        <family val="2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</si>
  <si>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</si>
  <si>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</si>
  <si>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9"/>
        <rFont val="Arial"/>
        <family val="2"/>
      </rPr>
      <t xml:space="preserve">                    Jørn Rasmussen</t>
    </r>
  </si>
  <si>
    <r>
      <t xml:space="preserve">9  </t>
    </r>
    <r>
      <rPr>
        <sz val="9"/>
        <rFont val="Arial"/>
        <family val="2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</si>
  <si>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</si>
  <si>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</si>
  <si>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</si>
  <si>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</si>
  <si>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</si>
  <si>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</si>
  <si>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</si>
  <si>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</si>
  <si>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</si>
  <si>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</si>
  <si>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</si>
  <si>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</si>
  <si>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</si>
  <si>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</si>
  <si>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</si>
  <si>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</si>
  <si>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</si>
  <si>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</si>
  <si>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9"/>
        <rFont val="Arial"/>
        <family val="2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</si>
  <si>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</si>
  <si>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</si>
  <si>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</si>
  <si>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</si>
  <si>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</si>
  <si>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</si>
  <si>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</si>
  <si>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</si>
  <si>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</si>
  <si>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</si>
  <si>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</si>
  <si>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</si>
  <si>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</si>
  <si>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</si>
  <si>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</si>
  <si>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</si>
  <si>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</si>
  <si>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</si>
  <si>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</si>
  <si>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</si>
  <si>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</si>
  <si>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</si>
  <si>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</si>
  <si>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</si>
  <si>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</si>
  <si>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</si>
  <si>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</si>
  <si>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</si>
  <si>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</si>
  <si>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</si>
  <si>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</si>
  <si>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</si>
  <si>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</si>
  <si>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</si>
  <si>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</si>
  <si>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</si>
  <si>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</si>
  <si>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</si>
  <si>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</si>
  <si>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</si>
  <si>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</si>
  <si>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</si>
  <si>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</si>
  <si>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</si>
  <si>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9"/>
        <rFont val="Arial"/>
        <family val="2"/>
      </rPr>
      <t xml:space="preserve"> 0900 - 1545</t>
    </r>
  </si>
  <si>
    <r>
      <t>H3</t>
    </r>
    <r>
      <rPr>
        <sz val="9"/>
        <rFont val="Arial"/>
        <family val="2"/>
      </rPr>
      <t xml:space="preserve"> 0800 - 1545</t>
    </r>
  </si>
  <si>
    <r>
      <t>H4</t>
    </r>
    <r>
      <rPr>
        <sz val="9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</si>
  <si>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</si>
  <si>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</si>
  <si>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</si>
  <si>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</si>
  <si>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</si>
  <si>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</si>
  <si>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</si>
  <si>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</si>
  <si>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</si>
  <si>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</si>
  <si>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</si>
  <si>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</si>
  <si>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</si>
  <si>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</si>
  <si>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</si>
  <si>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</si>
  <si>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</si>
  <si>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</si>
  <si>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</si>
  <si>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</si>
  <si>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</si>
  <si>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</si>
  <si>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</si>
  <si>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</si>
  <si>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</si>
  <si>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</si>
  <si>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</si>
  <si>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</si>
  <si>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</si>
  <si>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</si>
  <si>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9"/>
        <rFont val="Arial"/>
        <family val="2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</si>
  <si>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</si>
  <si>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</si>
  <si>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</si>
  <si>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</si>
  <si>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</si>
  <si>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</si>
  <si>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</si>
  <si>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</si>
  <si>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9"/>
        <rFont val="Arial"/>
        <family val="2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</si>
  <si>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</si>
  <si>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</si>
  <si>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</si>
  <si>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</si>
  <si>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</si>
  <si>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</si>
  <si>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</si>
  <si>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</si>
  <si>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</si>
  <si>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</si>
  <si>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</si>
  <si>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</si>
  <si>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9"/>
        <rFont val="Arial"/>
        <family val="2"/>
      </rPr>
      <t xml:space="preserve"> 0700-1445</t>
    </r>
  </si>
  <si>
    <r>
      <t>I1</t>
    </r>
    <r>
      <rPr>
        <sz val="9"/>
        <rFont val="Arial"/>
        <family val="2"/>
      </rPr>
      <t xml:space="preserve"> 0700-1300</t>
    </r>
  </si>
  <si>
    <t>I17</t>
  </si>
  <si>
    <t>I16</t>
  </si>
  <si>
    <r>
      <t>I2</t>
    </r>
    <r>
      <rPr>
        <sz val="9"/>
        <rFont val="Arial"/>
        <family val="2"/>
      </rPr>
      <t xml:space="preserve"> 0745-1530</t>
    </r>
  </si>
  <si>
    <r>
      <t>I2</t>
    </r>
    <r>
      <rPr>
        <sz val="9"/>
        <rFont val="Arial"/>
        <family val="2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</si>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</sst>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66">
    <font>
      <sz val="9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rgb="FF92D050"/>
      <name val="Arial"/>
      <family val="2"/>
    </font>
    <font>
      <b/>
      <sz val="8"/>
      <name val="Arial"/>
      <family val="2"/>
    </font>
    <font>
      <sz val="9"/>
      <color theme="1"/>
      <name val="Arial"/>
      <family val="2"/>
    </font>
    <font>
      <b/>
      <sz val="24"/>
      <name val="Arial"/>
      <family val="2"/>
    </font>
    <font>
      <b/>
      <sz val="14"/>
      <color rgb="FFFF0000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sz val="9"/>
      <color rgb="FFFF0000"/>
      <name val="Arial"/>
      <family val="2"/>
    </font>
    <font>
      <sz val="11"/>
      <name val="Calibri"/>
      <family val="2"/>
    </font>
    <font>
      <sz val="11"/>
      <name val="Calibri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</fills>
  <borders count="57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53">
    <xf numFmtId="0" fontId="0" fillId="0" borderId="0" applyBorder="0">
      <alignment horizontal="center" vertical="center"/>
    </xf>
    <xf numFmtId="0" fontId="27" fillId="2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5" borderId="0" applyNumberFormat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5" borderId="0" applyNumberFormat="0" applyBorder="0" applyAlignment="0" applyProtection="0"/>
    <xf numFmtId="0" fontId="27" fillId="8" borderId="0" applyNumberFormat="0" applyBorder="0" applyAlignment="0" applyProtection="0"/>
    <xf numFmtId="0" fontId="27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9" fillId="0" borderId="0" applyNumberFormat="0" applyFill="0" applyBorder="0" applyAlignment="0" applyProtection="0"/>
    <xf numFmtId="0" fontId="2" fillId="16" borderId="1" applyNumberFormat="0" applyFont="0" applyAlignment="0" applyProtection="0"/>
    <xf numFmtId="0" fontId="30" fillId="17" borderId="2" applyNumberFormat="0" applyAlignment="0" applyProtection="0"/>
    <xf numFmtId="0" fontId="31" fillId="0" borderId="0" applyNumberFormat="0" applyFill="0" applyBorder="0" applyAlignment="0" applyProtection="0"/>
    <xf numFmtId="0" fontId="32" fillId="4" borderId="0" applyNumberFormat="0" applyBorder="0" applyAlignment="0" applyProtection="0"/>
    <xf numFmtId="0" fontId="33" fillId="7" borderId="2" applyNumberFormat="0" applyAlignment="0" applyProtection="0"/>
    <xf numFmtId="0" fontId="34" fillId="18" borderId="3" applyNumberFormat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22" borderId="0" applyNumberFormat="0" applyBorder="0" applyAlignment="0" applyProtection="0"/>
    <xf numFmtId="0" fontId="35" fillId="23" borderId="0" applyNumberFormat="0" applyBorder="0" applyAlignment="0" applyProtection="0"/>
    <xf numFmtId="0" fontId="6" fillId="58" borderId="0" applyBorder="0">
      <alignment horizontal="center" vertical="center"/>
    </xf>
    <xf numFmtId="0" fontId="36" fillId="17" borderId="4" applyNumberFormat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8" applyNumberFormat="0" applyFill="0" applyAlignment="0" applyProtection="0"/>
    <xf numFmtId="0" fontId="41" fillId="0" borderId="0" applyNumberFormat="0" applyFill="0" applyBorder="0" applyAlignment="0" applyProtection="0"/>
    <xf numFmtId="0" fontId="42" fillId="0" borderId="9" applyNumberFormat="0" applyFill="0" applyAlignment="0" applyProtection="0"/>
    <xf numFmtId="0" fontId="43" fillId="3" borderId="0" applyNumberFormat="0" applyBorder="0" applyAlignment="0" applyProtection="0"/>
    <xf numFmtId="0" fontId="6" fillId="53" borderId="0" applyBorder="0">
      <alignment horizontal="center" vertical="center"/>
    </xf>
    <xf numFmtId="0" fontId="6" fillId="69" borderId="0" applyBorder="0">
      <alignment horizontal="center" vertical="center"/>
    </xf>
    <xf numFmtId="0" fontId="6" fillId="55" borderId="0" applyBorder="0">
      <alignment horizontal="center" vertical="center"/>
    </xf>
    <xf numFmtId="0" fontId="51" fillId="56" borderId="0" applyBorder="0">
      <alignment horizontal="center" vertical="center"/>
    </xf>
    <xf numFmtId="0" fontId="6" fillId="57" borderId="0" applyBorder="0">
      <alignment horizontal="center" vertical="center"/>
    </xf>
    <xf numFmtId="0" fontId="6" fillId="52" borderId="0" applyBorder="0">
      <alignment horizontal="center" vertical="center"/>
    </xf>
    <xf numFmtId="0" fontId="6" fillId="59" borderId="0" applyBorder="0">
      <alignment horizontal="center" vertical="center"/>
    </xf>
    <xf numFmtId="0" fontId="6" fillId="54" borderId="0" applyBorder="0">
      <alignment horizontal="center" vertical="center"/>
    </xf>
    <xf numFmtId="0" fontId="6" fillId="60" borderId="0" applyBorder="0">
      <alignment horizontal="center" vertical="center"/>
    </xf>
    <xf numFmtId="0" fontId="6" fillId="72" borderId="0" applyBorder="0">
      <alignment horizontal="center" vertical="center"/>
    </xf>
  </cellStyleXfs>
  <cellXfs count="4037">
    <xf numFmtId="0" fontId="0" fillId="0" borderId="0" xfId="0">
      <alignment horizontal="center" vertical="center"/>
    </xf>
    <xf numFmtId="0" fontId="3" fillId="0" borderId="0" xfId="0" applyFont="1">
      <alignment horizontal="center" vertical="center"/>
    </xf>
    <xf numFmtId="0" fontId="4" fillId="0" borderId="0" xfId="0" applyFont="1">
      <alignment horizontal="center" vertical="center"/>
    </xf>
    <xf numFmtId="0" fontId="3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13" xfId="0" applyBorder="1">
      <alignment horizontal="center" vertical="center"/>
    </xf>
    <xf numFmtId="0" fontId="5" fillId="0" borderId="14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left"/>
    </xf>
    <xf numFmtId="0" fontId="0" fillId="0" borderId="11" xfId="0" applyBorder="1">
      <alignment horizontal="center" vertical="center"/>
    </xf>
    <xf numFmtId="0" fontId="0" fillId="0" borderId="12" xfId="0" applyBorder="1">
      <alignment horizontal="center" vertical="center"/>
    </xf>
    <xf numFmtId="0" fontId="0" fillId="0" borderId="14" xfId="0" applyBorder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24" borderId="10" xfId="0" applyFill="1" applyBorder="1" applyAlignment="1">
      <alignment horizontal="left"/>
    </xf>
    <xf numFmtId="0" fontId="0" fillId="26" borderId="11" xfId="0" applyFill="1" applyBorder="1" applyAlignment="1">
      <alignment horizontal="center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7" fillId="31" borderId="0" xfId="0" applyFont="1" applyFill="1">
      <alignment horizontal="center" vertical="center"/>
    </xf>
    <xf numFmtId="0" fontId="0" fillId="0" borderId="10" xfId="0" applyBorder="1" applyAlignment="1">
      <alignment horizontal="left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7" fillId="31" borderId="11" xfId="0" applyFont="1" applyFill="1" applyBorder="1" applyAlignment="1">
      <alignment horizontal="center"/>
    </xf>
    <xf numFmtId="0" fontId="7" fillId="31" borderId="12" xfId="0" applyFont="1" applyFill="1" applyBorder="1">
      <alignment horizontal="center" vertical="center"/>
    </xf>
    <xf numFmtId="0" fontId="3" fillId="0" borderId="15" xfId="0" applyFont="1" applyBorder="1">
      <alignment horizontal="center" vertical="center"/>
    </xf>
    <xf numFmtId="0" fontId="0" fillId="0" borderId="13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2" fontId="0" fillId="0" borderId="0" xfId="0" applyNumberFormat="1">
      <alignment horizontal="center" vertical="center"/>
    </xf>
    <xf numFmtId="0" fontId="7" fillId="32" borderId="11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6" fillId="24" borderId="17" xfId="0" applyFont="1" applyFill="1" applyBorder="1" applyAlignment="1">
      <alignment horizontal="center"/>
    </xf>
    <xf numFmtId="0" fontId="0" fillId="0" borderId="17" xfId="0" applyBorder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7" xfId="0" applyFont="1" applyBorder="1" applyAlignment="1">
      <alignment horizontal="left"/>
    </xf>
    <xf numFmtId="0" fontId="6" fillId="0" borderId="15" xfId="0" applyFont="1" applyBorder="1" applyAlignment="1">
      <alignment horizontal="right"/>
    </xf>
    <xf numFmtId="0" fontId="0" fillId="0" borderId="18" xfId="0" applyBorder="1" applyAlignment="1">
      <alignment horizontal="left"/>
    </xf>
    <xf numFmtId="0" fontId="9" fillId="35" borderId="19" xfId="0" applyFont="1" applyFill="1" applyBorder="1" applyAlignment="1">
      <alignment horizontal="center"/>
    </xf>
    <xf numFmtId="0" fontId="0" fillId="0" borderId="19" xfId="0" applyBorder="1">
      <alignment horizontal="center" vertical="center"/>
    </xf>
    <xf numFmtId="0" fontId="3" fillId="0" borderId="18" xfId="0" applyFont="1" applyBorder="1" applyAlignment="1">
      <alignment horizontal="left"/>
    </xf>
    <xf numFmtId="0" fontId="3" fillId="37" borderId="19" xfId="0" applyFont="1" applyFill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8" xfId="0" applyFont="1" applyBorder="1">
      <alignment horizontal="center" vertical="center"/>
    </xf>
    <xf numFmtId="0" fontId="3" fillId="0" borderId="0" xfId="0" applyFont="1" applyAlignment="1">
      <alignment horizontal="center"/>
    </xf>
    <xf numFmtId="49" fontId="3" fillId="41" borderId="19" xfId="0" applyNumberFormat="1" applyFont="1" applyFill="1" applyBorder="1" applyAlignment="1">
      <alignment horizontal="center"/>
    </xf>
    <xf numFmtId="49" fontId="3" fillId="42" borderId="19" xfId="0" applyNumberFormat="1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24" borderId="17" xfId="0" applyFill="1" applyBorder="1" applyAlignment="1">
      <alignment horizontal="center"/>
    </xf>
    <xf numFmtId="0" fontId="3" fillId="0" borderId="0" xfId="0" applyFont="1" applyAlignment="1">
      <alignment horizontal="left"/>
    </xf>
    <xf numFmtId="2" fontId="0" fillId="0" borderId="17" xfId="0" applyNumberFormat="1" applyBorder="1" applyAlignment="1">
      <alignment horizontal="center"/>
    </xf>
    <xf numFmtId="2" fontId="0" fillId="24" borderId="17" xfId="0" applyNumberFormat="1" applyFill="1" applyBorder="1" applyAlignment="1">
      <alignment horizontal="center"/>
    </xf>
    <xf numFmtId="0" fontId="3" fillId="0" borderId="21" xfId="0" applyFont="1" applyBorder="1" applyAlignment="1">
      <alignment horizontal="left"/>
    </xf>
    <xf numFmtId="2" fontId="0" fillId="0" borderId="1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6" fillId="0" borderId="13" xfId="0" applyFont="1" applyBorder="1">
      <alignment horizontal="center" vertical="center"/>
    </xf>
    <xf numFmtId="2" fontId="0" fillId="0" borderId="0" xfId="0" applyNumberFormat="1" applyAlignment="1">
      <alignment horizontal="right"/>
    </xf>
    <xf numFmtId="0" fontId="6" fillId="0" borderId="0" xfId="0" applyFont="1">
      <alignment horizontal="center" vertical="center"/>
    </xf>
    <xf numFmtId="0" fontId="0" fillId="0" borderId="16" xfId="0" applyBorder="1">
      <alignment horizontal="center" vertical="center"/>
    </xf>
    <xf numFmtId="0" fontId="0" fillId="0" borderId="14" xfId="0" applyBorder="1" applyAlignment="1">
      <alignment horizontal="center"/>
    </xf>
    <xf numFmtId="0" fontId="3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6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center"/>
    </xf>
    <xf numFmtId="0" fontId="9" fillId="0" borderId="0" xfId="0" applyFont="1">
      <alignment horizontal="center" vertical="center"/>
    </xf>
    <xf numFmtId="0" fontId="10" fillId="0" borderId="0" xfId="0" applyFont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0" fontId="0" fillId="0" borderId="16" xfId="0" applyBorder="1" applyAlignment="1">
      <alignment horizontal="left"/>
    </xf>
    <xf numFmtId="166" fontId="0" fillId="0" borderId="12" xfId="0" applyNumberFormat="1" applyBorder="1">
      <alignment horizontal="center" vertical="center"/>
    </xf>
    <xf numFmtId="2" fontId="0" fillId="29" borderId="0" xfId="0" applyNumberFormat="1" applyFill="1">
      <alignment horizontal="center" vertical="center"/>
    </xf>
    <xf numFmtId="0" fontId="0" fillId="0" borderId="11" xfId="0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6" fillId="47" borderId="12" xfId="0" applyFont="1" applyFill="1" applyBorder="1">
      <alignment horizontal="center" vertical="center"/>
    </xf>
    <xf numFmtId="0" fontId="6" fillId="47" borderId="22" xfId="0" applyFont="1" applyFill="1" applyBorder="1">
      <alignment horizontal="center" vertical="center"/>
    </xf>
    <xf numFmtId="0" fontId="6" fillId="0" borderId="12" xfId="0" applyFont="1" applyBorder="1">
      <alignment horizontal="center" vertical="center"/>
    </xf>
    <xf numFmtId="0" fontId="6" fillId="0" borderId="12" xfId="0" applyFont="1" applyBorder="1" applyAlignment="1">
      <alignment horizontal="left"/>
    </xf>
    <xf numFmtId="0" fontId="5" fillId="26" borderId="11" xfId="0" applyFont="1" applyFill="1" applyBorder="1" applyAlignment="1">
      <alignment horizontal="left"/>
    </xf>
    <xf numFmtId="0" fontId="5" fillId="26" borderId="12" xfId="0" applyFont="1" applyFill="1" applyBorder="1">
      <alignment horizontal="center" vertical="center"/>
    </xf>
    <xf numFmtId="0" fontId="0" fillId="26" borderId="12" xfId="0" applyFill="1" applyBorder="1">
      <alignment horizontal="center" vertical="center"/>
    </xf>
    <xf numFmtId="0" fontId="6" fillId="26" borderId="12" xfId="0" applyFont="1" applyFill="1" applyBorder="1">
      <alignment horizontal="center" vertical="center"/>
    </xf>
    <xf numFmtId="0" fontId="6" fillId="26" borderId="22" xfId="0" applyFont="1" applyFill="1" applyBorder="1">
      <alignment horizontal="center" vertical="center"/>
    </xf>
    <xf numFmtId="0" fontId="13" fillId="0" borderId="0" xfId="0" applyFont="1">
      <alignment horizontal="center" vertical="center"/>
    </xf>
    <xf numFmtId="0" fontId="15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23" xfId="0" applyBorder="1">
      <alignment horizontal="center" vertical="center"/>
    </xf>
    <xf numFmtId="0" fontId="16" fillId="0" borderId="0" xfId="0" applyFont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49" fontId="6" fillId="0" borderId="0" xfId="0" applyNumberFormat="1" applyFont="1">
      <alignment horizontal="center" vertical="center"/>
    </xf>
    <xf numFmtId="0" fontId="8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3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19" xfId="0" applyFont="1" applyBorder="1">
      <alignment horizontal="center" vertical="center"/>
    </xf>
    <xf numFmtId="0" fontId="5" fillId="0" borderId="13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20" fillId="0" borderId="0" xfId="0" applyFont="1">
      <alignment horizontal="center" vertical="center"/>
    </xf>
    <xf numFmtId="0" fontId="8" fillId="0" borderId="0" xfId="0" applyFont="1" applyAlignment="1">
      <alignment horizontal="center" wrapText="1"/>
    </xf>
    <xf numFmtId="0" fontId="0" fillId="0" borderId="22" xfId="0" applyBorder="1">
      <alignment horizontal="center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4" xfId="0" applyBorder="1">
      <alignment horizontal="center" vertical="center"/>
    </xf>
    <xf numFmtId="0" fontId="0" fillId="0" borderId="13" xfId="0" applyBorder="1" applyAlignment="1">
      <alignment horizontal="left"/>
    </xf>
    <xf numFmtId="0" fontId="0" fillId="0" borderId="22" xfId="0" applyBorder="1" applyAlignment="1">
      <alignment horizontal="left"/>
    </xf>
    <xf numFmtId="0" fontId="12" fillId="0" borderId="0" xfId="0" applyFont="1" applyAlignment="1">
      <alignment horizontal="left"/>
    </xf>
    <xf numFmtId="0" fontId="3" fillId="0" borderId="11" xfId="0" applyFont="1" applyBorder="1" applyAlignment="1" applyProtection="1">
      <alignment horizontal="left"/>
      <protection locked="0"/>
    </xf>
    <xf numFmtId="0" fontId="19" fillId="0" borderId="13" xfId="0" applyFont="1" applyBorder="1" applyAlignment="1">
      <alignment wrapText="1"/>
    </xf>
    <xf numFmtId="169" fontId="0" fillId="0" borderId="0" xfId="0" applyNumberFormat="1">
      <alignment horizontal="center" vertical="center"/>
    </xf>
    <xf numFmtId="0" fontId="23" fillId="0" borderId="0" xfId="0" applyFont="1">
      <alignment horizontal="center" vertical="center"/>
    </xf>
    <xf numFmtId="0" fontId="17" fillId="24" borderId="15" xfId="0" applyFont="1" applyFill="1" applyBorder="1" applyAlignment="1"/>
    <xf numFmtId="0" fontId="17" fillId="24" borderId="0" xfId="0" applyFont="1" applyFill="1">
      <alignment horizontal="center" vertical="center"/>
    </xf>
    <xf numFmtId="0" fontId="17" fillId="24" borderId="0" xfId="0" applyFont="1" applyFill="1" applyAlignment="1">
      <alignment horizontal="center"/>
    </xf>
    <xf numFmtId="0" fontId="24" fillId="24" borderId="15" xfId="0" applyFont="1" applyFill="1" applyBorder="1" applyAlignment="1">
      <alignment horizontal="center"/>
    </xf>
    <xf numFmtId="0" fontId="24" fillId="24" borderId="0" xfId="0" applyFont="1" applyFill="1" applyAlignment="1">
      <alignment horizontal="center"/>
    </xf>
    <xf numFmtId="0" fontId="24" fillId="24" borderId="23" xfId="0" applyFont="1" applyFill="1" applyBorder="1" applyAlignment="1">
      <alignment horizontal="center"/>
    </xf>
    <xf numFmtId="0" fontId="17" fillId="24" borderId="23" xfId="0" applyFont="1" applyFill="1" applyBorder="1">
      <alignment horizontal="center" vertical="center"/>
    </xf>
    <xf numFmtId="0" fontId="25" fillId="0" borderId="0" xfId="0" applyFont="1">
      <alignment horizontal="center" vertical="center"/>
    </xf>
    <xf numFmtId="0" fontId="26" fillId="0" borderId="0" xfId="0" applyFont="1">
      <alignment horizontal="center" vertical="center"/>
    </xf>
    <xf numFmtId="0" fontId="17" fillId="45" borderId="15" xfId="0" applyFont="1" applyFill="1" applyBorder="1" applyAlignment="1">
      <alignment wrapText="1"/>
    </xf>
    <xf numFmtId="0" fontId="17" fillId="39" borderId="15" xfId="0" applyFont="1" applyFill="1" applyBorder="1" applyAlignment="1">
      <alignment wrapText="1"/>
    </xf>
    <xf numFmtId="0" fontId="17" fillId="47" borderId="15" xfId="0" applyFont="1" applyFill="1" applyBorder="1" applyAlignment="1">
      <alignment wrapText="1"/>
    </xf>
    <xf numFmtId="0" fontId="17" fillId="40" borderId="15" xfId="0" applyFont="1" applyFill="1" applyBorder="1" applyAlignment="1">
      <alignment wrapText="1"/>
    </xf>
    <xf numFmtId="0" fontId="21" fillId="48" borderId="15" xfId="0" applyFont="1" applyFill="1" applyBorder="1" applyAlignment="1">
      <alignment wrapText="1"/>
    </xf>
    <xf numFmtId="0" fontId="19" fillId="0" borderId="0" xfId="0" applyFont="1" applyAlignment="1">
      <alignment horizontal="left"/>
    </xf>
    <xf numFmtId="0" fontId="44" fillId="0" borderId="0" xfId="0" applyFont="1">
      <alignment horizontal="center" vertical="center"/>
    </xf>
    <xf numFmtId="169" fontId="44" fillId="0" borderId="0" xfId="0" applyNumberFormat="1" applyFont="1">
      <alignment horizontal="center" vertical="center"/>
    </xf>
    <xf numFmtId="0" fontId="44" fillId="0" borderId="28" xfId="0" applyFont="1" applyBorder="1">
      <alignment horizontal="center" vertical="center"/>
    </xf>
    <xf numFmtId="0" fontId="44" fillId="0" borderId="26" xfId="0" applyFont="1" applyBorder="1">
      <alignment horizontal="center" vertical="center"/>
    </xf>
    <xf numFmtId="0" fontId="44" fillId="0" borderId="0" xfId="0" applyFont="1" applyAlignment="1">
      <alignment horizontal="left" vertical="center"/>
    </xf>
    <xf numFmtId="49" fontId="44" fillId="0" borderId="27" xfId="0" applyNumberFormat="1" applyFont="1" applyBorder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29" xfId="0" applyFont="1" applyBorder="1" applyAlignment="1">
      <alignment horizontal="left"/>
    </xf>
    <xf numFmtId="0" fontId="3" fillId="43" borderId="0" xfId="0" applyFont="1" applyFill="1" applyAlignment="1">
      <alignment horizontal="left"/>
    </xf>
    <xf numFmtId="0" fontId="45" fillId="0" borderId="0" xfId="0" applyFont="1" applyAlignment="1">
      <alignment vertical="top" wrapText="1"/>
    </xf>
    <xf numFmtId="0" fontId="47" fillId="0" borderId="0" xfId="0" applyFont="1">
      <alignment horizontal="center" vertical="center"/>
    </xf>
    <xf numFmtId="164" fontId="19" fillId="0" borderId="0" xfId="0" applyNumberFormat="1" applyFont="1" applyAlignment="1">
      <alignment horizontal="center"/>
    </xf>
    <xf numFmtId="0" fontId="20" fillId="0" borderId="26" xfId="0" applyFont="1" applyBorder="1">
      <alignment horizontal="center" vertical="center"/>
    </xf>
    <xf numFmtId="0" fontId="3" fillId="0" borderId="13" xfId="0" applyFont="1" applyBorder="1">
      <alignment horizontal="center" vertical="center"/>
    </xf>
    <xf numFmtId="0" fontId="0" fillId="0" borderId="13" xfId="0" applyBorder="1" applyAlignment="1">
      <alignment horizontal="left" vertical="center"/>
    </xf>
    <xf numFmtId="0" fontId="12" fillId="0" borderId="11" xfId="0" applyFont="1" applyBorder="1" applyAlignment="1">
      <alignment vertical="center"/>
    </xf>
    <xf numFmtId="0" fontId="44" fillId="0" borderId="25" xfId="0" applyFont="1" applyBorder="1" applyAlignment="1">
      <alignment vertical="center"/>
    </xf>
    <xf numFmtId="0" fontId="0" fillId="0" borderId="0" xfId="0" applyAlignment="1">
      <alignment vertical="center"/>
    </xf>
    <xf numFmtId="0" fontId="44" fillId="0" borderId="25" xfId="0" applyFont="1" applyBorder="1" applyAlignme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46" borderId="0" xfId="0" applyFont="1" applyFill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29" xfId="0" applyNumberForma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49" fontId="0" fillId="51" borderId="0" xfId="0" applyNumberFormat="1" applyFill="1">
      <alignment horizontal="center" vertical="center"/>
    </xf>
    <xf numFmtId="0" fontId="3" fillId="0" borderId="0" xfId="0" applyFont="1" applyAlignment="1"/>
    <xf numFmtId="0" fontId="0" fillId="0" borderId="0" xfId="0" applyAlignment="1"/>
    <xf numFmtId="0" fontId="6" fillId="0" borderId="0" xfId="0" applyFont="1" applyAlignment="1"/>
    <xf numFmtId="0" fontId="0" fillId="0" borderId="11" xfId="0" applyBorder="1" applyAlignment="1">
      <alignment horizontal="left" vertical="center"/>
    </xf>
    <xf numFmtId="0" fontId="8" fillId="61" borderId="15" xfId="0" applyFont="1" applyFill="1" applyBorder="1" applyAlignment="1">
      <alignment horizontal="center" wrapText="1"/>
    </xf>
    <xf numFmtId="0" fontId="8" fillId="62" borderId="0" xfId="0" applyFont="1" applyFill="1" applyAlignment="1">
      <alignment horizontal="center" wrapText="1"/>
    </xf>
    <xf numFmtId="0" fontId="8" fillId="0" borderId="15" xfId="0" applyFont="1" applyBorder="1">
      <alignment horizontal="center" vertical="center"/>
    </xf>
    <xf numFmtId="0" fontId="8" fillId="62" borderId="15" xfId="0" applyFont="1" applyFill="1" applyBorder="1">
      <alignment horizontal="center" vertical="center"/>
    </xf>
    <xf numFmtId="0" fontId="8" fillId="62" borderId="0" xfId="0" applyFont="1" applyFill="1">
      <alignment horizontal="center" vertical="center"/>
    </xf>
    <xf numFmtId="0" fontId="8" fillId="51" borderId="15" xfId="0" applyFont="1" applyFill="1" applyBorder="1">
      <alignment horizontal="center" vertical="center"/>
    </xf>
    <xf numFmtId="0" fontId="8" fillId="51" borderId="0" xfId="0" applyFont="1" applyFill="1">
      <alignment horizontal="center" vertical="center"/>
    </xf>
    <xf numFmtId="0" fontId="8" fillId="61" borderId="30" xfId="0" applyFont="1" applyFill="1" applyBorder="1" applyAlignment="1">
      <alignment horizontal="center" wrapText="1"/>
    </xf>
    <xf numFmtId="0" fontId="8" fillId="51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51" borderId="15" xfId="48" applyFill="1" applyBorder="1">
      <alignment horizontal="center" vertical="center"/>
    </xf>
    <xf numFmtId="0" fontId="0" fillId="51" borderId="15" xfId="0" applyFill="1" applyBorder="1" applyAlignment="1">
      <alignment horizontal="center" vertical="center" wrapText="1"/>
    </xf>
    <xf numFmtId="168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71" fontId="19" fillId="0" borderId="31" xfId="0" applyNumberFormat="1" applyFont="1" applyBorder="1" applyAlignment="1">
      <alignment horizontal="left" wrapText="1"/>
    </xf>
    <xf numFmtId="171" fontId="19" fillId="38" borderId="31" xfId="0" applyNumberFormat="1" applyFont="1" applyFill="1" applyBorder="1" applyAlignment="1">
      <alignment horizontal="left" wrapText="1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0" fontId="0" fillId="0" borderId="12" xfId="0" applyBorder="1" applyAlignment="1"/>
    <xf numFmtId="0" fontId="0" fillId="0" borderId="24" xfId="0" applyBorder="1" applyAlignment="1"/>
    <xf numFmtId="49" fontId="0" fillId="0" borderId="0" xfId="0" applyNumberFormat="1">
      <alignment horizontal="center" vertical="center"/>
    </xf>
    <xf numFmtId="0" fontId="6" fillId="0" borderId="32" xfId="0" applyFont="1" applyBorder="1">
      <alignment horizontal="center" vertical="center"/>
    </xf>
    <xf numFmtId="0" fontId="6" fillId="0" borderId="33" xfId="0" applyFont="1" applyBorder="1">
      <alignment horizontal="center" vertical="center"/>
    </xf>
    <xf numFmtId="0" fontId="8" fillId="0" borderId="32" xfId="0" applyFont="1" applyBorder="1">
      <alignment horizontal="center" vertical="center"/>
    </xf>
    <xf numFmtId="0" fontId="0" fillId="0" borderId="0" xfId="0" applyBorder="1">
      <alignment horizontal="center" vertical="center"/>
    </xf>
    <xf numFmtId="0" fontId="8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18" fillId="0" borderId="36" xfId="0" applyFont="1" applyBorder="1" applyAlignment="1" applyProtection="1">
      <alignment horizontal="center"/>
      <protection locked="0"/>
    </xf>
    <xf numFmtId="0" fontId="18" fillId="0" borderId="35" xfId="0" applyFont="1" applyBorder="1" applyAlignment="1" applyProtection="1">
      <alignment horizontal="center"/>
      <protection locked="0"/>
    </xf>
    <xf numFmtId="0" fontId="20" fillId="0" borderId="35" xfId="0" applyFont="1" applyBorder="1" applyAlignment="1">
      <alignment vertical="center"/>
    </xf>
    <xf numFmtId="1" fontId="0" fillId="51" borderId="35" xfId="32" applyNumberFormat="1" applyFont="1" applyFill="1" applyBorder="1" applyAlignment="1">
      <alignment horizontal="center" vertical="center"/>
    </xf>
    <xf numFmtId="0" fontId="0" fillId="51" borderId="35" xfId="43" applyFont="1" applyFill="1" applyBorder="1">
      <alignment horizontal="center" vertical="center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3" fillId="43" borderId="0" xfId="0" applyFont="1" applyFill="1" applyBorder="1" applyAlignment="1">
      <alignment horizontal="center"/>
    </xf>
    <xf numFmtId="0" fontId="6" fillId="51" borderId="0" xfId="51" applyFill="1" applyBorder="1">
      <alignment horizontal="center" vertical="center"/>
    </xf>
    <xf numFmtId="49" fontId="6" fillId="51" borderId="0" xfId="0" applyNumberFormat="1" applyFont="1" applyFill="1" applyBorder="1">
      <alignment horizontal="center" vertical="center"/>
    </xf>
    <xf numFmtId="0" fontId="8" fillId="51" borderId="0" xfId="0" applyFont="1" applyFill="1" applyBorder="1">
      <alignment horizontal="center" vertical="center"/>
    </xf>
    <xf numFmtId="0" fontId="20" fillId="51" borderId="25" xfId="0" applyFont="1" applyFill="1" applyBorder="1" applyAlignment="1" applyProtection="1">
      <alignment horizontal="left" vertical="center"/>
      <protection locked="0"/>
    </xf>
    <xf numFmtId="0" fontId="20" fillId="0" borderId="25" xfId="0" applyFont="1" applyBorder="1" applyAlignment="1">
      <alignment vertical="center"/>
    </xf>
    <xf numFmtId="0" fontId="0" fillId="0" borderId="37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>
      <alignment horizontal="center" vertical="center"/>
    </xf>
    <xf numFmtId="49" fontId="6" fillId="0" borderId="0" xfId="0" applyNumberFormat="1" applyFont="1" applyBorder="1">
      <alignment horizontal="center" vertical="center"/>
    </xf>
    <xf numFmtId="0" fontId="20" fillId="0" borderId="38" xfId="0" applyFont="1" applyBorder="1">
      <alignment horizontal="center" vertical="center"/>
    </xf>
    <xf numFmtId="0" fontId="44" fillId="0" borderId="38" xfId="0" applyFont="1" applyBorder="1">
      <alignment horizontal="center" vertical="center"/>
    </xf>
    <xf numFmtId="0" fontId="0" fillId="51" borderId="34" xfId="0" applyFill="1" applyBorder="1">
      <alignment horizontal="center" vertical="center"/>
    </xf>
    <xf numFmtId="0" fontId="0" fillId="24" borderId="11" xfId="0" applyFill="1" applyBorder="1" applyAlignment="1" applyProtection="1">
      <alignment horizontal="center"/>
      <protection locked="0"/>
    </xf>
    <xf numFmtId="0" fontId="0" fillId="0" borderId="39" xfId="0" applyBorder="1" applyAlignment="1">
      <alignment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0" fillId="51" borderId="40" xfId="0" applyFill="1" applyBorder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42" xfId="0" applyFont="1" applyBorder="1">
      <alignment horizontal="center" vertical="center"/>
    </xf>
    <xf numFmtId="0" fontId="6" fillId="0" borderId="42" xfId="0" applyFont="1" applyBorder="1">
      <alignment horizontal="center" vertical="center"/>
    </xf>
    <xf numFmtId="0" fontId="6" fillId="0" borderId="44" xfId="0" applyFont="1" applyBorder="1">
      <alignment horizontal="center" vertical="center"/>
    </xf>
    <xf numFmtId="0" fontId="3" fillId="0" borderId="45" xfId="0" applyFont="1" applyBorder="1" applyAlignment="1">
      <alignment horizontal="center"/>
    </xf>
    <xf numFmtId="49" fontId="6" fillId="0" borderId="46" xfId="0" applyNumberFormat="1" applyFont="1" applyBorder="1">
      <alignment horizontal="center" vertical="center"/>
    </xf>
    <xf numFmtId="0" fontId="3" fillId="0" borderId="47" xfId="0" applyFont="1" applyBorder="1" applyAlignment="1">
      <alignment horizontal="left"/>
    </xf>
    <xf numFmtId="0" fontId="0" fillId="0" borderId="47" xfId="0" applyBorder="1">
      <alignment horizontal="center" vertical="center"/>
    </xf>
    <xf numFmtId="0" fontId="0" fillId="0" borderId="48" xfId="0" applyBorder="1">
      <alignment horizontal="center" vertical="center"/>
    </xf>
    <xf numFmtId="0" fontId="0" fillId="0" borderId="49" xfId="0" applyBorder="1">
      <alignment horizontal="center" vertical="center"/>
    </xf>
    <xf numFmtId="0" fontId="3" fillId="0" borderId="49" xfId="0" applyFont="1" applyBorder="1" applyAlignment="1">
      <alignment horizontal="left"/>
    </xf>
    <xf numFmtId="0" fontId="0" fillId="0" borderId="50" xfId="0" applyBorder="1">
      <alignment horizontal="center" vertical="center"/>
    </xf>
    <xf numFmtId="0" fontId="3" fillId="0" borderId="51" xfId="0" applyFont="1" applyBorder="1" applyAlignment="1">
      <alignment horizontal="left" vertical="center"/>
    </xf>
    <xf numFmtId="0" fontId="3" fillId="0" borderId="51" xfId="0" applyFont="1" applyBorder="1" applyAlignment="1">
      <alignment horizontal="center"/>
    </xf>
    <xf numFmtId="0" fontId="3" fillId="0" borderId="52" xfId="0" applyFont="1" applyBorder="1" applyAlignment="1" applyProtection="1">
      <alignment horizontal="center"/>
      <protection locked="0"/>
    </xf>
    <xf numFmtId="0" fontId="44" fillId="0" borderId="52" xfId="0" applyFont="1" applyBorder="1" applyAlignment="1">
      <alignment vertical="center"/>
    </xf>
    <xf numFmtId="0" fontId="5" fillId="0" borderId="41" xfId="0" applyFont="1" applyBorder="1" applyAlignment="1">
      <alignment horizontal="center"/>
    </xf>
    <xf numFmtId="0" fontId="0" fillId="0" borderId="41" xfId="0" applyBorder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>
      <alignment horizontal="center" vertical="center"/>
    </xf>
    <xf numFmtId="0" fontId="3" fillId="0" borderId="54" xfId="0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0" fillId="0" borderId="56" xfId="0" applyBorder="1">
      <alignment horizontal="center" vertical="center"/>
    </xf>
    <xf numFmtId="0" fontId="5" fillId="0" borderId="57" xfId="0" applyFont="1" applyBorder="1" applyAlignment="1">
      <alignment horizontal="left"/>
    </xf>
    <xf numFmtId="0" fontId="0" fillId="24" borderId="53" xfId="0" applyFill="1" applyBorder="1" applyAlignment="1">
      <alignment horizontal="center"/>
    </xf>
    <xf numFmtId="0" fontId="6" fillId="0" borderId="53" xfId="0" applyFont="1" applyBorder="1" applyAlignment="1">
      <alignment horizontal="left"/>
    </xf>
    <xf numFmtId="0" fontId="3" fillId="0" borderId="58" xfId="0" applyFont="1" applyBorder="1" applyAlignment="1">
      <alignment horizontal="center"/>
    </xf>
    <xf numFmtId="0" fontId="5" fillId="0" borderId="57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5" fillId="24" borderId="44" xfId="0" applyFont="1" applyFill="1" applyBorder="1">
      <alignment horizontal="center" vertical="center"/>
    </xf>
    <xf numFmtId="0" fontId="0" fillId="0" borderId="44" xfId="0" applyBorder="1">
      <alignment horizontal="center" vertical="center"/>
    </xf>
    <xf numFmtId="0" fontId="6" fillId="24" borderId="53" xfId="0" applyFont="1" applyFill="1" applyBorder="1" applyAlignment="1">
      <alignment horizontal="center"/>
    </xf>
    <xf numFmtId="0" fontId="6" fillId="0" borderId="53" xfId="0" applyFont="1" applyBorder="1" applyAlignment="1">
      <alignment horizontal="center"/>
    </xf>
    <xf numFmtId="2" fontId="0" fillId="24" borderId="59" xfId="0" applyNumberFormat="1" applyFill="1" applyBorder="1">
      <alignment horizontal="center" vertic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left"/>
    </xf>
    <xf numFmtId="0" fontId="0" fillId="0" borderId="54" xfId="0" applyBorder="1">
      <alignment horizontal="center" vertical="center"/>
    </xf>
    <xf numFmtId="0" fontId="0" fillId="0" borderId="60" xfId="0" applyBorder="1">
      <alignment horizontal="center" vertical="center"/>
    </xf>
    <xf numFmtId="0" fontId="0" fillId="24" borderId="61" xfId="0" applyFill="1" applyBorder="1" applyAlignment="1">
      <alignment horizontal="left"/>
    </xf>
    <xf numFmtId="0" fontId="9" fillId="35" borderId="43" xfId="0" applyFont="1" applyFill="1" applyBorder="1">
      <alignment horizontal="center" vertical="center"/>
    </xf>
    <xf numFmtId="0" fontId="0" fillId="0" borderId="61" xfId="0" applyBorder="1" applyAlignment="1">
      <alignment horizontal="left"/>
    </xf>
    <xf numFmtId="0" fontId="6" fillId="0" borderId="43" xfId="0" applyFont="1" applyBorder="1" applyAlignment="1">
      <alignment horizontal="center"/>
    </xf>
    <xf numFmtId="0" fontId="0" fillId="0" borderId="43" xfId="0" applyBorder="1">
      <alignment horizontal="center" vertical="center"/>
    </xf>
    <xf numFmtId="0" fontId="3" fillId="37" borderId="43" xfId="0" applyFont="1" applyFill="1" applyBorder="1" applyAlignment="1">
      <alignment horizontal="center"/>
    </xf>
    <xf numFmtId="0" fontId="3" fillId="0" borderId="61" xfId="0" applyFont="1" applyBorder="1" applyAlignment="1">
      <alignment horizontal="left"/>
    </xf>
    <xf numFmtId="0" fontId="3" fillId="0" borderId="43" xfId="0" applyFont="1" applyBorder="1" applyAlignment="1">
      <alignment horizontal="center"/>
    </xf>
    <xf numFmtId="0" fontId="3" fillId="41" borderId="43" xfId="0" applyFont="1" applyFill="1" applyBorder="1" applyAlignment="1">
      <alignment horizontal="center"/>
    </xf>
    <xf numFmtId="0" fontId="3" fillId="42" borderId="43" xfId="0" applyFont="1" applyFill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62" xfId="0" applyFont="1" applyBorder="1" applyAlignment="1">
      <alignment horizontal="left"/>
    </xf>
    <xf numFmtId="0" fontId="0" fillId="0" borderId="41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5" fillId="0" borderId="63" xfId="0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6" fillId="0" borderId="57" xfId="0" applyFont="1" applyBorder="1" applyAlignment="1">
      <alignment horizontal="left"/>
    </xf>
    <xf numFmtId="0" fontId="3" fillId="0" borderId="62" xfId="0" applyFont="1" applyBorder="1" applyAlignment="1">
      <alignment horizontal="center"/>
    </xf>
    <xf numFmtId="0" fontId="17" fillId="24" borderId="42" xfId="0" applyFont="1" applyFill="1" applyBorder="1" applyAlignment="1">
      <alignment horizontal="center"/>
    </xf>
    <xf numFmtId="0" fontId="17" fillId="24" borderId="42" xfId="0" applyFont="1" applyFill="1" applyBorder="1" applyAlignment="1">
      <alignment wrapText="1"/>
    </xf>
    <xf numFmtId="0" fontId="17" fillId="24" borderId="42" xfId="0" applyFont="1" applyFill="1" applyBorder="1">
      <alignment horizontal="center" vertical="center"/>
    </xf>
    <xf numFmtId="0" fontId="17" fillId="24" borderId="44" xfId="0" applyFont="1" applyFill="1" applyBorder="1">
      <alignment horizontal="center" vertical="center"/>
    </xf>
    <xf numFmtId="0" fontId="24" fillId="24" borderId="42" xfId="0" applyFont="1" applyFill="1" applyBorder="1">
      <alignment horizontal="center" vertical="center"/>
    </xf>
    <xf numFmtId="0" fontId="24" fillId="24" borderId="44" xfId="0" applyFont="1" applyFill="1" applyBorder="1">
      <alignment horizontal="center" vertical="center"/>
    </xf>
    <xf numFmtId="0" fontId="0" fillId="0" borderId="64" xfId="0" applyBorder="1" applyAlignment="1">
      <alignment vertical="center"/>
    </xf>
    <xf numFmtId="0" fontId="0" fillId="51" borderId="64" xfId="0" applyFill="1" applyBorder="1" applyAlignment="1" applyProtection="1">
      <alignment horizontal="left" vertical="center"/>
      <protection locked="0"/>
    </xf>
    <xf numFmtId="0" fontId="0" fillId="51" borderId="64" xfId="0" applyFill="1" applyBorder="1">
      <alignment horizontal="center" vertical="center"/>
    </xf>
    <xf numFmtId="49" fontId="0" fillId="51" borderId="64" xfId="0" applyNumberFormat="1" applyFill="1" applyBorder="1">
      <alignment horizontal="center" vertical="center"/>
    </xf>
    <xf numFmtId="0" fontId="0" fillId="51" borderId="64" xfId="44" applyFont="1" applyFill="1" applyBorder="1">
      <alignment horizontal="center" vertical="center"/>
    </xf>
    <xf numFmtId="0" fontId="0" fillId="51" borderId="52" xfId="0" applyFill="1" applyBorder="1" applyAlignment="1">
      <alignment horizontal="left" vertical="center"/>
    </xf>
    <xf numFmtId="0" fontId="0" fillId="51" borderId="52" xfId="0" applyFill="1" applyBorder="1">
      <alignment horizontal="center" vertical="center"/>
    </xf>
    <xf numFmtId="49" fontId="0" fillId="51" borderId="52" xfId="0" applyNumberFormat="1" applyFill="1" applyBorder="1">
      <alignment horizontal="center" vertical="center"/>
    </xf>
    <xf numFmtId="0" fontId="0" fillId="51" borderId="65" xfId="0" applyFill="1" applyBorder="1">
      <alignment horizontal="center" vertical="center"/>
    </xf>
    <xf numFmtId="0" fontId="0" fillId="51" borderId="52" xfId="44" applyFont="1" applyFill="1" applyBorder="1">
      <alignment horizontal="center" vertical="center"/>
    </xf>
    <xf numFmtId="0" fontId="0" fillId="0" borderId="42" xfId="0" applyBorder="1" applyAlignment="1">
      <alignment horizontal="left"/>
    </xf>
    <xf numFmtId="0" fontId="0" fillId="0" borderId="42" xfId="0" applyBorder="1">
      <alignment horizontal="center" vertical="center"/>
    </xf>
    <xf numFmtId="0" fontId="3" fillId="0" borderId="41" xfId="0" applyFont="1" applyBorder="1" applyAlignment="1">
      <alignment horizontal="left" vertical="center"/>
    </xf>
    <xf numFmtId="0" fontId="3" fillId="0" borderId="41" xfId="0" applyFont="1" applyBorder="1" applyAlignment="1">
      <alignment horizontal="left"/>
    </xf>
    <xf numFmtId="0" fontId="3" fillId="43" borderId="52" xfId="0" applyFont="1" applyFill="1" applyBorder="1" applyAlignment="1">
      <alignment horizontal="center"/>
    </xf>
    <xf numFmtId="0" fontId="0" fillId="51" borderId="52" xfId="0" applyFill="1" applyBorder="1" applyAlignment="1">
      <alignment horizontal="left" vertical="center" wrapText="1"/>
    </xf>
    <xf numFmtId="0" fontId="3" fillId="0" borderId="66" xfId="0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0" fontId="5" fillId="0" borderId="67" xfId="0" applyFont="1" applyBorder="1" applyAlignment="1">
      <alignment horizontal="left"/>
    </xf>
    <xf numFmtId="0" fontId="0" fillId="0" borderId="51" xfId="0" applyBorder="1" applyAlignment="1">
      <alignment horizontal="center"/>
    </xf>
    <xf numFmtId="0" fontId="0" fillId="0" borderId="51" xfId="0" applyBorder="1">
      <alignment horizontal="center" vertical="center"/>
    </xf>
    <xf numFmtId="0" fontId="3" fillId="0" borderId="51" xfId="0" applyFont="1" applyBorder="1" applyAlignment="1">
      <alignment horizontal="left"/>
    </xf>
    <xf numFmtId="0" fontId="0" fillId="0" borderId="66" xfId="0" applyBorder="1">
      <alignment horizontal="center" vertical="center"/>
    </xf>
    <xf numFmtId="0" fontId="0" fillId="24" borderId="51" xfId="0" applyFill="1" applyBorder="1" applyAlignment="1">
      <alignment horizontal="left"/>
    </xf>
    <xf numFmtId="0" fontId="3" fillId="33" borderId="66" xfId="0" applyFont="1" applyFill="1" applyBorder="1" applyAlignment="1">
      <alignment horizontal="center"/>
    </xf>
    <xf numFmtId="0" fontId="9" fillId="34" borderId="66" xfId="0" applyFont="1" applyFill="1" applyBorder="1">
      <alignment horizontal="center" vertical="center"/>
    </xf>
    <xf numFmtId="0" fontId="0" fillId="0" borderId="51" xfId="0" applyBorder="1" applyAlignment="1">
      <alignment horizontal="left"/>
    </xf>
    <xf numFmtId="0" fontId="5" fillId="25" borderId="66" xfId="0" applyFont="1" applyFill="1" applyBorder="1" applyAlignment="1">
      <alignment horizontal="center"/>
    </xf>
    <xf numFmtId="0" fontId="9" fillId="35" borderId="66" xfId="0" applyFont="1" applyFill="1" applyBorder="1">
      <alignment horizontal="center" vertical="center"/>
    </xf>
    <xf numFmtId="0" fontId="5" fillId="36" borderId="66" xfId="0" applyFont="1" applyFill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3" fillId="37" borderId="66" xfId="0" applyFont="1" applyFill="1" applyBorder="1" applyAlignment="1">
      <alignment horizontal="center"/>
    </xf>
    <xf numFmtId="0" fontId="3" fillId="38" borderId="66" xfId="0" applyFont="1" applyFill="1" applyBorder="1" applyAlignment="1">
      <alignment horizontal="center"/>
    </xf>
    <xf numFmtId="0" fontId="3" fillId="24" borderId="66" xfId="0" applyFont="1" applyFill="1" applyBorder="1" applyAlignment="1">
      <alignment horizontal="center"/>
    </xf>
    <xf numFmtId="0" fontId="5" fillId="39" borderId="66" xfId="0" applyFont="1" applyFill="1" applyBorder="1" applyAlignment="1">
      <alignment horizontal="center"/>
    </xf>
    <xf numFmtId="0" fontId="0" fillId="0" borderId="66" xfId="0" applyBorder="1" applyAlignment="1">
      <alignment horizontal="left"/>
    </xf>
    <xf numFmtId="0" fontId="3" fillId="40" borderId="66" xfId="0" applyFont="1" applyFill="1" applyBorder="1" applyAlignment="1">
      <alignment horizontal="center"/>
    </xf>
    <xf numFmtId="0" fontId="0" fillId="0" borderId="67" xfId="0" applyBorder="1">
      <alignment horizontal="center" vertical="center"/>
    </xf>
    <xf numFmtId="0" fontId="3" fillId="42" borderId="66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6" fillId="0" borderId="67" xfId="0" applyFont="1" applyBorder="1" applyAlignment="1">
      <alignment horizontal="left"/>
    </xf>
    <xf numFmtId="0" fontId="6" fillId="0" borderId="51" xfId="0" applyFont="1" applyBorder="1" applyAlignment="1">
      <alignment horizontal="left"/>
    </xf>
    <xf numFmtId="0" fontId="6" fillId="24" borderId="51" xfId="0" applyFont="1" applyFill="1" applyBorder="1" applyAlignment="1">
      <alignment horizontal="left"/>
    </xf>
    <xf numFmtId="0" fontId="17" fillId="24" borderId="51" xfId="0" applyFont="1" applyFill="1" applyBorder="1">
      <alignment horizontal="center" vertical="center"/>
    </xf>
    <xf numFmtId="0" fontId="24" fillId="24" borderId="51" xfId="0" applyFont="1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0" fontId="0" fillId="51" borderId="68" xfId="44" applyFont="1" applyFill="1" applyBorder="1">
      <alignment horizontal="center" vertical="center"/>
    </xf>
    <xf numFmtId="0" fontId="0" fillId="51" borderId="68" xfId="46" applyFont="1" applyFill="1" applyBorder="1">
      <alignment horizontal="center" vertical="center"/>
    </xf>
    <xf numFmtId="0" fontId="0" fillId="51" borderId="69" xfId="0" applyFill="1" applyBorder="1">
      <alignment horizontal="center" vertical="center"/>
    </xf>
    <xf numFmtId="0" fontId="0" fillId="43" borderId="70" xfId="0" applyFill="1" applyBorder="1" applyAlignment="1" applyProtection="1">
      <alignment horizontal="center"/>
      <protection locked="0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vertical="center"/>
    </xf>
    <xf numFmtId="0" fontId="3" fillId="0" borderId="72" xfId="0" applyFont="1" applyBorder="1" applyAlignment="1">
      <alignment vertical="center"/>
    </xf>
    <xf numFmtId="0" fontId="0" fillId="0" borderId="72" xfId="0" applyBorder="1">
      <alignment horizontal="center" vertical="center"/>
    </xf>
    <xf numFmtId="0" fontId="0" fillId="0" borderId="74" xfId="0" applyBorder="1">
      <alignment horizontal="center" vertical="center"/>
    </xf>
    <xf numFmtId="0" fontId="0" fillId="24" borderId="75" xfId="0" applyFill="1" applyBorder="1" applyAlignment="1" applyProtection="1">
      <alignment horizontal="center"/>
      <protection locked="0"/>
    </xf>
    <xf numFmtId="0" fontId="0" fillId="0" borderId="68" xfId="0" applyBorder="1" applyAlignment="1">
      <alignment horizontal="left" vertical="center"/>
    </xf>
    <xf numFmtId="49" fontId="0" fillId="51" borderId="68" xfId="0" applyNumberFormat="1" applyFill="1" applyBorder="1">
      <alignment horizontal="center" vertical="center"/>
    </xf>
    <xf numFmtId="49" fontId="0" fillId="51" borderId="69" xfId="0" applyNumberFormat="1" applyFill="1" applyBorder="1">
      <alignment horizontal="center" vertical="center"/>
    </xf>
    <xf numFmtId="0" fontId="0" fillId="51" borderId="68" xfId="0" applyFill="1" applyBorder="1" applyAlignment="1">
      <alignment horizontal="left" vertical="center" wrapText="1"/>
    </xf>
    <xf numFmtId="1" fontId="0" fillId="51" borderId="68" xfId="32" applyNumberFormat="1" applyFont="1" applyFill="1" applyBorder="1" applyAlignment="1">
      <alignment horizontal="center" vertical="center"/>
    </xf>
    <xf numFmtId="0" fontId="3" fillId="0" borderId="68" xfId="0" applyFont="1" applyBorder="1" applyAlignment="1" applyProtection="1">
      <alignment horizontal="center"/>
      <protection locked="0"/>
    </xf>
    <xf numFmtId="0" fontId="20" fillId="51" borderId="68" xfId="0" applyFont="1" applyFill="1" applyBorder="1" applyAlignment="1">
      <alignment horizontal="left" vertical="center"/>
    </xf>
    <xf numFmtId="0" fontId="3" fillId="43" borderId="68" xfId="0" applyFont="1" applyFill="1" applyBorder="1" applyAlignment="1">
      <alignment horizontal="center"/>
    </xf>
    <xf numFmtId="0" fontId="0" fillId="0" borderId="71" xfId="0" applyBorder="1">
      <alignment horizontal="center" vertical="center"/>
    </xf>
    <xf numFmtId="0" fontId="3" fillId="0" borderId="71" xfId="0" applyFont="1" applyBorder="1" applyAlignment="1">
      <alignment horizontal="center"/>
    </xf>
    <xf numFmtId="0" fontId="3" fillId="0" borderId="73" xfId="0" applyFont="1" applyBorder="1" applyAlignment="1">
      <alignment horizontal="left"/>
    </xf>
    <xf numFmtId="0" fontId="5" fillId="0" borderId="71" xfId="0" applyFont="1" applyBorder="1" applyAlignment="1">
      <alignment horizontal="center"/>
    </xf>
    <xf numFmtId="0" fontId="0" fillId="0" borderId="73" xfId="0" applyBorder="1">
      <alignment horizontal="center" vertical="center"/>
    </xf>
    <xf numFmtId="0" fontId="0" fillId="0" borderId="71" xfId="0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6" fillId="0" borderId="72" xfId="0" applyFont="1" applyBorder="1" applyAlignment="1">
      <alignment horizontal="left" vertical="center"/>
    </xf>
    <xf numFmtId="0" fontId="5" fillId="0" borderId="72" xfId="0" applyFont="1" applyBorder="1">
      <alignment horizontal="center" vertical="center"/>
    </xf>
    <xf numFmtId="0" fontId="5" fillId="0" borderId="73" xfId="0" applyFont="1" applyBorder="1">
      <alignment horizontal="center" vertical="center"/>
    </xf>
    <xf numFmtId="0" fontId="6" fillId="0" borderId="68" xfId="0" applyFont="1" applyBorder="1">
      <alignment horizontal="center" vertical="center"/>
    </xf>
    <xf numFmtId="0" fontId="6" fillId="0" borderId="68" xfId="0" applyFont="1" applyBorder="1" applyAlignment="1">
      <alignment horizontal="left" vertical="center"/>
    </xf>
    <xf numFmtId="0" fontId="0" fillId="0" borderId="71" xfId="0" applyBorder="1" applyAlignment="1"/>
    <xf numFmtId="0" fontId="3" fillId="0" borderId="72" xfId="0" applyFont="1" applyBorder="1" applyAlignment="1">
      <alignment horizontal="left"/>
    </xf>
    <xf numFmtId="0" fontId="0" fillId="0" borderId="72" xfId="0" applyBorder="1" applyAlignment="1"/>
    <xf numFmtId="0" fontId="0" fillId="0" borderId="73" xfId="0" applyBorder="1" applyAlignment="1"/>
    <xf numFmtId="0" fontId="3" fillId="0" borderId="71" xfId="0" applyFont="1" applyBorder="1" applyAlignment="1">
      <alignment horizontal="left"/>
    </xf>
    <xf numFmtId="0" fontId="0" fillId="0" borderId="74" xfId="0" applyBorder="1" applyAlignment="1"/>
    <xf numFmtId="0" fontId="0" fillId="51" borderId="68" xfId="0" applyFill="1" applyBorder="1" applyAlignment="1">
      <alignment horizontal="left" vertical="center"/>
    </xf>
    <xf numFmtId="0" fontId="6" fillId="51" borderId="68" xfId="0" applyFont="1" applyFill="1" applyBorder="1" applyAlignment="1">
      <alignment vertical="center"/>
    </xf>
    <xf numFmtId="0" fontId="0" fillId="0" borderId="72" xfId="0" applyBorder="1" applyAlignment="1">
      <alignment horizontal="left" vertical="center"/>
    </xf>
    <xf numFmtId="0" fontId="0" fillId="0" borderId="80" xfId="0" applyBorder="1" applyAlignment="1">
      <alignment horizontal="left" vertical="center"/>
    </xf>
    <xf numFmtId="0" fontId="3" fillId="0" borderId="71" xfId="0" applyFont="1" applyBorder="1" applyAlignment="1">
      <alignment horizontal="left" vertical="center"/>
    </xf>
    <xf numFmtId="0" fontId="0" fillId="0" borderId="73" xfId="0" applyBorder="1" applyAlignment="1">
      <alignment horizontal="left" vertical="center"/>
    </xf>
    <xf numFmtId="0" fontId="3" fillId="0" borderId="72" xfId="0" applyFont="1" applyBorder="1" applyAlignment="1">
      <alignment horizontal="left" vertical="center"/>
    </xf>
    <xf numFmtId="0" fontId="3" fillId="0" borderId="75" xfId="0" applyFont="1" applyBorder="1" applyAlignment="1">
      <alignment horizontal="center"/>
    </xf>
    <xf numFmtId="0" fontId="0" fillId="51" borderId="81" xfId="0" applyFill="1" applyBorder="1">
      <alignment horizontal="center" vertical="center"/>
    </xf>
    <xf numFmtId="0" fontId="5" fillId="0" borderId="68" xfId="0" applyFont="1" applyBorder="1" applyAlignment="1">
      <alignment horizontal="center"/>
    </xf>
    <xf numFmtId="0" fontId="0" fillId="0" borderId="69" xfId="0" applyBorder="1">
      <alignment horizontal="center" vertical="center"/>
    </xf>
    <xf numFmtId="0" fontId="0" fillId="0" borderId="68" xfId="0" applyBorder="1">
      <alignment horizontal="center" vertical="center"/>
    </xf>
    <xf numFmtId="0" fontId="20" fillId="0" borderId="68" xfId="0" applyFont="1" applyBorder="1" applyAlignment="1">
      <alignment horizontal="left" vertical="center"/>
    </xf>
    <xf numFmtId="0" fontId="3" fillId="0" borderId="76" xfId="0" applyFont="1" applyBorder="1" applyAlignment="1">
      <alignment horizontal="center"/>
    </xf>
    <xf numFmtId="0" fontId="3" fillId="0" borderId="68" xfId="0" applyFont="1" applyBorder="1" applyAlignment="1">
      <alignment horizontal="center"/>
    </xf>
    <xf numFmtId="0" fontId="5" fillId="0" borderId="69" xfId="0" applyFont="1" applyBorder="1" applyAlignment="1">
      <alignment horizontal="left"/>
    </xf>
    <xf numFmtId="0" fontId="0" fillId="0" borderId="75" xfId="0" applyBorder="1" applyAlignment="1">
      <alignment horizontal="center"/>
    </xf>
    <xf numFmtId="0" fontId="0" fillId="0" borderId="68" xfId="0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69" xfId="0" applyFont="1" applyBorder="1" applyAlignment="1">
      <alignment horizontal="left"/>
    </xf>
    <xf numFmtId="0" fontId="0" fillId="0" borderId="76" xfId="0" applyBorder="1" applyAlignment="1">
      <alignment horizontal="center"/>
    </xf>
    <xf numFmtId="0" fontId="6" fillId="0" borderId="72" xfId="0" applyFont="1" applyBorder="1" applyAlignment="1">
      <alignment horizontal="center"/>
    </xf>
    <xf numFmtId="0" fontId="0" fillId="25" borderId="68" xfId="0" applyFill="1" applyBorder="1" applyAlignment="1">
      <alignment horizontal="center"/>
    </xf>
    <xf numFmtId="0" fontId="0" fillId="25" borderId="68" xfId="0" applyFill="1" applyBorder="1">
      <alignment horizontal="center" vertical="center"/>
    </xf>
    <xf numFmtId="0" fontId="0" fillId="0" borderId="68" xfId="0" applyBorder="1" applyAlignment="1">
      <alignment horizontal="left"/>
    </xf>
    <xf numFmtId="0" fontId="6" fillId="0" borderId="71" xfId="0" applyFont="1" applyBorder="1" applyAlignment="1">
      <alignment horizontal="left"/>
    </xf>
    <xf numFmtId="0" fontId="0" fillId="27" borderId="68" xfId="0" applyFill="1" applyBorder="1" applyAlignment="1">
      <alignment horizontal="center"/>
    </xf>
    <xf numFmtId="0" fontId="6" fillId="27" borderId="68" xfId="0" applyFont="1" applyFill="1" applyBorder="1" applyAlignment="1">
      <alignment horizontal="center"/>
    </xf>
    <xf numFmtId="0" fontId="6" fillId="27" borderId="72" xfId="0" applyFont="1" applyFill="1" applyBorder="1" applyAlignment="1">
      <alignment horizontal="center"/>
    </xf>
    <xf numFmtId="0" fontId="0" fillId="0" borderId="76" xfId="0" applyBorder="1" applyAlignment="1">
      <alignment horizontal="left"/>
    </xf>
    <xf numFmtId="0" fontId="6" fillId="25" borderId="68" xfId="0" applyFont="1" applyFill="1" applyBorder="1" applyAlignment="1">
      <alignment horizontal="center"/>
    </xf>
    <xf numFmtId="0" fontId="6" fillId="25" borderId="72" xfId="0" applyFont="1" applyFill="1" applyBorder="1" applyAlignment="1">
      <alignment horizontal="center"/>
    </xf>
    <xf numFmtId="0" fontId="0" fillId="24" borderId="76" xfId="0" applyFill="1" applyBorder="1" applyAlignment="1">
      <alignment horizontal="left"/>
    </xf>
    <xf numFmtId="0" fontId="0" fillId="29" borderId="68" xfId="0" applyFill="1" applyBorder="1" applyAlignment="1">
      <alignment horizontal="center"/>
    </xf>
    <xf numFmtId="0" fontId="0" fillId="30" borderId="68" xfId="0" applyFill="1" applyBorder="1" applyAlignment="1">
      <alignment horizontal="center"/>
    </xf>
    <xf numFmtId="0" fontId="0" fillId="24" borderId="68" xfId="0" applyFill="1" applyBorder="1" applyAlignment="1">
      <alignment horizontal="center"/>
    </xf>
    <xf numFmtId="0" fontId="6" fillId="24" borderId="72" xfId="0" applyFont="1" applyFill="1" applyBorder="1" applyAlignment="1">
      <alignment horizontal="center"/>
    </xf>
    <xf numFmtId="0" fontId="0" fillId="28" borderId="68" xfId="0" applyFill="1" applyBorder="1" applyAlignment="1">
      <alignment horizontal="center"/>
    </xf>
    <xf numFmtId="0" fontId="8" fillId="0" borderId="75" xfId="0" applyFont="1" applyBorder="1" applyAlignment="1">
      <alignment horizontal="left"/>
    </xf>
    <xf numFmtId="0" fontId="6" fillId="0" borderId="71" xfId="0" applyFont="1" applyBorder="1">
      <alignment horizontal="center" vertical="center"/>
    </xf>
    <xf numFmtId="0" fontId="5" fillId="24" borderId="69" xfId="0" applyFont="1" applyFill="1" applyBorder="1" applyAlignment="1">
      <alignment horizontal="left"/>
    </xf>
    <xf numFmtId="0" fontId="5" fillId="0" borderId="68" xfId="0" applyFont="1" applyBorder="1">
      <alignment horizontal="center" vertical="center"/>
    </xf>
    <xf numFmtId="0" fontId="8" fillId="0" borderId="76" xfId="0" applyFont="1" applyBorder="1" applyAlignment="1">
      <alignment horizontal="left"/>
    </xf>
    <xf numFmtId="0" fontId="6" fillId="0" borderId="68" xfId="0" applyFont="1" applyBorder="1" applyAlignment="1">
      <alignment horizontal="left"/>
    </xf>
    <xf numFmtId="0" fontId="6" fillId="0" borderId="72" xfId="0" applyFont="1" applyBorder="1">
      <alignment horizontal="center" vertical="center"/>
    </xf>
    <xf numFmtId="0" fontId="3" fillId="0" borderId="68" xfId="0" applyFont="1" applyBorder="1" applyAlignment="1">
      <alignment horizontal="left"/>
    </xf>
    <xf numFmtId="165" fontId="6" fillId="0" borderId="68" xfId="0" applyNumberFormat="1" applyFont="1" applyBorder="1" applyAlignment="1">
      <alignment horizontal="center"/>
    </xf>
    <xf numFmtId="0" fontId="6" fillId="0" borderId="76" xfId="0" applyFont="1" applyBorder="1" applyAlignment="1">
      <alignment horizontal="left"/>
    </xf>
    <xf numFmtId="0" fontId="6" fillId="24" borderId="68" xfId="0" applyFont="1" applyFill="1" applyBorder="1" applyAlignment="1">
      <alignment horizontal="center"/>
    </xf>
    <xf numFmtId="0" fontId="6" fillId="24" borderId="71" xfId="0" applyFont="1" applyFill="1" applyBorder="1">
      <alignment horizontal="center" vertical="center"/>
    </xf>
    <xf numFmtId="0" fontId="6" fillId="24" borderId="69" xfId="0" applyFont="1" applyFill="1" applyBorder="1" applyAlignment="1">
      <alignment horizontal="left"/>
    </xf>
    <xf numFmtId="0" fontId="5" fillId="24" borderId="68" xfId="0" applyFont="1" applyFill="1" applyBorder="1" applyAlignment="1">
      <alignment horizontal="center"/>
    </xf>
    <xf numFmtId="0" fontId="0" fillId="0" borderId="76" xfId="0" applyBorder="1">
      <alignment horizontal="center" vertical="center"/>
    </xf>
    <xf numFmtId="0" fontId="0" fillId="0" borderId="75" xfId="0" applyBorder="1">
      <alignment horizontal="center" vertical="center"/>
    </xf>
    <xf numFmtId="2" fontId="0" fillId="0" borderId="69" xfId="0" applyNumberFormat="1" applyBorder="1">
      <alignment horizontal="center" vertical="center"/>
    </xf>
    <xf numFmtId="0" fontId="0" fillId="0" borderId="75" xfId="0" applyBorder="1" applyAlignment="1" applyProtection="1">
      <alignment horizontal="center"/>
      <protection locked="0"/>
    </xf>
    <xf numFmtId="0" fontId="0" fillId="0" borderId="75" xfId="0" applyBorder="1" applyAlignment="1">
      <alignment horizontal="left"/>
    </xf>
    <xf numFmtId="0" fontId="9" fillId="34" borderId="68" xfId="0" applyFont="1" applyFill="1" applyBorder="1">
      <alignment horizontal="center" vertical="center"/>
    </xf>
    <xf numFmtId="0" fontId="9" fillId="34" borderId="69" xfId="0" applyFont="1" applyFill="1" applyBorder="1">
      <alignment horizontal="center" vertical="center"/>
    </xf>
    <xf numFmtId="0" fontId="6" fillId="0" borderId="69" xfId="0" applyFont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3" fillId="0" borderId="75" xfId="0" applyFont="1" applyBorder="1" applyAlignment="1">
      <alignment horizontal="left"/>
    </xf>
    <xf numFmtId="0" fontId="3" fillId="29" borderId="68" xfId="0" applyFont="1" applyFill="1" applyBorder="1" applyAlignment="1">
      <alignment horizontal="left"/>
    </xf>
    <xf numFmtId="0" fontId="0" fillId="43" borderId="75" xfId="0" applyFill="1" applyBorder="1" applyAlignment="1" applyProtection="1">
      <alignment horizontal="center"/>
      <protection locked="0"/>
    </xf>
    <xf numFmtId="0" fontId="0" fillId="0" borderId="82" xfId="0" applyBorder="1">
      <alignment horizontal="center" vertical="center"/>
    </xf>
    <xf numFmtId="0" fontId="0" fillId="0" borderId="85" xfId="0" applyBorder="1" applyAlignment="1">
      <alignment horizontal="center"/>
    </xf>
    <xf numFmtId="0" fontId="0" fillId="0" borderId="86" xfId="0" applyBorder="1">
      <alignment horizontal="center" vertical="center"/>
    </xf>
    <xf numFmtId="0" fontId="3" fillId="0" borderId="84" xfId="0" applyFont="1" applyBorder="1" applyAlignment="1">
      <alignment horizontal="left"/>
    </xf>
    <xf numFmtId="0" fontId="0" fillId="0" borderId="83" xfId="0" applyBorder="1" applyAlignment="1">
      <alignment horizontal="center"/>
    </xf>
    <xf numFmtId="0" fontId="6" fillId="0" borderId="83" xfId="0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0" fontId="5" fillId="0" borderId="84" xfId="0" applyFont="1" applyBorder="1" applyAlignment="1">
      <alignment horizontal="center"/>
    </xf>
    <xf numFmtId="0" fontId="0" fillId="24" borderId="87" xfId="0" applyFill="1" applyBorder="1" applyAlignment="1">
      <alignment horizontal="center"/>
    </xf>
    <xf numFmtId="0" fontId="5" fillId="0" borderId="88" xfId="0" applyFont="1" applyBorder="1" applyAlignment="1">
      <alignment horizontal="left"/>
    </xf>
    <xf numFmtId="0" fontId="6" fillId="0" borderId="84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6" fillId="0" borderId="88" xfId="0" applyFont="1" applyBorder="1" applyAlignment="1">
      <alignment horizontal="left"/>
    </xf>
    <xf numFmtId="0" fontId="6" fillId="0" borderId="87" xfId="0" applyFont="1" applyBorder="1" applyAlignment="1">
      <alignment horizontal="left"/>
    </xf>
    <xf numFmtId="0" fontId="6" fillId="27" borderId="83" xfId="0" applyFont="1" applyFill="1" applyBorder="1" applyAlignment="1">
      <alignment horizontal="center"/>
    </xf>
    <xf numFmtId="0" fontId="6" fillId="27" borderId="84" xfId="0" applyFont="1" applyFill="1" applyBorder="1" applyAlignment="1">
      <alignment horizontal="center"/>
    </xf>
    <xf numFmtId="0" fontId="6" fillId="25" borderId="83" xfId="0" applyFont="1" applyFill="1" applyBorder="1" applyAlignment="1">
      <alignment horizontal="center"/>
    </xf>
    <xf numFmtId="0" fontId="6" fillId="25" borderId="84" xfId="0" applyFont="1" applyFill="1" applyBorder="1" applyAlignment="1">
      <alignment horizontal="center"/>
    </xf>
    <xf numFmtId="0" fontId="3" fillId="0" borderId="85" xfId="0" applyFont="1" applyBorder="1" applyAlignment="1">
      <alignment horizontal="left"/>
    </xf>
    <xf numFmtId="0" fontId="0" fillId="29" borderId="83" xfId="0" applyFill="1" applyBorder="1" applyAlignment="1">
      <alignment horizontal="center"/>
    </xf>
    <xf numFmtId="0" fontId="0" fillId="24" borderId="83" xfId="0" applyFill="1" applyBorder="1" applyAlignment="1">
      <alignment horizontal="center"/>
    </xf>
    <xf numFmtId="0" fontId="6" fillId="24" borderId="84" xfId="0" applyFont="1" applyFill="1" applyBorder="1" applyAlignment="1">
      <alignment horizontal="center"/>
    </xf>
    <xf numFmtId="0" fontId="3" fillId="0" borderId="85" xfId="0" applyFont="1" applyBorder="1">
      <alignment horizontal="center" vertical="center"/>
    </xf>
    <xf numFmtId="0" fontId="0" fillId="26" borderId="83" xfId="0" applyFill="1" applyBorder="1" applyAlignment="1">
      <alignment horizontal="center"/>
    </xf>
    <xf numFmtId="0" fontId="3" fillId="0" borderId="85" xfId="0" applyFont="1" applyBorder="1" applyAlignment="1">
      <alignment horizontal="center"/>
    </xf>
    <xf numFmtId="0" fontId="0" fillId="0" borderId="83" xfId="0" applyBorder="1">
      <alignment horizontal="center" vertical="center"/>
    </xf>
    <xf numFmtId="0" fontId="0" fillId="0" borderId="85" xfId="0" applyBorder="1" applyAlignment="1">
      <alignment horizontal="left"/>
    </xf>
    <xf numFmtId="0" fontId="6" fillId="0" borderId="87" xfId="0" applyFont="1" applyBorder="1" applyAlignment="1">
      <alignment horizontal="center"/>
    </xf>
    <xf numFmtId="0" fontId="5" fillId="24" borderId="88" xfId="0" applyFont="1" applyFill="1" applyBorder="1" applyAlignment="1">
      <alignment horizontal="left"/>
    </xf>
    <xf numFmtId="0" fontId="0" fillId="33" borderId="83" xfId="0" applyFill="1" applyBorder="1" applyAlignment="1">
      <alignment horizontal="center"/>
    </xf>
    <xf numFmtId="0" fontId="10" fillId="34" borderId="83" xfId="0" applyFont="1" applyFill="1" applyBorder="1" applyAlignment="1">
      <alignment horizontal="center"/>
    </xf>
    <xf numFmtId="0" fontId="3" fillId="0" borderId="89" xfId="0" applyFont="1" applyBorder="1" applyAlignment="1">
      <alignment horizontal="left"/>
    </xf>
    <xf numFmtId="0" fontId="10" fillId="35" borderId="83" xfId="0" applyFont="1" applyFill="1" applyBorder="1" applyAlignment="1">
      <alignment horizontal="center"/>
    </xf>
    <xf numFmtId="0" fontId="10" fillId="35" borderId="86" xfId="0" applyFont="1" applyFill="1" applyBorder="1" applyAlignment="1">
      <alignment horizontal="center"/>
    </xf>
    <xf numFmtId="0" fontId="6" fillId="36" borderId="83" xfId="0" applyFont="1" applyFill="1" applyBorder="1" applyAlignment="1">
      <alignment horizontal="center"/>
    </xf>
    <xf numFmtId="0" fontId="6" fillId="0" borderId="86" xfId="0" applyFont="1" applyBorder="1" applyAlignment="1">
      <alignment horizontal="center"/>
    </xf>
    <xf numFmtId="0" fontId="0" fillId="37" borderId="83" xfId="0" applyFill="1" applyBorder="1" applyAlignment="1">
      <alignment horizontal="center"/>
    </xf>
    <xf numFmtId="0" fontId="0" fillId="37" borderId="86" xfId="0" applyFill="1" applyBorder="1" applyAlignment="1">
      <alignment horizontal="center"/>
    </xf>
    <xf numFmtId="0" fontId="0" fillId="38" borderId="83" xfId="0" applyFill="1" applyBorder="1" applyAlignment="1">
      <alignment horizontal="center"/>
    </xf>
    <xf numFmtId="0" fontId="3" fillId="0" borderId="89" xfId="0" applyFont="1" applyBorder="1" applyAlignment="1">
      <alignment horizontal="left" vertical="center"/>
    </xf>
    <xf numFmtId="0" fontId="0" fillId="40" borderId="83" xfId="0" applyFill="1" applyBorder="1" applyAlignment="1">
      <alignment horizontal="center"/>
    </xf>
    <xf numFmtId="0" fontId="0" fillId="41" borderId="83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42" borderId="83" xfId="0" applyFill="1" applyBorder="1" applyAlignment="1">
      <alignment horizontal="center"/>
    </xf>
    <xf numFmtId="0" fontId="3" fillId="0" borderId="89" xfId="0" applyFont="1" applyBorder="1">
      <alignment horizontal="center" vertical="center"/>
    </xf>
    <xf numFmtId="0" fontId="6" fillId="39" borderId="83" xfId="0" applyFont="1" applyFill="1" applyBorder="1" applyAlignment="1">
      <alignment horizontal="center"/>
    </xf>
    <xf numFmtId="0" fontId="5" fillId="0" borderId="85" xfId="0" applyFont="1" applyBorder="1" applyAlignment="1">
      <alignment horizontal="left"/>
    </xf>
    <xf numFmtId="0" fontId="5" fillId="24" borderId="85" xfId="0" applyFont="1" applyFill="1" applyBorder="1" applyAlignment="1">
      <alignment horizontal="left"/>
    </xf>
    <xf numFmtId="0" fontId="6" fillId="24" borderId="88" xfId="0" applyFont="1" applyFill="1" applyBorder="1" applyAlignment="1">
      <alignment horizontal="left"/>
    </xf>
    <xf numFmtId="0" fontId="3" fillId="0" borderId="83" xfId="0" applyFont="1" applyBorder="1" applyAlignment="1">
      <alignment horizontal="center"/>
    </xf>
    <xf numFmtId="0" fontId="17" fillId="40" borderId="85" xfId="0" applyFont="1" applyFill="1" applyBorder="1" applyAlignment="1">
      <alignment wrapText="1"/>
    </xf>
    <xf numFmtId="0" fontId="21" fillId="48" borderId="85" xfId="0" applyFont="1" applyFill="1" applyBorder="1" applyAlignment="1">
      <alignment wrapText="1"/>
    </xf>
    <xf numFmtId="0" fontId="0" fillId="51" borderId="68" xfId="0" applyFill="1" applyBorder="1" applyProtection="1">
      <alignment horizontal="center" vertical="center"/>
      <protection locked="0"/>
    </xf>
    <xf numFmtId="0" fontId="0" fillId="51" borderId="64" xfId="48" applyFont="1" applyFill="1" applyBorder="1">
      <alignment horizontal="center" vertical="center"/>
    </xf>
    <xf numFmtId="0" fontId="0" fillId="0" borderId="35" xfId="0" applyBorder="1" applyAlignment="1">
      <alignment horizontal="left" vertical="center"/>
    </xf>
    <xf numFmtId="0" fontId="0" fillId="51" borderId="35" xfId="48" applyFont="1" applyFill="1" applyBorder="1">
      <alignment horizontal="center" vertical="center"/>
    </xf>
    <xf numFmtId="0" fontId="0" fillId="51" borderId="35" xfId="44" applyFont="1" applyFill="1" applyBorder="1">
      <alignment horizontal="center" vertical="center"/>
    </xf>
    <xf numFmtId="0" fontId="0" fillId="51" borderId="68" xfId="48" applyFont="1" applyFill="1" applyBorder="1">
      <alignment horizontal="center" vertical="center"/>
    </xf>
    <xf numFmtId="0" fontId="0" fillId="51" borderId="68" xfId="20" applyNumberFormat="1" applyFont="1" applyFill="1" applyBorder="1" applyAlignment="1">
      <alignment horizontal="center" vertical="center"/>
    </xf>
    <xf numFmtId="49" fontId="0" fillId="51" borderId="27" xfId="0" applyNumberFormat="1" applyFill="1" applyBorder="1">
      <alignment horizontal="center" vertical="center"/>
    </xf>
    <xf numFmtId="49" fontId="0" fillId="51" borderId="90" xfId="0" applyNumberFormat="1" applyFill="1" applyBorder="1">
      <alignment horizontal="center" vertical="center"/>
    </xf>
    <xf numFmtId="49" fontId="0" fillId="51" borderId="91" xfId="0" applyNumberFormat="1" applyFill="1" applyBorder="1">
      <alignment horizontal="center" vertical="center"/>
    </xf>
    <xf numFmtId="0" fontId="0" fillId="0" borderId="84" xfId="0" applyBorder="1">
      <alignment horizontal="center" vertical="center"/>
    </xf>
    <xf numFmtId="0" fontId="0" fillId="0" borderId="87" xfId="0" applyBorder="1">
      <alignment horizontal="center" vertical="center"/>
    </xf>
    <xf numFmtId="0" fontId="0" fillId="0" borderId="84" xfId="0" applyBorder="1" applyAlignment="1">
      <alignment horizontal="left" vertical="center"/>
    </xf>
    <xf numFmtId="0" fontId="0" fillId="0" borderId="86" xfId="0" applyBorder="1" applyAlignment="1">
      <alignment horizontal="left" vertical="center"/>
    </xf>
    <xf numFmtId="0" fontId="0" fillId="0" borderId="87" xfId="0" applyBorder="1" applyAlignment="1">
      <alignment horizontal="left" vertical="center"/>
    </xf>
    <xf numFmtId="0" fontId="3" fillId="0" borderId="87" xfId="0" applyFont="1" applyBorder="1" applyAlignment="1">
      <alignment horizontal="left"/>
    </xf>
    <xf numFmtId="49" fontId="0" fillId="51" borderId="39" xfId="0" applyNumberFormat="1" applyFill="1" applyBorder="1">
      <alignment horizontal="center" vertical="center"/>
    </xf>
    <xf numFmtId="0" fontId="0" fillId="0" borderId="77" xfId="0" applyBorder="1">
      <alignment horizontal="center" vertical="center"/>
    </xf>
    <xf numFmtId="0" fontId="0" fillId="0" borderId="78" xfId="0" applyBorder="1">
      <alignment horizontal="center" vertical="center"/>
    </xf>
    <xf numFmtId="0" fontId="0" fillId="0" borderId="79" xfId="0" applyBorder="1">
      <alignment horizontal="center" vertical="center"/>
    </xf>
    <xf numFmtId="0" fontId="0" fillId="0" borderId="68" xfId="0" applyBorder="1" applyAlignment="1">
      <alignment vertical="center"/>
    </xf>
    <xf numFmtId="0" fontId="0" fillId="56" borderId="68" xfId="44" applyFont="1" applyFill="1" applyBorder="1">
      <alignment horizontal="center" vertical="center"/>
    </xf>
    <xf numFmtId="0" fontId="0" fillId="56" borderId="68" xfId="46" applyFont="1" applyBorder="1">
      <alignment horizontal="center" vertical="center"/>
    </xf>
    <xf numFmtId="173" fontId="0" fillId="0" borderId="0" xfId="0" applyNumberFormat="1" applyBorder="1">
      <alignment horizontal="center" vertical="center"/>
    </xf>
    <xf numFmtId="0" fontId="6" fillId="54" borderId="68" xfId="50" applyBorder="1">
      <alignment horizontal="center" vertical="center"/>
    </xf>
    <xf numFmtId="0" fontId="6" fillId="52" borderId="69" xfId="48" applyBorder="1">
      <alignment horizontal="center" vertical="center"/>
    </xf>
    <xf numFmtId="17" fontId="3" fillId="0" borderId="12" xfId="0" applyNumberFormat="1" applyFont="1" applyBorder="1" applyAlignment="1">
      <alignment horizontal="left"/>
    </xf>
    <xf numFmtId="0" fontId="2" fillId="0" borderId="1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84" xfId="0" applyFont="1" applyBorder="1">
      <alignment horizontal="center" vertical="center"/>
    </xf>
    <xf numFmtId="0" fontId="2" fillId="0" borderId="86" xfId="0" applyFont="1" applyBorder="1">
      <alignment horizontal="center" vertical="center"/>
    </xf>
    <xf numFmtId="0" fontId="2" fillId="0" borderId="13" xfId="0" applyFont="1" applyBorder="1" applyAlignment="1">
      <alignment horizontal="left" vertical="center"/>
    </xf>
    <xf numFmtId="17" fontId="2" fillId="0" borderId="13" xfId="0" applyNumberFormat="1" applyFont="1" applyBorder="1" applyAlignment="1">
      <alignment horizontal="left" vertical="center"/>
    </xf>
    <xf numFmtId="0" fontId="6" fillId="69" borderId="68" xfId="44" applyBorder="1">
      <alignment horizontal="center" vertical="center"/>
    </xf>
    <xf numFmtId="0" fontId="0" fillId="0" borderId="52" xfId="0" applyBorder="1" applyAlignment="1">
      <alignment horizontal="left"/>
    </xf>
    <xf numFmtId="0" fontId="6" fillId="52" borderId="68" xfId="48" applyBorder="1">
      <alignment horizontal="center" vertical="center"/>
    </xf>
    <xf numFmtId="0" fontId="6" fillId="52" borderId="52" xfId="48" applyBorder="1">
      <alignment horizontal="center" vertical="center"/>
    </xf>
    <xf numFmtId="0" fontId="6" fillId="52" borderId="39" xfId="48" applyBorder="1">
      <alignment horizontal="center" vertical="center"/>
    </xf>
    <xf numFmtId="0" fontId="6" fillId="52" borderId="27" xfId="48" applyBorder="1">
      <alignment horizontal="center" vertical="center"/>
    </xf>
    <xf numFmtId="0" fontId="0" fillId="0" borderId="15" xfId="0" applyBorder="1">
      <alignment horizontal="center" vertical="center"/>
    </xf>
    <xf numFmtId="0" fontId="0" fillId="52" borderId="68" xfId="0" applyFill="1" applyBorder="1">
      <alignment horizontal="center" vertical="center"/>
    </xf>
    <xf numFmtId="0" fontId="0" fillId="76" borderId="68" xfId="44" applyFont="1" applyFill="1" applyBorder="1">
      <alignment horizontal="center" vertical="center"/>
    </xf>
    <xf numFmtId="49" fontId="0" fillId="76" borderId="69" xfId="0" applyNumberFormat="1" applyFill="1" applyBorder="1">
      <alignment horizontal="center" vertical="center"/>
    </xf>
    <xf numFmtId="0" fontId="0" fillId="76" borderId="68" xfId="0" applyFill="1" applyBorder="1">
      <alignment horizontal="center" vertical="center"/>
    </xf>
    <xf numFmtId="49" fontId="0" fillId="76" borderId="68" xfId="0" applyNumberFormat="1" applyFill="1" applyBorder="1">
      <alignment horizontal="center" vertical="center"/>
    </xf>
    <xf numFmtId="0" fontId="6" fillId="58" borderId="39" xfId="33" applyBorder="1">
      <alignment horizontal="center" vertical="center"/>
    </xf>
    <xf numFmtId="0" fontId="6" fillId="53" borderId="68" xfId="43" applyBorder="1">
      <alignment horizontal="center" vertical="center"/>
    </xf>
    <xf numFmtId="0" fontId="6" fillId="53" borderId="39" xfId="43" applyBorder="1">
      <alignment horizontal="center" vertical="center"/>
    </xf>
    <xf numFmtId="0" fontId="0" fillId="0" borderId="39" xfId="0" applyBorder="1">
      <alignment horizontal="center" vertical="center"/>
    </xf>
    <xf numFmtId="0" fontId="0" fillId="51" borderId="37" xfId="48" applyFont="1" applyFill="1" applyBorder="1">
      <alignment horizontal="center" vertical="center"/>
    </xf>
    <xf numFmtId="0" fontId="6" fillId="0" borderId="68" xfId="48" applyFill="1" applyBorder="1">
      <alignment horizontal="center" vertical="center"/>
    </xf>
    <xf numFmtId="0" fontId="0" fillId="55" borderId="0" xfId="0" applyFill="1">
      <alignment horizontal="center" vertical="center"/>
    </xf>
    <xf numFmtId="0" fontId="0" fillId="55" borderId="0" xfId="48" applyFont="1" applyFill="1" applyBorder="1">
      <alignment horizontal="center" vertical="center"/>
    </xf>
    <xf numFmtId="0" fontId="0" fillId="51" borderId="92" xfId="0" applyFill="1" applyBorder="1">
      <alignment horizontal="center" vertical="center"/>
    </xf>
    <xf numFmtId="49" fontId="0" fillId="52" borderId="39" xfId="0" applyNumberFormat="1" applyFill="1" applyBorder="1">
      <alignment horizontal="center" vertical="center"/>
    </xf>
    <xf numFmtId="0" fontId="6" fillId="52" borderId="90" xfId="48" applyBorder="1">
      <alignment horizontal="center" vertical="center"/>
    </xf>
    <xf numFmtId="0" fontId="6" fillId="52" borderId="91" xfId="48" applyBorder="1">
      <alignment horizontal="center" vertical="center"/>
    </xf>
    <xf numFmtId="0" fontId="0" fillId="51" borderId="37" xfId="0" applyFill="1" applyBorder="1">
      <alignment horizontal="center" vertical="center"/>
    </xf>
    <xf numFmtId="0" fontId="6" fillId="55" borderId="0" xfId="45">
      <alignment horizontal="center" vertical="center"/>
    </xf>
    <xf numFmtId="0" fontId="6" fillId="55" borderId="92" xfId="45" applyBorder="1">
      <alignment horizontal="center" vertical="center"/>
    </xf>
    <xf numFmtId="0" fontId="51" fillId="56" borderId="68" xfId="46" applyBorder="1">
      <alignment horizontal="center" vertical="center"/>
    </xf>
    <xf numFmtId="0" fontId="0" fillId="52" borderId="0" xfId="0" applyFill="1">
      <alignment horizontal="center" vertical="center"/>
    </xf>
    <xf numFmtId="49" fontId="0" fillId="53" borderId="68" xfId="0" applyNumberFormat="1" applyFill="1" applyBorder="1">
      <alignment horizontal="center" vertical="center"/>
    </xf>
    <xf numFmtId="0" fontId="0" fillId="53" borderId="68" xfId="44" applyFont="1" applyFill="1" applyBorder="1">
      <alignment horizontal="center" vertical="center"/>
    </xf>
    <xf numFmtId="0" fontId="0" fillId="55" borderId="68" xfId="44" applyFont="1" applyFill="1" applyBorder="1">
      <alignment horizontal="center" vertical="center"/>
    </xf>
    <xf numFmtId="0" fontId="0" fillId="55" borderId="68" xfId="0" applyFill="1" applyBorder="1">
      <alignment horizontal="center" vertical="center"/>
    </xf>
    <xf numFmtId="0" fontId="6" fillId="51" borderId="0" xfId="52" applyFill="1">
      <alignment horizontal="center" vertical="center"/>
    </xf>
    <xf numFmtId="0" fontId="6" fillId="72" borderId="39" xfId="52" applyBorder="1">
      <alignment horizontal="center" vertical="center"/>
    </xf>
    <xf numFmtId="0" fontId="6" fillId="55" borderId="68" xfId="45" applyBorder="1">
      <alignment horizontal="center" vertical="center"/>
    </xf>
    <xf numFmtId="0" fontId="5" fillId="0" borderId="35" xfId="0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6" fillId="51" borderId="68" xfId="48" applyFill="1" applyBorder="1">
      <alignment horizontal="center" vertical="center"/>
    </xf>
    <xf numFmtId="0" fontId="6" fillId="51" borderId="69" xfId="48" applyFill="1" applyBorder="1">
      <alignment horizontal="center" vertical="center"/>
    </xf>
    <xf numFmtId="0" fontId="6" fillId="53" borderId="90" xfId="43" applyBorder="1">
      <alignment horizontal="center" vertical="center"/>
    </xf>
    <xf numFmtId="0" fontId="0" fillId="51" borderId="0" xfId="46" applyFont="1" applyFill="1" applyBorder="1">
      <alignment horizontal="center" vertical="center"/>
    </xf>
    <xf numFmtId="0" fontId="6" fillId="0" borderId="68" xfId="43" applyFill="1" applyBorder="1">
      <alignment horizontal="center" vertical="center"/>
    </xf>
    <xf numFmtId="1" fontId="0" fillId="57" borderId="35" xfId="32" applyNumberFormat="1" applyFont="1" applyFill="1" applyBorder="1" applyAlignment="1">
      <alignment horizontal="center" vertical="center"/>
    </xf>
    <xf numFmtId="0" fontId="0" fillId="53" borderId="68" xfId="0" applyFill="1" applyBorder="1">
      <alignment horizontal="center" vertical="center"/>
    </xf>
    <xf numFmtId="0" fontId="6" fillId="51" borderId="0" xfId="43" applyFill="1">
      <alignment horizontal="center" vertical="center"/>
    </xf>
    <xf numFmtId="0" fontId="6" fillId="74" borderId="0" xfId="43" applyFill="1">
      <alignment horizontal="center" vertical="center"/>
    </xf>
    <xf numFmtId="49" fontId="0" fillId="56" borderId="68" xfId="0" applyNumberFormat="1" applyFill="1" applyBorder="1">
      <alignment horizontal="center" vertical="center"/>
    </xf>
    <xf numFmtId="0" fontId="6" fillId="54" borderId="52" xfId="50" applyBorder="1">
      <alignment horizontal="center" vertical="center"/>
    </xf>
    <xf numFmtId="0" fontId="6" fillId="53" borderId="40" xfId="43" applyBorder="1">
      <alignment horizontal="center" vertical="center"/>
    </xf>
    <xf numFmtId="20" fontId="0" fillId="0" borderId="0" xfId="0" applyNumberFormat="1">
      <alignment horizontal="center" vertical="center"/>
    </xf>
    <xf numFmtId="0" fontId="0" fillId="51" borderId="69" xfId="48" applyFont="1" applyFill="1" applyBorder="1">
      <alignment horizontal="center" vertical="center"/>
    </xf>
    <xf numFmtId="0" fontId="0" fillId="55" borderId="70" xfId="45" applyFont="1" applyBorder="1">
      <alignment horizontal="center" vertical="center"/>
    </xf>
    <xf numFmtId="0" fontId="18" fillId="0" borderId="93" xfId="0" applyFont="1" applyBorder="1" applyAlignment="1" applyProtection="1">
      <alignment horizontal="center"/>
      <protection locked="0"/>
    </xf>
    <xf numFmtId="0" fontId="0" fillId="51" borderId="93" xfId="0" applyFill="1" applyBorder="1" applyAlignment="1">
      <alignment horizontal="left" vertical="center"/>
    </xf>
    <xf numFmtId="1" fontId="0" fillId="51" borderId="93" xfId="32" applyNumberFormat="1" applyFont="1" applyFill="1" applyBorder="1" applyAlignment="1">
      <alignment horizontal="center" vertical="center"/>
    </xf>
    <xf numFmtId="0" fontId="0" fillId="51" borderId="93" xfId="0" applyFill="1" applyBorder="1">
      <alignment horizontal="center" vertical="center"/>
    </xf>
    <xf numFmtId="49" fontId="0" fillId="51" borderId="93" xfId="0" applyNumberFormat="1" applyFill="1" applyBorder="1">
      <alignment horizontal="center" vertical="center"/>
    </xf>
    <xf numFmtId="0" fontId="0" fillId="51" borderId="94" xfId="0" applyFill="1" applyBorder="1">
      <alignment horizontal="center" vertical="center"/>
    </xf>
    <xf numFmtId="0" fontId="0" fillId="55" borderId="64" xfId="0" applyFill="1" applyBorder="1">
      <alignment horizontal="center" vertical="center"/>
    </xf>
    <xf numFmtId="1" fontId="0" fillId="57" borderId="93" xfId="32" applyNumberFormat="1" applyFont="1" applyFill="1" applyBorder="1" applyAlignment="1">
      <alignment horizontal="center" vertical="center"/>
    </xf>
    <xf numFmtId="0" fontId="0" fillId="55" borderId="64" xfId="44" applyFont="1" applyFill="1" applyBorder="1">
      <alignment horizontal="center" vertical="center"/>
    </xf>
    <xf numFmtId="0" fontId="6" fillId="51" borderId="68" xfId="45" applyFill="1" applyBorder="1">
      <alignment horizontal="center" vertical="center"/>
    </xf>
    <xf numFmtId="49" fontId="0" fillId="55" borderId="68" xfId="0" applyNumberFormat="1" applyFill="1" applyBorder="1">
      <alignment horizontal="center" vertical="center"/>
    </xf>
    <xf numFmtId="1" fontId="0" fillId="55" borderId="93" xfId="32" applyNumberFormat="1" applyFont="1" applyFill="1" applyBorder="1" applyAlignment="1">
      <alignment horizontal="center" vertical="center"/>
    </xf>
    <xf numFmtId="1" fontId="0" fillId="55" borderId="35" xfId="32" applyNumberFormat="1" applyFont="1" applyFill="1" applyBorder="1" applyAlignment="1">
      <alignment horizontal="center" vertical="center"/>
    </xf>
    <xf numFmtId="0" fontId="6" fillId="55" borderId="68" xfId="48" applyFill="1" applyBorder="1">
      <alignment horizontal="center" vertical="center"/>
    </xf>
    <xf numFmtId="0" fontId="6" fillId="52" borderId="64" xfId="48" applyBorder="1">
      <alignment horizontal="center" vertical="center"/>
    </xf>
    <xf numFmtId="0" fontId="0" fillId="51" borderId="37" xfId="44" applyFont="1" applyFill="1" applyBorder="1">
      <alignment horizontal="center" vertical="center"/>
    </xf>
    <xf numFmtId="0" fontId="0" fillId="55" borderId="69" xfId="48" applyFont="1" applyFill="1" applyBorder="1">
      <alignment horizontal="center" vertical="center"/>
    </xf>
    <xf numFmtId="0" fontId="0" fillId="55" borderId="35" xfId="0" applyFill="1" applyBorder="1">
      <alignment horizontal="center" vertical="center"/>
    </xf>
    <xf numFmtId="0" fontId="35" fillId="23" borderId="68" xfId="32" applyBorder="1" applyAlignment="1">
      <alignment horizontal="center" vertical="center"/>
    </xf>
    <xf numFmtId="0" fontId="0" fillId="0" borderId="64" xfId="0" applyBorder="1">
      <alignment horizontal="center" vertical="center"/>
    </xf>
    <xf numFmtId="0" fontId="0" fillId="51" borderId="19" xfId="0" applyFill="1" applyBorder="1">
      <alignment horizontal="center" vertical="center"/>
    </xf>
    <xf numFmtId="0" fontId="44" fillId="0" borderId="35" xfId="0" applyFont="1" applyBorder="1" applyAlignment="1">
      <alignment vertical="center"/>
    </xf>
    <xf numFmtId="0" fontId="6" fillId="55" borderId="35" xfId="45" applyBorder="1">
      <alignment horizontal="center" vertical="center"/>
    </xf>
    <xf numFmtId="0" fontId="0" fillId="55" borderId="37" xfId="0" applyFill="1" applyBorder="1">
      <alignment horizontal="center" vertical="center"/>
    </xf>
    <xf numFmtId="0" fontId="0" fillId="53" borderId="37" xfId="0" applyFill="1" applyBorder="1">
      <alignment horizontal="center" vertical="center"/>
    </xf>
    <xf numFmtId="0" fontId="0" fillId="53" borderId="0" xfId="0" applyFill="1">
      <alignment horizontal="center" vertical="center"/>
    </xf>
    <xf numFmtId="49" fontId="0" fillId="53" borderId="39" xfId="0" applyNumberFormat="1" applyFill="1" applyBorder="1">
      <alignment horizontal="center" vertical="center"/>
    </xf>
    <xf numFmtId="0" fontId="0" fillId="56" borderId="68" xfId="0" applyFill="1" applyBorder="1">
      <alignment horizontal="center" vertical="center"/>
    </xf>
    <xf numFmtId="49" fontId="0" fillId="52" borderId="68" xfId="0" applyNumberFormat="1" applyFill="1" applyBorder="1">
      <alignment horizontal="center" vertical="center"/>
    </xf>
    <xf numFmtId="0" fontId="0" fillId="52" borderId="68" xfId="44" applyFont="1" applyFill="1" applyBorder="1">
      <alignment horizontal="center" vertical="center"/>
    </xf>
    <xf numFmtId="0" fontId="0" fillId="52" borderId="37" xfId="0" applyFill="1" applyBorder="1">
      <alignment horizontal="center" vertical="center"/>
    </xf>
    <xf numFmtId="0" fontId="0" fillId="55" borderId="35" xfId="48" applyFont="1" applyFill="1" applyBorder="1">
      <alignment horizontal="center" vertical="center"/>
    </xf>
    <xf numFmtId="0" fontId="0" fillId="51" borderId="64" xfId="43" applyFont="1" applyFill="1" applyBorder="1">
      <alignment horizontal="center" vertical="center"/>
    </xf>
    <xf numFmtId="0" fontId="0" fillId="51" borderId="95" xfId="0" applyFill="1" applyBorder="1">
      <alignment horizontal="center" vertical="center"/>
    </xf>
    <xf numFmtId="0" fontId="6" fillId="69" borderId="69" xfId="44" applyBorder="1">
      <alignment horizontal="center" vertical="center"/>
    </xf>
    <xf numFmtId="0" fontId="0" fillId="51" borderId="71" xfId="0" applyFill="1" applyBorder="1">
      <alignment horizontal="center" vertical="center"/>
    </xf>
    <xf numFmtId="0" fontId="0" fillId="51" borderId="73" xfId="44" applyFont="1" applyFill="1" applyBorder="1">
      <alignment horizontal="center" vertical="center"/>
    </xf>
    <xf numFmtId="0" fontId="0" fillId="51" borderId="11" xfId="43" applyFont="1" applyFill="1" applyBorder="1">
      <alignment horizontal="center" vertical="center"/>
    </xf>
    <xf numFmtId="0" fontId="0" fillId="51" borderId="0" xfId="0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vertical="center"/>
    </xf>
    <xf numFmtId="0" fontId="6" fillId="55" borderId="37" xfId="45" applyBorder="1">
      <alignment horizontal="center" vertical="center"/>
    </xf>
    <xf numFmtId="0" fontId="0" fillId="55" borderId="37" xfId="45" applyFont="1" applyBorder="1">
      <alignment horizontal="center" vertical="center"/>
    </xf>
    <xf numFmtId="0" fontId="0" fillId="80" borderId="52" xfId="0" applyFill="1" applyBorder="1">
      <alignment horizontal="center" vertical="center"/>
    </xf>
    <xf numFmtId="0" fontId="0" fillId="57" borderId="35" xfId="0" applyFill="1" applyBorder="1">
      <alignment horizontal="center" vertical="center"/>
    </xf>
    <xf numFmtId="0" fontId="6" fillId="55" borderId="52" xfId="45" applyBorder="1">
      <alignment horizontal="center" vertical="center"/>
    </xf>
    <xf numFmtId="0" fontId="0" fillId="55" borderId="52" xfId="45" applyFont="1" applyBorder="1">
      <alignment horizontal="center" vertical="center"/>
    </xf>
    <xf numFmtId="0" fontId="0" fillId="55" borderId="52" xfId="0" applyFill="1" applyBorder="1">
      <alignment horizontal="center" vertical="center"/>
    </xf>
    <xf numFmtId="49" fontId="0" fillId="55" borderId="52" xfId="0" applyNumberFormat="1" applyFill="1" applyBorder="1">
      <alignment horizontal="center" vertical="center"/>
    </xf>
    <xf numFmtId="49" fontId="0" fillId="52" borderId="90" xfId="0" applyNumberFormat="1" applyFill="1" applyBorder="1">
      <alignment horizontal="center" vertical="center"/>
    </xf>
    <xf numFmtId="0" fontId="0" fillId="80" borderId="68" xfId="46" applyFont="1" applyFill="1" applyBorder="1">
      <alignment horizontal="center" vertical="center"/>
    </xf>
    <xf numFmtId="49" fontId="0" fillId="80" borderId="68" xfId="0" applyNumberFormat="1" applyFill="1" applyBorder="1">
      <alignment horizontal="center" vertical="center"/>
    </xf>
    <xf numFmtId="0" fontId="0" fillId="80" borderId="68" xfId="0" applyFill="1" applyBorder="1">
      <alignment horizontal="center" vertical="center"/>
    </xf>
    <xf numFmtId="0" fontId="6" fillId="69" borderId="52" xfId="44" applyBorder="1">
      <alignment horizontal="center" vertical="center"/>
    </xf>
    <xf numFmtId="0" fontId="6" fillId="69" borderId="65" xfId="44" applyBorder="1">
      <alignment horizontal="center" vertical="center"/>
    </xf>
    <xf numFmtId="0" fontId="0" fillId="51" borderId="14" xfId="0" applyFill="1" applyBorder="1">
      <alignment horizontal="center" vertical="center"/>
    </xf>
    <xf numFmtId="0" fontId="0" fillId="51" borderId="67" xfId="0" applyFill="1" applyBorder="1">
      <alignment horizontal="center" vertical="center"/>
    </xf>
    <xf numFmtId="0" fontId="6" fillId="53" borderId="69" xfId="43" applyBorder="1">
      <alignment horizontal="center" vertical="center"/>
    </xf>
    <xf numFmtId="0" fontId="6" fillId="52" borderId="40" xfId="48" applyBorder="1">
      <alignment horizontal="center" vertical="center"/>
    </xf>
    <xf numFmtId="1" fontId="0" fillId="53" borderId="35" xfId="32" applyNumberFormat="1" applyFont="1" applyFill="1" applyBorder="1" applyAlignment="1">
      <alignment horizontal="center" vertical="center"/>
    </xf>
    <xf numFmtId="0" fontId="1" fillId="0" borderId="0" xfId="0" applyFont="1">
      <alignment horizontal="center" vertical="center"/>
    </xf>
    <xf numFmtId="0" fontId="0" fillId="53" borderId="70" xfId="0" applyFill="1" applyBorder="1">
      <alignment horizontal="center" vertical="center"/>
    </xf>
    <xf numFmtId="0" fontId="0" fillId="51" borderId="70" xfId="0" applyFill="1" applyBorder="1">
      <alignment horizontal="center" vertical="center"/>
    </xf>
    <xf numFmtId="49" fontId="27" fillId="5" borderId="68" xfId="4" applyNumberFormat="1" applyBorder="1" applyAlignment="1">
      <alignment horizontal="center" vertical="center"/>
    </xf>
    <xf numFmtId="0" fontId="6" fillId="53" borderId="71" xfId="43" applyBorder="1">
      <alignment horizontal="center" vertical="center"/>
    </xf>
    <xf numFmtId="49" fontId="0" fillId="51" borderId="11" xfId="0" applyNumberFormat="1" applyFill="1" applyBorder="1">
      <alignment horizontal="center" vertical="center"/>
    </xf>
    <xf numFmtId="0" fontId="0" fillId="51" borderId="11" xfId="44" applyFont="1" applyFill="1" applyBorder="1">
      <alignment horizontal="center" vertical="center"/>
    </xf>
    <xf numFmtId="0" fontId="0" fillId="51" borderId="11" xfId="46" applyFont="1" applyFill="1" applyBorder="1">
      <alignment horizontal="center" vertical="center"/>
    </xf>
    <xf numFmtId="49" fontId="0" fillId="51" borderId="14" xfId="0" applyNumberFormat="1" applyFill="1" applyBorder="1">
      <alignment horizontal="center" vertical="center"/>
    </xf>
    <xf numFmtId="0" fontId="6" fillId="55" borderId="64" xfId="45" applyBorder="1">
      <alignment horizontal="center" vertical="center"/>
    </xf>
    <xf numFmtId="0" fontId="0" fillId="55" borderId="0" xfId="0" applyFill="1" applyBorder="1">
      <alignment horizontal="center" vertical="center"/>
    </xf>
    <xf numFmtId="0" fontId="0" fillId="51" borderId="0" xfId="48" applyFont="1" applyFill="1">
      <alignment horizontal="center" vertical="center"/>
    </xf>
    <xf numFmtId="0" fontId="0" fillId="51" borderId="25" xfId="0" applyFill="1" applyBorder="1" applyAlignment="1">
      <alignment horizontal="left" vertical="center"/>
    </xf>
    <xf numFmtId="0" fontId="0" fillId="54" borderId="68" xfId="0" applyFill="1" applyBorder="1">
      <alignment horizontal="center" vertical="center"/>
    </xf>
    <xf numFmtId="0" fontId="61" fillId="0" borderId="0" xfId="0" applyFont="1">
      <alignment horizontal="center" vertical="center"/>
    </xf>
    <xf numFmtId="171" fontId="23" fillId="0" borderId="31" xfId="0" applyNumberFormat="1" applyFont="1" applyBorder="1" applyAlignment="1">
      <alignment horizontal="left" wrapText="1"/>
    </xf>
    <xf numFmtId="171" fontId="23" fillId="38" borderId="31" xfId="0" applyNumberFormat="1" applyFont="1" applyFill="1" applyBorder="1" applyAlignment="1">
      <alignment horizontal="left" wrapText="1"/>
    </xf>
    <xf numFmtId="49" fontId="0" fillId="70" borderId="68" xfId="0" applyNumberFormat="1" applyFill="1" applyBorder="1">
      <alignment horizontal="center" vertical="center"/>
    </xf>
    <xf numFmtId="0" fontId="32" fillId="4" borderId="0" xfId="23" applyAlignment="1">
      <alignment horizontal="center" vertical="center"/>
    </xf>
    <xf numFmtId="0" fontId="27" fillId="51" borderId="0" xfId="9" applyFill="1" applyAlignment="1">
      <alignment horizontal="center" vertical="center"/>
    </xf>
    <xf numFmtId="0" fontId="32" fillId="4" borderId="0" xfId="23" applyAlignment="1">
      <alignment horizontal="left"/>
    </xf>
    <xf numFmtId="0" fontId="6" fillId="52" borderId="0" xfId="48">
      <alignment horizontal="center" vertical="center"/>
    </xf>
    <xf numFmtId="0" fontId="8" fillId="0" borderId="96" xfId="0" applyFont="1" applyBorder="1">
      <alignment horizontal="center" vertical="center"/>
    </xf>
    <xf numFmtId="0" fontId="0" fillId="53" borderId="97" xfId="0" applyFill="1" applyBorder="1">
      <alignment horizontal="center" vertical="center"/>
    </xf>
    <xf numFmtId="0" fontId="0" fillId="0" borderId="97" xfId="0" applyBorder="1" applyAlignment="1">
      <alignment horizontal="left" vertical="center"/>
    </xf>
    <xf numFmtId="0" fontId="0" fillId="51" borderId="97" xfId="0" applyFill="1" applyBorder="1">
      <alignment horizontal="center" vertical="center"/>
    </xf>
    <xf numFmtId="0" fontId="0" fillId="51" borderId="97" xfId="48" applyFont="1" applyFill="1" applyBorder="1">
      <alignment horizontal="center" vertical="center"/>
    </xf>
    <xf numFmtId="0" fontId="0" fillId="43" borderId="64" xfId="0" applyFill="1" applyBorder="1" applyAlignment="1" applyProtection="1">
      <alignment horizontal="center"/>
      <protection locked="0"/>
    </xf>
    <xf numFmtId="0" fontId="0" fillId="0" borderId="64" xfId="0" applyBorder="1" applyAlignment="1">
      <alignment horizontal="left" vertical="center"/>
    </xf>
    <xf numFmtId="0" fontId="0" fillId="0" borderId="35" xfId="0" applyBorder="1">
      <alignment horizontal="center" vertical="center"/>
    </xf>
    <xf numFmtId="0" fontId="6" fillId="51" borderId="64" xfId="45" applyFill="1" applyBorder="1">
      <alignment horizontal="center" vertical="center"/>
    </xf>
    <xf numFmtId="0" fontId="6" fillId="55" borderId="69" xfId="45" applyBorder="1">
      <alignment horizontal="center" vertical="center"/>
    </xf>
    <xf numFmtId="0" fontId="6" fillId="53" borderId="64" xfId="43" applyBorder="1">
      <alignment horizontal="center" vertical="center"/>
    </xf>
    <xf numFmtId="0" fontId="6" fillId="72" borderId="68" xfId="52" applyBorder="1">
      <alignment horizontal="center" vertical="center"/>
    </xf>
    <xf numFmtId="49" fontId="0" fillId="78" borderId="39" xfId="0" applyNumberFormat="1" applyFill="1" applyBorder="1">
      <alignment horizontal="center" vertical="center"/>
    </xf>
    <xf numFmtId="0" fontId="6" fillId="78" borderId="68" xfId="43" applyFill="1" applyBorder="1">
      <alignment horizontal="center" vertical="center"/>
    </xf>
    <xf numFmtId="49" fontId="0" fillId="78" borderId="68" xfId="0" applyNumberFormat="1" applyFill="1" applyBorder="1">
      <alignment horizontal="center" vertical="center"/>
    </xf>
    <xf numFmtId="0" fontId="0" fillId="78" borderId="68" xfId="44" applyFont="1" applyFill="1" applyBorder="1">
      <alignment horizontal="center" vertical="center"/>
    </xf>
    <xf numFmtId="0" fontId="0" fillId="78" borderId="68" xfId="0" applyFill="1" applyBorder="1">
      <alignment horizontal="center" vertical="center"/>
    </xf>
    <xf numFmtId="0" fontId="0" fillId="71" borderId="64" xfId="44" applyFont="1" applyFill="1" applyBorder="1">
      <alignment horizontal="center" vertical="center"/>
    </xf>
    <xf numFmtId="0" fontId="0" fillId="53" borderId="64" xfId="44" applyFont="1" applyFill="1" applyBorder="1">
      <alignment horizontal="center" vertical="center"/>
    </xf>
    <xf numFmtId="0" fontId="0" fillId="53" borderId="69" xfId="0" applyFill="1" applyBorder="1">
      <alignment horizontal="center" vertical="center"/>
    </xf>
    <xf numFmtId="0" fontId="3" fillId="0" borderId="11" xfId="0" applyFont="1" applyBorder="1" applyAlignment="1" applyProtection="1">
      <alignment horizontal="center"/>
      <protection locked="0"/>
    </xf>
    <xf numFmtId="0" fontId="64" fillId="0" borderId="0" xfId="0" applyFont="1">
      <alignment horizontal="center" vertical="center"/>
    </xf>
    <xf numFmtId="0" fontId="6" fillId="72" borderId="64" xfId="52" applyBorder="1">
      <alignment horizontal="center" vertical="center"/>
    </xf>
    <xf numFmtId="49" fontId="0" fillId="86" borderId="64" xfId="0" applyNumberFormat="1" applyFill="1" applyBorder="1">
      <alignment horizontal="center" vertical="center"/>
    </xf>
    <xf numFmtId="0" fontId="0" fillId="86" borderId="64" xfId="44" applyFont="1" applyFill="1" applyBorder="1">
      <alignment horizontal="center" vertical="center"/>
    </xf>
    <xf numFmtId="0" fontId="0" fillId="86" borderId="64" xfId="0" applyFill="1" applyBorder="1">
      <alignment horizontal="center" vertical="center"/>
    </xf>
    <xf numFmtId="0" fontId="0" fillId="86" borderId="64" xfId="48" applyFont="1" applyFill="1" applyBorder="1">
      <alignment horizontal="center" vertical="center"/>
    </xf>
    <xf numFmtId="0" fontId="13" fillId="51" borderId="52" xfId="0" applyFont="1" applyFill="1" applyBorder="1" applyAlignment="1">
      <alignment horizontal="left" vertical="center"/>
    </xf>
    <xf numFmtId="49" fontId="0" fillId="86" borderId="68" xfId="0" applyNumberFormat="1" applyFill="1" applyBorder="1">
      <alignment horizontal="center" vertical="center"/>
    </xf>
    <xf numFmtId="0" fontId="0" fillId="86" borderId="68" xfId="44" applyFont="1" applyFill="1" applyBorder="1">
      <alignment horizontal="center" vertical="center"/>
    </xf>
    <xf numFmtId="0" fontId="6" fillId="51" borderId="68" xfId="43" applyFill="1" applyBorder="1">
      <alignment horizontal="center" vertical="center"/>
    </xf>
    <xf numFmtId="0" fontId="51" fillId="56" borderId="69" xfId="46" applyBorder="1">
      <alignment horizontal="center" vertical="center"/>
    </xf>
    <xf numFmtId="0" fontId="0" fillId="57" borderId="0" xfId="0" applyFill="1">
      <alignment horizontal="center" vertical="center"/>
    </xf>
    <xf numFmtId="0" fontId="0" fillId="55" borderId="68" xfId="45" applyFont="1" applyBorder="1">
      <alignment horizontal="center" vertical="center"/>
    </xf>
    <xf numFmtId="0" fontId="6" fillId="53" borderId="81" xfId="43" applyBorder="1">
      <alignment horizontal="center" vertical="center"/>
    </xf>
    <xf numFmtId="0" fontId="0" fillId="55" borderId="69" xfId="0" applyFill="1" applyBorder="1">
      <alignment horizontal="center" vertical="center"/>
    </xf>
    <xf numFmtId="0" fontId="6" fillId="72" borderId="65" xfId="52" applyBorder="1">
      <alignment horizontal="center" vertical="center"/>
    </xf>
    <xf numFmtId="0" fontId="6" fillId="72" borderId="52" xfId="52" applyBorder="1">
      <alignment horizontal="center" vertical="center"/>
    </xf>
    <xf numFmtId="0" fontId="65" fillId="0" borderId="0" xfId="0" applyFo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center"/>
    </xf>
    <xf numFmtId="0" fontId="0" fillId="43" borderId="0" xfId="0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/>
    </xf>
    <xf numFmtId="49" fontId="0" fillId="86" borderId="52" xfId="0" applyNumberFormat="1" applyFill="1" applyBorder="1">
      <alignment horizontal="center" vertical="center"/>
    </xf>
    <xf numFmtId="0" fontId="0" fillId="86" borderId="52" xfId="44" applyFont="1" applyFill="1" applyBorder="1">
      <alignment horizontal="center" vertical="center"/>
    </xf>
    <xf numFmtId="49" fontId="0" fillId="86" borderId="90" xfId="0" applyNumberFormat="1" applyFill="1" applyBorder="1">
      <alignment horizontal="center" vertical="center"/>
    </xf>
    <xf numFmtId="0" fontId="0" fillId="86" borderId="68" xfId="0" applyFill="1" applyBorder="1">
      <alignment horizontal="center" vertical="center"/>
    </xf>
    <xf numFmtId="49" fontId="0" fillId="58" borderId="68" xfId="0" applyNumberFormat="1" applyFill="1" applyBorder="1">
      <alignment horizontal="center" vertical="center"/>
    </xf>
    <xf numFmtId="1" fontId="0" fillId="86" borderId="68" xfId="32" applyNumberFormat="1" applyFont="1" applyFill="1" applyBorder="1" applyAlignment="1">
      <alignment horizontal="center" vertical="center"/>
    </xf>
    <xf numFmtId="49" fontId="0" fillId="52" borderId="91" xfId="0" applyNumberFormat="1" applyFill="1" applyBorder="1">
      <alignment horizontal="center" vertical="center"/>
    </xf>
    <xf numFmtId="0" fontId="0" fillId="57" borderId="68" xfId="0" applyFill="1" applyBorder="1">
      <alignment horizontal="center" vertical="center"/>
    </xf>
    <xf numFmtId="0" fontId="0" fillId="54" borderId="69" xfId="0" applyFill="1" applyBorder="1">
      <alignment horizontal="center" vertical="center"/>
    </xf>
    <xf numFmtId="0" fontId="0" fillId="80" borderId="64" xfId="0" applyFill="1" applyBorder="1">
      <alignment horizontal="center" vertical="center"/>
    </xf>
    <xf numFmtId="0" fontId="0" fillId="51" borderId="25" xfId="0" applyFill="1" applyBorder="1" applyAlignment="1" applyProtection="1">
      <alignment horizontal="left" vertical="center"/>
      <protection locked="0"/>
    </xf>
    <xf numFmtId="0" fontId="0" fillId="0" borderId="25" xfId="0" applyBorder="1" applyAlignment="1">
      <alignment vertical="center"/>
    </xf>
    <xf numFmtId="49" fontId="0" fillId="52" borderId="11" xfId="0" applyNumberFormat="1" applyFill="1" applyBorder="1">
      <alignment horizontal="center" vertical="center"/>
    </xf>
    <xf numFmtId="0" fontId="0" fillId="52" borderId="11" xfId="44" applyFont="1" applyFill="1" applyBorder="1">
      <alignment horizontal="center" vertical="center"/>
    </xf>
    <xf numFmtId="0" fontId="0" fillId="52" borderId="11" xfId="0" applyFill="1" applyBorder="1">
      <alignment horizontal="center" vertical="center"/>
    </xf>
    <xf numFmtId="0" fontId="0" fillId="51" borderId="11" xfId="0" applyFill="1" applyBorder="1">
      <alignment horizontal="center" vertical="center"/>
    </xf>
    <xf numFmtId="1" fontId="0" fillId="51" borderId="11" xfId="32" applyNumberFormat="1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" fillId="55" borderId="39" xfId="45" applyBorder="1">
      <alignment horizontal="center" vertical="center"/>
    </xf>
    <xf numFmtId="0" fontId="6" fillId="55" borderId="11" xfId="45" applyBorder="1">
      <alignment horizontal="center" vertical="center"/>
    </xf>
    <xf numFmtId="0" fontId="0" fillId="53" borderId="68" xfId="46" applyFont="1" applyFill="1" applyBorder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55" borderId="98" xfId="0" applyFill="1" applyBorder="1">
      <alignment horizontal="center" vertical="center"/>
    </xf>
    <xf numFmtId="0" fontId="0" fillId="51" borderId="98" xfId="0" applyFill="1" applyBorder="1">
      <alignment horizontal="center" vertical="center"/>
    </xf>
    <xf numFmtId="0" fontId="6" fillId="0" borderId="99" xfId="0" applyFont="1" applyBorder="1" applyAlignment="1">
      <alignment horizontal="left"/>
    </xf>
    <xf numFmtId="0" fontId="0" fillId="0" borderId="100" xfId="0" applyBorder="1" applyAlignment="1">
      <alignment horizontal="left" vertical="center"/>
    </xf>
    <xf numFmtId="0" fontId="3" fillId="24" borderId="101" xfId="0" applyFont="1" applyFill="1" applyBorder="1">
      <alignment horizontal="center" vertical="center"/>
    </xf>
    <xf numFmtId="0" fontId="0" fillId="24" borderId="101" xfId="0" applyFill="1" applyBorder="1">
      <alignment horizontal="center" vertical="center"/>
    </xf>
    <xf numFmtId="0" fontId="0" fillId="24" borderId="99" xfId="0" applyFill="1" applyBorder="1">
      <alignment horizontal="center" vertical="center"/>
    </xf>
    <xf numFmtId="49" fontId="0" fillId="51" borderId="101" xfId="0" applyNumberFormat="1" applyFill="1" applyBorder="1">
      <alignment horizontal="center" vertical="center"/>
    </xf>
    <xf numFmtId="0" fontId="0" fillId="51" borderId="101" xfId="0" applyFill="1" applyBorder="1">
      <alignment horizontal="center" vertical="center"/>
    </xf>
    <xf numFmtId="0" fontId="6" fillId="55" borderId="98" xfId="45" applyBorder="1">
      <alignment horizontal="center" vertical="center"/>
    </xf>
    <xf numFmtId="0" fontId="18" fillId="0" borderId="98" xfId="0" applyFont="1" applyBorder="1" applyAlignment="1" applyProtection="1">
      <alignment horizontal="center"/>
      <protection locked="0"/>
    </xf>
    <xf numFmtId="0" fontId="20" fillId="0" borderId="98" xfId="0" applyFont="1" applyBorder="1" applyAlignment="1">
      <alignment vertical="center"/>
    </xf>
    <xf numFmtId="0" fontId="0" fillId="51" borderId="99" xfId="48" applyFont="1" applyFill="1" applyBorder="1">
      <alignment horizontal="center" vertical="center"/>
    </xf>
    <xf numFmtId="0" fontId="0" fillId="51" borderId="101" xfId="44" applyFont="1" applyFill="1" applyBorder="1">
      <alignment horizontal="center" vertical="center"/>
    </xf>
    <xf numFmtId="1" fontId="0" fillId="51" borderId="101" xfId="32" applyNumberFormat="1" applyFont="1" applyFill="1" applyBorder="1" applyAlignment="1">
      <alignment horizontal="center" vertical="center"/>
    </xf>
    <xf numFmtId="49" fontId="0" fillId="51" borderId="102" xfId="0" applyNumberFormat="1" applyFill="1" applyBorder="1">
      <alignment horizontal="center" vertical="center"/>
    </xf>
    <xf numFmtId="0" fontId="0" fillId="0" borderId="98" xfId="0" applyBorder="1">
      <alignment horizontal="center" vertical="center"/>
    </xf>
    <xf numFmtId="0" fontId="0" fillId="26" borderId="101" xfId="0" applyFill="1" applyBorder="1" applyAlignment="1">
      <alignment horizontal="center"/>
    </xf>
    <xf numFmtId="0" fontId="6" fillId="0" borderId="102" xfId="0" applyFont="1" applyBorder="1" applyAlignment="1">
      <alignment horizontal="left"/>
    </xf>
    <xf numFmtId="0" fontId="0" fillId="0" borderId="101" xfId="0" applyBorder="1" applyAlignment="1">
      <alignment horizontal="center"/>
    </xf>
    <xf numFmtId="0" fontId="6" fillId="0" borderId="101" xfId="0" applyFont="1" applyBorder="1" applyAlignment="1">
      <alignment horizontal="center"/>
    </xf>
    <xf numFmtId="0" fontId="5" fillId="0" borderId="101" xfId="0" applyFont="1" applyBorder="1" applyAlignment="1">
      <alignment horizontal="center"/>
    </xf>
    <xf numFmtId="0" fontId="0" fillId="0" borderId="99" xfId="0" applyBorder="1" applyAlignment="1">
      <alignment horizontal="center"/>
    </xf>
    <xf numFmtId="0" fontId="6" fillId="0" borderId="99" xfId="0" applyFont="1" applyBorder="1" applyAlignment="1">
      <alignment horizontal="center"/>
    </xf>
    <xf numFmtId="0" fontId="0" fillId="24" borderId="101" xfId="0" applyFill="1" applyBorder="1" applyAlignment="1">
      <alignment horizontal="center"/>
    </xf>
    <xf numFmtId="0" fontId="0" fillId="37" borderId="101" xfId="0" applyFill="1" applyBorder="1" applyAlignment="1">
      <alignment horizontal="center"/>
    </xf>
    <xf numFmtId="0" fontId="9" fillId="31" borderId="101" xfId="0" applyFont="1" applyFill="1" applyBorder="1" applyAlignment="1">
      <alignment horizontal="center"/>
    </xf>
    <xf numFmtId="0" fontId="7" fillId="31" borderId="101" xfId="0" applyFont="1" applyFill="1" applyBorder="1" applyAlignment="1">
      <alignment horizontal="center"/>
    </xf>
    <xf numFmtId="0" fontId="0" fillId="0" borderId="101" xfId="0" applyBorder="1">
      <alignment horizontal="center" vertical="center"/>
    </xf>
    <xf numFmtId="0" fontId="6" fillId="39" borderId="101" xfId="0" applyFont="1" applyFill="1" applyBorder="1" applyAlignment="1">
      <alignment horizontal="center"/>
    </xf>
    <xf numFmtId="0" fontId="5" fillId="0" borderId="102" xfId="0" applyFont="1" applyBorder="1" applyAlignment="1">
      <alignment horizontal="left"/>
    </xf>
    <xf numFmtId="0" fontId="5" fillId="24" borderId="102" xfId="0" applyFont="1" applyFill="1" applyBorder="1" applyAlignment="1">
      <alignment horizontal="left"/>
    </xf>
    <xf numFmtId="49" fontId="3" fillId="33" borderId="101" xfId="0" applyNumberFormat="1" applyFont="1" applyFill="1" applyBorder="1" applyAlignment="1">
      <alignment horizontal="center"/>
    </xf>
    <xf numFmtId="0" fontId="9" fillId="34" borderId="101" xfId="0" applyFont="1" applyFill="1" applyBorder="1" applyAlignment="1">
      <alignment horizontal="center"/>
    </xf>
    <xf numFmtId="0" fontId="0" fillId="0" borderId="99" xfId="0" applyBorder="1">
      <alignment horizontal="center" vertical="center"/>
    </xf>
    <xf numFmtId="49" fontId="5" fillId="25" borderId="101" xfId="0" applyNumberFormat="1" applyFont="1" applyFill="1" applyBorder="1" applyAlignment="1">
      <alignment horizontal="center"/>
    </xf>
    <xf numFmtId="0" fontId="9" fillId="35" borderId="101" xfId="0" applyFont="1" applyFill="1" applyBorder="1" applyAlignment="1">
      <alignment horizontal="center"/>
    </xf>
    <xf numFmtId="49" fontId="5" fillId="36" borderId="101" xfId="0" applyNumberFormat="1" applyFont="1" applyFill="1" applyBorder="1" applyAlignment="1">
      <alignment horizontal="center"/>
    </xf>
    <xf numFmtId="0" fontId="3" fillId="37" borderId="101" xfId="0" applyFont="1" applyFill="1" applyBorder="1" applyAlignment="1">
      <alignment horizontal="center"/>
    </xf>
    <xf numFmtId="49" fontId="3" fillId="38" borderId="101" xfId="0" applyNumberFormat="1" applyFont="1" applyFill="1" applyBorder="1" applyAlignment="1">
      <alignment horizontal="center"/>
    </xf>
    <xf numFmtId="49" fontId="3" fillId="24" borderId="101" xfId="0" applyNumberFormat="1" applyFont="1" applyFill="1" applyBorder="1" applyAlignment="1">
      <alignment horizontal="center"/>
    </xf>
    <xf numFmtId="49" fontId="9" fillId="31" borderId="101" xfId="0" applyNumberFormat="1" applyFont="1" applyFill="1" applyBorder="1" applyAlignment="1">
      <alignment horizontal="center"/>
    </xf>
    <xf numFmtId="0" fontId="3" fillId="0" borderId="101" xfId="0" applyFont="1" applyBorder="1" applyAlignment="1">
      <alignment horizontal="center"/>
    </xf>
    <xf numFmtId="49" fontId="5" fillId="39" borderId="101" xfId="0" applyNumberFormat="1" applyFont="1" applyFill="1" applyBorder="1" applyAlignment="1">
      <alignment horizontal="center"/>
    </xf>
    <xf numFmtId="0" fontId="0" fillId="0" borderId="101" xfId="0" applyBorder="1" applyAlignment="1">
      <alignment horizontal="left"/>
    </xf>
    <xf numFmtId="49" fontId="3" fillId="40" borderId="101" xfId="0" applyNumberFormat="1" applyFont="1" applyFill="1" applyBorder="1" applyAlignment="1">
      <alignment horizontal="center"/>
    </xf>
    <xf numFmtId="0" fontId="0" fillId="0" borderId="102" xfId="0" applyBorder="1" applyAlignment="1">
      <alignment horizontal="center"/>
    </xf>
    <xf numFmtId="0" fontId="0" fillId="51" borderId="103" xfId="0" applyFill="1" applyBorder="1" applyAlignment="1">
      <alignment horizontal="left" vertical="center"/>
    </xf>
    <xf numFmtId="0" fontId="44" fillId="51" borderId="103" xfId="0" applyFont="1" applyFill="1" applyBorder="1" applyAlignment="1">
      <alignment horizontal="left" vertical="center"/>
    </xf>
    <xf numFmtId="0" fontId="0" fillId="43" borderId="104" xfId="0" applyFill="1" applyBorder="1" applyAlignment="1" applyProtection="1">
      <alignment horizontal="center"/>
      <protection locked="0"/>
    </xf>
    <xf numFmtId="0" fontId="0" fillId="0" borderId="107" xfId="48" applyFont="1" applyFill="1" applyBorder="1">
      <alignment horizontal="center" vertical="center"/>
    </xf>
    <xf numFmtId="0" fontId="6" fillId="55" borderId="107" xfId="45" applyBorder="1">
      <alignment horizontal="center" vertical="center"/>
    </xf>
    <xf numFmtId="0" fontId="0" fillId="51" borderId="107" xfId="51" applyFont="1" applyFill="1" applyBorder="1">
      <alignment horizontal="center" vertical="center"/>
    </xf>
    <xf numFmtId="0" fontId="0" fillId="53" borderId="107" xfId="0" applyFill="1" applyBorder="1">
      <alignment horizontal="center" vertical="center"/>
    </xf>
    <xf numFmtId="0" fontId="0" fillId="53" borderId="107" xfId="48" applyFont="1" applyFill="1" applyBorder="1">
      <alignment horizontal="center" vertical="center"/>
    </xf>
    <xf numFmtId="0" fontId="0" fillId="51" borderId="107" xfId="0" applyFill="1" applyBorder="1" applyAlignment="1" applyProtection="1">
      <alignment horizontal="left" vertical="center"/>
      <protection locked="0"/>
    </xf>
    <xf numFmtId="0" fontId="2" fillId="0" borderId="106" xfId="0" applyFont="1" applyBorder="1">
      <alignment horizontal="center" vertical="center"/>
    </xf>
    <xf numFmtId="0" fontId="6" fillId="0" borderId="106" xfId="0" applyFont="1" applyBorder="1">
      <alignment horizontal="center" vertical="center"/>
    </xf>
    <xf numFmtId="0" fontId="0" fillId="51" borderId="107" xfId="0" applyFill="1" applyBorder="1" applyAlignment="1">
      <alignment horizontal="left" vertical="center"/>
    </xf>
    <xf numFmtId="49" fontId="0" fillId="51" borderId="107" xfId="0" applyNumberFormat="1" applyFill="1" applyBorder="1">
      <alignment horizontal="center" vertical="center"/>
    </xf>
    <xf numFmtId="0" fontId="0" fillId="51" borderId="107" xfId="43" applyFont="1" applyFill="1" applyBorder="1">
      <alignment horizontal="center" vertical="center"/>
    </xf>
    <xf numFmtId="0" fontId="0" fillId="53" borderId="107" xfId="43" applyFont="1" applyBorder="1">
      <alignment horizontal="center" vertical="center"/>
    </xf>
    <xf numFmtId="0" fontId="6" fillId="53" borderId="107" xfId="43" applyBorder="1">
      <alignment horizontal="center" vertical="center"/>
    </xf>
    <xf numFmtId="0" fontId="0" fillId="0" borderId="107" xfId="0" applyBorder="1" applyAlignment="1">
      <alignment vertical="center"/>
    </xf>
    <xf numFmtId="0" fontId="0" fillId="55" borderId="107" xfId="48" applyFont="1" applyFill="1" applyBorder="1">
      <alignment horizontal="center" vertical="center"/>
    </xf>
    <xf numFmtId="0" fontId="0" fillId="55" borderId="107" xfId="0" applyFill="1" applyBorder="1">
      <alignment horizontal="center" vertical="center"/>
    </xf>
    <xf numFmtId="0" fontId="6" fillId="58" borderId="107" xfId="33" applyBorder="1">
      <alignment horizontal="center" vertical="center"/>
    </xf>
    <xf numFmtId="0" fontId="6" fillId="53" borderId="120" xfId="43" applyBorder="1">
      <alignment horizontal="center" vertical="center"/>
    </xf>
    <xf numFmtId="0" fontId="0" fillId="51" borderId="120" xfId="0" applyFill="1" applyBorder="1">
      <alignment horizontal="center" vertical="center"/>
    </xf>
    <xf numFmtId="0" fontId="0" fillId="0" borderId="125" xfId="0" applyBorder="1">
      <alignment horizontal="center" vertical="center"/>
    </xf>
    <xf numFmtId="0" fontId="0" fillId="0" borderId="125" xfId="0" applyBorder="1" applyAlignment="1">
      <alignment horizontal="left" vertical="center"/>
    </xf>
    <xf numFmtId="0" fontId="0" fillId="0" borderId="125" xfId="0" applyBorder="1" applyAlignment="1">
      <alignment vertical="center"/>
    </xf>
    <xf numFmtId="0" fontId="5" fillId="44" borderId="121" xfId="0" applyFont="1" applyFill="1" applyBorder="1" applyAlignment="1">
      <alignment horizontal="left"/>
    </xf>
    <xf numFmtId="0" fontId="5" fillId="25" borderId="121" xfId="0" applyFont="1" applyFill="1" applyBorder="1">
      <alignment horizontal="center" vertical="center"/>
    </xf>
    <xf numFmtId="0" fontId="6" fillId="25" borderId="128" xfId="0" applyFont="1" applyFill="1" applyBorder="1">
      <alignment horizontal="center" vertical="center"/>
    </xf>
    <xf numFmtId="0" fontId="5" fillId="29" borderId="121" xfId="0" applyFont="1" applyFill="1" applyBorder="1" applyAlignment="1">
      <alignment horizontal="left"/>
    </xf>
    <xf numFmtId="0" fontId="5" fillId="29" borderId="128" xfId="0" applyFont="1" applyFill="1" applyBorder="1" applyAlignment="1">
      <alignment horizontal="left"/>
    </xf>
    <xf numFmtId="0" fontId="6" fillId="29" borderId="128" xfId="0" applyFont="1" applyFill="1" applyBorder="1">
      <alignment horizontal="center" vertical="center"/>
    </xf>
    <xf numFmtId="0" fontId="6" fillId="29" borderId="129" xfId="0" applyFont="1" applyFill="1" applyBorder="1">
      <alignment horizontal="center" vertical="center"/>
    </xf>
    <xf numFmtId="0" fontId="5" fillId="37" borderId="121" xfId="0" applyFont="1" applyFill="1" applyBorder="1" applyAlignment="1">
      <alignment horizontal="left"/>
    </xf>
    <xf numFmtId="0" fontId="5" fillId="37" borderId="128" xfId="0" applyFont="1" applyFill="1" applyBorder="1" applyAlignment="1">
      <alignment horizontal="left"/>
    </xf>
    <xf numFmtId="0" fontId="0" fillId="37" borderId="128" xfId="0" applyFill="1" applyBorder="1">
      <alignment horizontal="center" vertical="center"/>
    </xf>
    <xf numFmtId="0" fontId="5" fillId="45" borderId="121" xfId="0" applyFont="1" applyFill="1" applyBorder="1" applyAlignment="1">
      <alignment horizontal="left"/>
    </xf>
    <xf numFmtId="0" fontId="0" fillId="45" borderId="128" xfId="0" applyFill="1" applyBorder="1">
      <alignment horizontal="center" vertical="center"/>
    </xf>
    <xf numFmtId="0" fontId="6" fillId="45" borderId="128" xfId="0" applyFont="1" applyFill="1" applyBorder="1">
      <alignment horizontal="center" vertical="center"/>
    </xf>
    <xf numFmtId="0" fontId="6" fillId="45" borderId="129" xfId="0" applyFont="1" applyFill="1" applyBorder="1">
      <alignment horizontal="center" vertical="center"/>
    </xf>
    <xf numFmtId="0" fontId="5" fillId="24" borderId="121" xfId="0" applyFont="1" applyFill="1" applyBorder="1">
      <alignment horizontal="center" vertical="center"/>
    </xf>
    <xf numFmtId="0" fontId="0" fillId="24" borderId="128" xfId="0" applyFill="1" applyBorder="1">
      <alignment horizontal="center" vertical="center"/>
    </xf>
    <xf numFmtId="0" fontId="6" fillId="24" borderId="128" xfId="0" applyFont="1" applyFill="1" applyBorder="1">
      <alignment horizontal="center" vertical="center"/>
    </xf>
    <xf numFmtId="0" fontId="5" fillId="40" borderId="121" xfId="0" applyFont="1" applyFill="1" applyBorder="1" applyAlignment="1">
      <alignment horizontal="left"/>
    </xf>
    <xf numFmtId="0" fontId="6" fillId="40" borderId="128" xfId="0" applyFont="1" applyFill="1" applyBorder="1">
      <alignment horizontal="center" vertical="center"/>
    </xf>
    <xf numFmtId="0" fontId="0" fillId="40" borderId="129" xfId="0" applyFill="1" applyBorder="1">
      <alignment horizontal="center" vertical="center"/>
    </xf>
    <xf numFmtId="0" fontId="0" fillId="46" borderId="130" xfId="0" applyFill="1" applyBorder="1">
      <alignment horizontal="center" vertical="center"/>
    </xf>
    <xf numFmtId="0" fontId="6" fillId="46" borderId="130" xfId="0" applyFont="1" applyFill="1" applyBorder="1">
      <alignment horizontal="center" vertical="center"/>
    </xf>
    <xf numFmtId="0" fontId="6" fillId="46" borderId="131" xfId="0" applyFont="1" applyFill="1" applyBorder="1">
      <alignment horizontal="center" vertical="center"/>
    </xf>
    <xf numFmtId="0" fontId="5" fillId="0" borderId="132" xfId="0" applyFont="1" applyBorder="1" applyAlignment="1">
      <alignment horizontal="left" vertical="center"/>
    </xf>
    <xf numFmtId="0" fontId="6" fillId="0" borderId="130" xfId="0" applyFont="1" applyBorder="1">
      <alignment horizontal="center" vertical="center"/>
    </xf>
    <xf numFmtId="0" fontId="6" fillId="0" borderId="131" xfId="0" applyFont="1" applyBorder="1">
      <alignment horizontal="center" vertical="center"/>
    </xf>
    <xf numFmtId="0" fontId="5" fillId="39" borderId="124" xfId="0" applyFont="1" applyFill="1" applyBorder="1" applyAlignment="1">
      <alignment horizontal="left"/>
    </xf>
    <xf numFmtId="0" fontId="5" fillId="47" borderId="121" xfId="0" applyFont="1" applyFill="1" applyBorder="1">
      <alignment horizontal="center" vertical="center"/>
    </xf>
    <xf numFmtId="0" fontId="6" fillId="47" borderId="128" xfId="0" applyFont="1" applyFill="1" applyBorder="1">
      <alignment horizontal="center" vertical="center"/>
    </xf>
    <xf numFmtId="0" fontId="6" fillId="0" borderId="112" xfId="0" applyFont="1" applyBorder="1" applyAlignment="1">
      <alignment horizontal="left"/>
    </xf>
    <xf numFmtId="0" fontId="0" fillId="0" borderId="113" xfId="0" applyBorder="1">
      <alignment horizontal="center" vertical="center"/>
    </xf>
    <xf numFmtId="0" fontId="6" fillId="0" borderId="113" xfId="0" applyFont="1" applyBorder="1" applyAlignment="1">
      <alignment horizontal="left"/>
    </xf>
    <xf numFmtId="0" fontId="6" fillId="0" borderId="113" xfId="0" applyFont="1" applyBorder="1">
      <alignment horizontal="center" vertical="center"/>
    </xf>
    <xf numFmtId="0" fontId="6" fillId="0" borderId="115" xfId="0" applyFont="1" applyBorder="1">
      <alignment horizontal="center" vertical="center"/>
    </xf>
    <xf numFmtId="0" fontId="6" fillId="48" borderId="112" xfId="0" applyFont="1" applyFill="1" applyBorder="1" applyAlignment="1">
      <alignment horizontal="left" vertical="center"/>
    </xf>
    <xf numFmtId="0" fontId="6" fillId="48" borderId="113" xfId="0" applyFont="1" applyFill="1" applyBorder="1">
      <alignment horizontal="center" vertical="center"/>
    </xf>
    <xf numFmtId="0" fontId="6" fillId="48" borderId="115" xfId="0" applyFont="1" applyFill="1" applyBorder="1">
      <alignment horizontal="center" vertical="center"/>
    </xf>
    <xf numFmtId="0" fontId="3" fillId="0" borderId="112" xfId="0" applyFont="1" applyBorder="1" applyAlignment="1">
      <alignment horizontal="left" vertical="center"/>
    </xf>
    <xf numFmtId="0" fontId="0" fillId="0" borderId="115" xfId="0" applyBorder="1">
      <alignment horizontal="center" vertical="center"/>
    </xf>
    <xf numFmtId="0" fontId="0" fillId="0" borderId="114" xfId="0" applyBorder="1">
      <alignment horizontal="center" vertical="center"/>
    </xf>
    <xf numFmtId="0" fontId="3" fillId="0" borderId="113" xfId="0" applyFont="1" applyBorder="1" applyAlignment="1">
      <alignment horizontal="left" vertical="center"/>
    </xf>
    <xf numFmtId="0" fontId="0" fillId="0" borderId="111" xfId="0" applyBorder="1">
      <alignment horizontal="center" vertical="center"/>
    </xf>
    <xf numFmtId="0" fontId="13" fillId="0" borderId="116" xfId="0" applyFont="1" applyBorder="1">
      <alignment horizontal="center" vertical="center"/>
    </xf>
    <xf numFmtId="0" fontId="0" fillId="0" borderId="117" xfId="0" applyBorder="1">
      <alignment horizontal="center" vertical="center"/>
    </xf>
    <xf numFmtId="0" fontId="0" fillId="0" borderId="118" xfId="0" applyBorder="1">
      <alignment horizontal="center" vertical="center"/>
    </xf>
    <xf numFmtId="0" fontId="3" fillId="0" borderId="112" xfId="0" applyFont="1" applyBorder="1">
      <alignment horizontal="center" vertical="center"/>
    </xf>
    <xf numFmtId="0" fontId="0" fillId="0" borderId="108" xfId="0" applyBorder="1" applyAlignment="1" applyProtection="1">
      <alignment horizontal="center"/>
      <protection locked="0"/>
    </xf>
    <xf numFmtId="0" fontId="5" fillId="0" borderId="108" xfId="0" applyFont="1" applyBorder="1" applyAlignment="1">
      <alignment horizontal="center"/>
    </xf>
    <xf numFmtId="0" fontId="0" fillId="70" borderId="108" xfId="0" applyFill="1" applyBorder="1">
      <alignment horizontal="center" vertical="center"/>
    </xf>
    <xf numFmtId="0" fontId="0" fillId="51" borderId="108" xfId="0" applyFill="1" applyBorder="1">
      <alignment horizontal="center" vertical="center"/>
    </xf>
    <xf numFmtId="0" fontId="0" fillId="51" borderId="119" xfId="0" applyFill="1" applyBorder="1">
      <alignment horizontal="center" vertical="center"/>
    </xf>
    <xf numFmtId="0" fontId="5" fillId="0" borderId="107" xfId="0" applyFont="1" applyBorder="1">
      <alignment horizontal="center" vertical="center"/>
    </xf>
    <xf numFmtId="0" fontId="3" fillId="24" borderId="109" xfId="0" applyFont="1" applyFill="1" applyBorder="1" applyAlignment="1">
      <alignment horizontal="left" vertical="center"/>
    </xf>
    <xf numFmtId="0" fontId="0" fillId="24" borderId="109" xfId="0" applyFill="1" applyBorder="1">
      <alignment horizontal="center" vertical="center"/>
    </xf>
    <xf numFmtId="0" fontId="0" fillId="24" borderId="110" xfId="0" applyFill="1" applyBorder="1">
      <alignment horizontal="center" vertical="center"/>
    </xf>
    <xf numFmtId="0" fontId="0" fillId="43" borderId="109" xfId="0" applyFill="1" applyBorder="1" applyAlignment="1" applyProtection="1">
      <alignment horizontal="center"/>
      <protection locked="0"/>
    </xf>
    <xf numFmtId="0" fontId="5" fillId="0" borderId="109" xfId="0" applyFont="1" applyBorder="1" applyAlignment="1">
      <alignment horizontal="left" vertical="center"/>
    </xf>
    <xf numFmtId="0" fontId="0" fillId="51" borderId="109" xfId="43" applyFont="1" applyFill="1" applyBorder="1">
      <alignment horizontal="center" vertical="center"/>
    </xf>
    <xf numFmtId="1" fontId="0" fillId="51" borderId="109" xfId="0" applyNumberFormat="1" applyFill="1" applyBorder="1">
      <alignment horizontal="center" vertical="center"/>
    </xf>
    <xf numFmtId="1" fontId="0" fillId="51" borderId="109" xfId="32" applyNumberFormat="1" applyFont="1" applyFill="1" applyBorder="1" applyAlignment="1">
      <alignment horizontal="center" vertical="center"/>
    </xf>
    <xf numFmtId="0" fontId="0" fillId="51" borderId="109" xfId="0" applyFill="1" applyBorder="1">
      <alignment horizontal="center" vertical="center"/>
    </xf>
    <xf numFmtId="0" fontId="0" fillId="51" borderId="109" xfId="44" applyFont="1" applyFill="1" applyBorder="1">
      <alignment horizontal="center" vertical="center"/>
    </xf>
    <xf numFmtId="0" fontId="0" fillId="56" borderId="109" xfId="44" applyFont="1" applyFill="1" applyBorder="1">
      <alignment horizontal="center" vertical="center"/>
    </xf>
    <xf numFmtId="1" fontId="0" fillId="56" borderId="109" xfId="0" applyNumberFormat="1" applyFill="1" applyBorder="1">
      <alignment horizontal="center" vertical="center"/>
    </xf>
    <xf numFmtId="0" fontId="0" fillId="51" borderId="109" xfId="46" applyFont="1" applyFill="1" applyBorder="1">
      <alignment horizontal="center" vertical="center"/>
    </xf>
    <xf numFmtId="1" fontId="0" fillId="51" borderId="110" xfId="0" applyNumberFormat="1" applyFill="1" applyBorder="1">
      <alignment horizontal="center" vertical="center"/>
    </xf>
    <xf numFmtId="0" fontId="0" fillId="0" borderId="109" xfId="0" applyBorder="1" applyAlignment="1">
      <alignment horizontal="left" vertical="center"/>
    </xf>
    <xf numFmtId="0" fontId="0" fillId="74" borderId="109" xfId="44" applyFont="1" applyFill="1" applyBorder="1">
      <alignment horizontal="center" vertical="center"/>
    </xf>
    <xf numFmtId="1" fontId="0" fillId="74" borderId="109" xfId="0" applyNumberFormat="1" applyFill="1" applyBorder="1">
      <alignment horizontal="center" vertical="center"/>
    </xf>
    <xf numFmtId="1" fontId="0" fillId="74" borderId="109" xfId="32" applyNumberFormat="1" applyFont="1" applyFill="1" applyBorder="1" applyAlignment="1">
      <alignment horizontal="center" vertical="center"/>
    </xf>
    <xf numFmtId="1" fontId="0" fillId="74" borderId="110" xfId="0" applyNumberFormat="1" applyFill="1" applyBorder="1">
      <alignment horizontal="center" vertical="center"/>
    </xf>
    <xf numFmtId="0" fontId="0" fillId="51" borderId="109" xfId="49" applyFont="1" applyFill="1" applyBorder="1">
      <alignment horizontal="center" vertical="center"/>
    </xf>
    <xf numFmtId="1" fontId="0" fillId="76" borderId="109" xfId="0" applyNumberFormat="1" applyFill="1" applyBorder="1">
      <alignment horizontal="center" vertical="center"/>
    </xf>
    <xf numFmtId="1" fontId="0" fillId="51" borderId="109" xfId="44" applyNumberFormat="1" applyFont="1" applyFill="1" applyBorder="1">
      <alignment horizontal="center" vertical="center"/>
    </xf>
    <xf numFmtId="0" fontId="3" fillId="24" borderId="108" xfId="0" applyFont="1" applyFill="1" applyBorder="1" applyAlignment="1" applyProtection="1">
      <alignment horizontal="left"/>
      <protection locked="0"/>
    </xf>
    <xf numFmtId="0" fontId="3" fillId="24" borderId="108" xfId="0" applyFont="1" applyFill="1" applyBorder="1">
      <alignment horizontal="center" vertical="center"/>
    </xf>
    <xf numFmtId="1" fontId="0" fillId="24" borderId="108" xfId="0" applyNumberFormat="1" applyFill="1" applyBorder="1">
      <alignment horizontal="center" vertical="center"/>
    </xf>
    <xf numFmtId="0" fontId="0" fillId="24" borderId="119" xfId="0" applyFill="1" applyBorder="1">
      <alignment horizontal="center" vertical="center"/>
    </xf>
    <xf numFmtId="173" fontId="0" fillId="0" borderId="125" xfId="0" applyNumberFormat="1" applyBorder="1">
      <alignment horizontal="center" vertical="center"/>
    </xf>
    <xf numFmtId="0" fontId="0" fillId="43" borderId="125" xfId="0" applyFill="1" applyBorder="1" applyAlignment="1" applyProtection="1">
      <alignment horizontal="center"/>
      <protection locked="0"/>
    </xf>
    <xf numFmtId="0" fontId="0" fillId="51" borderId="125" xfId="0" applyFill="1" applyBorder="1">
      <alignment horizontal="center" vertical="center"/>
    </xf>
    <xf numFmtId="0" fontId="0" fillId="51" borderId="125" xfId="44" applyFont="1" applyFill="1" applyBorder="1">
      <alignment horizontal="center" vertical="center"/>
    </xf>
    <xf numFmtId="0" fontId="0" fillId="55" borderId="133" xfId="0" applyFill="1" applyBorder="1">
      <alignment horizontal="center" vertical="center"/>
    </xf>
    <xf numFmtId="0" fontId="0" fillId="71" borderId="125" xfId="0" applyFill="1" applyBorder="1">
      <alignment horizontal="center" vertical="center"/>
    </xf>
    <xf numFmtId="0" fontId="6" fillId="55" borderId="125" xfId="45" applyBorder="1">
      <alignment horizontal="center" vertical="center"/>
    </xf>
    <xf numFmtId="0" fontId="0" fillId="55" borderId="125" xfId="0" applyFill="1" applyBorder="1">
      <alignment horizontal="center" vertical="center"/>
    </xf>
    <xf numFmtId="0" fontId="0" fillId="51" borderId="125" xfId="48" applyFont="1" applyFill="1" applyBorder="1">
      <alignment horizontal="center" vertical="center"/>
    </xf>
    <xf numFmtId="0" fontId="6" fillId="0" borderId="125" xfId="0" applyFont="1" applyBorder="1" applyAlignment="1">
      <alignment horizontal="left" vertical="center"/>
    </xf>
    <xf numFmtId="0" fontId="0" fillId="51" borderId="125" xfId="43" applyFont="1" applyFill="1" applyBorder="1">
      <alignment horizontal="center" vertical="center"/>
    </xf>
    <xf numFmtId="0" fontId="0" fillId="51" borderId="125" xfId="46" applyFont="1" applyFill="1" applyBorder="1">
      <alignment horizontal="center" vertical="center"/>
    </xf>
    <xf numFmtId="0" fontId="6" fillId="53" borderId="125" xfId="43" applyBorder="1">
      <alignment horizontal="center" vertical="center"/>
    </xf>
    <xf numFmtId="0" fontId="0" fillId="53" borderId="125" xfId="48" applyFont="1" applyFill="1" applyBorder="1">
      <alignment horizontal="center" vertical="center"/>
    </xf>
    <xf numFmtId="0" fontId="0" fillId="51" borderId="133" xfId="0" applyFill="1" applyBorder="1">
      <alignment horizontal="center" vertical="center"/>
    </xf>
    <xf numFmtId="0" fontId="3" fillId="0" borderId="134" xfId="0" applyFont="1" applyBorder="1" applyAlignment="1">
      <alignment horizontal="left" vertical="center"/>
    </xf>
    <xf numFmtId="0" fontId="3" fillId="0" borderId="121" xfId="0" applyFont="1" applyBorder="1" applyAlignment="1">
      <alignment vertical="center"/>
    </xf>
    <xf numFmtId="0" fontId="13" fillId="0" borderId="128" xfId="0" applyFont="1" applyBorder="1">
      <alignment horizontal="center" vertical="center"/>
    </xf>
    <xf numFmtId="0" fontId="3" fillId="0" borderId="132" xfId="0" applyFont="1" applyBorder="1" applyAlignment="1">
      <alignment horizontal="left" vertical="center"/>
    </xf>
    <xf numFmtId="0" fontId="13" fillId="0" borderId="130" xfId="0" applyFont="1" applyBorder="1">
      <alignment horizontal="center" vertical="center"/>
    </xf>
    <xf numFmtId="0" fontId="3" fillId="0" borderId="130" xfId="0" applyFont="1" applyBorder="1">
      <alignment horizontal="center" vertical="center"/>
    </xf>
    <xf numFmtId="0" fontId="3" fillId="0" borderId="135" xfId="0" applyFont="1" applyBorder="1" applyAlignment="1">
      <alignment horizontal="left" vertical="center"/>
    </xf>
    <xf numFmtId="0" fontId="0" fillId="0" borderId="121" xfId="0" applyBorder="1" applyAlignment="1">
      <alignment vertical="center"/>
    </xf>
    <xf numFmtId="0" fontId="0" fillId="0" borderId="128" xfId="0" applyBorder="1" applyAlignment="1">
      <alignment horizontal="left" vertical="center"/>
    </xf>
    <xf numFmtId="0" fontId="0" fillId="0" borderId="136" xfId="0" applyBorder="1">
      <alignment horizontal="center" vertical="center"/>
    </xf>
    <xf numFmtId="0" fontId="3" fillId="0" borderId="137" xfId="0" applyFont="1" applyBorder="1" applyAlignment="1">
      <alignment horizontal="left" vertical="center"/>
    </xf>
    <xf numFmtId="0" fontId="0" fillId="0" borderId="138" xfId="0" applyBorder="1">
      <alignment horizontal="center" vertical="center"/>
    </xf>
    <xf numFmtId="0" fontId="0" fillId="0" borderId="139" xfId="0" applyBorder="1" applyAlignment="1">
      <alignment vertical="center"/>
    </xf>
    <xf numFmtId="0" fontId="0" fillId="0" borderId="140" xfId="0" applyBorder="1">
      <alignment horizontal="center" vertical="center"/>
    </xf>
    <xf numFmtId="0" fontId="3" fillId="0" borderId="139" xfId="0" applyFont="1" applyBorder="1">
      <alignment horizontal="center" vertical="center"/>
    </xf>
    <xf numFmtId="0" fontId="0" fillId="0" borderId="138" xfId="0" applyBorder="1" applyAlignment="1">
      <alignment horizontal="left" vertical="center"/>
    </xf>
    <xf numFmtId="0" fontId="13" fillId="0" borderId="138" xfId="0" applyFont="1" applyBorder="1">
      <alignment horizontal="center" vertical="center"/>
    </xf>
    <xf numFmtId="0" fontId="3" fillId="0" borderId="138" xfId="0" applyFont="1" applyBorder="1" applyAlignment="1">
      <alignment horizontal="left" vertical="center"/>
    </xf>
    <xf numFmtId="0" fontId="0" fillId="0" borderId="141" xfId="0" applyBorder="1">
      <alignment horizontal="center" vertical="center"/>
    </xf>
    <xf numFmtId="0" fontId="0" fillId="0" borderId="122" xfId="0" applyBorder="1" applyAlignment="1" applyProtection="1">
      <alignment horizontal="center"/>
      <protection locked="0"/>
    </xf>
    <xf numFmtId="0" fontId="5" fillId="0" borderId="122" xfId="0" applyFont="1" applyBorder="1" applyAlignment="1">
      <alignment horizontal="center"/>
    </xf>
    <xf numFmtId="0" fontId="0" fillId="43" borderId="142" xfId="0" applyFill="1" applyBorder="1" applyAlignment="1" applyProtection="1">
      <alignment horizontal="center"/>
      <protection locked="0"/>
    </xf>
    <xf numFmtId="0" fontId="0" fillId="71" borderId="124" xfId="43" applyFont="1" applyFill="1" applyBorder="1">
      <alignment horizontal="center" vertical="center"/>
    </xf>
    <xf numFmtId="0" fontId="0" fillId="71" borderId="123" xfId="0" applyFill="1" applyBorder="1">
      <alignment horizontal="center" vertical="center"/>
    </xf>
    <xf numFmtId="0" fontId="0" fillId="43" borderId="143" xfId="0" applyFill="1" applyBorder="1" applyAlignment="1" applyProtection="1">
      <alignment horizontal="center"/>
      <protection locked="0"/>
    </xf>
    <xf numFmtId="0" fontId="0" fillId="0" borderId="144" xfId="0" applyBorder="1" applyAlignment="1">
      <alignment horizontal="left" vertical="center"/>
    </xf>
    <xf numFmtId="49" fontId="0" fillId="51" borderId="144" xfId="0" applyNumberFormat="1" applyFill="1" applyBorder="1">
      <alignment horizontal="center" vertical="center"/>
    </xf>
    <xf numFmtId="0" fontId="0" fillId="51" borderId="144" xfId="48" applyFont="1" applyFill="1" applyBorder="1">
      <alignment horizontal="center" vertical="center"/>
    </xf>
    <xf numFmtId="0" fontId="0" fillId="51" borderId="144" xfId="43" applyFont="1" applyFill="1" applyBorder="1">
      <alignment horizontal="center" vertical="center"/>
    </xf>
    <xf numFmtId="0" fontId="0" fillId="51" borderId="144" xfId="44" applyFont="1" applyFill="1" applyBorder="1">
      <alignment horizontal="center" vertical="center"/>
    </xf>
    <xf numFmtId="49" fontId="0" fillId="51" borderId="126" xfId="0" applyNumberFormat="1" applyFill="1" applyBorder="1">
      <alignment horizontal="center" vertical="center"/>
    </xf>
    <xf numFmtId="0" fontId="0" fillId="51" borderId="124" xfId="48" applyFont="1" applyFill="1" applyBorder="1">
      <alignment horizontal="center" vertical="center"/>
    </xf>
    <xf numFmtId="49" fontId="0" fillId="51" borderId="124" xfId="0" applyNumberFormat="1" applyFill="1" applyBorder="1">
      <alignment horizontal="center" vertical="center"/>
    </xf>
    <xf numFmtId="0" fontId="0" fillId="0" borderId="144" xfId="0" applyBorder="1" applyAlignment="1">
      <alignment vertical="center"/>
    </xf>
    <xf numFmtId="49" fontId="0" fillId="53" borderId="144" xfId="0" applyNumberFormat="1" applyFill="1" applyBorder="1">
      <alignment horizontal="center" vertical="center"/>
    </xf>
    <xf numFmtId="0" fontId="6" fillId="53" borderId="144" xfId="43" applyBorder="1">
      <alignment horizontal="center" vertical="center"/>
    </xf>
    <xf numFmtId="0" fontId="0" fillId="53" borderId="144" xfId="0" applyFill="1" applyBorder="1">
      <alignment horizontal="center" vertical="center"/>
    </xf>
    <xf numFmtId="0" fontId="0" fillId="53" borderId="126" xfId="0" applyFill="1" applyBorder="1">
      <alignment horizontal="center" vertical="center"/>
    </xf>
    <xf numFmtId="0" fontId="0" fillId="52" borderId="124" xfId="46" applyFont="1" applyFill="1" applyBorder="1">
      <alignment horizontal="center" vertical="center"/>
    </xf>
    <xf numFmtId="0" fontId="0" fillId="52" borderId="124" xfId="44" applyFont="1" applyFill="1" applyBorder="1">
      <alignment horizontal="center" vertical="center"/>
    </xf>
    <xf numFmtId="49" fontId="0" fillId="52" borderId="124" xfId="0" applyNumberFormat="1" applyFill="1" applyBorder="1">
      <alignment horizontal="center" vertical="center"/>
    </xf>
    <xf numFmtId="0" fontId="0" fillId="52" borderId="124" xfId="0" applyFill="1" applyBorder="1">
      <alignment horizontal="center" vertical="center"/>
    </xf>
    <xf numFmtId="0" fontId="0" fillId="52" borderId="124" xfId="43" applyFont="1" applyFill="1" applyBorder="1">
      <alignment horizontal="center" vertical="center"/>
    </xf>
    <xf numFmtId="49" fontId="0" fillId="51" borderId="123" xfId="0" applyNumberFormat="1" applyFill="1" applyBorder="1">
      <alignment horizontal="center" vertical="center"/>
    </xf>
    <xf numFmtId="0" fontId="0" fillId="0" borderId="124" xfId="0" applyBorder="1">
      <alignment horizontal="center" vertical="center"/>
    </xf>
    <xf numFmtId="0" fontId="6" fillId="52" borderId="124" xfId="48" applyBorder="1">
      <alignment horizontal="center" vertical="center"/>
    </xf>
    <xf numFmtId="0" fontId="6" fillId="52" borderId="123" xfId="48" applyBorder="1">
      <alignment horizontal="center" vertical="center"/>
    </xf>
    <xf numFmtId="49" fontId="0" fillId="55" borderId="144" xfId="0" applyNumberFormat="1" applyFill="1" applyBorder="1">
      <alignment horizontal="center" vertical="center"/>
    </xf>
    <xf numFmtId="0" fontId="6" fillId="69" borderId="144" xfId="44" applyBorder="1">
      <alignment horizontal="center" vertical="center"/>
    </xf>
    <xf numFmtId="0" fontId="0" fillId="51" borderId="126" xfId="44" applyFont="1" applyFill="1" applyBorder="1">
      <alignment horizontal="center" vertical="center"/>
    </xf>
    <xf numFmtId="0" fontId="3" fillId="0" borderId="124" xfId="0" applyFont="1" applyBorder="1" applyAlignment="1">
      <alignment horizontal="center"/>
    </xf>
    <xf numFmtId="0" fontId="6" fillId="0" borderId="124" xfId="0" applyFont="1" applyBorder="1">
      <alignment horizontal="center" vertical="center"/>
    </xf>
    <xf numFmtId="0" fontId="0" fillId="0" borderId="122" xfId="0" applyBorder="1">
      <alignment horizontal="center" vertical="center"/>
    </xf>
    <xf numFmtId="0" fontId="3" fillId="0" borderId="122" xfId="0" applyFont="1" applyBorder="1" applyAlignment="1">
      <alignment horizontal="center"/>
    </xf>
    <xf numFmtId="0" fontId="5" fillId="0" borderId="124" xfId="0" applyFont="1" applyBorder="1" applyAlignment="1">
      <alignment horizontal="left"/>
    </xf>
    <xf numFmtId="0" fontId="6" fillId="0" borderId="121" xfId="0" applyFont="1" applyBorder="1">
      <alignment horizontal="center" vertical="center"/>
    </xf>
    <xf numFmtId="0" fontId="0" fillId="0" borderId="124" xfId="0" applyBorder="1" applyAlignment="1">
      <alignment horizontal="center"/>
    </xf>
    <xf numFmtId="0" fontId="0" fillId="43" borderId="121" xfId="0" applyFill="1" applyBorder="1" applyAlignment="1" applyProtection="1">
      <alignment horizontal="center"/>
      <protection locked="0"/>
    </xf>
    <xf numFmtId="0" fontId="0" fillId="0" borderId="121" xfId="0" applyBorder="1" applyAlignment="1">
      <alignment horizontal="left"/>
    </xf>
    <xf numFmtId="0" fontId="0" fillId="0" borderId="128" xfId="0" applyBorder="1" applyAlignment="1">
      <alignment horizontal="left"/>
    </xf>
    <xf numFmtId="0" fontId="0" fillId="0" borderId="132" xfId="0" applyBorder="1" applyAlignment="1">
      <alignment horizontal="left"/>
    </xf>
    <xf numFmtId="0" fontId="0" fillId="0" borderId="130" xfId="0" applyBorder="1" applyAlignment="1">
      <alignment horizontal="left"/>
    </xf>
    <xf numFmtId="0" fontId="6" fillId="0" borderId="131" xfId="0" applyFont="1" applyBorder="1" applyAlignment="1">
      <alignment horizontal="left"/>
    </xf>
    <xf numFmtId="0" fontId="6" fillId="0" borderId="130" xfId="0" applyFont="1" applyBorder="1" applyAlignment="1">
      <alignment horizontal="left"/>
    </xf>
    <xf numFmtId="0" fontId="6" fillId="0" borderId="129" xfId="0" applyFont="1" applyBorder="1" applyAlignment="1">
      <alignment horizontal="left"/>
    </xf>
    <xf numFmtId="0" fontId="5" fillId="0" borderId="121" xfId="0" applyFont="1" applyBorder="1" applyAlignment="1">
      <alignment horizontal="left"/>
    </xf>
    <xf numFmtId="0" fontId="21" fillId="0" borderId="124" xfId="0" applyFont="1" applyBorder="1" applyAlignment="1" applyProtection="1">
      <alignment horizontal="center"/>
      <protection locked="0"/>
    </xf>
    <xf numFmtId="0" fontId="0" fillId="0" borderId="124" xfId="0" applyBorder="1" applyAlignment="1">
      <alignment horizontal="left"/>
    </xf>
    <xf numFmtId="0" fontId="6" fillId="0" borderId="124" xfId="0" applyFont="1" applyBorder="1" applyAlignment="1">
      <alignment horizontal="left"/>
    </xf>
    <xf numFmtId="0" fontId="3" fillId="0" borderId="144" xfId="0" applyFont="1" applyBorder="1" applyAlignment="1" applyProtection="1">
      <alignment horizontal="center"/>
      <protection locked="0"/>
    </xf>
    <xf numFmtId="0" fontId="0" fillId="51" borderId="107" xfId="0" applyFill="1" applyBorder="1">
      <alignment horizontal="center" vertical="center"/>
    </xf>
    <xf numFmtId="0" fontId="0" fillId="0" borderId="107" xfId="0" applyBorder="1" applyAlignment="1">
      <alignment horizontal="left" vertical="center"/>
    </xf>
    <xf numFmtId="49" fontId="0" fillId="55" borderId="107" xfId="0" applyNumberFormat="1" applyFill="1" applyBorder="1">
      <alignment horizontal="center" vertical="center"/>
    </xf>
    <xf numFmtId="0" fontId="0" fillId="51" borderId="107" xfId="48" applyFont="1" applyFill="1" applyBorder="1">
      <alignment horizontal="center" vertical="center"/>
    </xf>
    <xf numFmtId="0" fontId="0" fillId="51" borderId="107" xfId="44" applyFont="1" applyFill="1" applyBorder="1">
      <alignment horizontal="center" vertical="center"/>
    </xf>
    <xf numFmtId="49" fontId="0" fillId="51" borderId="145" xfId="0" applyNumberFormat="1" applyFill="1" applyBorder="1">
      <alignment horizontal="center" vertical="center"/>
    </xf>
    <xf numFmtId="0" fontId="6" fillId="52" borderId="107" xfId="48" applyBorder="1">
      <alignment horizontal="center" vertical="center"/>
    </xf>
    <xf numFmtId="0" fontId="6" fillId="52" borderId="145" xfId="48" applyBorder="1">
      <alignment horizontal="center" vertical="center"/>
    </xf>
    <xf numFmtId="0" fontId="0" fillId="51" borderId="107" xfId="46" applyFont="1" applyFill="1" applyBorder="1">
      <alignment horizontal="center" vertical="center"/>
    </xf>
    <xf numFmtId="0" fontId="0" fillId="51" borderId="146" xfId="0" applyFill="1" applyBorder="1" applyAlignment="1">
      <alignment horizontal="left" vertical="center"/>
    </xf>
    <xf numFmtId="0" fontId="44" fillId="51" borderId="146" xfId="0" applyFont="1" applyFill="1" applyBorder="1" applyAlignment="1">
      <alignment horizontal="left" vertical="center"/>
    </xf>
    <xf numFmtId="0" fontId="0" fillId="70" borderId="147" xfId="0" applyFill="1" applyBorder="1">
      <alignment horizontal="center" vertical="center"/>
    </xf>
    <xf numFmtId="0" fontId="0" fillId="51" borderId="147" xfId="0" applyFill="1" applyBorder="1">
      <alignment horizontal="center" vertical="center"/>
    </xf>
    <xf numFmtId="0" fontId="0" fillId="51" borderId="148" xfId="0" applyFill="1" applyBorder="1">
      <alignment horizontal="center" vertical="center"/>
    </xf>
    <xf numFmtId="0" fontId="0" fillId="51" borderId="124" xfId="45" applyFont="1" applyFill="1" applyBorder="1">
      <alignment horizontal="center" vertical="center"/>
    </xf>
    <xf numFmtId="0" fontId="0" fillId="57" borderId="149" xfId="0" applyFill="1" applyBorder="1">
      <alignment horizontal="center" vertical="center"/>
    </xf>
    <xf numFmtId="0" fontId="0" fillId="57" borderId="149" xfId="43" applyFont="1" applyFill="1" applyBorder="1">
      <alignment horizontal="center" vertical="center"/>
    </xf>
    <xf numFmtId="49" fontId="0" fillId="57" borderId="149" xfId="0" applyNumberFormat="1" applyFill="1" applyBorder="1">
      <alignment horizontal="center" vertical="center"/>
    </xf>
    <xf numFmtId="0" fontId="0" fillId="57" borderId="145" xfId="0" applyFill="1" applyBorder="1">
      <alignment horizontal="center" vertical="center"/>
    </xf>
    <xf numFmtId="0" fontId="18" fillId="0" borderId="149" xfId="0" applyFont="1" applyBorder="1" applyAlignment="1" applyProtection="1">
      <alignment horizontal="center"/>
      <protection locked="0"/>
    </xf>
    <xf numFmtId="0" fontId="18" fillId="0" borderId="150" xfId="0" applyFont="1" applyBorder="1" applyAlignment="1" applyProtection="1">
      <alignment horizontal="center"/>
      <protection locked="0"/>
    </xf>
    <xf numFmtId="0" fontId="0" fillId="51" borderId="150" xfId="0" applyFill="1" applyBorder="1" applyAlignment="1">
      <alignment horizontal="left" vertical="center"/>
    </xf>
    <xf numFmtId="0" fontId="0" fillId="51" borderId="150" xfId="0" applyFill="1" applyBorder="1">
      <alignment horizontal="center" vertical="center"/>
    </xf>
    <xf numFmtId="1" fontId="0" fillId="51" borderId="150" xfId="32" applyNumberFormat="1" applyFont="1" applyFill="1" applyBorder="1" applyAlignment="1">
      <alignment horizontal="center" vertical="center"/>
    </xf>
    <xf numFmtId="49" fontId="0" fillId="51" borderId="150" xfId="0" applyNumberFormat="1" applyFill="1" applyBorder="1">
      <alignment horizontal="center" vertical="center"/>
    </xf>
    <xf numFmtId="0" fontId="0" fillId="51" borderId="151" xfId="0" applyFill="1" applyBorder="1">
      <alignment horizontal="center" vertical="center"/>
    </xf>
    <xf numFmtId="0" fontId="3" fillId="0" borderId="122" xfId="0" applyFont="1" applyBorder="1" applyAlignment="1" applyProtection="1">
      <alignment horizontal="center"/>
      <protection locked="0"/>
    </xf>
    <xf numFmtId="0" fontId="3" fillId="0" borderId="124" xfId="0" applyFont="1" applyBorder="1" applyAlignment="1" applyProtection="1">
      <alignment horizontal="center"/>
      <protection locked="0"/>
    </xf>
    <xf numFmtId="0" fontId="0" fillId="51" borderId="124" xfId="47" applyFont="1" applyFill="1" applyBorder="1">
      <alignment horizontal="center" vertical="center"/>
    </xf>
    <xf numFmtId="0" fontId="0" fillId="51" borderId="123" xfId="47" applyFont="1" applyFill="1" applyBorder="1">
      <alignment horizontal="center" vertical="center"/>
    </xf>
    <xf numFmtId="0" fontId="0" fillId="51" borderId="123" xfId="0" applyFill="1" applyBorder="1">
      <alignment horizontal="center" vertical="center"/>
    </xf>
    <xf numFmtId="0" fontId="0" fillId="51" borderId="144" xfId="47" applyFont="1" applyFill="1" applyBorder="1">
      <alignment horizontal="center" vertical="center"/>
    </xf>
    <xf numFmtId="0" fontId="0" fillId="0" borderId="135" xfId="0" applyBorder="1">
      <alignment horizontal="center" vertical="center"/>
    </xf>
    <xf numFmtId="0" fontId="0" fillId="0" borderId="121" xfId="0" applyBorder="1">
      <alignment horizontal="center" vertical="center"/>
    </xf>
    <xf numFmtId="0" fontId="0" fillId="0" borderId="152" xfId="0" applyBorder="1">
      <alignment horizontal="center" vertical="center"/>
    </xf>
    <xf numFmtId="0" fontId="0" fillId="0" borderId="137" xfId="0" applyBorder="1">
      <alignment horizontal="center" vertical="center"/>
    </xf>
    <xf numFmtId="0" fontId="0" fillId="0" borderId="139" xfId="0" applyBorder="1">
      <alignment horizontal="center" vertical="center"/>
    </xf>
    <xf numFmtId="0" fontId="0" fillId="0" borderId="153" xfId="0" applyBorder="1">
      <alignment horizontal="center" vertical="center"/>
    </xf>
    <xf numFmtId="0" fontId="0" fillId="0" borderId="154" xfId="0" applyBorder="1">
      <alignment horizontal="center" vertical="center"/>
    </xf>
    <xf numFmtId="0" fontId="3" fillId="43" borderId="124" xfId="0" applyFont="1" applyFill="1" applyBorder="1" applyAlignment="1">
      <alignment horizontal="center"/>
    </xf>
    <xf numFmtId="0" fontId="0" fillId="0" borderId="124" xfId="0" applyBorder="1" applyAlignment="1">
      <alignment vertical="center"/>
    </xf>
    <xf numFmtId="0" fontId="0" fillId="51" borderId="124" xfId="20" applyNumberFormat="1" applyFont="1" applyFill="1" applyBorder="1" applyAlignment="1">
      <alignment horizontal="center" vertical="center"/>
    </xf>
    <xf numFmtId="0" fontId="6" fillId="55" borderId="124" xfId="45" applyBorder="1">
      <alignment horizontal="center" vertical="center"/>
    </xf>
    <xf numFmtId="0" fontId="0" fillId="51" borderId="123" xfId="20" applyNumberFormat="1" applyFont="1" applyFill="1" applyBorder="1" applyAlignment="1">
      <alignment horizontal="center" vertical="center"/>
    </xf>
    <xf numFmtId="0" fontId="0" fillId="51" borderId="124" xfId="34" applyNumberFormat="1" applyFont="1" applyFill="1" applyBorder="1" applyAlignment="1">
      <alignment horizontal="center" vertical="center"/>
    </xf>
    <xf numFmtId="0" fontId="0" fillId="53" borderId="124" xfId="20" applyNumberFormat="1" applyFont="1" applyFill="1" applyBorder="1" applyAlignment="1">
      <alignment horizontal="center" vertical="center"/>
    </xf>
    <xf numFmtId="0" fontId="0" fillId="53" borderId="124" xfId="0" applyFill="1" applyBorder="1">
      <alignment horizontal="center" vertical="center"/>
    </xf>
    <xf numFmtId="0" fontId="3" fillId="43" borderId="144" xfId="0" applyFont="1" applyFill="1" applyBorder="1" applyAlignment="1">
      <alignment horizontal="center"/>
    </xf>
    <xf numFmtId="0" fontId="0" fillId="51" borderId="144" xfId="51" applyFont="1" applyFill="1" applyBorder="1">
      <alignment horizontal="center" vertical="center"/>
    </xf>
    <xf numFmtId="0" fontId="3" fillId="0" borderId="142" xfId="0" applyFont="1" applyBorder="1" applyAlignment="1">
      <alignment horizontal="center"/>
    </xf>
    <xf numFmtId="0" fontId="6" fillId="0" borderId="121" xfId="0" applyFont="1" applyBorder="1" applyAlignment="1">
      <alignment horizontal="left" vertical="center"/>
    </xf>
    <xf numFmtId="0" fontId="6" fillId="0" borderId="128" xfId="0" applyFont="1" applyBorder="1" applyAlignment="1">
      <alignment horizontal="left" vertical="center"/>
    </xf>
    <xf numFmtId="0" fontId="6" fillId="0" borderId="155" xfId="0" applyFont="1" applyBorder="1" applyAlignment="1">
      <alignment horizontal="left" vertical="center"/>
    </xf>
    <xf numFmtId="0" fontId="0" fillId="0" borderId="135" xfId="0" applyBorder="1" applyAlignment="1">
      <alignment horizontal="center"/>
    </xf>
    <xf numFmtId="0" fontId="3" fillId="0" borderId="121" xfId="0" applyFont="1" applyBorder="1" applyAlignment="1">
      <alignment horizontal="left"/>
    </xf>
    <xf numFmtId="0" fontId="0" fillId="0" borderId="128" xfId="0" applyBorder="1" applyAlignment="1"/>
    <xf numFmtId="0" fontId="0" fillId="0" borderId="129" xfId="0" applyBorder="1" applyAlignment="1">
      <alignment horizontal="left"/>
    </xf>
    <xf numFmtId="0" fontId="3" fillId="0" borderId="128" xfId="0" applyFont="1" applyBorder="1" applyAlignment="1"/>
    <xf numFmtId="0" fontId="3" fillId="0" borderId="129" xfId="0" applyFont="1" applyBorder="1" applyAlignment="1">
      <alignment horizontal="left"/>
    </xf>
    <xf numFmtId="0" fontId="0" fillId="0" borderId="121" xfId="0" applyBorder="1" applyAlignment="1">
      <alignment horizontal="center"/>
    </xf>
    <xf numFmtId="0" fontId="0" fillId="0" borderId="155" xfId="0" applyBorder="1" applyAlignment="1"/>
    <xf numFmtId="0" fontId="3" fillId="0" borderId="132" xfId="0" applyFont="1" applyBorder="1" applyAlignment="1">
      <alignment horizontal="left"/>
    </xf>
    <xf numFmtId="0" fontId="0" fillId="0" borderId="130" xfId="0" applyBorder="1" applyAlignment="1"/>
    <xf numFmtId="0" fontId="0" fillId="0" borderId="131" xfId="0" applyBorder="1" applyAlignment="1">
      <alignment horizontal="left"/>
    </xf>
    <xf numFmtId="0" fontId="8" fillId="0" borderId="132" xfId="0" applyFont="1" applyBorder="1" applyAlignment="1">
      <alignment horizontal="center"/>
    </xf>
    <xf numFmtId="0" fontId="0" fillId="0" borderId="136" xfId="0" applyBorder="1" applyAlignment="1"/>
    <xf numFmtId="0" fontId="0" fillId="0" borderId="137" xfId="0" applyBorder="1" applyAlignment="1">
      <alignment horizontal="center"/>
    </xf>
    <xf numFmtId="0" fontId="3" fillId="0" borderId="139" xfId="0" applyFont="1" applyBorder="1" applyAlignment="1">
      <alignment horizontal="left"/>
    </xf>
    <xf numFmtId="0" fontId="6" fillId="0" borderId="138" xfId="0" applyFont="1" applyBorder="1" applyAlignment="1">
      <alignment horizontal="left" vertical="center"/>
    </xf>
    <xf numFmtId="0" fontId="6" fillId="0" borderId="138" xfId="0" applyFont="1" applyBorder="1">
      <alignment horizontal="center" vertical="center"/>
    </xf>
    <xf numFmtId="0" fontId="6" fillId="0" borderId="140" xfId="0" applyFont="1" applyBorder="1">
      <alignment horizontal="center" vertical="center"/>
    </xf>
    <xf numFmtId="0" fontId="6" fillId="0" borderId="139" xfId="0" applyFont="1" applyBorder="1" applyAlignment="1">
      <alignment horizontal="left" vertical="center"/>
    </xf>
    <xf numFmtId="0" fontId="6" fillId="0" borderId="138" xfId="0" applyFont="1" applyBorder="1" applyAlignment="1">
      <alignment horizontal="left"/>
    </xf>
    <xf numFmtId="0" fontId="6" fillId="0" borderId="140" xfId="0" applyFont="1" applyBorder="1" applyAlignment="1">
      <alignment horizontal="left" vertical="center"/>
    </xf>
    <xf numFmtId="0" fontId="0" fillId="0" borderId="138" xfId="0" applyBorder="1" applyAlignment="1">
      <alignment horizontal="left"/>
    </xf>
    <xf numFmtId="0" fontId="0" fillId="0" borderId="141" xfId="0" applyBorder="1" applyAlignment="1"/>
    <xf numFmtId="0" fontId="0" fillId="51" borderId="124" xfId="0" applyFill="1" applyBorder="1" applyAlignment="1">
      <alignment horizontal="left" vertical="center"/>
    </xf>
    <xf numFmtId="0" fontId="0" fillId="51" borderId="123" xfId="44" applyFont="1" applyFill="1" applyBorder="1">
      <alignment horizontal="center" vertical="center"/>
    </xf>
    <xf numFmtId="0" fontId="0" fillId="51" borderId="124" xfId="51" applyFont="1" applyFill="1" applyBorder="1">
      <alignment horizontal="center" vertical="center"/>
    </xf>
    <xf numFmtId="0" fontId="6" fillId="58" borderId="124" xfId="33" applyBorder="1">
      <alignment horizontal="center" vertical="center"/>
    </xf>
    <xf numFmtId="0" fontId="0" fillId="51" borderId="123" xfId="51" applyFont="1" applyFill="1" applyBorder="1">
      <alignment horizontal="center" vertical="center"/>
    </xf>
    <xf numFmtId="0" fontId="0" fillId="51" borderId="123" xfId="48" applyFont="1" applyFill="1" applyBorder="1">
      <alignment horizontal="center" vertical="center"/>
    </xf>
    <xf numFmtId="0" fontId="0" fillId="51" borderId="144" xfId="0" applyFill="1" applyBorder="1" applyAlignment="1">
      <alignment horizontal="left" vertical="center"/>
    </xf>
    <xf numFmtId="0" fontId="0" fillId="76" borderId="144" xfId="47" applyFont="1" applyFill="1" applyBorder="1">
      <alignment horizontal="center" vertical="center"/>
    </xf>
    <xf numFmtId="0" fontId="0" fillId="51" borderId="144" xfId="32" applyFont="1" applyFill="1" applyBorder="1" applyAlignment="1">
      <alignment horizontal="center" vertical="center"/>
    </xf>
    <xf numFmtId="0" fontId="0" fillId="51" borderId="126" xfId="48" applyFont="1" applyFill="1" applyBorder="1">
      <alignment horizontal="center" vertical="center"/>
    </xf>
    <xf numFmtId="0" fontId="0" fillId="0" borderId="139" xfId="0" applyBorder="1" applyAlignment="1">
      <alignment horizontal="left"/>
    </xf>
    <xf numFmtId="0" fontId="0" fillId="0" borderId="138" xfId="0" applyBorder="1" applyAlignment="1"/>
    <xf numFmtId="0" fontId="0" fillId="0" borderId="140" xfId="0" applyBorder="1" applyAlignment="1">
      <alignment horizontal="left"/>
    </xf>
    <xf numFmtId="0" fontId="0" fillId="0" borderId="139" xfId="0" applyBorder="1" applyAlignment="1">
      <alignment horizontal="center"/>
    </xf>
    <xf numFmtId="0" fontId="3" fillId="43" borderId="149" xfId="0" applyFont="1" applyFill="1" applyBorder="1" applyAlignment="1">
      <alignment horizontal="center"/>
    </xf>
    <xf numFmtId="49" fontId="0" fillId="69" borderId="149" xfId="0" applyNumberFormat="1" applyFill="1" applyBorder="1">
      <alignment horizontal="center" vertical="center"/>
    </xf>
    <xf numFmtId="0" fontId="0" fillId="69" borderId="149" xfId="0" applyFill="1" applyBorder="1">
      <alignment horizontal="center" vertical="center"/>
    </xf>
    <xf numFmtId="0" fontId="0" fillId="51" borderId="149" xfId="45" applyFont="1" applyFill="1" applyBorder="1">
      <alignment horizontal="center" vertical="center"/>
    </xf>
    <xf numFmtId="0" fontId="3" fillId="43" borderId="150" xfId="0" applyFont="1" applyFill="1" applyBorder="1" applyAlignment="1">
      <alignment horizontal="center"/>
    </xf>
    <xf numFmtId="0" fontId="0" fillId="0" borderId="150" xfId="0" applyBorder="1" applyAlignment="1">
      <alignment horizontal="left" vertical="center"/>
    </xf>
    <xf numFmtId="0" fontId="0" fillId="51" borderId="150" xfId="43" applyFont="1" applyFill="1" applyBorder="1">
      <alignment horizontal="center" vertical="center"/>
    </xf>
    <xf numFmtId="0" fontId="0" fillId="52" borderId="150" xfId="43" applyFont="1" applyFill="1" applyBorder="1">
      <alignment horizontal="center" vertical="center"/>
    </xf>
    <xf numFmtId="0" fontId="0" fillId="51" borderId="150" xfId="44" applyFont="1" applyFill="1" applyBorder="1">
      <alignment horizontal="center" vertical="center"/>
    </xf>
    <xf numFmtId="0" fontId="0" fillId="52" borderId="150" xfId="0" applyFill="1" applyBorder="1">
      <alignment horizontal="center" vertical="center"/>
    </xf>
    <xf numFmtId="49" fontId="0" fillId="51" borderId="151" xfId="0" applyNumberFormat="1" applyFill="1" applyBorder="1">
      <alignment horizontal="center" vertical="center"/>
    </xf>
    <xf numFmtId="0" fontId="2" fillId="0" borderId="121" xfId="0" applyFont="1" applyBorder="1" applyAlignment="1">
      <alignment horizontal="left"/>
    </xf>
    <xf numFmtId="0" fontId="3" fillId="0" borderId="128" xfId="0" applyFont="1" applyBorder="1">
      <alignment horizontal="center" vertical="center"/>
    </xf>
    <xf numFmtId="167" fontId="8" fillId="0" borderId="139" xfId="0" applyNumberFormat="1" applyFont="1" applyBorder="1" applyAlignment="1">
      <alignment horizontal="center"/>
    </xf>
    <xf numFmtId="0" fontId="6" fillId="51" borderId="124" xfId="0" applyFont="1" applyFill="1" applyBorder="1" applyAlignment="1">
      <alignment vertical="center"/>
    </xf>
    <xf numFmtId="0" fontId="0" fillId="51" borderId="124" xfId="0" applyFill="1" applyBorder="1" applyAlignment="1">
      <alignment vertical="center"/>
    </xf>
    <xf numFmtId="0" fontId="6" fillId="54" borderId="124" xfId="50" applyBorder="1">
      <alignment horizontal="center" vertical="center"/>
    </xf>
    <xf numFmtId="0" fontId="51" fillId="56" borderId="124" xfId="46" applyBorder="1">
      <alignment horizontal="center" vertical="center"/>
    </xf>
    <xf numFmtId="0" fontId="0" fillId="0" borderId="127" xfId="0" applyBorder="1">
      <alignment horizontal="center" vertical="center"/>
    </xf>
    <xf numFmtId="0" fontId="2" fillId="0" borderId="127" xfId="0" applyFont="1" applyBorder="1">
      <alignment horizontal="center" vertical="center"/>
    </xf>
    <xf numFmtId="0" fontId="2" fillId="0" borderId="105" xfId="0" applyFont="1" applyBorder="1" applyAlignment="1">
      <alignment horizontal="left" vertical="center"/>
    </xf>
    <xf numFmtId="0" fontId="2" fillId="0" borderId="105" xfId="0" applyFont="1" applyBorder="1">
      <alignment horizontal="center" vertical="center"/>
    </xf>
    <xf numFmtId="49" fontId="2" fillId="0" borderId="127" xfId="0" applyNumberFormat="1" applyFont="1" applyBorder="1">
      <alignment horizontal="center" vertical="center"/>
    </xf>
    <xf numFmtId="49" fontId="6" fillId="0" borderId="127" xfId="0" applyNumberFormat="1" applyFont="1" applyBorder="1">
      <alignment horizontal="center" vertical="center"/>
    </xf>
    <xf numFmtId="0" fontId="6" fillId="0" borderId="105" xfId="0" applyFont="1" applyBorder="1">
      <alignment horizontal="center" vertical="center"/>
    </xf>
    <xf numFmtId="0" fontId="8" fillId="0" borderId="105" xfId="0" applyFont="1" applyBorder="1">
      <alignment horizontal="center" vertical="center"/>
    </xf>
    <xf numFmtId="0" fontId="8" fillId="0" borderId="156" xfId="0" applyFont="1" applyBorder="1">
      <alignment horizontal="center" vertical="center"/>
    </xf>
    <xf numFmtId="0" fontId="0" fillId="0" borderId="157" xfId="0" applyBorder="1">
      <alignment horizontal="center" vertical="center"/>
    </xf>
    <xf numFmtId="49" fontId="14" fillId="0" borderId="149" xfId="0" applyNumberFormat="1" applyFont="1" applyBorder="1">
      <alignment horizontal="center" vertical="center"/>
    </xf>
    <xf numFmtId="0" fontId="14" fillId="0" borderId="158" xfId="0" applyFont="1" applyBorder="1" applyAlignment="1">
      <alignment horizontal="left" vertical="center"/>
    </xf>
    <xf numFmtId="0" fontId="14" fillId="0" borderId="158" xfId="0" applyFont="1" applyBorder="1">
      <alignment horizontal="center" vertical="center"/>
    </xf>
    <xf numFmtId="0" fontId="14" fillId="0" borderId="159" xfId="0" applyFont="1" applyBorder="1">
      <alignment horizontal="center" vertical="center"/>
    </xf>
    <xf numFmtId="49" fontId="14" fillId="0" borderId="127" xfId="0" applyNumberFormat="1" applyFont="1" applyBorder="1">
      <alignment horizontal="center" vertical="center"/>
    </xf>
    <xf numFmtId="49" fontId="6" fillId="0" borderId="157" xfId="0" applyNumberFormat="1" applyFont="1" applyBorder="1">
      <alignment horizontal="center" vertical="center"/>
    </xf>
    <xf numFmtId="0" fontId="6" fillId="0" borderId="127" xfId="0" applyFont="1" applyBorder="1">
      <alignment horizontal="center" vertical="center"/>
    </xf>
    <xf numFmtId="49" fontId="6" fillId="0" borderId="158" xfId="0" applyNumberFormat="1" applyFont="1" applyBorder="1">
      <alignment horizontal="center" vertical="center"/>
    </xf>
    <xf numFmtId="0" fontId="0" fillId="0" borderId="160" xfId="0" applyBorder="1">
      <alignment horizontal="center" vertical="center"/>
    </xf>
    <xf numFmtId="0" fontId="2" fillId="0" borderId="160" xfId="0" applyFont="1" applyBorder="1">
      <alignment horizontal="center" vertical="center"/>
    </xf>
    <xf numFmtId="0" fontId="2" fillId="0" borderId="161" xfId="0" applyFont="1" applyBorder="1" applyAlignment="1">
      <alignment horizontal="left" vertical="center"/>
    </xf>
    <xf numFmtId="0" fontId="2" fillId="0" borderId="161" xfId="0" applyFont="1" applyBorder="1">
      <alignment horizontal="center" vertical="center"/>
    </xf>
    <xf numFmtId="0" fontId="2" fillId="0" borderId="162" xfId="0" applyFont="1" applyBorder="1">
      <alignment horizontal="center" vertical="center"/>
    </xf>
    <xf numFmtId="49" fontId="2" fillId="0" borderId="160" xfId="0" applyNumberFormat="1" applyFont="1" applyBorder="1">
      <alignment horizontal="center" vertical="center"/>
    </xf>
    <xf numFmtId="0" fontId="6" fillId="0" borderId="160" xfId="0" applyFont="1" applyBorder="1">
      <alignment horizontal="center" vertical="center"/>
    </xf>
    <xf numFmtId="0" fontId="6" fillId="0" borderId="161" xfId="0" applyFont="1" applyBorder="1">
      <alignment horizontal="center" vertical="center"/>
    </xf>
    <xf numFmtId="0" fontId="6" fillId="0" borderId="162" xfId="0" applyFont="1" applyBorder="1">
      <alignment horizontal="center" vertical="center"/>
    </xf>
    <xf numFmtId="49" fontId="6" fillId="0" borderId="161" xfId="0" applyNumberFormat="1" applyFont="1" applyBorder="1">
      <alignment horizontal="center" vertical="center"/>
    </xf>
    <xf numFmtId="49" fontId="6" fillId="0" borderId="160" xfId="0" applyNumberFormat="1" applyFont="1" applyBorder="1">
      <alignment horizontal="center" vertical="center"/>
    </xf>
    <xf numFmtId="0" fontId="8" fillId="0" borderId="161" xfId="0" applyFont="1" applyBorder="1">
      <alignment horizontal="center" vertical="center"/>
    </xf>
    <xf numFmtId="0" fontId="8" fillId="0" borderId="163" xfId="0" applyFont="1" applyBorder="1">
      <alignment horizontal="center" vertical="center"/>
    </xf>
    <xf numFmtId="0" fontId="5" fillId="0" borderId="103" xfId="0" applyFont="1" applyBorder="1" applyAlignment="1">
      <alignment horizontal="center"/>
    </xf>
    <xf numFmtId="0" fontId="0" fillId="51" borderId="149" xfId="0" applyFill="1" applyBorder="1" applyAlignment="1">
      <alignment horizontal="left" vertical="center" wrapText="1"/>
    </xf>
    <xf numFmtId="49" fontId="0" fillId="51" borderId="164" xfId="0" applyNumberFormat="1" applyFill="1" applyBorder="1">
      <alignment horizontal="center" vertical="center"/>
    </xf>
    <xf numFmtId="0" fontId="6" fillId="52" borderId="164" xfId="48" applyBorder="1">
      <alignment horizontal="center" vertical="center"/>
    </xf>
    <xf numFmtId="49" fontId="0" fillId="53" borderId="164" xfId="0" applyNumberFormat="1" applyFill="1" applyBorder="1">
      <alignment horizontal="center" vertical="center"/>
    </xf>
    <xf numFmtId="49" fontId="0" fillId="52" borderId="164" xfId="0" applyNumberFormat="1" applyFill="1" applyBorder="1">
      <alignment horizontal="center" vertical="center"/>
    </xf>
    <xf numFmtId="0" fontId="6" fillId="58" borderId="164" xfId="33" applyBorder="1">
      <alignment horizontal="center" vertical="center"/>
    </xf>
    <xf numFmtId="0" fontId="0" fillId="51" borderId="164" xfId="0" applyFill="1" applyBorder="1">
      <alignment horizontal="center" vertical="center"/>
    </xf>
    <xf numFmtId="49" fontId="0" fillId="58" borderId="164" xfId="0" applyNumberFormat="1" applyFill="1" applyBorder="1">
      <alignment horizontal="center" vertical="center"/>
    </xf>
    <xf numFmtId="0" fontId="0" fillId="0" borderId="164" xfId="0" applyBorder="1">
      <alignment horizontal="center" vertical="center"/>
    </xf>
    <xf numFmtId="49" fontId="0" fillId="53" borderId="149" xfId="0" applyNumberFormat="1" applyFill="1" applyBorder="1">
      <alignment horizontal="center" vertical="center"/>
    </xf>
    <xf numFmtId="49" fontId="0" fillId="56" borderId="149" xfId="0" applyNumberFormat="1" applyFill="1" applyBorder="1">
      <alignment horizontal="center" vertical="center"/>
    </xf>
    <xf numFmtId="49" fontId="0" fillId="52" borderId="149" xfId="0" applyNumberFormat="1" applyFill="1" applyBorder="1">
      <alignment horizontal="center" vertical="center"/>
    </xf>
    <xf numFmtId="0" fontId="0" fillId="0" borderId="150" xfId="0" applyBorder="1">
      <alignment horizontal="center" vertical="center"/>
    </xf>
    <xf numFmtId="49" fontId="0" fillId="53" borderId="150" xfId="0" applyNumberFormat="1" applyFill="1" applyBorder="1">
      <alignment horizontal="center" vertical="center"/>
    </xf>
    <xf numFmtId="49" fontId="0" fillId="54" borderId="150" xfId="0" applyNumberFormat="1" applyFill="1" applyBorder="1">
      <alignment horizontal="center" vertical="center"/>
    </xf>
    <xf numFmtId="0" fontId="6" fillId="53" borderId="150" xfId="43" applyBorder="1">
      <alignment horizontal="center" vertical="center"/>
    </xf>
    <xf numFmtId="0" fontId="3" fillId="0" borderId="149" xfId="0" applyFont="1" applyBorder="1" applyAlignment="1">
      <alignment horizontal="center"/>
    </xf>
    <xf numFmtId="0" fontId="3" fillId="0" borderId="103" xfId="0" applyFont="1" applyBorder="1" applyAlignment="1">
      <alignment horizontal="center"/>
    </xf>
    <xf numFmtId="0" fontId="0" fillId="0" borderId="165" xfId="0" applyBorder="1" applyAlignment="1">
      <alignment horizontal="left" vertical="center"/>
    </xf>
    <xf numFmtId="0" fontId="3" fillId="0" borderId="166" xfId="0" applyFont="1" applyBorder="1" applyAlignment="1">
      <alignment horizontal="left"/>
    </xf>
    <xf numFmtId="0" fontId="0" fillId="0" borderId="167" xfId="0" applyBorder="1" applyAlignment="1">
      <alignment horizontal="left" vertical="center"/>
    </xf>
    <xf numFmtId="0" fontId="0" fillId="0" borderId="168" xfId="0" applyBorder="1" applyAlignment="1">
      <alignment horizontal="left" vertical="center"/>
    </xf>
    <xf numFmtId="49" fontId="0" fillId="0" borderId="165" xfId="0" applyNumberFormat="1" applyBorder="1" applyAlignment="1">
      <alignment horizontal="left"/>
    </xf>
    <xf numFmtId="0" fontId="2" fillId="0" borderId="149" xfId="0" applyFont="1" applyBorder="1" applyAlignment="1">
      <alignment horizontal="center"/>
    </xf>
    <xf numFmtId="0" fontId="0" fillId="0" borderId="169" xfId="0" applyBorder="1" applyAlignment="1">
      <alignment horizontal="left" vertical="center"/>
    </xf>
    <xf numFmtId="0" fontId="0" fillId="0" borderId="170" xfId="0" applyBorder="1" applyAlignment="1">
      <alignment horizontal="left" vertical="center"/>
    </xf>
    <xf numFmtId="49" fontId="0" fillId="0" borderId="170" xfId="0" applyNumberFormat="1" applyBorder="1" applyAlignment="1">
      <alignment horizontal="left"/>
    </xf>
    <xf numFmtId="0" fontId="3" fillId="0" borderId="149" xfId="0" applyFont="1" applyBorder="1" applyAlignment="1" applyProtection="1">
      <alignment horizontal="center"/>
      <protection locked="0"/>
    </xf>
    <xf numFmtId="0" fontId="3" fillId="0" borderId="149" xfId="0" applyFont="1" applyBorder="1" applyAlignment="1">
      <alignment horizontal="left"/>
    </xf>
    <xf numFmtId="0" fontId="0" fillId="51" borderId="171" xfId="0" applyFill="1" applyBorder="1">
      <alignment horizontal="center" vertical="center"/>
    </xf>
    <xf numFmtId="0" fontId="0" fillId="0" borderId="149" xfId="0" applyBorder="1" applyAlignment="1" applyProtection="1">
      <alignment horizontal="center"/>
      <protection locked="0"/>
    </xf>
    <xf numFmtId="0" fontId="0" fillId="0" borderId="149" xfId="0" applyBorder="1" applyAlignment="1">
      <alignment horizontal="left"/>
    </xf>
    <xf numFmtId="0" fontId="6" fillId="69" borderId="149" xfId="44" applyBorder="1">
      <alignment horizontal="center" vertical="center"/>
    </xf>
    <xf numFmtId="0" fontId="3" fillId="0" borderId="149" xfId="0" applyFont="1" applyBorder="1" applyAlignment="1">
      <alignment vertical="center"/>
    </xf>
    <xf numFmtId="0" fontId="6" fillId="52" borderId="149" xfId="48" applyBorder="1">
      <alignment horizontal="center" vertical="center"/>
    </xf>
    <xf numFmtId="0" fontId="6" fillId="54" borderId="149" xfId="50" applyBorder="1">
      <alignment horizontal="center" vertical="center"/>
    </xf>
    <xf numFmtId="0" fontId="2" fillId="0" borderId="149" xfId="0" applyFont="1" applyBorder="1" applyAlignment="1" applyProtection="1">
      <alignment horizontal="center"/>
      <protection locked="0"/>
    </xf>
    <xf numFmtId="0" fontId="0" fillId="51" borderId="171" xfId="48" applyFont="1" applyFill="1" applyBorder="1">
      <alignment horizontal="center" vertical="center"/>
    </xf>
    <xf numFmtId="0" fontId="0" fillId="51" borderId="171" xfId="51" applyFont="1" applyFill="1" applyBorder="1">
      <alignment horizontal="center" vertical="center"/>
    </xf>
    <xf numFmtId="0" fontId="6" fillId="60" borderId="149" xfId="51" applyBorder="1">
      <alignment horizontal="center" vertical="center"/>
    </xf>
    <xf numFmtId="0" fontId="6" fillId="60" borderId="171" xfId="51" applyBorder="1">
      <alignment horizontal="center" vertical="center"/>
    </xf>
    <xf numFmtId="0" fontId="6" fillId="72" borderId="149" xfId="52" applyBorder="1">
      <alignment horizontal="center" vertical="center"/>
    </xf>
    <xf numFmtId="0" fontId="0" fillId="0" borderId="171" xfId="0" applyBorder="1">
      <alignment horizontal="center" vertical="center"/>
    </xf>
    <xf numFmtId="0" fontId="3" fillId="0" borderId="172" xfId="0" applyFont="1" applyBorder="1">
      <alignment horizontal="center" vertical="center"/>
    </xf>
    <xf numFmtId="49" fontId="0" fillId="51" borderId="171" xfId="0" applyNumberFormat="1" applyFill="1" applyBorder="1">
      <alignment horizontal="center" vertical="center"/>
    </xf>
    <xf numFmtId="0" fontId="0" fillId="51" borderId="149" xfId="33" applyFont="1" applyFill="1" applyBorder="1">
      <alignment horizontal="center" vertical="center"/>
    </xf>
    <xf numFmtId="0" fontId="6" fillId="0" borderId="149" xfId="0" applyFont="1" applyBorder="1" applyAlignment="1">
      <alignment vertical="center"/>
    </xf>
    <xf numFmtId="0" fontId="6" fillId="51" borderId="149" xfId="0" applyFont="1" applyFill="1" applyBorder="1" applyAlignment="1">
      <alignment vertical="center"/>
    </xf>
    <xf numFmtId="0" fontId="3" fillId="0" borderId="173" xfId="0" applyFont="1" applyBorder="1" applyAlignment="1">
      <alignment horizontal="center"/>
    </xf>
    <xf numFmtId="0" fontId="2" fillId="0" borderId="165" xfId="0" applyFont="1" applyBorder="1" applyAlignment="1">
      <alignment horizontal="left"/>
    </xf>
    <xf numFmtId="0" fontId="2" fillId="0" borderId="166" xfId="0" applyFont="1" applyBorder="1" applyAlignment="1">
      <alignment horizontal="left"/>
    </xf>
    <xf numFmtId="0" fontId="3" fillId="0" borderId="165" xfId="0" applyFont="1" applyBorder="1" applyAlignment="1">
      <alignment horizontal="left"/>
    </xf>
    <xf numFmtId="0" fontId="3" fillId="0" borderId="174" xfId="0" applyFont="1" applyBorder="1" applyAlignment="1">
      <alignment horizontal="center"/>
    </xf>
    <xf numFmtId="0" fontId="3" fillId="0" borderId="170" xfId="0" applyFont="1" applyBorder="1" applyAlignment="1">
      <alignment horizontal="left"/>
    </xf>
    <xf numFmtId="0" fontId="2" fillId="0" borderId="175" xfId="0" applyFont="1" applyBorder="1" applyAlignment="1">
      <alignment horizontal="center"/>
    </xf>
    <xf numFmtId="0" fontId="0" fillId="0" borderId="176" xfId="0" applyBorder="1" applyAlignment="1" applyProtection="1">
      <alignment horizontal="center"/>
      <protection locked="0"/>
    </xf>
    <xf numFmtId="0" fontId="51" fillId="56" borderId="149" xfId="46" applyBorder="1">
      <alignment horizontal="center" vertical="center"/>
    </xf>
    <xf numFmtId="0" fontId="0" fillId="0" borderId="176" xfId="0" applyBorder="1" applyAlignment="1">
      <alignment vertical="center"/>
    </xf>
    <xf numFmtId="0" fontId="0" fillId="0" borderId="165" xfId="0" applyBorder="1" applyAlignment="1" applyProtection="1">
      <alignment horizontal="center"/>
      <protection locked="0"/>
    </xf>
    <xf numFmtId="0" fontId="0" fillId="43" borderId="177" xfId="0" applyFill="1" applyBorder="1" applyAlignment="1">
      <alignment horizontal="center"/>
    </xf>
    <xf numFmtId="0" fontId="46" fillId="0" borderId="177" xfId="0" applyFont="1" applyBorder="1" applyAlignment="1">
      <alignment horizontal="left" vertical="center"/>
    </xf>
    <xf numFmtId="0" fontId="0" fillId="0" borderId="127" xfId="0" applyBorder="1" applyAlignment="1">
      <alignment horizontal="left" vertical="center"/>
    </xf>
    <xf numFmtId="0" fontId="6" fillId="53" borderId="176" xfId="43" applyBorder="1">
      <alignment horizontal="center" vertical="center"/>
    </xf>
    <xf numFmtId="0" fontId="0" fillId="0" borderId="178" xfId="0" applyBorder="1" applyAlignment="1" applyProtection="1">
      <alignment horizontal="center"/>
      <protection locked="0"/>
    </xf>
    <xf numFmtId="0" fontId="0" fillId="0" borderId="179" xfId="0" applyBorder="1" applyAlignment="1">
      <alignment horizontal="left" vertical="center"/>
    </xf>
    <xf numFmtId="0" fontId="0" fillId="0" borderId="177" xfId="0" applyBorder="1">
      <alignment horizontal="center" vertical="center"/>
    </xf>
    <xf numFmtId="49" fontId="0" fillId="0" borderId="165" xfId="0" applyNumberFormat="1" applyBorder="1" applyAlignment="1"/>
    <xf numFmtId="0" fontId="3" fillId="0" borderId="178" xfId="0" applyFont="1" applyBorder="1" applyAlignment="1" applyProtection="1">
      <alignment horizontal="center"/>
      <protection locked="0"/>
    </xf>
    <xf numFmtId="0" fontId="5" fillId="0" borderId="178" xfId="0" applyFont="1" applyBorder="1" applyAlignment="1">
      <alignment horizontal="center"/>
    </xf>
    <xf numFmtId="0" fontId="0" fillId="0" borderId="176" xfId="0" applyBorder="1" applyAlignment="1" applyProtection="1">
      <alignment horizontal="left"/>
      <protection locked="0"/>
    </xf>
    <xf numFmtId="0" fontId="12" fillId="0" borderId="176" xfId="0" applyFont="1" applyBorder="1" applyAlignment="1">
      <alignment vertical="center"/>
    </xf>
    <xf numFmtId="0" fontId="14" fillId="0" borderId="176" xfId="0" applyFont="1" applyBorder="1" applyAlignment="1">
      <alignment vertical="center"/>
    </xf>
    <xf numFmtId="0" fontId="0" fillId="0" borderId="172" xfId="0" applyBorder="1" applyAlignment="1">
      <alignment vertical="center"/>
    </xf>
    <xf numFmtId="1" fontId="0" fillId="51" borderId="149" xfId="32" applyNumberFormat="1" applyFont="1" applyFill="1" applyBorder="1" applyAlignment="1">
      <alignment horizontal="center" vertical="center"/>
    </xf>
    <xf numFmtId="0" fontId="0" fillId="0" borderId="150" xfId="0" applyBorder="1" applyAlignment="1">
      <alignment vertical="center"/>
    </xf>
    <xf numFmtId="49" fontId="0" fillId="51" borderId="180" xfId="0" applyNumberFormat="1" applyFill="1" applyBorder="1">
      <alignment horizontal="center" vertical="center"/>
    </xf>
    <xf numFmtId="49" fontId="0" fillId="51" borderId="178" xfId="0" applyNumberFormat="1" applyFill="1" applyBorder="1">
      <alignment horizontal="center" vertical="center"/>
    </xf>
    <xf numFmtId="0" fontId="0" fillId="51" borderId="178" xfId="0" applyFill="1" applyBorder="1">
      <alignment horizontal="center" vertical="center"/>
    </xf>
    <xf numFmtId="0" fontId="5" fillId="44" borderId="165" xfId="0" applyFont="1" applyFill="1" applyBorder="1" applyAlignment="1">
      <alignment horizontal="left"/>
    </xf>
    <xf numFmtId="0" fontId="5" fillId="25" borderId="165" xfId="0" applyFont="1" applyFill="1" applyBorder="1">
      <alignment horizontal="center" vertical="center"/>
    </xf>
    <xf numFmtId="0" fontId="6" fillId="25" borderId="166" xfId="0" applyFont="1" applyFill="1" applyBorder="1">
      <alignment horizontal="center" vertical="center"/>
    </xf>
    <xf numFmtId="0" fontId="5" fillId="29" borderId="165" xfId="0" applyFont="1" applyFill="1" applyBorder="1" applyAlignment="1">
      <alignment horizontal="left"/>
    </xf>
    <xf numFmtId="0" fontId="5" fillId="29" borderId="166" xfId="0" applyFont="1" applyFill="1" applyBorder="1" applyAlignment="1">
      <alignment horizontal="left"/>
    </xf>
    <xf numFmtId="0" fontId="6" fillId="29" borderId="166" xfId="0" applyFont="1" applyFill="1" applyBorder="1">
      <alignment horizontal="center" vertical="center"/>
    </xf>
    <xf numFmtId="0" fontId="6" fillId="29" borderId="167" xfId="0" applyFont="1" applyFill="1" applyBorder="1">
      <alignment horizontal="center" vertical="center"/>
    </xf>
    <xf numFmtId="0" fontId="5" fillId="37" borderId="165" xfId="0" applyFont="1" applyFill="1" applyBorder="1" applyAlignment="1">
      <alignment horizontal="left"/>
    </xf>
    <xf numFmtId="0" fontId="5" fillId="37" borderId="166" xfId="0" applyFont="1" applyFill="1" applyBorder="1" applyAlignment="1">
      <alignment horizontal="left"/>
    </xf>
    <xf numFmtId="0" fontId="0" fillId="37" borderId="166" xfId="0" applyFill="1" applyBorder="1">
      <alignment horizontal="center" vertical="center"/>
    </xf>
    <xf numFmtId="0" fontId="5" fillId="45" borderId="165" xfId="0" applyFont="1" applyFill="1" applyBorder="1" applyAlignment="1">
      <alignment horizontal="left"/>
    </xf>
    <xf numFmtId="0" fontId="0" fillId="45" borderId="166" xfId="0" applyFill="1" applyBorder="1">
      <alignment horizontal="center" vertical="center"/>
    </xf>
    <xf numFmtId="0" fontId="6" fillId="45" borderId="166" xfId="0" applyFont="1" applyFill="1" applyBorder="1">
      <alignment horizontal="center" vertical="center"/>
    </xf>
    <xf numFmtId="0" fontId="6" fillId="45" borderId="167" xfId="0" applyFont="1" applyFill="1" applyBorder="1">
      <alignment horizontal="center" vertical="center"/>
    </xf>
    <xf numFmtId="0" fontId="5" fillId="24" borderId="165" xfId="0" applyFont="1" applyFill="1" applyBorder="1">
      <alignment horizontal="center" vertical="center"/>
    </xf>
    <xf numFmtId="0" fontId="0" fillId="24" borderId="166" xfId="0" applyFill="1" applyBorder="1">
      <alignment horizontal="center" vertical="center"/>
    </xf>
    <xf numFmtId="0" fontId="6" fillId="24" borderId="166" xfId="0" applyFont="1" applyFill="1" applyBorder="1">
      <alignment horizontal="center" vertical="center"/>
    </xf>
    <xf numFmtId="0" fontId="5" fillId="40" borderId="165" xfId="0" applyFont="1" applyFill="1" applyBorder="1" applyAlignment="1">
      <alignment horizontal="left"/>
    </xf>
    <xf numFmtId="0" fontId="6" fillId="40" borderId="166" xfId="0" applyFont="1" applyFill="1" applyBorder="1">
      <alignment horizontal="center" vertical="center"/>
    </xf>
    <xf numFmtId="0" fontId="0" fillId="40" borderId="167" xfId="0" applyFill="1" applyBorder="1">
      <alignment horizontal="center" vertical="center"/>
    </xf>
    <xf numFmtId="0" fontId="0" fillId="46" borderId="181" xfId="0" applyFill="1" applyBorder="1">
      <alignment horizontal="center" vertical="center"/>
    </xf>
    <xf numFmtId="0" fontId="6" fillId="46" borderId="181" xfId="0" applyFont="1" applyFill="1" applyBorder="1">
      <alignment horizontal="center" vertical="center"/>
    </xf>
    <xf numFmtId="0" fontId="6" fillId="46" borderId="182" xfId="0" applyFont="1" applyFill="1" applyBorder="1">
      <alignment horizontal="center" vertical="center"/>
    </xf>
    <xf numFmtId="0" fontId="5" fillId="0" borderId="183" xfId="0" applyFont="1" applyBorder="1" applyAlignment="1">
      <alignment horizontal="left" vertical="center"/>
    </xf>
    <xf numFmtId="0" fontId="6" fillId="0" borderId="181" xfId="0" applyFont="1" applyBorder="1">
      <alignment horizontal="center" vertical="center"/>
    </xf>
    <xf numFmtId="0" fontId="6" fillId="0" borderId="182" xfId="0" applyFont="1" applyBorder="1">
      <alignment horizontal="center" vertical="center"/>
    </xf>
    <xf numFmtId="0" fontId="5" fillId="39" borderId="176" xfId="0" applyFont="1" applyFill="1" applyBorder="1" applyAlignment="1">
      <alignment horizontal="left"/>
    </xf>
    <xf numFmtId="0" fontId="5" fillId="47" borderId="165" xfId="0" applyFont="1" applyFill="1" applyBorder="1">
      <alignment horizontal="center" vertical="center"/>
    </xf>
    <xf numFmtId="0" fontId="6" fillId="47" borderId="166" xfId="0" applyFont="1" applyFill="1" applyBorder="1">
      <alignment horizontal="center" vertical="center"/>
    </xf>
    <xf numFmtId="0" fontId="6" fillId="0" borderId="165" xfId="0" applyFont="1" applyBorder="1" applyAlignment="1">
      <alignment horizontal="left"/>
    </xf>
    <xf numFmtId="0" fontId="0" fillId="0" borderId="166" xfId="0" applyBorder="1">
      <alignment horizontal="center" vertical="center"/>
    </xf>
    <xf numFmtId="0" fontId="6" fillId="0" borderId="166" xfId="0" applyFont="1" applyBorder="1" applyAlignment="1">
      <alignment horizontal="left"/>
    </xf>
    <xf numFmtId="0" fontId="6" fillId="0" borderId="166" xfId="0" applyFont="1" applyBorder="1">
      <alignment horizontal="center" vertical="center"/>
    </xf>
    <xf numFmtId="0" fontId="6" fillId="0" borderId="167" xfId="0" applyFont="1" applyBorder="1">
      <alignment horizontal="center" vertical="center"/>
    </xf>
    <xf numFmtId="0" fontId="6" fillId="48" borderId="165" xfId="0" applyFont="1" applyFill="1" applyBorder="1" applyAlignment="1">
      <alignment horizontal="left" vertical="center"/>
    </xf>
    <xf numFmtId="0" fontId="6" fillId="48" borderId="166" xfId="0" applyFont="1" applyFill="1" applyBorder="1">
      <alignment horizontal="center" vertical="center"/>
    </xf>
    <xf numFmtId="0" fontId="6" fillId="48" borderId="167" xfId="0" applyFont="1" applyFill="1" applyBorder="1">
      <alignment horizontal="center" vertical="center"/>
    </xf>
    <xf numFmtId="0" fontId="3" fillId="0" borderId="165" xfId="0" applyFont="1" applyBorder="1" applyAlignment="1">
      <alignment horizontal="left" vertical="center"/>
    </xf>
    <xf numFmtId="0" fontId="0" fillId="0" borderId="167" xfId="0" applyBorder="1">
      <alignment horizontal="center" vertical="center"/>
    </xf>
    <xf numFmtId="0" fontId="0" fillId="0" borderId="184" xfId="0" applyBorder="1">
      <alignment horizontal="center" vertical="center"/>
    </xf>
    <xf numFmtId="0" fontId="3" fillId="0" borderId="166" xfId="0" applyFont="1" applyBorder="1" applyAlignment="1">
      <alignment horizontal="left" vertical="center"/>
    </xf>
    <xf numFmtId="0" fontId="0" fillId="0" borderId="185" xfId="0" applyBorder="1">
      <alignment horizontal="center" vertical="center"/>
    </xf>
    <xf numFmtId="0" fontId="13" fillId="0" borderId="183" xfId="0" applyFont="1" applyBorder="1">
      <alignment horizontal="center" vertical="center"/>
    </xf>
    <xf numFmtId="0" fontId="0" fillId="0" borderId="181" xfId="0" applyBorder="1">
      <alignment horizontal="center" vertical="center"/>
    </xf>
    <xf numFmtId="0" fontId="0" fillId="0" borderId="182" xfId="0" applyBorder="1">
      <alignment horizontal="center" vertical="center"/>
    </xf>
    <xf numFmtId="0" fontId="3" fillId="0" borderId="165" xfId="0" applyFont="1" applyBorder="1">
      <alignment horizontal="center" vertical="center"/>
    </xf>
    <xf numFmtId="0" fontId="0" fillId="0" borderId="177" xfId="0" applyBorder="1" applyAlignment="1" applyProtection="1">
      <alignment horizontal="center"/>
      <protection locked="0"/>
    </xf>
    <xf numFmtId="0" fontId="5" fillId="0" borderId="177" xfId="0" applyFont="1" applyBorder="1" applyAlignment="1">
      <alignment horizontal="center"/>
    </xf>
    <xf numFmtId="0" fontId="0" fillId="51" borderId="177" xfId="0" applyFill="1" applyBorder="1">
      <alignment horizontal="center" vertical="center"/>
    </xf>
    <xf numFmtId="0" fontId="0" fillId="70" borderId="177" xfId="0" applyFill="1" applyBorder="1">
      <alignment horizontal="center" vertical="center"/>
    </xf>
    <xf numFmtId="0" fontId="0" fillId="51" borderId="186" xfId="0" applyFill="1" applyBorder="1">
      <alignment horizontal="center" vertical="center"/>
    </xf>
    <xf numFmtId="0" fontId="5" fillId="0" borderId="149" xfId="0" applyFont="1" applyBorder="1">
      <alignment horizontal="center" vertical="center"/>
    </xf>
    <xf numFmtId="0" fontId="3" fillId="24" borderId="176" xfId="0" applyFont="1" applyFill="1" applyBorder="1" applyAlignment="1">
      <alignment horizontal="left" vertical="center"/>
    </xf>
    <xf numFmtId="0" fontId="0" fillId="24" borderId="176" xfId="0" applyFill="1" applyBorder="1">
      <alignment horizontal="center" vertical="center"/>
    </xf>
    <xf numFmtId="0" fontId="0" fillId="24" borderId="187" xfId="0" applyFill="1" applyBorder="1">
      <alignment horizontal="center" vertical="center"/>
    </xf>
    <xf numFmtId="0" fontId="0" fillId="43" borderId="176" xfId="0" applyFill="1" applyBorder="1" applyAlignment="1" applyProtection="1">
      <alignment horizontal="center"/>
      <protection locked="0"/>
    </xf>
    <xf numFmtId="0" fontId="5" fillId="0" borderId="176" xfId="0" applyFont="1" applyBorder="1" applyAlignment="1">
      <alignment horizontal="left" vertical="center"/>
    </xf>
    <xf numFmtId="0" fontId="0" fillId="51" borderId="176" xfId="43" applyFont="1" applyFill="1" applyBorder="1">
      <alignment horizontal="center" vertical="center"/>
    </xf>
    <xf numFmtId="1" fontId="0" fillId="51" borderId="176" xfId="0" applyNumberFormat="1" applyFill="1" applyBorder="1">
      <alignment horizontal="center" vertical="center"/>
    </xf>
    <xf numFmtId="1" fontId="0" fillId="51" borderId="176" xfId="32" applyNumberFormat="1" applyFont="1" applyFill="1" applyBorder="1" applyAlignment="1">
      <alignment horizontal="center" vertical="center"/>
    </xf>
    <xf numFmtId="0" fontId="0" fillId="51" borderId="176" xfId="0" applyFill="1" applyBorder="1">
      <alignment horizontal="center" vertical="center"/>
    </xf>
    <xf numFmtId="0" fontId="6" fillId="52" borderId="176" xfId="48" applyBorder="1">
      <alignment horizontal="center" vertical="center"/>
    </xf>
    <xf numFmtId="1" fontId="0" fillId="51" borderId="187" xfId="0" applyNumberFormat="1" applyFill="1" applyBorder="1">
      <alignment horizontal="center" vertical="center"/>
    </xf>
    <xf numFmtId="0" fontId="0" fillId="0" borderId="176" xfId="0" applyBorder="1" applyAlignment="1">
      <alignment horizontal="left" vertical="center"/>
    </xf>
    <xf numFmtId="0" fontId="0" fillId="51" borderId="176" xfId="44" applyFont="1" applyFill="1" applyBorder="1">
      <alignment horizontal="center" vertical="center"/>
    </xf>
    <xf numFmtId="0" fontId="0" fillId="74" borderId="176" xfId="44" applyFont="1" applyFill="1" applyBorder="1">
      <alignment horizontal="center" vertical="center"/>
    </xf>
    <xf numFmtId="1" fontId="0" fillId="74" borderId="176" xfId="0" applyNumberFormat="1" applyFill="1" applyBorder="1">
      <alignment horizontal="center" vertical="center"/>
    </xf>
    <xf numFmtId="1" fontId="0" fillId="74" borderId="176" xfId="32" applyNumberFormat="1" applyFont="1" applyFill="1" applyBorder="1" applyAlignment="1">
      <alignment horizontal="center" vertical="center"/>
    </xf>
    <xf numFmtId="0" fontId="0" fillId="51" borderId="176" xfId="49" applyFont="1" applyFill="1" applyBorder="1">
      <alignment horizontal="center" vertical="center"/>
    </xf>
    <xf numFmtId="1" fontId="0" fillId="53" borderId="176" xfId="0" applyNumberFormat="1" applyFill="1" applyBorder="1">
      <alignment horizontal="center" vertical="center"/>
    </xf>
    <xf numFmtId="0" fontId="0" fillId="53" borderId="176" xfId="44" applyFont="1" applyFill="1" applyBorder="1">
      <alignment horizontal="center" vertical="center"/>
    </xf>
    <xf numFmtId="0" fontId="6" fillId="54" borderId="176" xfId="50" applyBorder="1">
      <alignment horizontal="center" vertical="center"/>
    </xf>
    <xf numFmtId="1" fontId="0" fillId="51" borderId="176" xfId="44" applyNumberFormat="1" applyFont="1" applyFill="1" applyBorder="1">
      <alignment horizontal="center" vertical="center"/>
    </xf>
    <xf numFmtId="0" fontId="3" fillId="24" borderId="177" xfId="0" applyFont="1" applyFill="1" applyBorder="1" applyAlignment="1" applyProtection="1">
      <alignment horizontal="left"/>
      <protection locked="0"/>
    </xf>
    <xf numFmtId="0" fontId="3" fillId="24" borderId="177" xfId="0" applyFont="1" applyFill="1" applyBorder="1">
      <alignment horizontal="center" vertical="center"/>
    </xf>
    <xf numFmtId="1" fontId="0" fillId="24" borderId="177" xfId="0" applyNumberFormat="1" applyFill="1" applyBorder="1">
      <alignment horizontal="center" vertical="center"/>
    </xf>
    <xf numFmtId="0" fontId="0" fillId="24" borderId="186" xfId="0" applyFill="1" applyBorder="1">
      <alignment horizontal="center" vertical="center"/>
    </xf>
    <xf numFmtId="0" fontId="0" fillId="0" borderId="149" xfId="0" applyBorder="1">
      <alignment horizontal="center" vertical="center"/>
    </xf>
    <xf numFmtId="173" fontId="0" fillId="0" borderId="149" xfId="0" applyNumberFormat="1" applyBorder="1">
      <alignment horizontal="center" vertical="center"/>
    </xf>
    <xf numFmtId="0" fontId="0" fillId="43" borderId="149" xfId="0" applyFill="1" applyBorder="1" applyAlignment="1" applyProtection="1">
      <alignment horizontal="center"/>
      <protection locked="0"/>
    </xf>
    <xf numFmtId="0" fontId="0" fillId="0" borderId="149" xfId="0" applyBorder="1" applyAlignment="1">
      <alignment horizontal="left" vertical="center"/>
    </xf>
    <xf numFmtId="0" fontId="0" fillId="51" borderId="149" xfId="0" applyFill="1" applyBorder="1">
      <alignment horizontal="center" vertical="center"/>
    </xf>
    <xf numFmtId="0" fontId="0" fillId="51" borderId="149" xfId="44" applyFont="1" applyFill="1" applyBorder="1">
      <alignment horizontal="center" vertical="center"/>
    </xf>
    <xf numFmtId="0" fontId="0" fillId="55" borderId="149" xfId="0" applyFill="1" applyBorder="1">
      <alignment horizontal="center" vertical="center"/>
    </xf>
    <xf numFmtId="0" fontId="0" fillId="71" borderId="149" xfId="0" applyFill="1" applyBorder="1">
      <alignment horizontal="center" vertical="center"/>
    </xf>
    <xf numFmtId="0" fontId="0" fillId="51" borderId="145" xfId="0" applyFill="1" applyBorder="1">
      <alignment horizontal="center" vertical="center"/>
    </xf>
    <xf numFmtId="0" fontId="0" fillId="51" borderId="149" xfId="48" applyFont="1" applyFill="1" applyBorder="1">
      <alignment horizontal="center" vertical="center"/>
    </xf>
    <xf numFmtId="0" fontId="6" fillId="55" borderId="149" xfId="45" applyBorder="1">
      <alignment horizontal="center" vertical="center"/>
    </xf>
    <xf numFmtId="0" fontId="6" fillId="0" borderId="149" xfId="0" applyFont="1" applyBorder="1" applyAlignment="1">
      <alignment horizontal="left" vertical="center"/>
    </xf>
    <xf numFmtId="0" fontId="0" fillId="51" borderId="149" xfId="43" applyFont="1" applyFill="1" applyBorder="1">
      <alignment horizontal="center" vertical="center"/>
    </xf>
    <xf numFmtId="0" fontId="0" fillId="51" borderId="149" xfId="46" applyFont="1" applyFill="1" applyBorder="1">
      <alignment horizontal="center" vertical="center"/>
    </xf>
    <xf numFmtId="0" fontId="0" fillId="43" borderId="150" xfId="0" applyFill="1" applyBorder="1" applyAlignment="1" applyProtection="1">
      <alignment horizontal="center"/>
      <protection locked="0"/>
    </xf>
    <xf numFmtId="0" fontId="0" fillId="0" borderId="149" xfId="0" applyBorder="1" applyAlignment="1">
      <alignment vertical="center"/>
    </xf>
    <xf numFmtId="0" fontId="6" fillId="53" borderId="149" xfId="43" applyBorder="1">
      <alignment horizontal="center" vertical="center"/>
    </xf>
    <xf numFmtId="0" fontId="6" fillId="53" borderId="145" xfId="43" applyBorder="1">
      <alignment horizontal="center" vertical="center"/>
    </xf>
    <xf numFmtId="0" fontId="3" fillId="0" borderId="188" xfId="0" applyFont="1" applyBorder="1" applyAlignment="1">
      <alignment horizontal="left" vertical="center"/>
    </xf>
    <xf numFmtId="0" fontId="3" fillId="0" borderId="165" xfId="0" applyFont="1" applyBorder="1" applyAlignment="1">
      <alignment vertical="center"/>
    </xf>
    <xf numFmtId="0" fontId="13" fillId="0" borderId="166" xfId="0" applyFont="1" applyBorder="1">
      <alignment horizontal="center" vertical="center"/>
    </xf>
    <xf numFmtId="0" fontId="3" fillId="0" borderId="183" xfId="0" applyFont="1" applyBorder="1" applyAlignment="1">
      <alignment horizontal="left" vertical="center"/>
    </xf>
    <xf numFmtId="0" fontId="13" fillId="0" borderId="181" xfId="0" applyFont="1" applyBorder="1">
      <alignment horizontal="center" vertical="center"/>
    </xf>
    <xf numFmtId="0" fontId="3" fillId="0" borderId="181" xfId="0" applyFont="1" applyBorder="1">
      <alignment horizontal="center" vertical="center"/>
    </xf>
    <xf numFmtId="0" fontId="3" fillId="0" borderId="173" xfId="0" applyFont="1" applyBorder="1" applyAlignment="1">
      <alignment horizontal="left" vertical="center"/>
    </xf>
    <xf numFmtId="0" fontId="0" fillId="0" borderId="165" xfId="0" applyBorder="1" applyAlignment="1">
      <alignment vertical="center"/>
    </xf>
    <xf numFmtId="0" fontId="0" fillId="0" borderId="166" xfId="0" applyBorder="1" applyAlignment="1">
      <alignment horizontal="left" vertical="center"/>
    </xf>
    <xf numFmtId="0" fontId="0" fillId="0" borderId="189" xfId="0" applyBorder="1">
      <alignment horizontal="center" vertical="center"/>
    </xf>
    <xf numFmtId="0" fontId="3" fillId="0" borderId="174" xfId="0" applyFont="1" applyBorder="1" applyAlignment="1">
      <alignment horizontal="left" vertical="center"/>
    </xf>
    <xf numFmtId="0" fontId="0" fillId="0" borderId="175" xfId="0" applyBorder="1">
      <alignment horizontal="center" vertical="center"/>
    </xf>
    <xf numFmtId="0" fontId="0" fillId="0" borderId="170" xfId="0" applyBorder="1" applyAlignment="1">
      <alignment vertical="center"/>
    </xf>
    <xf numFmtId="0" fontId="0" fillId="0" borderId="190" xfId="0" applyBorder="1">
      <alignment horizontal="center" vertical="center"/>
    </xf>
    <xf numFmtId="0" fontId="3" fillId="0" borderId="170" xfId="0" applyFont="1" applyBorder="1">
      <alignment horizontal="center" vertical="center"/>
    </xf>
    <xf numFmtId="0" fontId="0" fillId="0" borderId="175" xfId="0" applyBorder="1" applyAlignment="1">
      <alignment horizontal="left" vertical="center"/>
    </xf>
    <xf numFmtId="0" fontId="13" fillId="0" borderId="175" xfId="0" applyFont="1" applyBorder="1">
      <alignment horizontal="center" vertical="center"/>
    </xf>
    <xf numFmtId="0" fontId="3" fillId="0" borderId="175" xfId="0" applyFont="1" applyBorder="1" applyAlignment="1">
      <alignment horizontal="left" vertical="center"/>
    </xf>
    <xf numFmtId="0" fontId="0" fillId="0" borderId="191" xfId="0" applyBorder="1">
      <alignment horizontal="center" vertical="center"/>
    </xf>
    <xf numFmtId="0" fontId="0" fillId="0" borderId="172" xfId="0" applyBorder="1" applyAlignment="1" applyProtection="1">
      <alignment horizontal="center"/>
      <protection locked="0"/>
    </xf>
    <xf numFmtId="0" fontId="5" fillId="0" borderId="172" xfId="0" applyFont="1" applyBorder="1" applyAlignment="1">
      <alignment horizontal="center"/>
    </xf>
    <xf numFmtId="0" fontId="0" fillId="43" borderId="192" xfId="0" applyFill="1" applyBorder="1" applyAlignment="1" applyProtection="1">
      <alignment horizontal="center"/>
      <protection locked="0"/>
    </xf>
    <xf numFmtId="0" fontId="0" fillId="71" borderId="176" xfId="43" applyFont="1" applyFill="1" applyBorder="1">
      <alignment horizontal="center" vertical="center"/>
    </xf>
    <xf numFmtId="0" fontId="35" fillId="23" borderId="176" xfId="32" applyBorder="1" applyAlignment="1">
      <alignment horizontal="center" vertical="center"/>
    </xf>
    <xf numFmtId="0" fontId="0" fillId="55" borderId="176" xfId="43" applyFont="1" applyFill="1" applyBorder="1">
      <alignment horizontal="center" vertical="center"/>
    </xf>
    <xf numFmtId="0" fontId="6" fillId="74" borderId="176" xfId="52" applyFill="1" applyBorder="1">
      <alignment horizontal="center" vertical="center"/>
    </xf>
    <xf numFmtId="0" fontId="6" fillId="51" borderId="176" xfId="52" applyFill="1" applyBorder="1">
      <alignment horizontal="center" vertical="center"/>
    </xf>
    <xf numFmtId="0" fontId="0" fillId="51" borderId="187" xfId="0" applyFill="1" applyBorder="1">
      <alignment horizontal="center" vertical="center"/>
    </xf>
    <xf numFmtId="0" fontId="0" fillId="43" borderId="193" xfId="0" applyFill="1" applyBorder="1" applyAlignment="1" applyProtection="1">
      <alignment horizontal="center"/>
      <protection locked="0"/>
    </xf>
    <xf numFmtId="0" fontId="0" fillId="0" borderId="177" xfId="0" applyBorder="1" applyAlignment="1">
      <alignment horizontal="left" vertical="center"/>
    </xf>
    <xf numFmtId="49" fontId="0" fillId="51" borderId="177" xfId="0" applyNumberFormat="1" applyFill="1" applyBorder="1">
      <alignment horizontal="center" vertical="center"/>
    </xf>
    <xf numFmtId="0" fontId="0" fillId="51" borderId="177" xfId="48" applyFont="1" applyFill="1" applyBorder="1">
      <alignment horizontal="center" vertical="center"/>
    </xf>
    <xf numFmtId="0" fontId="6" fillId="55" borderId="177" xfId="45" applyBorder="1">
      <alignment horizontal="center" vertical="center"/>
    </xf>
    <xf numFmtId="0" fontId="6" fillId="52" borderId="177" xfId="48" applyBorder="1">
      <alignment horizontal="center" vertical="center"/>
    </xf>
    <xf numFmtId="49" fontId="0" fillId="51" borderId="186" xfId="0" applyNumberFormat="1" applyFill="1" applyBorder="1">
      <alignment horizontal="center" vertical="center"/>
    </xf>
    <xf numFmtId="49" fontId="0" fillId="51" borderId="176" xfId="0" applyNumberFormat="1" applyFill="1" applyBorder="1">
      <alignment horizontal="center" vertical="center"/>
    </xf>
    <xf numFmtId="0" fontId="0" fillId="51" borderId="176" xfId="48" applyFont="1" applyFill="1" applyBorder="1">
      <alignment horizontal="center" vertical="center"/>
    </xf>
    <xf numFmtId="0" fontId="0" fillId="51" borderId="176" xfId="45" applyFont="1" applyFill="1" applyBorder="1">
      <alignment horizontal="center" vertical="center"/>
    </xf>
    <xf numFmtId="0" fontId="6" fillId="55" borderId="176" xfId="45" applyBorder="1">
      <alignment horizontal="center" vertical="center"/>
    </xf>
    <xf numFmtId="49" fontId="0" fillId="51" borderId="187" xfId="0" applyNumberFormat="1" applyFill="1" applyBorder="1">
      <alignment horizontal="center" vertical="center"/>
    </xf>
    <xf numFmtId="0" fontId="0" fillId="0" borderId="177" xfId="0" applyBorder="1" applyAlignment="1">
      <alignment vertical="center"/>
    </xf>
    <xf numFmtId="0" fontId="0" fillId="53" borderId="177" xfId="48" applyFont="1" applyFill="1" applyBorder="1">
      <alignment horizontal="center" vertical="center"/>
    </xf>
    <xf numFmtId="49" fontId="0" fillId="53" borderId="177" xfId="0" applyNumberFormat="1" applyFill="1" applyBorder="1">
      <alignment horizontal="center" vertical="center"/>
    </xf>
    <xf numFmtId="0" fontId="0" fillId="53" borderId="177" xfId="0" applyFill="1" applyBorder="1">
      <alignment horizontal="center" vertical="center"/>
    </xf>
    <xf numFmtId="0" fontId="0" fillId="53" borderId="177" xfId="44" applyFont="1" applyFill="1" applyBorder="1">
      <alignment horizontal="center" vertical="center"/>
    </xf>
    <xf numFmtId="0" fontId="0" fillId="51" borderId="176" xfId="46" applyFont="1" applyFill="1" applyBorder="1">
      <alignment horizontal="center" vertical="center"/>
    </xf>
    <xf numFmtId="0" fontId="0" fillId="51" borderId="177" xfId="44" applyFont="1" applyFill="1" applyBorder="1">
      <alignment horizontal="center" vertical="center"/>
    </xf>
    <xf numFmtId="0" fontId="0" fillId="51" borderId="186" xfId="44" applyFont="1" applyFill="1" applyBorder="1">
      <alignment horizontal="center" vertical="center"/>
    </xf>
    <xf numFmtId="0" fontId="3" fillId="0" borderId="176" xfId="0" applyFont="1" applyBorder="1" applyAlignment="1">
      <alignment horizontal="center"/>
    </xf>
    <xf numFmtId="0" fontId="0" fillId="0" borderId="176" xfId="0" applyBorder="1">
      <alignment horizontal="center" vertical="center"/>
    </xf>
    <xf numFmtId="0" fontId="6" fillId="0" borderId="176" xfId="0" applyFont="1" applyBorder="1">
      <alignment horizontal="center" vertical="center"/>
    </xf>
    <xf numFmtId="0" fontId="0" fillId="0" borderId="172" xfId="0" applyBorder="1">
      <alignment horizontal="center" vertical="center"/>
    </xf>
    <xf numFmtId="0" fontId="3" fillId="0" borderId="172" xfId="0" applyFont="1" applyBorder="1" applyAlignment="1">
      <alignment horizontal="center"/>
    </xf>
    <xf numFmtId="0" fontId="5" fillId="0" borderId="176" xfId="0" applyFont="1" applyBorder="1" applyAlignment="1">
      <alignment horizontal="left"/>
    </xf>
    <xf numFmtId="0" fontId="6" fillId="0" borderId="165" xfId="0" applyFont="1" applyBorder="1">
      <alignment horizontal="center" vertical="center"/>
    </xf>
    <xf numFmtId="0" fontId="0" fillId="0" borderId="176" xfId="0" applyBorder="1" applyAlignment="1">
      <alignment horizontal="center"/>
    </xf>
    <xf numFmtId="0" fontId="0" fillId="43" borderId="165" xfId="0" applyFill="1" applyBorder="1" applyAlignment="1" applyProtection="1">
      <alignment horizontal="center"/>
      <protection locked="0"/>
    </xf>
    <xf numFmtId="0" fontId="0" fillId="0" borderId="165" xfId="0" applyBorder="1" applyAlignment="1">
      <alignment horizontal="left"/>
    </xf>
    <xf numFmtId="0" fontId="0" fillId="0" borderId="166" xfId="0" applyBorder="1" applyAlignment="1">
      <alignment horizontal="left"/>
    </xf>
    <xf numFmtId="0" fontId="0" fillId="0" borderId="183" xfId="0" applyBorder="1" applyAlignment="1">
      <alignment horizontal="left"/>
    </xf>
    <xf numFmtId="0" fontId="0" fillId="0" borderId="181" xfId="0" applyBorder="1" applyAlignment="1">
      <alignment horizontal="left"/>
    </xf>
    <xf numFmtId="0" fontId="6" fillId="0" borderId="182" xfId="0" applyFont="1" applyBorder="1" applyAlignment="1">
      <alignment horizontal="left"/>
    </xf>
    <xf numFmtId="0" fontId="6" fillId="0" borderId="181" xfId="0" applyFont="1" applyBorder="1" applyAlignment="1">
      <alignment horizontal="left"/>
    </xf>
    <xf numFmtId="0" fontId="6" fillId="0" borderId="167" xfId="0" applyFont="1" applyBorder="1" applyAlignment="1">
      <alignment horizontal="left"/>
    </xf>
    <xf numFmtId="0" fontId="5" fillId="0" borderId="165" xfId="0" applyFont="1" applyBorder="1" applyAlignment="1">
      <alignment horizontal="left"/>
    </xf>
    <xf numFmtId="0" fontId="21" fillId="0" borderId="176" xfId="0" applyFont="1" applyBorder="1" applyAlignment="1" applyProtection="1">
      <alignment horizontal="center"/>
      <protection locked="0"/>
    </xf>
    <xf numFmtId="0" fontId="0" fillId="0" borderId="176" xfId="0" applyBorder="1" applyAlignment="1">
      <alignment horizontal="left"/>
    </xf>
    <xf numFmtId="0" fontId="6" fillId="0" borderId="176" xfId="0" applyFont="1" applyBorder="1" applyAlignment="1">
      <alignment horizontal="left"/>
    </xf>
    <xf numFmtId="0" fontId="3" fillId="0" borderId="177" xfId="0" applyFont="1" applyBorder="1" applyAlignment="1" applyProtection="1">
      <alignment horizontal="center"/>
      <protection locked="0"/>
    </xf>
    <xf numFmtId="0" fontId="0" fillId="0" borderId="194" xfId="0" applyBorder="1" applyAlignment="1">
      <alignment horizontal="left" vertical="center"/>
    </xf>
    <xf numFmtId="0" fontId="0" fillId="51" borderId="194" xfId="0" applyFill="1" applyBorder="1" applyAlignment="1">
      <alignment horizontal="left" vertical="center"/>
    </xf>
    <xf numFmtId="49" fontId="0" fillId="51" borderId="194" xfId="0" applyNumberFormat="1" applyFill="1" applyBorder="1">
      <alignment horizontal="center" vertical="center"/>
    </xf>
    <xf numFmtId="0" fontId="0" fillId="51" borderId="194" xfId="48" applyFont="1" applyFill="1" applyBorder="1">
      <alignment horizontal="center" vertical="center"/>
    </xf>
    <xf numFmtId="0" fontId="0" fillId="55" borderId="194" xfId="44" applyFont="1" applyFill="1" applyBorder="1">
      <alignment horizontal="center" vertical="center"/>
    </xf>
    <xf numFmtId="0" fontId="0" fillId="51" borderId="194" xfId="43" applyFont="1" applyFill="1" applyBorder="1">
      <alignment horizontal="center" vertical="center"/>
    </xf>
    <xf numFmtId="0" fontId="6" fillId="55" borderId="194" xfId="45" applyBorder="1">
      <alignment horizontal="center" vertical="center"/>
    </xf>
    <xf numFmtId="0" fontId="0" fillId="55" borderId="194" xfId="43" applyFont="1" applyFill="1" applyBorder="1">
      <alignment horizontal="center" vertical="center"/>
    </xf>
    <xf numFmtId="0" fontId="0" fillId="0" borderId="194" xfId="0" applyBorder="1">
      <alignment horizontal="center" vertical="center"/>
    </xf>
    <xf numFmtId="0" fontId="0" fillId="55" borderId="194" xfId="0" applyFill="1" applyBorder="1">
      <alignment horizontal="center" vertical="center"/>
    </xf>
    <xf numFmtId="0" fontId="0" fillId="53" borderId="194" xfId="48" applyFont="1" applyFill="1" applyBorder="1">
      <alignment horizontal="center" vertical="center"/>
    </xf>
    <xf numFmtId="0" fontId="0" fillId="53" borderId="194" xfId="0" applyFill="1" applyBorder="1">
      <alignment horizontal="center" vertical="center"/>
    </xf>
    <xf numFmtId="0" fontId="0" fillId="53" borderId="194" xfId="44" applyFont="1" applyFill="1" applyBorder="1">
      <alignment horizontal="center" vertical="center"/>
    </xf>
    <xf numFmtId="0" fontId="0" fillId="0" borderId="194" xfId="0" applyBorder="1" applyAlignment="1">
      <alignment vertical="center"/>
    </xf>
    <xf numFmtId="0" fontId="6" fillId="52" borderId="194" xfId="48" applyBorder="1">
      <alignment horizontal="center" vertical="center"/>
    </xf>
    <xf numFmtId="0" fontId="6" fillId="51" borderId="194" xfId="48" applyFill="1" applyBorder="1">
      <alignment horizontal="center" vertical="center"/>
    </xf>
    <xf numFmtId="0" fontId="0" fillId="51" borderId="194" xfId="44" applyFont="1" applyFill="1" applyBorder="1">
      <alignment horizontal="center" vertical="center"/>
    </xf>
    <xf numFmtId="0" fontId="0" fillId="55" borderId="194" xfId="48" applyFont="1" applyFill="1" applyBorder="1">
      <alignment horizontal="center" vertical="center"/>
    </xf>
    <xf numFmtId="0" fontId="0" fillId="51" borderId="194" xfId="0" applyFill="1" applyBorder="1" applyAlignment="1" applyProtection="1">
      <alignment horizontal="left" vertical="center"/>
      <protection locked="0"/>
    </xf>
    <xf numFmtId="0" fontId="0" fillId="51" borderId="194" xfId="46" applyFont="1" applyFill="1" applyBorder="1">
      <alignment horizontal="center" vertical="center"/>
    </xf>
    <xf numFmtId="0" fontId="6" fillId="53" borderId="194" xfId="43" applyBorder="1">
      <alignment horizontal="center" vertical="center"/>
    </xf>
    <xf numFmtId="0" fontId="0" fillId="51" borderId="194" xfId="0" applyFill="1" applyBorder="1">
      <alignment horizontal="center" vertical="center"/>
    </xf>
    <xf numFmtId="0" fontId="0" fillId="0" borderId="194" xfId="48" applyFont="1" applyFill="1" applyBorder="1">
      <alignment horizontal="center" vertical="center"/>
    </xf>
    <xf numFmtId="0" fontId="0" fillId="51" borderId="195" xfId="0" applyFill="1" applyBorder="1">
      <alignment horizontal="center" vertical="center"/>
    </xf>
    <xf numFmtId="0" fontId="0" fillId="70" borderId="195" xfId="0" applyFill="1" applyBorder="1">
      <alignment horizontal="center" vertical="center"/>
    </xf>
    <xf numFmtId="0" fontId="0" fillId="51" borderId="196" xfId="0" applyFill="1" applyBorder="1">
      <alignment horizontal="center" vertical="center"/>
    </xf>
    <xf numFmtId="0" fontId="0" fillId="57" borderId="194" xfId="0" applyFill="1" applyBorder="1">
      <alignment horizontal="center" vertical="center"/>
    </xf>
    <xf numFmtId="0" fontId="18" fillId="0" borderId="194" xfId="0" applyFont="1" applyBorder="1" applyAlignment="1" applyProtection="1">
      <alignment horizontal="center"/>
      <protection locked="0"/>
    </xf>
    <xf numFmtId="0" fontId="6" fillId="57" borderId="194" xfId="47" applyBorder="1">
      <alignment horizontal="center" vertical="center"/>
    </xf>
    <xf numFmtId="0" fontId="3" fillId="0" borderId="172" xfId="0" applyFont="1" applyBorder="1" applyAlignment="1" applyProtection="1">
      <alignment horizontal="center"/>
      <protection locked="0"/>
    </xf>
    <xf numFmtId="0" fontId="3" fillId="0" borderId="176" xfId="0" applyFont="1" applyBorder="1" applyAlignment="1" applyProtection="1">
      <alignment horizontal="center"/>
      <protection locked="0"/>
    </xf>
    <xf numFmtId="0" fontId="0" fillId="51" borderId="176" xfId="47" applyFont="1" applyFill="1" applyBorder="1">
      <alignment horizontal="center" vertical="center"/>
    </xf>
    <xf numFmtId="0" fontId="0" fillId="51" borderId="187" xfId="47" applyFont="1" applyFill="1" applyBorder="1">
      <alignment horizontal="center" vertical="center"/>
    </xf>
    <xf numFmtId="0" fontId="0" fillId="51" borderId="177" xfId="47" applyFont="1" applyFill="1" applyBorder="1">
      <alignment horizontal="center" vertical="center"/>
    </xf>
    <xf numFmtId="0" fontId="0" fillId="0" borderId="173" xfId="0" applyBorder="1">
      <alignment horizontal="center" vertical="center"/>
    </xf>
    <xf numFmtId="0" fontId="0" fillId="0" borderId="165" xfId="0" applyBorder="1">
      <alignment horizontal="center" vertical="center"/>
    </xf>
    <xf numFmtId="0" fontId="0" fillId="0" borderId="168" xfId="0" applyBorder="1">
      <alignment horizontal="center" vertical="center"/>
    </xf>
    <xf numFmtId="0" fontId="0" fillId="0" borderId="174" xfId="0" applyBorder="1">
      <alignment horizontal="center" vertical="center"/>
    </xf>
    <xf numFmtId="0" fontId="0" fillId="0" borderId="170" xfId="0" applyBorder="1">
      <alignment horizontal="center" vertical="center"/>
    </xf>
    <xf numFmtId="0" fontId="0" fillId="0" borderId="169" xfId="0" applyBorder="1">
      <alignment horizontal="center" vertical="center"/>
    </xf>
    <xf numFmtId="0" fontId="0" fillId="0" borderId="197" xfId="0" applyBorder="1">
      <alignment horizontal="center" vertical="center"/>
    </xf>
    <xf numFmtId="0" fontId="3" fillId="43" borderId="176" xfId="0" applyFont="1" applyFill="1" applyBorder="1" applyAlignment="1">
      <alignment horizontal="center"/>
    </xf>
    <xf numFmtId="0" fontId="0" fillId="51" borderId="176" xfId="20" applyNumberFormat="1" applyFont="1" applyFill="1" applyBorder="1" applyAlignment="1">
      <alignment horizontal="center" vertical="center"/>
    </xf>
    <xf numFmtId="0" fontId="0" fillId="51" borderId="187" xfId="20" applyNumberFormat="1" applyFont="1" applyFill="1" applyBorder="1" applyAlignment="1">
      <alignment horizontal="center" vertical="center"/>
    </xf>
    <xf numFmtId="0" fontId="6" fillId="51" borderId="176" xfId="48" applyFill="1" applyBorder="1">
      <alignment horizontal="center" vertical="center"/>
    </xf>
    <xf numFmtId="0" fontId="3" fillId="43" borderId="177" xfId="0" applyFont="1" applyFill="1" applyBorder="1" applyAlignment="1">
      <alignment horizontal="center"/>
    </xf>
    <xf numFmtId="0" fontId="0" fillId="51" borderId="177" xfId="51" applyFont="1" applyFill="1" applyBorder="1">
      <alignment horizontal="center" vertical="center"/>
    </xf>
    <xf numFmtId="0" fontId="3" fillId="0" borderId="192" xfId="0" applyFont="1" applyBorder="1" applyAlignment="1">
      <alignment horizontal="center"/>
    </xf>
    <xf numFmtId="0" fontId="6" fillId="0" borderId="165" xfId="0" applyFont="1" applyBorder="1" applyAlignment="1">
      <alignment horizontal="left" vertical="center"/>
    </xf>
    <xf numFmtId="0" fontId="6" fillId="0" borderId="166" xfId="0" applyFont="1" applyBorder="1" applyAlignment="1">
      <alignment horizontal="left" vertical="center"/>
    </xf>
    <xf numFmtId="0" fontId="6" fillId="0" borderId="184" xfId="0" applyFont="1" applyBorder="1" applyAlignment="1">
      <alignment horizontal="left" vertical="center"/>
    </xf>
    <xf numFmtId="0" fontId="0" fillId="0" borderId="173" xfId="0" applyBorder="1" applyAlignment="1">
      <alignment horizontal="center"/>
    </xf>
    <xf numFmtId="0" fontId="0" fillId="0" borderId="166" xfId="0" applyBorder="1" applyAlignment="1"/>
    <xf numFmtId="0" fontId="0" fillId="0" borderId="167" xfId="0" applyBorder="1" applyAlignment="1">
      <alignment horizontal="left"/>
    </xf>
    <xf numFmtId="0" fontId="3" fillId="0" borderId="166" xfId="0" applyFont="1" applyBorder="1" applyAlignment="1"/>
    <xf numFmtId="0" fontId="3" fillId="0" borderId="167" xfId="0" applyFont="1" applyBorder="1" applyAlignment="1">
      <alignment horizontal="left"/>
    </xf>
    <xf numFmtId="0" fontId="0" fillId="0" borderId="165" xfId="0" applyBorder="1" applyAlignment="1">
      <alignment horizontal="center"/>
    </xf>
    <xf numFmtId="0" fontId="0" fillId="0" borderId="184" xfId="0" applyBorder="1" applyAlignment="1"/>
    <xf numFmtId="0" fontId="3" fillId="0" borderId="183" xfId="0" applyFont="1" applyBorder="1" applyAlignment="1">
      <alignment horizontal="left"/>
    </xf>
    <xf numFmtId="0" fontId="0" fillId="0" borderId="181" xfId="0" applyBorder="1" applyAlignment="1"/>
    <xf numFmtId="0" fontId="0" fillId="0" borderId="182" xfId="0" applyBorder="1" applyAlignment="1">
      <alignment horizontal="left"/>
    </xf>
    <xf numFmtId="0" fontId="8" fillId="0" borderId="183" xfId="0" applyFont="1" applyBorder="1" applyAlignment="1">
      <alignment horizontal="center"/>
    </xf>
    <xf numFmtId="0" fontId="0" fillId="0" borderId="189" xfId="0" applyBorder="1" applyAlignment="1"/>
    <xf numFmtId="0" fontId="0" fillId="0" borderId="174" xfId="0" applyBorder="1" applyAlignment="1">
      <alignment horizontal="center"/>
    </xf>
    <xf numFmtId="0" fontId="6" fillId="0" borderId="175" xfId="0" applyFont="1" applyBorder="1" applyAlignment="1">
      <alignment horizontal="left" vertical="center"/>
    </xf>
    <xf numFmtId="0" fontId="6" fillId="0" borderId="175" xfId="0" applyFont="1" applyBorder="1">
      <alignment horizontal="center" vertical="center"/>
    </xf>
    <xf numFmtId="0" fontId="6" fillId="0" borderId="190" xfId="0" applyFont="1" applyBorder="1">
      <alignment horizontal="center" vertical="center"/>
    </xf>
    <xf numFmtId="0" fontId="6" fillId="0" borderId="170" xfId="0" applyFont="1" applyBorder="1" applyAlignment="1">
      <alignment horizontal="left" vertical="center"/>
    </xf>
    <xf numFmtId="0" fontId="6" fillId="0" borderId="175" xfId="0" applyFont="1" applyBorder="1" applyAlignment="1">
      <alignment horizontal="left"/>
    </xf>
    <xf numFmtId="0" fontId="6" fillId="0" borderId="190" xfId="0" applyFont="1" applyBorder="1" applyAlignment="1">
      <alignment horizontal="left" vertical="center"/>
    </xf>
    <xf numFmtId="0" fontId="0" fillId="0" borderId="175" xfId="0" applyBorder="1" applyAlignment="1">
      <alignment horizontal="left"/>
    </xf>
    <xf numFmtId="0" fontId="0" fillId="0" borderId="191" xfId="0" applyBorder="1" applyAlignment="1"/>
    <xf numFmtId="0" fontId="0" fillId="51" borderId="176" xfId="0" applyFill="1" applyBorder="1" applyAlignment="1">
      <alignment horizontal="left" vertical="center"/>
    </xf>
    <xf numFmtId="0" fontId="6" fillId="58" borderId="176" xfId="33" applyBorder="1">
      <alignment horizontal="center" vertical="center"/>
    </xf>
    <xf numFmtId="0" fontId="6" fillId="75" borderId="176" xfId="48" applyFill="1" applyBorder="1">
      <alignment horizontal="center" vertical="center"/>
    </xf>
    <xf numFmtId="0" fontId="0" fillId="51" borderId="187" xfId="44" applyFont="1" applyFill="1" applyBorder="1">
      <alignment horizontal="center" vertical="center"/>
    </xf>
    <xf numFmtId="0" fontId="0" fillId="51" borderId="176" xfId="51" applyFont="1" applyFill="1" applyBorder="1">
      <alignment horizontal="center" vertical="center"/>
    </xf>
    <xf numFmtId="0" fontId="0" fillId="51" borderId="187" xfId="51" applyFont="1" applyFill="1" applyBorder="1">
      <alignment horizontal="center" vertical="center"/>
    </xf>
    <xf numFmtId="0" fontId="0" fillId="51" borderId="187" xfId="48" applyFont="1" applyFill="1" applyBorder="1">
      <alignment horizontal="center" vertical="center"/>
    </xf>
    <xf numFmtId="0" fontId="0" fillId="51" borderId="177" xfId="0" applyFill="1" applyBorder="1" applyAlignment="1">
      <alignment horizontal="left" vertical="center"/>
    </xf>
    <xf numFmtId="0" fontId="0" fillId="51" borderId="177" xfId="32" applyFont="1" applyFill="1" applyBorder="1" applyAlignment="1">
      <alignment horizontal="center" vertical="center"/>
    </xf>
    <xf numFmtId="0" fontId="0" fillId="51" borderId="186" xfId="48" applyFont="1" applyFill="1" applyBorder="1">
      <alignment horizontal="center" vertical="center"/>
    </xf>
    <xf numFmtId="0" fontId="0" fillId="0" borderId="170" xfId="0" applyBorder="1" applyAlignment="1">
      <alignment horizontal="left"/>
    </xf>
    <xf numFmtId="0" fontId="0" fillId="0" borderId="175" xfId="0" applyBorder="1" applyAlignment="1"/>
    <xf numFmtId="0" fontId="0" fillId="0" borderId="190" xfId="0" applyBorder="1" applyAlignment="1">
      <alignment horizontal="left"/>
    </xf>
    <xf numFmtId="0" fontId="0" fillId="0" borderId="170" xfId="0" applyBorder="1" applyAlignment="1">
      <alignment horizontal="center"/>
    </xf>
    <xf numFmtId="0" fontId="3" fillId="0" borderId="166" xfId="0" applyFont="1" applyBorder="1">
      <alignment horizontal="center" vertical="center"/>
    </xf>
    <xf numFmtId="167" fontId="8" fillId="0" borderId="170" xfId="0" applyNumberFormat="1" applyFont="1" applyBorder="1" applyAlignment="1">
      <alignment horizontal="center"/>
    </xf>
    <xf numFmtId="0" fontId="6" fillId="51" borderId="176" xfId="0" applyFont="1" applyFill="1" applyBorder="1" applyAlignment="1">
      <alignment vertical="center"/>
    </xf>
    <xf numFmtId="0" fontId="0" fillId="55" borderId="176" xfId="0" applyFill="1" applyBorder="1">
      <alignment horizontal="center" vertical="center"/>
    </xf>
    <xf numFmtId="0" fontId="0" fillId="51" borderId="176" xfId="0" applyFill="1" applyBorder="1" applyAlignment="1">
      <alignment vertical="center"/>
    </xf>
    <xf numFmtId="0" fontId="2" fillId="0" borderId="158" xfId="0" applyFont="1" applyBorder="1" applyAlignment="1">
      <alignment horizontal="left" vertical="center"/>
    </xf>
    <xf numFmtId="0" fontId="2" fillId="0" borderId="158" xfId="0" applyFont="1" applyBorder="1">
      <alignment horizontal="center" vertical="center"/>
    </xf>
    <xf numFmtId="0" fontId="2" fillId="0" borderId="159" xfId="0" applyFont="1" applyBorder="1">
      <alignment horizontal="center" vertical="center"/>
    </xf>
    <xf numFmtId="0" fontId="6" fillId="0" borderId="158" xfId="0" applyFont="1" applyBorder="1">
      <alignment horizontal="center" vertical="center"/>
    </xf>
    <xf numFmtId="0" fontId="6" fillId="0" borderId="159" xfId="0" applyFont="1" applyBorder="1">
      <alignment horizontal="center" vertical="center"/>
    </xf>
    <xf numFmtId="0" fontId="8" fillId="0" borderId="158" xfId="0" applyFont="1" applyBorder="1">
      <alignment horizontal="center" vertical="center"/>
    </xf>
    <xf numFmtId="49" fontId="0" fillId="51" borderId="198" xfId="0" applyNumberFormat="1" applyFill="1" applyBorder="1">
      <alignment horizontal="center" vertical="center"/>
    </xf>
    <xf numFmtId="49" fontId="0" fillId="78" borderId="164" xfId="0" applyNumberFormat="1" applyFill="1" applyBorder="1">
      <alignment horizontal="center" vertical="center"/>
    </xf>
    <xf numFmtId="0" fontId="0" fillId="51" borderId="164" xfId="48" applyFont="1" applyFill="1" applyBorder="1">
      <alignment horizontal="center" vertical="center"/>
    </xf>
    <xf numFmtId="0" fontId="0" fillId="79" borderId="164" xfId="48" applyFont="1" applyFill="1" applyBorder="1">
      <alignment horizontal="center" vertical="center"/>
    </xf>
    <xf numFmtId="0" fontId="0" fillId="79" borderId="164" xfId="0" applyFill="1" applyBorder="1">
      <alignment horizontal="center" vertical="center"/>
    </xf>
    <xf numFmtId="49" fontId="36" fillId="17" borderId="199" xfId="34" applyNumberFormat="1" applyBorder="1" applyAlignment="1">
      <alignment horizontal="center" vertical="center"/>
    </xf>
    <xf numFmtId="49" fontId="0" fillId="52" borderId="194" xfId="0" applyNumberFormat="1" applyFill="1" applyBorder="1">
      <alignment horizontal="center" vertical="center"/>
    </xf>
    <xf numFmtId="49" fontId="0" fillId="53" borderId="200" xfId="0" applyNumberFormat="1" applyFill="1" applyBorder="1">
      <alignment horizontal="center" vertical="center"/>
    </xf>
    <xf numFmtId="0" fontId="6" fillId="53" borderId="200" xfId="43" applyBorder="1">
      <alignment horizontal="center" vertical="center"/>
    </xf>
    <xf numFmtId="0" fontId="3" fillId="0" borderId="194" xfId="0" applyFont="1" applyBorder="1" applyAlignment="1">
      <alignment horizontal="center"/>
    </xf>
    <xf numFmtId="0" fontId="2" fillId="0" borderId="194" xfId="0" applyFont="1" applyBorder="1" applyAlignment="1">
      <alignment horizontal="center"/>
    </xf>
    <xf numFmtId="0" fontId="6" fillId="52" borderId="171" xfId="48" applyBorder="1">
      <alignment horizontal="center" vertical="center"/>
    </xf>
    <xf numFmtId="0" fontId="6" fillId="53" borderId="171" xfId="43" applyBorder="1">
      <alignment horizontal="center" vertical="center"/>
    </xf>
    <xf numFmtId="49" fontId="0" fillId="51" borderId="165" xfId="0" applyNumberFormat="1" applyFill="1" applyBorder="1">
      <alignment horizontal="center" vertical="center"/>
    </xf>
    <xf numFmtId="49" fontId="0" fillId="51" borderId="170" xfId="0" applyNumberFormat="1" applyFill="1" applyBorder="1">
      <alignment horizontal="center" vertical="center"/>
    </xf>
    <xf numFmtId="0" fontId="0" fillId="51" borderId="149" xfId="50" applyFont="1" applyFill="1" applyBorder="1">
      <alignment horizontal="center" vertical="center"/>
    </xf>
    <xf numFmtId="0" fontId="0" fillId="70" borderId="186" xfId="0" applyFill="1" applyBorder="1">
      <alignment horizontal="center" vertical="center"/>
    </xf>
    <xf numFmtId="0" fontId="6" fillId="52" borderId="187" xfId="48" applyBorder="1">
      <alignment horizontal="center" vertical="center"/>
    </xf>
    <xf numFmtId="1" fontId="0" fillId="0" borderId="176" xfId="0" applyNumberFormat="1" applyBorder="1">
      <alignment horizontal="center" vertical="center"/>
    </xf>
    <xf numFmtId="0" fontId="0" fillId="55" borderId="149" xfId="48" applyFont="1" applyFill="1" applyBorder="1">
      <alignment horizontal="center" vertical="center"/>
    </xf>
    <xf numFmtId="0" fontId="0" fillId="53" borderId="149" xfId="0" applyFill="1" applyBorder="1">
      <alignment horizontal="center" vertical="center"/>
    </xf>
    <xf numFmtId="0" fontId="0" fillId="53" borderId="149" xfId="48" applyFont="1" applyFill="1" applyBorder="1">
      <alignment horizontal="center" vertical="center"/>
    </xf>
    <xf numFmtId="0" fontId="0" fillId="53" borderId="149" xfId="44" applyFont="1" applyFill="1" applyBorder="1">
      <alignment horizontal="center" vertical="center"/>
    </xf>
    <xf numFmtId="0" fontId="0" fillId="73" borderId="176" xfId="43" applyFont="1" applyFill="1" applyBorder="1">
      <alignment horizontal="center" vertical="center"/>
    </xf>
    <xf numFmtId="0" fontId="0" fillId="55" borderId="177" xfId="48" applyFont="1" applyFill="1" applyBorder="1">
      <alignment horizontal="center" vertical="center"/>
    </xf>
    <xf numFmtId="0" fontId="0" fillId="51" borderId="177" xfId="43" applyFont="1" applyFill="1" applyBorder="1">
      <alignment horizontal="center" vertical="center"/>
    </xf>
    <xf numFmtId="0" fontId="0" fillId="53" borderId="186" xfId="0" applyFill="1" applyBorder="1">
      <alignment horizontal="center" vertical="center"/>
    </xf>
    <xf numFmtId="49" fontId="0" fillId="52" borderId="177" xfId="0" applyNumberFormat="1" applyFill="1" applyBorder="1">
      <alignment horizontal="center" vertical="center"/>
    </xf>
    <xf numFmtId="49" fontId="0" fillId="54" borderId="176" xfId="0" applyNumberFormat="1" applyFill="1" applyBorder="1">
      <alignment horizontal="center" vertical="center"/>
    </xf>
    <xf numFmtId="49" fontId="0" fillId="55" borderId="194" xfId="0" applyNumberFormat="1" applyFill="1" applyBorder="1">
      <alignment horizontal="center" vertical="center"/>
    </xf>
    <xf numFmtId="0" fontId="0" fillId="51" borderId="194" xfId="51" applyFont="1" applyFill="1" applyBorder="1">
      <alignment horizontal="center" vertical="center"/>
    </xf>
    <xf numFmtId="0" fontId="0" fillId="77" borderId="194" xfId="0" applyFill="1" applyBorder="1">
      <alignment horizontal="center" vertical="center"/>
    </xf>
    <xf numFmtId="0" fontId="6" fillId="51" borderId="194" xfId="43" applyFill="1" applyBorder="1">
      <alignment horizontal="center" vertical="center"/>
    </xf>
    <xf numFmtId="0" fontId="6" fillId="55" borderId="145" xfId="45" applyBorder="1">
      <alignment horizontal="center" vertical="center"/>
    </xf>
    <xf numFmtId="0" fontId="0" fillId="52" borderId="194" xfId="0" applyFill="1" applyBorder="1">
      <alignment horizontal="center" vertical="center"/>
    </xf>
    <xf numFmtId="0" fontId="5" fillId="52" borderId="194" xfId="0" applyFont="1" applyFill="1" applyBorder="1">
      <alignment horizontal="center" vertical="center"/>
    </xf>
    <xf numFmtId="0" fontId="0" fillId="51" borderId="201" xfId="0" applyFill="1" applyBorder="1">
      <alignment horizontal="center" vertical="center"/>
    </xf>
    <xf numFmtId="0" fontId="0" fillId="77" borderId="201" xfId="0" applyFill="1" applyBorder="1">
      <alignment horizontal="center" vertical="center"/>
    </xf>
    <xf numFmtId="0" fontId="0" fillId="77" borderId="202" xfId="0" applyFill="1" applyBorder="1">
      <alignment horizontal="center" vertical="center"/>
    </xf>
    <xf numFmtId="0" fontId="6" fillId="0" borderId="203" xfId="48" applyFill="1" applyBorder="1">
      <alignment horizontal="center" vertical="center"/>
    </xf>
    <xf numFmtId="0" fontId="0" fillId="55" borderId="204" xfId="0" applyFill="1" applyBorder="1">
      <alignment horizontal="center" vertical="center"/>
    </xf>
    <xf numFmtId="0" fontId="18" fillId="0" borderId="204" xfId="0" applyFont="1" applyBorder="1" applyAlignment="1" applyProtection="1">
      <alignment horizontal="center"/>
      <protection locked="0"/>
    </xf>
    <xf numFmtId="0" fontId="0" fillId="57" borderId="204" xfId="0" applyFill="1" applyBorder="1">
      <alignment horizontal="center" vertical="center"/>
    </xf>
    <xf numFmtId="0" fontId="6" fillId="57" borderId="150" xfId="47" applyBorder="1">
      <alignment horizontal="center" vertical="center"/>
    </xf>
    <xf numFmtId="1" fontId="0" fillId="57" borderId="150" xfId="32" applyNumberFormat="1" applyFont="1" applyFill="1" applyBorder="1" applyAlignment="1">
      <alignment horizontal="center" vertical="center"/>
    </xf>
    <xf numFmtId="49" fontId="0" fillId="57" borderId="150" xfId="0" applyNumberFormat="1" applyFill="1" applyBorder="1">
      <alignment horizontal="center" vertical="center"/>
    </xf>
    <xf numFmtId="0" fontId="0" fillId="57" borderId="150" xfId="0" applyFill="1" applyBorder="1">
      <alignment horizontal="center" vertical="center"/>
    </xf>
    <xf numFmtId="1" fontId="33" fillId="7" borderId="205" xfId="24" applyNumberFormat="1" applyBorder="1" applyAlignment="1">
      <alignment horizontal="center" vertical="center"/>
    </xf>
    <xf numFmtId="0" fontId="3" fillId="0" borderId="206" xfId="0" applyFont="1" applyBorder="1" applyAlignment="1" applyProtection="1">
      <alignment horizontal="center"/>
      <protection locked="0"/>
    </xf>
    <xf numFmtId="0" fontId="3" fillId="0" borderId="203" xfId="0" applyFont="1" applyBorder="1" applyAlignment="1" applyProtection="1">
      <alignment horizontal="center"/>
      <protection locked="0"/>
    </xf>
    <xf numFmtId="0" fontId="0" fillId="51" borderId="207" xfId="48" applyFont="1" applyFill="1" applyBorder="1">
      <alignment horizontal="center" vertical="center"/>
    </xf>
    <xf numFmtId="0" fontId="0" fillId="51" borderId="208" xfId="0" applyFill="1" applyBorder="1">
      <alignment horizontal="center" vertical="center"/>
    </xf>
    <xf numFmtId="0" fontId="0" fillId="0" borderId="209" xfId="0" applyBorder="1">
      <alignment horizontal="center" vertical="center"/>
    </xf>
    <xf numFmtId="0" fontId="0" fillId="0" borderId="210" xfId="0" applyBorder="1">
      <alignment horizontal="center" vertical="center"/>
    </xf>
    <xf numFmtId="0" fontId="0" fillId="0" borderId="211" xfId="0" applyBorder="1">
      <alignment horizontal="center" vertical="center"/>
    </xf>
    <xf numFmtId="0" fontId="0" fillId="0" borderId="212" xfId="0" applyBorder="1">
      <alignment horizontal="center" vertical="center"/>
    </xf>
    <xf numFmtId="0" fontId="0" fillId="0" borderId="213" xfId="0" applyBorder="1">
      <alignment horizontal="center" vertical="center"/>
    </xf>
    <xf numFmtId="0" fontId="0" fillId="0" borderId="214" xfId="0" applyBorder="1">
      <alignment horizontal="center" vertical="center"/>
    </xf>
    <xf numFmtId="0" fontId="0" fillId="0" borderId="215" xfId="0" applyBorder="1">
      <alignment horizontal="center" vertical="center"/>
    </xf>
    <xf numFmtId="0" fontId="3" fillId="43" borderId="203" xfId="0" applyFont="1" applyFill="1" applyBorder="1" applyAlignment="1">
      <alignment horizontal="center"/>
    </xf>
    <xf numFmtId="0" fontId="0" fillId="0" borderId="203" xfId="0" applyBorder="1" applyAlignment="1">
      <alignment vertical="center"/>
    </xf>
    <xf numFmtId="0" fontId="0" fillId="51" borderId="203" xfId="20" applyNumberFormat="1" applyFont="1" applyFill="1" applyBorder="1" applyAlignment="1">
      <alignment horizontal="center" vertical="center"/>
    </xf>
    <xf numFmtId="0" fontId="0" fillId="52" borderId="203" xfId="0" applyFill="1" applyBorder="1">
      <alignment horizontal="center" vertical="center"/>
    </xf>
    <xf numFmtId="0" fontId="0" fillId="52" borderId="203" xfId="48" applyFont="1" applyBorder="1">
      <alignment horizontal="center" vertical="center"/>
    </xf>
    <xf numFmtId="0" fontId="0" fillId="51" borderId="203" xfId="34" applyNumberFormat="1" applyFont="1" applyFill="1" applyBorder="1" applyAlignment="1">
      <alignment horizontal="center" vertical="center"/>
    </xf>
    <xf numFmtId="0" fontId="0" fillId="51" borderId="203" xfId="45" applyFont="1" applyFill="1" applyBorder="1">
      <alignment horizontal="center" vertical="center"/>
    </xf>
    <xf numFmtId="0" fontId="0" fillId="52" borderId="216" xfId="0" applyFill="1" applyBorder="1">
      <alignment horizontal="center" vertical="center"/>
    </xf>
    <xf numFmtId="0" fontId="3" fillId="43" borderId="217" xfId="0" applyFont="1" applyFill="1" applyBorder="1" applyAlignment="1">
      <alignment horizontal="center"/>
    </xf>
    <xf numFmtId="0" fontId="0" fillId="51" borderId="217" xfId="51" applyFont="1" applyFill="1" applyBorder="1">
      <alignment horizontal="center" vertical="center"/>
    </xf>
    <xf numFmtId="0" fontId="3" fillId="0" borderId="218" xfId="0" applyFont="1" applyBorder="1" applyAlignment="1">
      <alignment horizontal="center"/>
    </xf>
    <xf numFmtId="0" fontId="6" fillId="0" borderId="210" xfId="0" applyFont="1" applyBorder="1" applyAlignment="1">
      <alignment horizontal="left" vertical="center"/>
    </xf>
    <xf numFmtId="0" fontId="6" fillId="0" borderId="219" xfId="0" applyFont="1" applyBorder="1" applyAlignment="1">
      <alignment horizontal="left" vertical="center"/>
    </xf>
    <xf numFmtId="0" fontId="6" fillId="0" borderId="220" xfId="0" applyFont="1" applyBorder="1" applyAlignment="1">
      <alignment horizontal="left" vertical="center"/>
    </xf>
    <xf numFmtId="0" fontId="0" fillId="0" borderId="209" xfId="0" applyBorder="1" applyAlignment="1">
      <alignment horizontal="center"/>
    </xf>
    <xf numFmtId="0" fontId="3" fillId="0" borderId="210" xfId="0" applyFont="1" applyBorder="1" applyAlignment="1">
      <alignment horizontal="left"/>
    </xf>
    <xf numFmtId="0" fontId="0" fillId="0" borderId="219" xfId="0" applyBorder="1" applyAlignment="1"/>
    <xf numFmtId="0" fontId="0" fillId="0" borderId="221" xfId="0" applyBorder="1" applyAlignment="1">
      <alignment horizontal="left"/>
    </xf>
    <xf numFmtId="0" fontId="3" fillId="0" borderId="219" xfId="0" applyFont="1" applyBorder="1" applyAlignment="1"/>
    <xf numFmtId="0" fontId="3" fillId="0" borderId="221" xfId="0" applyFont="1" applyBorder="1" applyAlignment="1">
      <alignment horizontal="left"/>
    </xf>
    <xf numFmtId="0" fontId="0" fillId="0" borderId="210" xfId="0" applyBorder="1" applyAlignment="1">
      <alignment horizontal="center"/>
    </xf>
    <xf numFmtId="0" fontId="0" fillId="0" borderId="220" xfId="0" applyBorder="1" applyAlignment="1"/>
    <xf numFmtId="0" fontId="3" fillId="0" borderId="222" xfId="0" applyFont="1" applyBorder="1" applyAlignment="1">
      <alignment horizontal="left"/>
    </xf>
    <xf numFmtId="0" fontId="0" fillId="0" borderId="223" xfId="0" applyBorder="1" applyAlignment="1"/>
    <xf numFmtId="0" fontId="0" fillId="0" borderId="224" xfId="0" applyBorder="1" applyAlignment="1">
      <alignment horizontal="left"/>
    </xf>
    <xf numFmtId="0" fontId="8" fillId="0" borderId="222" xfId="0" applyFont="1" applyBorder="1" applyAlignment="1">
      <alignment horizontal="center"/>
    </xf>
    <xf numFmtId="0" fontId="0" fillId="0" borderId="225" xfId="0" applyBorder="1" applyAlignment="1"/>
    <xf numFmtId="0" fontId="0" fillId="0" borderId="212" xfId="0" applyBorder="1" applyAlignment="1">
      <alignment horizontal="center"/>
    </xf>
    <xf numFmtId="0" fontId="3" fillId="0" borderId="213" xfId="0" applyFont="1" applyBorder="1" applyAlignment="1">
      <alignment horizontal="left"/>
    </xf>
    <xf numFmtId="0" fontId="6" fillId="0" borderId="226" xfId="0" applyFont="1" applyBorder="1" applyAlignment="1">
      <alignment horizontal="left" vertical="center"/>
    </xf>
    <xf numFmtId="0" fontId="6" fillId="0" borderId="226" xfId="0" applyFont="1" applyBorder="1">
      <alignment horizontal="center" vertical="center"/>
    </xf>
    <xf numFmtId="0" fontId="6" fillId="0" borderId="227" xfId="0" applyFont="1" applyBorder="1">
      <alignment horizontal="center" vertical="center"/>
    </xf>
    <xf numFmtId="0" fontId="6" fillId="0" borderId="213" xfId="0" applyFont="1" applyBorder="1" applyAlignment="1">
      <alignment horizontal="left" vertical="center"/>
    </xf>
    <xf numFmtId="0" fontId="6" fillId="0" borderId="226" xfId="0" applyFont="1" applyBorder="1" applyAlignment="1">
      <alignment horizontal="left"/>
    </xf>
    <xf numFmtId="0" fontId="6" fillId="0" borderId="227" xfId="0" applyFont="1" applyBorder="1" applyAlignment="1">
      <alignment horizontal="left" vertical="center"/>
    </xf>
    <xf numFmtId="0" fontId="0" fillId="0" borderId="226" xfId="0" applyBorder="1" applyAlignment="1">
      <alignment horizontal="left"/>
    </xf>
    <xf numFmtId="0" fontId="0" fillId="0" borderId="228" xfId="0" applyBorder="1" applyAlignment="1"/>
    <xf numFmtId="0" fontId="0" fillId="51" borderId="203" xfId="0" applyFill="1" applyBorder="1" applyAlignment="1">
      <alignment horizontal="left" vertical="center"/>
    </xf>
    <xf numFmtId="49" fontId="0" fillId="52" borderId="203" xfId="0" applyNumberFormat="1" applyFill="1" applyBorder="1">
      <alignment horizontal="center" vertical="center"/>
    </xf>
    <xf numFmtId="0" fontId="0" fillId="69" borderId="203" xfId="0" applyFill="1" applyBorder="1">
      <alignment horizontal="center" vertical="center"/>
    </xf>
    <xf numFmtId="0" fontId="6" fillId="53" borderId="203" xfId="43" applyBorder="1">
      <alignment horizontal="center" vertical="center"/>
    </xf>
    <xf numFmtId="0" fontId="6" fillId="58" borderId="203" xfId="33" applyBorder="1">
      <alignment horizontal="center" vertical="center"/>
    </xf>
    <xf numFmtId="0" fontId="0" fillId="51" borderId="217" xfId="0" applyFill="1" applyBorder="1" applyAlignment="1">
      <alignment horizontal="left" vertical="center"/>
    </xf>
    <xf numFmtId="0" fontId="6" fillId="52" borderId="229" xfId="48" applyBorder="1">
      <alignment horizontal="center" vertical="center"/>
    </xf>
    <xf numFmtId="0" fontId="0" fillId="0" borderId="213" xfId="0" applyBorder="1" applyAlignment="1">
      <alignment horizontal="left"/>
    </xf>
    <xf numFmtId="0" fontId="0" fillId="0" borderId="226" xfId="0" applyBorder="1" applyAlignment="1"/>
    <xf numFmtId="0" fontId="0" fillId="0" borderId="227" xfId="0" applyBorder="1" applyAlignment="1">
      <alignment horizontal="left"/>
    </xf>
    <xf numFmtId="0" fontId="0" fillId="0" borderId="213" xfId="0" applyBorder="1" applyAlignment="1">
      <alignment horizontal="center"/>
    </xf>
    <xf numFmtId="0" fontId="3" fillId="43" borderId="204" xfId="0" applyFont="1" applyFill="1" applyBorder="1" applyAlignment="1">
      <alignment horizontal="center"/>
    </xf>
    <xf numFmtId="49" fontId="0" fillId="76" borderId="204" xfId="0" applyNumberFormat="1" applyFill="1" applyBorder="1">
      <alignment horizontal="center" vertical="center"/>
    </xf>
    <xf numFmtId="0" fontId="0" fillId="76" borderId="204" xfId="44" applyFont="1" applyFill="1" applyBorder="1">
      <alignment horizontal="center" vertical="center"/>
    </xf>
    <xf numFmtId="0" fontId="0" fillId="51" borderId="204" xfId="45" applyFont="1" applyFill="1" applyBorder="1">
      <alignment horizontal="center" vertical="center"/>
    </xf>
    <xf numFmtId="0" fontId="6" fillId="52" borderId="150" xfId="48" applyBorder="1">
      <alignment horizontal="center" vertical="center"/>
    </xf>
    <xf numFmtId="0" fontId="6" fillId="52" borderId="151" xfId="48" applyBorder="1">
      <alignment horizontal="center" vertical="center"/>
    </xf>
    <xf numFmtId="0" fontId="2" fillId="0" borderId="210" xfId="0" applyFont="1" applyBorder="1" applyAlignment="1">
      <alignment horizontal="left"/>
    </xf>
    <xf numFmtId="0" fontId="3" fillId="0" borderId="219" xfId="0" applyFont="1" applyBorder="1">
      <alignment horizontal="center" vertical="center"/>
    </xf>
    <xf numFmtId="167" fontId="8" fillId="0" borderId="213" xfId="0" applyNumberFormat="1" applyFont="1" applyBorder="1" applyAlignment="1">
      <alignment horizontal="center"/>
    </xf>
    <xf numFmtId="0" fontId="6" fillId="51" borderId="203" xfId="0" applyFont="1" applyFill="1" applyBorder="1" applyAlignment="1">
      <alignment vertical="center"/>
    </xf>
    <xf numFmtId="0" fontId="0" fillId="51" borderId="203" xfId="0" applyFill="1" applyBorder="1" applyAlignment="1">
      <alignment vertical="center"/>
    </xf>
    <xf numFmtId="0" fontId="0" fillId="0" borderId="216" xfId="0" applyBorder="1">
      <alignment horizontal="center" vertical="center"/>
    </xf>
    <xf numFmtId="0" fontId="0" fillId="0" borderId="230" xfId="0" applyBorder="1">
      <alignment horizontal="center" vertical="center"/>
    </xf>
    <xf numFmtId="0" fontId="2" fillId="0" borderId="230" xfId="0" applyFont="1" applyBorder="1">
      <alignment horizontal="center" vertical="center"/>
    </xf>
    <xf numFmtId="49" fontId="2" fillId="0" borderId="230" xfId="0" applyNumberFormat="1" applyFont="1" applyBorder="1">
      <alignment horizontal="center" vertical="center"/>
    </xf>
    <xf numFmtId="49" fontId="6" fillId="0" borderId="230" xfId="0" applyNumberFormat="1" applyFont="1" applyBorder="1">
      <alignment horizontal="center" vertical="center"/>
    </xf>
    <xf numFmtId="0" fontId="8" fillId="0" borderId="231" xfId="0" applyFont="1" applyBorder="1">
      <alignment horizontal="center" vertical="center"/>
    </xf>
    <xf numFmtId="0" fontId="0" fillId="0" borderId="232" xfId="0" applyBorder="1">
      <alignment horizontal="center" vertical="center"/>
    </xf>
    <xf numFmtId="49" fontId="14" fillId="0" borderId="204" xfId="0" applyNumberFormat="1" applyFont="1" applyBorder="1">
      <alignment horizontal="center" vertical="center"/>
    </xf>
    <xf numFmtId="0" fontId="14" fillId="0" borderId="233" xfId="0" applyFont="1" applyBorder="1" applyAlignment="1">
      <alignment horizontal="left" vertical="center"/>
    </xf>
    <xf numFmtId="0" fontId="14" fillId="0" borderId="233" xfId="0" applyFont="1" applyBorder="1">
      <alignment horizontal="center" vertical="center"/>
    </xf>
    <xf numFmtId="0" fontId="14" fillId="0" borderId="234" xfId="0" applyFont="1" applyBorder="1">
      <alignment horizontal="center" vertical="center"/>
    </xf>
    <xf numFmtId="49" fontId="14" fillId="0" borderId="230" xfId="0" applyNumberFormat="1" applyFont="1" applyBorder="1">
      <alignment horizontal="center" vertical="center"/>
    </xf>
    <xf numFmtId="49" fontId="6" fillId="0" borderId="232" xfId="0" applyNumberFormat="1" applyFont="1" applyBorder="1">
      <alignment horizontal="center" vertical="center"/>
    </xf>
    <xf numFmtId="0" fontId="6" fillId="0" borderId="230" xfId="0" applyFont="1" applyBorder="1">
      <alignment horizontal="center" vertical="center"/>
    </xf>
    <xf numFmtId="49" fontId="6" fillId="0" borderId="233" xfId="0" applyNumberFormat="1" applyFont="1" applyBorder="1">
      <alignment horizontal="center" vertical="center"/>
    </xf>
    <xf numFmtId="0" fontId="2" fillId="0" borderId="235" xfId="0" applyFont="1" applyBorder="1" applyAlignment="1">
      <alignment horizontal="left" vertical="center"/>
    </xf>
    <xf numFmtId="0" fontId="2" fillId="0" borderId="235" xfId="0" applyFont="1" applyBorder="1">
      <alignment horizontal="center" vertical="center"/>
    </xf>
    <xf numFmtId="0" fontId="6" fillId="0" borderId="235" xfId="0" applyFont="1" applyBorder="1">
      <alignment horizontal="center" vertical="center"/>
    </xf>
    <xf numFmtId="49" fontId="6" fillId="0" borderId="235" xfId="0" applyNumberFormat="1" applyFont="1" applyBorder="1">
      <alignment horizontal="center" vertical="center"/>
    </xf>
    <xf numFmtId="0" fontId="8" fillId="0" borderId="235" xfId="0" applyFont="1" applyBorder="1">
      <alignment horizontal="center" vertical="center"/>
    </xf>
    <xf numFmtId="0" fontId="5" fillId="0" borderId="236" xfId="0" applyFont="1" applyBorder="1" applyAlignment="1">
      <alignment horizontal="center"/>
    </xf>
    <xf numFmtId="0" fontId="0" fillId="51" borderId="204" xfId="0" applyFill="1" applyBorder="1" applyAlignment="1">
      <alignment horizontal="left" vertical="center" wrapText="1"/>
    </xf>
    <xf numFmtId="49" fontId="0" fillId="51" borderId="237" xfId="0" applyNumberFormat="1" applyFill="1" applyBorder="1">
      <alignment horizontal="center" vertical="center"/>
    </xf>
    <xf numFmtId="49" fontId="0" fillId="52" borderId="237" xfId="0" applyNumberFormat="1" applyFill="1" applyBorder="1">
      <alignment horizontal="center" vertical="center"/>
    </xf>
    <xf numFmtId="49" fontId="0" fillId="51" borderId="238" xfId="0" applyNumberFormat="1" applyFill="1" applyBorder="1">
      <alignment horizontal="center" vertical="center"/>
    </xf>
    <xf numFmtId="49" fontId="0" fillId="53" borderId="237" xfId="0" applyNumberFormat="1" applyFill="1" applyBorder="1">
      <alignment horizontal="center" vertical="center"/>
    </xf>
    <xf numFmtId="0" fontId="6" fillId="52" borderId="237" xfId="48" applyBorder="1">
      <alignment horizontal="center" vertical="center"/>
    </xf>
    <xf numFmtId="0" fontId="6" fillId="52" borderId="238" xfId="48" applyBorder="1">
      <alignment horizontal="center" vertical="center"/>
    </xf>
    <xf numFmtId="0" fontId="0" fillId="51" borderId="237" xfId="0" applyFill="1" applyBorder="1">
      <alignment horizontal="center" vertical="center"/>
    </xf>
    <xf numFmtId="0" fontId="3" fillId="0" borderId="204" xfId="0" applyFont="1" applyBorder="1" applyAlignment="1">
      <alignment horizontal="center"/>
    </xf>
    <xf numFmtId="0" fontId="3" fillId="0" borderId="236" xfId="0" applyFont="1" applyBorder="1" applyAlignment="1">
      <alignment horizontal="center"/>
    </xf>
    <xf numFmtId="0" fontId="0" fillId="0" borderId="239" xfId="0" applyBorder="1" applyAlignment="1">
      <alignment horizontal="left" vertical="center"/>
    </xf>
    <xf numFmtId="0" fontId="3" fillId="0" borderId="240" xfId="0" applyFont="1" applyBorder="1" applyAlignment="1">
      <alignment horizontal="left"/>
    </xf>
    <xf numFmtId="0" fontId="0" fillId="0" borderId="241" xfId="0" applyBorder="1" applyAlignment="1">
      <alignment horizontal="left" vertical="center"/>
    </xf>
    <xf numFmtId="0" fontId="0" fillId="0" borderId="242" xfId="0" applyBorder="1" applyAlignment="1">
      <alignment horizontal="left" vertical="center"/>
    </xf>
    <xf numFmtId="49" fontId="0" fillId="0" borderId="239" xfId="0" applyNumberFormat="1" applyBorder="1" applyAlignment="1">
      <alignment horizontal="left"/>
    </xf>
    <xf numFmtId="0" fontId="2" fillId="0" borderId="243" xfId="0" applyFont="1" applyBorder="1" applyAlignment="1">
      <alignment horizontal="center"/>
    </xf>
    <xf numFmtId="0" fontId="0" fillId="0" borderId="244" xfId="0" applyBorder="1" applyAlignment="1">
      <alignment horizontal="left" vertical="center"/>
    </xf>
    <xf numFmtId="0" fontId="0" fillId="0" borderId="245" xfId="0" applyBorder="1" applyAlignment="1">
      <alignment horizontal="left" vertical="center"/>
    </xf>
    <xf numFmtId="49" fontId="0" fillId="0" borderId="245" xfId="0" applyNumberFormat="1" applyBorder="1" applyAlignment="1">
      <alignment horizontal="left"/>
    </xf>
    <xf numFmtId="0" fontId="3" fillId="0" borderId="204" xfId="0" applyFont="1" applyBorder="1" applyAlignment="1" applyProtection="1">
      <alignment horizontal="center"/>
      <protection locked="0"/>
    </xf>
    <xf numFmtId="0" fontId="3" fillId="0" borderId="204" xfId="0" applyFont="1" applyBorder="1" applyAlignment="1">
      <alignment horizontal="left"/>
    </xf>
    <xf numFmtId="0" fontId="0" fillId="0" borderId="246" xfId="0" applyBorder="1">
      <alignment horizontal="center" vertical="center"/>
    </xf>
    <xf numFmtId="0" fontId="0" fillId="0" borderId="204" xfId="0" applyBorder="1" applyAlignment="1" applyProtection="1">
      <alignment horizontal="center"/>
      <protection locked="0"/>
    </xf>
    <xf numFmtId="0" fontId="0" fillId="0" borderId="204" xfId="0" applyBorder="1" applyAlignment="1">
      <alignment horizontal="left"/>
    </xf>
    <xf numFmtId="0" fontId="6" fillId="69" borderId="204" xfId="44" applyBorder="1">
      <alignment horizontal="center" vertical="center"/>
    </xf>
    <xf numFmtId="0" fontId="6" fillId="52" borderId="246" xfId="48" applyBorder="1">
      <alignment horizontal="center" vertical="center"/>
    </xf>
    <xf numFmtId="0" fontId="3" fillId="0" borderId="204" xfId="0" applyFont="1" applyBorder="1" applyAlignment="1">
      <alignment vertical="center"/>
    </xf>
    <xf numFmtId="0" fontId="0" fillId="51" borderId="246" xfId="0" applyFill="1" applyBorder="1">
      <alignment horizontal="center" vertical="center"/>
    </xf>
    <xf numFmtId="0" fontId="0" fillId="69" borderId="204" xfId="48" applyFont="1" applyFill="1" applyBorder="1">
      <alignment horizontal="center" vertical="center"/>
    </xf>
    <xf numFmtId="0" fontId="0" fillId="56" borderId="204" xfId="0" applyFill="1" applyBorder="1">
      <alignment horizontal="center" vertical="center"/>
    </xf>
    <xf numFmtId="0" fontId="0" fillId="56" borderId="204" xfId="48" applyFont="1" applyFill="1" applyBorder="1">
      <alignment horizontal="center" vertical="center"/>
    </xf>
    <xf numFmtId="0" fontId="6" fillId="53" borderId="204" xfId="43" applyBorder="1">
      <alignment horizontal="center" vertical="center"/>
    </xf>
    <xf numFmtId="0" fontId="6" fillId="53" borderId="246" xfId="43" applyBorder="1">
      <alignment horizontal="center" vertical="center"/>
    </xf>
    <xf numFmtId="0" fontId="51" fillId="56" borderId="204" xfId="46" applyBorder="1">
      <alignment horizontal="center" vertical="center"/>
    </xf>
    <xf numFmtId="0" fontId="2" fillId="0" borderId="204" xfId="0" applyFont="1" applyBorder="1" applyAlignment="1" applyProtection="1">
      <alignment horizontal="center"/>
      <protection locked="0"/>
    </xf>
    <xf numFmtId="0" fontId="6" fillId="54" borderId="204" xfId="50" applyBorder="1">
      <alignment horizontal="center" vertical="center"/>
    </xf>
    <xf numFmtId="0" fontId="6" fillId="54" borderId="246" xfId="50" applyBorder="1">
      <alignment horizontal="center" vertical="center"/>
    </xf>
    <xf numFmtId="0" fontId="0" fillId="51" borderId="246" xfId="51" applyFont="1" applyFill="1" applyBorder="1">
      <alignment horizontal="center" vertical="center"/>
    </xf>
    <xf numFmtId="0" fontId="6" fillId="60" borderId="204" xfId="51" applyBorder="1">
      <alignment horizontal="center" vertical="center"/>
    </xf>
    <xf numFmtId="0" fontId="6" fillId="60" borderId="246" xfId="51" applyBorder="1">
      <alignment horizontal="center" vertical="center"/>
    </xf>
    <xf numFmtId="0" fontId="3" fillId="0" borderId="247" xfId="0" applyFont="1" applyBorder="1">
      <alignment horizontal="center" vertical="center"/>
    </xf>
    <xf numFmtId="49" fontId="0" fillId="51" borderId="246" xfId="0" applyNumberFormat="1" applyFill="1" applyBorder="1">
      <alignment horizontal="center" vertical="center"/>
    </xf>
    <xf numFmtId="0" fontId="0" fillId="51" borderId="204" xfId="33" applyFont="1" applyFill="1" applyBorder="1">
      <alignment horizontal="center" vertical="center"/>
    </xf>
    <xf numFmtId="0" fontId="6" fillId="0" borderId="204" xfId="0" applyFont="1" applyBorder="1" applyAlignment="1">
      <alignment vertical="center"/>
    </xf>
    <xf numFmtId="0" fontId="6" fillId="51" borderId="204" xfId="0" applyFont="1" applyFill="1" applyBorder="1" applyAlignment="1">
      <alignment vertical="center"/>
    </xf>
    <xf numFmtId="0" fontId="3" fillId="0" borderId="248" xfId="0" applyFont="1" applyBorder="1" applyAlignment="1">
      <alignment horizontal="center"/>
    </xf>
    <xf numFmtId="0" fontId="2" fillId="0" borderId="240" xfId="0" applyFont="1" applyBorder="1" applyAlignment="1">
      <alignment horizontal="left"/>
    </xf>
    <xf numFmtId="0" fontId="3" fillId="0" borderId="249" xfId="0" applyFont="1" applyBorder="1" applyAlignment="1">
      <alignment horizontal="center"/>
    </xf>
    <xf numFmtId="0" fontId="2" fillId="0" borderId="250" xfId="0" applyFont="1" applyBorder="1" applyAlignment="1">
      <alignment horizontal="center"/>
    </xf>
    <xf numFmtId="0" fontId="0" fillId="0" borderId="251" xfId="0" applyBorder="1" applyAlignment="1" applyProtection="1">
      <alignment horizontal="center"/>
      <protection locked="0"/>
    </xf>
    <xf numFmtId="0" fontId="0" fillId="0" borderId="252" xfId="0" applyBorder="1" applyAlignment="1" applyProtection="1">
      <alignment horizontal="center"/>
      <protection locked="0"/>
    </xf>
    <xf numFmtId="0" fontId="0" fillId="43" borderId="253" xfId="0" applyFill="1" applyBorder="1" applyAlignment="1">
      <alignment horizontal="center"/>
    </xf>
    <xf numFmtId="0" fontId="46" fillId="0" borderId="253" xfId="0" applyFont="1" applyBorder="1" applyAlignment="1">
      <alignment horizontal="left" vertical="center"/>
    </xf>
    <xf numFmtId="0" fontId="0" fillId="0" borderId="230" xfId="0" applyBorder="1" applyAlignment="1">
      <alignment horizontal="left" vertical="center"/>
    </xf>
    <xf numFmtId="49" fontId="0" fillId="51" borderId="252" xfId="0" applyNumberFormat="1" applyFill="1" applyBorder="1">
      <alignment horizontal="center" vertical="center"/>
    </xf>
    <xf numFmtId="0" fontId="6" fillId="52" borderId="252" xfId="48" applyBorder="1">
      <alignment horizontal="center" vertical="center"/>
    </xf>
    <xf numFmtId="0" fontId="0" fillId="0" borderId="254" xfId="0" applyBorder="1" applyAlignment="1" applyProtection="1">
      <alignment horizontal="center"/>
      <protection locked="0"/>
    </xf>
    <xf numFmtId="0" fontId="0" fillId="0" borderId="255" xfId="0" applyBorder="1" applyAlignment="1">
      <alignment horizontal="left" vertical="center"/>
    </xf>
    <xf numFmtId="49" fontId="0" fillId="51" borderId="245" xfId="0" applyNumberFormat="1" applyFill="1" applyBorder="1">
      <alignment horizontal="center" vertical="center"/>
    </xf>
    <xf numFmtId="49" fontId="0" fillId="0" borderId="252" xfId="0" applyNumberFormat="1" applyBorder="1" applyAlignment="1"/>
    <xf numFmtId="0" fontId="3" fillId="0" borderId="254" xfId="0" applyFont="1" applyBorder="1" applyAlignment="1" applyProtection="1">
      <alignment horizontal="center"/>
      <protection locked="0"/>
    </xf>
    <xf numFmtId="0" fontId="5" fillId="0" borderId="254" xfId="0" applyFont="1" applyBorder="1" applyAlignment="1">
      <alignment horizontal="center"/>
    </xf>
    <xf numFmtId="0" fontId="0" fillId="0" borderId="251" xfId="0" applyBorder="1" applyAlignment="1" applyProtection="1">
      <alignment horizontal="left"/>
      <protection locked="0"/>
    </xf>
    <xf numFmtId="0" fontId="12" fillId="0" borderId="251" xfId="0" applyFont="1" applyBorder="1" applyAlignment="1">
      <alignment vertical="center"/>
    </xf>
    <xf numFmtId="0" fontId="14" fillId="0" borderId="251" xfId="0" applyFont="1" applyBorder="1" applyAlignment="1">
      <alignment vertical="center"/>
    </xf>
    <xf numFmtId="0" fontId="0" fillId="0" borderId="256" xfId="0" applyBorder="1" applyAlignment="1">
      <alignment vertical="center"/>
    </xf>
    <xf numFmtId="0" fontId="0" fillId="51" borderId="204" xfId="50" applyFont="1" applyFill="1" applyBorder="1">
      <alignment horizontal="center" vertical="center"/>
    </xf>
    <xf numFmtId="1" fontId="0" fillId="51" borderId="204" xfId="32" applyNumberFormat="1" applyFont="1" applyFill="1" applyBorder="1" applyAlignment="1">
      <alignment horizontal="center" vertical="center"/>
    </xf>
    <xf numFmtId="49" fontId="0" fillId="51" borderId="257" xfId="0" applyNumberFormat="1" applyFill="1" applyBorder="1">
      <alignment horizontal="center" vertical="center"/>
    </xf>
    <xf numFmtId="49" fontId="0" fillId="51" borderId="254" xfId="0" applyNumberFormat="1" applyFill="1" applyBorder="1">
      <alignment horizontal="center" vertical="center"/>
    </xf>
    <xf numFmtId="0" fontId="0" fillId="51" borderId="254" xfId="0" applyFill="1" applyBorder="1">
      <alignment horizontal="center" vertical="center"/>
    </xf>
    <xf numFmtId="0" fontId="5" fillId="44" borderId="252" xfId="0" applyFont="1" applyFill="1" applyBorder="1" applyAlignment="1">
      <alignment horizontal="left"/>
    </xf>
    <xf numFmtId="0" fontId="5" fillId="25" borderId="252" xfId="0" applyFont="1" applyFill="1" applyBorder="1">
      <alignment horizontal="center" vertical="center"/>
    </xf>
    <xf numFmtId="0" fontId="6" fillId="25" borderId="258" xfId="0" applyFont="1" applyFill="1" applyBorder="1">
      <alignment horizontal="center" vertical="center"/>
    </xf>
    <xf numFmtId="0" fontId="5" fillId="29" borderId="252" xfId="0" applyFont="1" applyFill="1" applyBorder="1" applyAlignment="1">
      <alignment horizontal="left"/>
    </xf>
    <xf numFmtId="0" fontId="5" fillId="29" borderId="258" xfId="0" applyFont="1" applyFill="1" applyBorder="1" applyAlignment="1">
      <alignment horizontal="left"/>
    </xf>
    <xf numFmtId="0" fontId="6" fillId="29" borderId="258" xfId="0" applyFont="1" applyFill="1" applyBorder="1">
      <alignment horizontal="center" vertical="center"/>
    </xf>
    <xf numFmtId="0" fontId="6" fillId="29" borderId="259" xfId="0" applyFont="1" applyFill="1" applyBorder="1">
      <alignment horizontal="center" vertical="center"/>
    </xf>
    <xf numFmtId="0" fontId="5" fillId="37" borderId="252" xfId="0" applyFont="1" applyFill="1" applyBorder="1" applyAlignment="1">
      <alignment horizontal="left"/>
    </xf>
    <xf numFmtId="0" fontId="5" fillId="37" borderId="258" xfId="0" applyFont="1" applyFill="1" applyBorder="1" applyAlignment="1">
      <alignment horizontal="left"/>
    </xf>
    <xf numFmtId="0" fontId="0" fillId="37" borderId="258" xfId="0" applyFill="1" applyBorder="1">
      <alignment horizontal="center" vertical="center"/>
    </xf>
    <xf numFmtId="0" fontId="5" fillId="45" borderId="252" xfId="0" applyFont="1" applyFill="1" applyBorder="1" applyAlignment="1">
      <alignment horizontal="left"/>
    </xf>
    <xf numFmtId="0" fontId="0" fillId="45" borderId="258" xfId="0" applyFill="1" applyBorder="1">
      <alignment horizontal="center" vertical="center"/>
    </xf>
    <xf numFmtId="0" fontId="6" fillId="45" borderId="258" xfId="0" applyFont="1" applyFill="1" applyBorder="1">
      <alignment horizontal="center" vertical="center"/>
    </xf>
    <xf numFmtId="0" fontId="6" fillId="45" borderId="259" xfId="0" applyFont="1" applyFill="1" applyBorder="1">
      <alignment horizontal="center" vertical="center"/>
    </xf>
    <xf numFmtId="0" fontId="5" fillId="24" borderId="252" xfId="0" applyFont="1" applyFill="1" applyBorder="1">
      <alignment horizontal="center" vertical="center"/>
    </xf>
    <xf numFmtId="0" fontId="0" fillId="24" borderId="258" xfId="0" applyFill="1" applyBorder="1">
      <alignment horizontal="center" vertical="center"/>
    </xf>
    <xf numFmtId="0" fontId="6" fillId="24" borderId="258" xfId="0" applyFont="1" applyFill="1" applyBorder="1">
      <alignment horizontal="center" vertical="center"/>
    </xf>
    <xf numFmtId="0" fontId="5" fillId="40" borderId="252" xfId="0" applyFont="1" applyFill="1" applyBorder="1" applyAlignment="1">
      <alignment horizontal="left"/>
    </xf>
    <xf numFmtId="0" fontId="6" fillId="40" borderId="258" xfId="0" applyFont="1" applyFill="1" applyBorder="1">
      <alignment horizontal="center" vertical="center"/>
    </xf>
    <xf numFmtId="0" fontId="0" fillId="40" borderId="259" xfId="0" applyFill="1" applyBorder="1">
      <alignment horizontal="center" vertical="center"/>
    </xf>
    <xf numFmtId="0" fontId="0" fillId="46" borderId="260" xfId="0" applyFill="1" applyBorder="1">
      <alignment horizontal="center" vertical="center"/>
    </xf>
    <xf numFmtId="0" fontId="6" fillId="46" borderId="260" xfId="0" applyFont="1" applyFill="1" applyBorder="1">
      <alignment horizontal="center" vertical="center"/>
    </xf>
    <xf numFmtId="0" fontId="6" fillId="46" borderId="261" xfId="0" applyFont="1" applyFill="1" applyBorder="1">
      <alignment horizontal="center" vertical="center"/>
    </xf>
    <xf numFmtId="0" fontId="5" fillId="0" borderId="262" xfId="0" applyFont="1" applyBorder="1" applyAlignment="1">
      <alignment horizontal="left" vertical="center"/>
    </xf>
    <xf numFmtId="0" fontId="6" fillId="0" borderId="260" xfId="0" applyFont="1" applyBorder="1">
      <alignment horizontal="center" vertical="center"/>
    </xf>
    <xf numFmtId="0" fontId="6" fillId="0" borderId="261" xfId="0" applyFont="1" applyBorder="1">
      <alignment horizontal="center" vertical="center"/>
    </xf>
    <xf numFmtId="0" fontId="5" fillId="39" borderId="251" xfId="0" applyFont="1" applyFill="1" applyBorder="1" applyAlignment="1">
      <alignment horizontal="left"/>
    </xf>
    <xf numFmtId="0" fontId="5" fillId="47" borderId="252" xfId="0" applyFont="1" applyFill="1" applyBorder="1">
      <alignment horizontal="center" vertical="center"/>
    </xf>
    <xf numFmtId="0" fontId="6" fillId="47" borderId="258" xfId="0" applyFont="1" applyFill="1" applyBorder="1">
      <alignment horizontal="center" vertical="center"/>
    </xf>
    <xf numFmtId="0" fontId="6" fillId="0" borderId="252" xfId="0" applyFont="1" applyBorder="1" applyAlignment="1">
      <alignment horizontal="left"/>
    </xf>
    <xf numFmtId="0" fontId="0" fillId="0" borderId="258" xfId="0" applyBorder="1">
      <alignment horizontal="center" vertical="center"/>
    </xf>
    <xf numFmtId="0" fontId="6" fillId="0" borderId="258" xfId="0" applyFont="1" applyBorder="1" applyAlignment="1">
      <alignment horizontal="left"/>
    </xf>
    <xf numFmtId="0" fontId="6" fillId="0" borderId="258" xfId="0" applyFont="1" applyBorder="1">
      <alignment horizontal="center" vertical="center"/>
    </xf>
    <xf numFmtId="0" fontId="6" fillId="0" borderId="259" xfId="0" applyFont="1" applyBorder="1">
      <alignment horizontal="center" vertical="center"/>
    </xf>
    <xf numFmtId="0" fontId="6" fillId="48" borderId="252" xfId="0" applyFont="1" applyFill="1" applyBorder="1" applyAlignment="1">
      <alignment horizontal="left" vertical="center"/>
    </xf>
    <xf numFmtId="0" fontId="6" fillId="48" borderId="258" xfId="0" applyFont="1" applyFill="1" applyBorder="1">
      <alignment horizontal="center" vertical="center"/>
    </xf>
    <xf numFmtId="0" fontId="6" fillId="48" borderId="259" xfId="0" applyFont="1" applyFill="1" applyBorder="1">
      <alignment horizontal="center" vertical="center"/>
    </xf>
    <xf numFmtId="0" fontId="3" fillId="0" borderId="252" xfId="0" applyFont="1" applyBorder="1" applyAlignment="1">
      <alignment horizontal="left" vertical="center"/>
    </xf>
    <xf numFmtId="0" fontId="0" fillId="0" borderId="259" xfId="0" applyBorder="1">
      <alignment horizontal="center" vertical="center"/>
    </xf>
    <xf numFmtId="0" fontId="0" fillId="0" borderId="263" xfId="0" applyBorder="1">
      <alignment horizontal="center" vertical="center"/>
    </xf>
    <xf numFmtId="0" fontId="3" fillId="0" borderId="258" xfId="0" applyFont="1" applyBorder="1" applyAlignment="1">
      <alignment horizontal="left" vertical="center"/>
    </xf>
    <xf numFmtId="0" fontId="0" fillId="0" borderId="264" xfId="0" applyBorder="1">
      <alignment horizontal="center" vertical="center"/>
    </xf>
    <xf numFmtId="0" fontId="13" fillId="0" borderId="262" xfId="0" applyFont="1" applyBorder="1">
      <alignment horizontal="center" vertical="center"/>
    </xf>
    <xf numFmtId="0" fontId="0" fillId="0" borderId="260" xfId="0" applyBorder="1">
      <alignment horizontal="center" vertical="center"/>
    </xf>
    <xf numFmtId="0" fontId="0" fillId="0" borderId="261" xfId="0" applyBorder="1">
      <alignment horizontal="center" vertical="center"/>
    </xf>
    <xf numFmtId="0" fontId="3" fillId="0" borderId="252" xfId="0" applyFont="1" applyBorder="1">
      <alignment horizontal="center" vertical="center"/>
    </xf>
    <xf numFmtId="0" fontId="0" fillId="0" borderId="265" xfId="0" applyBorder="1" applyAlignment="1" applyProtection="1">
      <alignment horizontal="center"/>
      <protection locked="0"/>
    </xf>
    <xf numFmtId="0" fontId="5" fillId="0" borderId="265" xfId="0" applyFont="1" applyBorder="1" applyAlignment="1">
      <alignment horizontal="center"/>
    </xf>
    <xf numFmtId="0" fontId="0" fillId="70" borderId="265" xfId="0" applyFill="1" applyBorder="1">
      <alignment horizontal="center" vertical="center"/>
    </xf>
    <xf numFmtId="0" fontId="0" fillId="51" borderId="265" xfId="0" applyFill="1" applyBorder="1">
      <alignment horizontal="center" vertical="center"/>
    </xf>
    <xf numFmtId="0" fontId="0" fillId="51" borderId="266" xfId="0" applyFill="1" applyBorder="1">
      <alignment horizontal="center" vertical="center"/>
    </xf>
    <xf numFmtId="0" fontId="5" fillId="0" borderId="204" xfId="0" applyFont="1" applyBorder="1">
      <alignment horizontal="center" vertical="center"/>
    </xf>
    <xf numFmtId="0" fontId="3" fillId="24" borderId="251" xfId="0" applyFont="1" applyFill="1" applyBorder="1" applyAlignment="1">
      <alignment horizontal="left" vertical="center"/>
    </xf>
    <xf numFmtId="0" fontId="0" fillId="24" borderId="251" xfId="0" applyFill="1" applyBorder="1">
      <alignment horizontal="center" vertical="center"/>
    </xf>
    <xf numFmtId="0" fontId="0" fillId="24" borderId="267" xfId="0" applyFill="1" applyBorder="1">
      <alignment horizontal="center" vertical="center"/>
    </xf>
    <xf numFmtId="0" fontId="0" fillId="43" borderId="251" xfId="0" applyFill="1" applyBorder="1" applyAlignment="1" applyProtection="1">
      <alignment horizontal="center"/>
      <protection locked="0"/>
    </xf>
    <xf numFmtId="0" fontId="5" fillId="0" borderId="251" xfId="0" applyFont="1" applyBorder="1" applyAlignment="1">
      <alignment horizontal="left" vertical="center"/>
    </xf>
    <xf numFmtId="0" fontId="0" fillId="51" borderId="251" xfId="43" applyFont="1" applyFill="1" applyBorder="1">
      <alignment horizontal="center" vertical="center"/>
    </xf>
    <xf numFmtId="1" fontId="0" fillId="51" borderId="251" xfId="0" applyNumberFormat="1" applyFill="1" applyBorder="1">
      <alignment horizontal="center" vertical="center"/>
    </xf>
    <xf numFmtId="1" fontId="0" fillId="51" borderId="251" xfId="32" applyNumberFormat="1" applyFont="1" applyFill="1" applyBorder="1" applyAlignment="1">
      <alignment horizontal="center" vertical="center"/>
    </xf>
    <xf numFmtId="0" fontId="0" fillId="51" borderId="251" xfId="0" applyFill="1" applyBorder="1">
      <alignment horizontal="center" vertical="center"/>
    </xf>
    <xf numFmtId="0" fontId="0" fillId="51" borderId="251" xfId="44" applyFont="1" applyFill="1" applyBorder="1">
      <alignment horizontal="center" vertical="center"/>
    </xf>
    <xf numFmtId="0" fontId="0" fillId="51" borderId="251" xfId="46" applyFont="1" applyFill="1" applyBorder="1">
      <alignment horizontal="center" vertical="center"/>
    </xf>
    <xf numFmtId="1" fontId="0" fillId="51" borderId="267" xfId="0" applyNumberFormat="1" applyFill="1" applyBorder="1">
      <alignment horizontal="center" vertical="center"/>
    </xf>
    <xf numFmtId="0" fontId="0" fillId="0" borderId="251" xfId="0" applyBorder="1" applyAlignment="1">
      <alignment horizontal="left" vertical="center"/>
    </xf>
    <xf numFmtId="0" fontId="0" fillId="53" borderId="251" xfId="44" applyFont="1" applyFill="1" applyBorder="1">
      <alignment horizontal="center" vertical="center"/>
    </xf>
    <xf numFmtId="1" fontId="0" fillId="53" borderId="251" xfId="0" applyNumberFormat="1" applyFill="1" applyBorder="1">
      <alignment horizontal="center" vertical="center"/>
    </xf>
    <xf numFmtId="0" fontId="6" fillId="53" borderId="251" xfId="43" applyBorder="1">
      <alignment horizontal="center" vertical="center"/>
    </xf>
    <xf numFmtId="1" fontId="0" fillId="55" borderId="251" xfId="0" applyNumberFormat="1" applyFill="1" applyBorder="1">
      <alignment horizontal="center" vertical="center"/>
    </xf>
    <xf numFmtId="0" fontId="6" fillId="52" borderId="251" xfId="48" applyBorder="1">
      <alignment horizontal="center" vertical="center"/>
    </xf>
    <xf numFmtId="0" fontId="0" fillId="51" borderId="251" xfId="49" applyFont="1" applyFill="1" applyBorder="1">
      <alignment horizontal="center" vertical="center"/>
    </xf>
    <xf numFmtId="0" fontId="6" fillId="69" borderId="251" xfId="44" applyBorder="1">
      <alignment horizontal="center" vertical="center"/>
    </xf>
    <xf numFmtId="1" fontId="0" fillId="51" borderId="251" xfId="44" applyNumberFormat="1" applyFont="1" applyFill="1" applyBorder="1">
      <alignment horizontal="center" vertical="center"/>
    </xf>
    <xf numFmtId="0" fontId="3" fillId="24" borderId="253" xfId="0" applyFont="1" applyFill="1" applyBorder="1" applyAlignment="1" applyProtection="1">
      <alignment horizontal="left"/>
      <protection locked="0"/>
    </xf>
    <xf numFmtId="0" fontId="3" fillId="24" borderId="253" xfId="0" applyFont="1" applyFill="1" applyBorder="1">
      <alignment horizontal="center" vertical="center"/>
    </xf>
    <xf numFmtId="1" fontId="0" fillId="24" borderId="253" xfId="0" applyNumberFormat="1" applyFill="1" applyBorder="1">
      <alignment horizontal="center" vertical="center"/>
    </xf>
    <xf numFmtId="0" fontId="0" fillId="24" borderId="266" xfId="0" applyFill="1" applyBorder="1">
      <alignment horizontal="center" vertical="center"/>
    </xf>
    <xf numFmtId="0" fontId="0" fillId="51" borderId="204" xfId="48" applyFont="1" applyFill="1" applyBorder="1">
      <alignment horizontal="center" vertical="center"/>
    </xf>
    <xf numFmtId="0" fontId="0" fillId="52" borderId="204" xfId="48" applyFont="1" applyBorder="1">
      <alignment horizontal="center" vertical="center"/>
    </xf>
    <xf numFmtId="0" fontId="0" fillId="0" borderId="204" xfId="0" applyBorder="1">
      <alignment horizontal="center" vertical="center"/>
    </xf>
    <xf numFmtId="173" fontId="0" fillId="0" borderId="204" xfId="0" applyNumberFormat="1" applyBorder="1">
      <alignment horizontal="center" vertical="center"/>
    </xf>
    <xf numFmtId="0" fontId="0" fillId="43" borderId="204" xfId="0" applyFill="1" applyBorder="1" applyAlignment="1" applyProtection="1">
      <alignment horizontal="center"/>
      <protection locked="0"/>
    </xf>
    <xf numFmtId="0" fontId="0" fillId="0" borderId="204" xfId="0" applyBorder="1" applyAlignment="1">
      <alignment horizontal="left" vertical="center"/>
    </xf>
    <xf numFmtId="0" fontId="0" fillId="52" borderId="204" xfId="0" applyFill="1" applyBorder="1">
      <alignment horizontal="center" vertical="center"/>
    </xf>
    <xf numFmtId="0" fontId="6" fillId="52" borderId="204" xfId="48" applyBorder="1">
      <alignment horizontal="center" vertical="center"/>
    </xf>
    <xf numFmtId="0" fontId="0" fillId="51" borderId="204" xfId="0" applyFill="1" applyBorder="1">
      <alignment horizontal="center" vertical="center"/>
    </xf>
    <xf numFmtId="0" fontId="0" fillId="71" borderId="204" xfId="0" applyFill="1" applyBorder="1">
      <alignment horizontal="center" vertical="center"/>
    </xf>
    <xf numFmtId="0" fontId="0" fillId="71" borderId="268" xfId="0" applyFill="1" applyBorder="1">
      <alignment horizontal="center" vertical="center"/>
    </xf>
    <xf numFmtId="0" fontId="0" fillId="51" borderId="204" xfId="44" applyFont="1" applyFill="1" applyBorder="1">
      <alignment horizontal="center" vertical="center"/>
    </xf>
    <xf numFmtId="0" fontId="6" fillId="52" borderId="268" xfId="48" applyBorder="1">
      <alignment horizontal="center" vertical="center"/>
    </xf>
    <xf numFmtId="0" fontId="6" fillId="0" borderId="204" xfId="0" applyFont="1" applyBorder="1" applyAlignment="1">
      <alignment horizontal="left" vertical="center"/>
    </xf>
    <xf numFmtId="0" fontId="0" fillId="51" borderId="204" xfId="43" applyFont="1" applyFill="1" applyBorder="1">
      <alignment horizontal="center" vertical="center"/>
    </xf>
    <xf numFmtId="0" fontId="0" fillId="51" borderId="204" xfId="46" applyFont="1" applyFill="1" applyBorder="1">
      <alignment horizontal="center" vertical="center"/>
    </xf>
    <xf numFmtId="0" fontId="0" fillId="51" borderId="268" xfId="0" applyFill="1" applyBorder="1">
      <alignment horizontal="center" vertical="center"/>
    </xf>
    <xf numFmtId="0" fontId="0" fillId="0" borderId="204" xfId="0" applyBorder="1" applyAlignment="1">
      <alignment vertical="center"/>
    </xf>
    <xf numFmtId="0" fontId="0" fillId="55" borderId="204" xfId="48" applyFont="1" applyFill="1" applyBorder="1">
      <alignment horizontal="center" vertical="center"/>
    </xf>
    <xf numFmtId="49" fontId="0" fillId="51" borderId="251" xfId="0" applyNumberFormat="1" applyFill="1" applyBorder="1">
      <alignment horizontal="center" vertical="center"/>
    </xf>
    <xf numFmtId="0" fontId="0" fillId="0" borderId="269" xfId="48" applyFont="1" applyFill="1" applyBorder="1">
      <alignment horizontal="center" vertical="center"/>
    </xf>
    <xf numFmtId="0" fontId="3" fillId="0" borderId="270" xfId="0" applyFont="1" applyBorder="1" applyAlignment="1">
      <alignment horizontal="left" vertical="center"/>
    </xf>
    <xf numFmtId="0" fontId="3" fillId="0" borderId="252" xfId="0" applyFont="1" applyBorder="1" applyAlignment="1">
      <alignment vertical="center"/>
    </xf>
    <xf numFmtId="0" fontId="13" fillId="0" borderId="258" xfId="0" applyFont="1" applyBorder="1">
      <alignment horizontal="center" vertical="center"/>
    </xf>
    <xf numFmtId="0" fontId="3" fillId="0" borderId="262" xfId="0" applyFont="1" applyBorder="1" applyAlignment="1">
      <alignment horizontal="left" vertical="center"/>
    </xf>
    <xf numFmtId="0" fontId="13" fillId="0" borderId="260" xfId="0" applyFont="1" applyBorder="1">
      <alignment horizontal="center" vertical="center"/>
    </xf>
    <xf numFmtId="0" fontId="3" fillId="0" borderId="260" xfId="0" applyFont="1" applyBorder="1">
      <alignment horizontal="center" vertical="center"/>
    </xf>
    <xf numFmtId="0" fontId="3" fillId="0" borderId="271" xfId="0" applyFont="1" applyBorder="1" applyAlignment="1">
      <alignment horizontal="left" vertical="center"/>
    </xf>
    <xf numFmtId="0" fontId="0" fillId="0" borderId="252" xfId="0" applyBorder="1" applyAlignment="1">
      <alignment vertical="center"/>
    </xf>
    <xf numFmtId="0" fontId="0" fillId="0" borderId="258" xfId="0" applyBorder="1" applyAlignment="1">
      <alignment horizontal="left" vertical="center"/>
    </xf>
    <xf numFmtId="0" fontId="0" fillId="0" borderId="272" xfId="0" applyBorder="1">
      <alignment horizontal="center" vertical="center"/>
    </xf>
    <xf numFmtId="0" fontId="3" fillId="0" borderId="249" xfId="0" applyFont="1" applyBorder="1" applyAlignment="1">
      <alignment horizontal="left" vertical="center"/>
    </xf>
    <xf numFmtId="0" fontId="0" fillId="0" borderId="273" xfId="0" applyBorder="1">
      <alignment horizontal="center" vertical="center"/>
    </xf>
    <xf numFmtId="0" fontId="0" fillId="0" borderId="274" xfId="0" applyBorder="1" applyAlignment="1">
      <alignment vertical="center"/>
    </xf>
    <xf numFmtId="0" fontId="0" fillId="0" borderId="275" xfId="0" applyBorder="1">
      <alignment horizontal="center" vertical="center"/>
    </xf>
    <xf numFmtId="0" fontId="3" fillId="0" borderId="274" xfId="0" applyFont="1" applyBorder="1">
      <alignment horizontal="center" vertical="center"/>
    </xf>
    <xf numFmtId="0" fontId="0" fillId="0" borderId="273" xfId="0" applyBorder="1" applyAlignment="1">
      <alignment horizontal="left" vertical="center"/>
    </xf>
    <xf numFmtId="0" fontId="13" fillId="0" borderId="273" xfId="0" applyFont="1" applyBorder="1">
      <alignment horizontal="center" vertical="center"/>
    </xf>
    <xf numFmtId="0" fontId="3" fillId="0" borderId="273" xfId="0" applyFont="1" applyBorder="1" applyAlignment="1">
      <alignment horizontal="left" vertical="center"/>
    </xf>
    <xf numFmtId="0" fontId="0" fillId="0" borderId="276" xfId="0" applyBorder="1">
      <alignment horizontal="center" vertical="center"/>
    </xf>
    <xf numFmtId="0" fontId="0" fillId="0" borderId="256" xfId="0" applyBorder="1" applyAlignment="1" applyProtection="1">
      <alignment horizontal="center"/>
      <protection locked="0"/>
    </xf>
    <xf numFmtId="0" fontId="5" fillId="0" borderId="256" xfId="0" applyFont="1" applyBorder="1" applyAlignment="1">
      <alignment horizontal="center"/>
    </xf>
    <xf numFmtId="0" fontId="6" fillId="55" borderId="269" xfId="45" applyBorder="1">
      <alignment horizontal="center" vertical="center"/>
    </xf>
    <xf numFmtId="0" fontId="0" fillId="43" borderId="277" xfId="0" applyFill="1" applyBorder="1" applyAlignment="1" applyProtection="1">
      <alignment horizontal="center"/>
      <protection locked="0"/>
    </xf>
    <xf numFmtId="0" fontId="0" fillId="55" borderId="251" xfId="43" applyFont="1" applyFill="1" applyBorder="1">
      <alignment horizontal="center" vertical="center"/>
    </xf>
    <xf numFmtId="0" fontId="0" fillId="51" borderId="267" xfId="0" applyFill="1" applyBorder="1">
      <alignment horizontal="center" vertical="center"/>
    </xf>
    <xf numFmtId="0" fontId="0" fillId="43" borderId="278" xfId="0" applyFill="1" applyBorder="1" applyAlignment="1" applyProtection="1">
      <alignment horizontal="center"/>
      <protection locked="0"/>
    </xf>
    <xf numFmtId="0" fontId="0" fillId="0" borderId="253" xfId="0" applyBorder="1" applyAlignment="1">
      <alignment horizontal="left" vertical="center"/>
    </xf>
    <xf numFmtId="49" fontId="0" fillId="51" borderId="253" xfId="0" applyNumberFormat="1" applyFill="1" applyBorder="1">
      <alignment horizontal="center" vertical="center"/>
    </xf>
    <xf numFmtId="0" fontId="0" fillId="51" borderId="253" xfId="48" applyFont="1" applyFill="1" applyBorder="1">
      <alignment horizontal="center" vertical="center"/>
    </xf>
    <xf numFmtId="0" fontId="6" fillId="53" borderId="253" xfId="43" applyBorder="1">
      <alignment horizontal="center" vertical="center"/>
    </xf>
    <xf numFmtId="0" fontId="0" fillId="51" borderId="253" xfId="43" applyFont="1" applyFill="1" applyBorder="1">
      <alignment horizontal="center" vertical="center"/>
    </xf>
    <xf numFmtId="0" fontId="0" fillId="55" borderId="253" xfId="43" applyFont="1" applyFill="1" applyBorder="1">
      <alignment horizontal="center" vertical="center"/>
    </xf>
    <xf numFmtId="0" fontId="0" fillId="51" borderId="253" xfId="44" applyFont="1" applyFill="1" applyBorder="1">
      <alignment horizontal="center" vertical="center"/>
    </xf>
    <xf numFmtId="49" fontId="0" fillId="51" borderId="266" xfId="0" applyNumberFormat="1" applyFill="1" applyBorder="1">
      <alignment horizontal="center" vertical="center"/>
    </xf>
    <xf numFmtId="0" fontId="0" fillId="51" borderId="251" xfId="48" applyFont="1" applyFill="1" applyBorder="1">
      <alignment horizontal="center" vertical="center"/>
    </xf>
    <xf numFmtId="0" fontId="0" fillId="55" borderId="251" xfId="48" applyFont="1" applyFill="1" applyBorder="1">
      <alignment horizontal="center" vertical="center"/>
    </xf>
    <xf numFmtId="0" fontId="0" fillId="0" borderId="251" xfId="0" applyBorder="1">
      <alignment horizontal="center" vertical="center"/>
    </xf>
    <xf numFmtId="0" fontId="0" fillId="51" borderId="251" xfId="45" applyFont="1" applyFill="1" applyBorder="1">
      <alignment horizontal="center" vertical="center"/>
    </xf>
    <xf numFmtId="49" fontId="0" fillId="51" borderId="267" xfId="0" applyNumberFormat="1" applyFill="1" applyBorder="1">
      <alignment horizontal="center" vertical="center"/>
    </xf>
    <xf numFmtId="0" fontId="0" fillId="0" borderId="253" xfId="0" applyBorder="1" applyAlignment="1">
      <alignment vertical="center"/>
    </xf>
    <xf numFmtId="0" fontId="6" fillId="53" borderId="266" xfId="43" applyBorder="1">
      <alignment horizontal="center" vertical="center"/>
    </xf>
    <xf numFmtId="0" fontId="6" fillId="52" borderId="267" xfId="48" applyBorder="1">
      <alignment horizontal="center" vertical="center"/>
    </xf>
    <xf numFmtId="0" fontId="6" fillId="52" borderId="253" xfId="48" applyBorder="1">
      <alignment horizontal="center" vertical="center"/>
    </xf>
    <xf numFmtId="49" fontId="0" fillId="55" borderId="266" xfId="0" applyNumberFormat="1" applyFill="1" applyBorder="1">
      <alignment horizontal="center" vertical="center"/>
    </xf>
    <xf numFmtId="0" fontId="0" fillId="55" borderId="253" xfId="0" applyFill="1" applyBorder="1">
      <alignment horizontal="center" vertical="center"/>
    </xf>
    <xf numFmtId="0" fontId="0" fillId="0" borderId="253" xfId="0" applyBorder="1">
      <alignment horizontal="center" vertical="center"/>
    </xf>
    <xf numFmtId="0" fontId="6" fillId="52" borderId="266" xfId="48" applyBorder="1">
      <alignment horizontal="center" vertical="center"/>
    </xf>
    <xf numFmtId="0" fontId="3" fillId="0" borderId="251" xfId="0" applyFont="1" applyBorder="1" applyAlignment="1">
      <alignment horizontal="center"/>
    </xf>
    <xf numFmtId="0" fontId="6" fillId="0" borderId="251" xfId="0" applyFont="1" applyBorder="1">
      <alignment horizontal="center" vertical="center"/>
    </xf>
    <xf numFmtId="0" fontId="0" fillId="0" borderId="256" xfId="0" applyBorder="1">
      <alignment horizontal="center" vertical="center"/>
    </xf>
    <xf numFmtId="0" fontId="3" fillId="0" borderId="256" xfId="0" applyFont="1" applyBorder="1" applyAlignment="1">
      <alignment horizontal="center"/>
    </xf>
    <xf numFmtId="0" fontId="5" fillId="0" borderId="251" xfId="0" applyFont="1" applyBorder="1" applyAlignment="1">
      <alignment horizontal="left"/>
    </xf>
    <xf numFmtId="0" fontId="6" fillId="0" borderId="252" xfId="0" applyFont="1" applyBorder="1">
      <alignment horizontal="center" vertical="center"/>
    </xf>
    <xf numFmtId="0" fontId="0" fillId="0" borderId="251" xfId="0" applyBorder="1" applyAlignment="1">
      <alignment horizontal="center"/>
    </xf>
    <xf numFmtId="0" fontId="0" fillId="43" borderId="252" xfId="0" applyFill="1" applyBorder="1" applyAlignment="1" applyProtection="1">
      <alignment horizontal="center"/>
      <protection locked="0"/>
    </xf>
    <xf numFmtId="0" fontId="0" fillId="0" borderId="252" xfId="0" applyBorder="1" applyAlignment="1">
      <alignment horizontal="left"/>
    </xf>
    <xf numFmtId="0" fontId="0" fillId="0" borderId="258" xfId="0" applyBorder="1" applyAlignment="1">
      <alignment horizontal="left"/>
    </xf>
    <xf numFmtId="0" fontId="0" fillId="0" borderId="262" xfId="0" applyBorder="1" applyAlignment="1">
      <alignment horizontal="left"/>
    </xf>
    <xf numFmtId="0" fontId="0" fillId="0" borderId="260" xfId="0" applyBorder="1" applyAlignment="1">
      <alignment horizontal="left"/>
    </xf>
    <xf numFmtId="0" fontId="6" fillId="0" borderId="261" xfId="0" applyFont="1" applyBorder="1" applyAlignment="1">
      <alignment horizontal="left"/>
    </xf>
    <xf numFmtId="0" fontId="6" fillId="0" borderId="260" xfId="0" applyFont="1" applyBorder="1" applyAlignment="1">
      <alignment horizontal="left"/>
    </xf>
    <xf numFmtId="0" fontId="6" fillId="0" borderId="259" xfId="0" applyFont="1" applyBorder="1" applyAlignment="1">
      <alignment horizontal="left"/>
    </xf>
    <xf numFmtId="0" fontId="5" fillId="0" borderId="252" xfId="0" applyFont="1" applyBorder="1" applyAlignment="1">
      <alignment horizontal="left"/>
    </xf>
    <xf numFmtId="0" fontId="21" fillId="0" borderId="251" xfId="0" applyFont="1" applyBorder="1" applyAlignment="1" applyProtection="1">
      <alignment horizontal="center"/>
      <protection locked="0"/>
    </xf>
    <xf numFmtId="0" fontId="0" fillId="0" borderId="251" xfId="0" applyBorder="1" applyAlignment="1">
      <alignment horizontal="left"/>
    </xf>
    <xf numFmtId="0" fontId="6" fillId="0" borderId="251" xfId="0" applyFont="1" applyBorder="1" applyAlignment="1">
      <alignment horizontal="left"/>
    </xf>
    <xf numFmtId="0" fontId="3" fillId="0" borderId="253" xfId="0" applyFont="1" applyBorder="1" applyAlignment="1" applyProtection="1">
      <alignment horizontal="center"/>
      <protection locked="0"/>
    </xf>
    <xf numFmtId="0" fontId="0" fillId="0" borderId="204" xfId="48" applyFont="1" applyFill="1" applyBorder="1">
      <alignment horizontal="center" vertical="center"/>
    </xf>
    <xf numFmtId="0" fontId="0" fillId="51" borderId="204" xfId="0" applyFill="1" applyBorder="1" applyAlignment="1">
      <alignment horizontal="left" vertical="center"/>
    </xf>
    <xf numFmtId="0" fontId="0" fillId="76" borderId="204" xfId="0" applyFill="1" applyBorder="1">
      <alignment horizontal="center" vertical="center"/>
    </xf>
    <xf numFmtId="0" fontId="0" fillId="76" borderId="204" xfId="48" applyFont="1" applyFill="1" applyBorder="1">
      <alignment horizontal="center" vertical="center"/>
    </xf>
    <xf numFmtId="0" fontId="6" fillId="55" borderId="251" xfId="48" applyFill="1" applyBorder="1">
      <alignment horizontal="center" vertical="center"/>
    </xf>
    <xf numFmtId="0" fontId="6" fillId="51" borderId="251" xfId="48" applyFill="1" applyBorder="1">
      <alignment horizontal="center" vertical="center"/>
    </xf>
    <xf numFmtId="0" fontId="6" fillId="55" borderId="267" xfId="48" applyFill="1" applyBorder="1">
      <alignment horizontal="center" vertical="center"/>
    </xf>
    <xf numFmtId="0" fontId="0" fillId="51" borderId="269" xfId="51" applyFont="1" applyFill="1" applyBorder="1">
      <alignment horizontal="center" vertical="center"/>
    </xf>
    <xf numFmtId="0" fontId="0" fillId="69" borderId="269" xfId="48" applyFont="1" applyFill="1" applyBorder="1">
      <alignment horizontal="center" vertical="center"/>
    </xf>
    <xf numFmtId="0" fontId="0" fillId="53" borderId="269" xfId="0" applyFill="1" applyBorder="1">
      <alignment horizontal="center" vertical="center"/>
    </xf>
    <xf numFmtId="49" fontId="0" fillId="51" borderId="268" xfId="0" applyNumberFormat="1" applyFill="1" applyBorder="1">
      <alignment horizontal="center" vertical="center"/>
    </xf>
    <xf numFmtId="0" fontId="0" fillId="53" borderId="269" xfId="48" applyFont="1" applyFill="1" applyBorder="1">
      <alignment horizontal="center" vertical="center"/>
    </xf>
    <xf numFmtId="0" fontId="0" fillId="53" borderId="269" xfId="44" applyFont="1" applyFill="1" applyBorder="1">
      <alignment horizontal="center" vertical="center"/>
    </xf>
    <xf numFmtId="0" fontId="0" fillId="53" borderId="268" xfId="0" applyFill="1" applyBorder="1">
      <alignment horizontal="center" vertical="center"/>
    </xf>
    <xf numFmtId="0" fontId="0" fillId="58" borderId="251" xfId="0" applyFill="1" applyBorder="1">
      <alignment horizontal="center" vertical="center"/>
    </xf>
    <xf numFmtId="0" fontId="0" fillId="54" borderId="269" xfId="0" applyFill="1" applyBorder="1">
      <alignment horizontal="center" vertical="center"/>
    </xf>
    <xf numFmtId="0" fontId="0" fillId="51" borderId="253" xfId="47" applyFont="1" applyFill="1" applyBorder="1">
      <alignment horizontal="center" vertical="center"/>
    </xf>
    <xf numFmtId="0" fontId="6" fillId="51" borderId="269" xfId="45" applyFill="1" applyBorder="1">
      <alignment horizontal="center" vertical="center"/>
    </xf>
    <xf numFmtId="0" fontId="0" fillId="51" borderId="269" xfId="45" applyFont="1" applyFill="1" applyBorder="1">
      <alignment horizontal="center" vertical="center"/>
    </xf>
    <xf numFmtId="0" fontId="0" fillId="81" borderId="269" xfId="0" applyFill="1" applyBorder="1">
      <alignment horizontal="center" vertical="center"/>
    </xf>
    <xf numFmtId="0" fontId="0" fillId="51" borderId="269" xfId="0" applyFill="1" applyBorder="1" applyAlignment="1" applyProtection="1">
      <alignment horizontal="left" vertical="center"/>
      <protection locked="0"/>
    </xf>
    <xf numFmtId="0" fontId="0" fillId="55" borderId="269" xfId="45" applyFont="1" applyBorder="1">
      <alignment horizontal="center" vertical="center"/>
    </xf>
    <xf numFmtId="0" fontId="6" fillId="69" borderId="269" xfId="44" applyBorder="1">
      <alignment horizontal="center" vertical="center"/>
    </xf>
    <xf numFmtId="0" fontId="0" fillId="51" borderId="279" xfId="0" applyFill="1" applyBorder="1" applyAlignment="1">
      <alignment horizontal="left" vertical="center"/>
    </xf>
    <xf numFmtId="0" fontId="44" fillId="51" borderId="279" xfId="0" applyFont="1" applyFill="1" applyBorder="1" applyAlignment="1">
      <alignment horizontal="left" vertical="center"/>
    </xf>
    <xf numFmtId="0" fontId="0" fillId="70" borderId="280" xfId="0" applyFill="1" applyBorder="1">
      <alignment horizontal="center" vertical="center"/>
    </xf>
    <xf numFmtId="0" fontId="0" fillId="51" borderId="280" xfId="0" applyFill="1" applyBorder="1">
      <alignment horizontal="center" vertical="center"/>
    </xf>
    <xf numFmtId="0" fontId="0" fillId="51" borderId="281" xfId="0" applyFill="1" applyBorder="1">
      <alignment horizontal="center" vertical="center"/>
    </xf>
    <xf numFmtId="49" fontId="0" fillId="51" borderId="269" xfId="0" applyNumberFormat="1" applyFill="1" applyBorder="1">
      <alignment horizontal="center" vertical="center"/>
    </xf>
    <xf numFmtId="0" fontId="18" fillId="0" borderId="269" xfId="0" applyFont="1" applyBorder="1" applyAlignment="1" applyProtection="1">
      <alignment horizontal="center"/>
      <protection locked="0"/>
    </xf>
    <xf numFmtId="0" fontId="6" fillId="57" borderId="269" xfId="47" applyBorder="1">
      <alignment horizontal="center" vertical="center"/>
    </xf>
    <xf numFmtId="1" fontId="0" fillId="55" borderId="150" xfId="32" applyNumberFormat="1" applyFont="1" applyFill="1" applyBorder="1" applyAlignment="1">
      <alignment horizontal="center" vertical="center"/>
    </xf>
    <xf numFmtId="1" fontId="0" fillId="81" borderId="150" xfId="32" applyNumberFormat="1" applyFont="1" applyFill="1" applyBorder="1" applyAlignment="1">
      <alignment horizontal="center" vertical="center"/>
    </xf>
    <xf numFmtId="0" fontId="0" fillId="81" borderId="150" xfId="0" applyFill="1" applyBorder="1">
      <alignment horizontal="center" vertical="center"/>
    </xf>
    <xf numFmtId="0" fontId="0" fillId="81" borderId="151" xfId="0" applyFill="1" applyBorder="1">
      <alignment horizontal="center" vertical="center"/>
    </xf>
    <xf numFmtId="0" fontId="0" fillId="51" borderId="279" xfId="0" applyFill="1" applyBorder="1">
      <alignment horizontal="center" vertical="center"/>
    </xf>
    <xf numFmtId="1" fontId="0" fillId="51" borderId="279" xfId="32" applyNumberFormat="1" applyFont="1" applyFill="1" applyBorder="1" applyAlignment="1">
      <alignment horizontal="center" vertical="center"/>
    </xf>
    <xf numFmtId="0" fontId="3" fillId="0" borderId="256" xfId="0" applyFont="1" applyBorder="1" applyAlignment="1" applyProtection="1">
      <alignment horizontal="center"/>
      <protection locked="0"/>
    </xf>
    <xf numFmtId="0" fontId="3" fillId="0" borderId="251" xfId="0" applyFont="1" applyBorder="1" applyAlignment="1" applyProtection="1">
      <alignment horizontal="center"/>
      <protection locked="0"/>
    </xf>
    <xf numFmtId="0" fontId="0" fillId="51" borderId="251" xfId="47" applyFont="1" applyFill="1" applyBorder="1">
      <alignment horizontal="center" vertical="center"/>
    </xf>
    <xf numFmtId="0" fontId="0" fillId="51" borderId="267" xfId="47" applyFont="1" applyFill="1" applyBorder="1">
      <alignment horizontal="center" vertical="center"/>
    </xf>
    <xf numFmtId="0" fontId="0" fillId="0" borderId="271" xfId="0" applyBorder="1">
      <alignment horizontal="center" vertical="center"/>
    </xf>
    <xf numFmtId="0" fontId="0" fillId="0" borderId="252" xfId="0" applyBorder="1">
      <alignment horizontal="center" vertical="center"/>
    </xf>
    <xf numFmtId="0" fontId="0" fillId="0" borderId="282" xfId="0" applyBorder="1">
      <alignment horizontal="center" vertical="center"/>
    </xf>
    <xf numFmtId="0" fontId="0" fillId="0" borderId="249" xfId="0" applyBorder="1">
      <alignment horizontal="center" vertical="center"/>
    </xf>
    <xf numFmtId="0" fontId="0" fillId="0" borderId="274" xfId="0" applyBorder="1">
      <alignment horizontal="center" vertical="center"/>
    </xf>
    <xf numFmtId="0" fontId="0" fillId="0" borderId="244" xfId="0" applyBorder="1">
      <alignment horizontal="center" vertical="center"/>
    </xf>
    <xf numFmtId="0" fontId="0" fillId="0" borderId="283" xfId="0" applyBorder="1">
      <alignment horizontal="center" vertical="center"/>
    </xf>
    <xf numFmtId="0" fontId="3" fillId="43" borderId="251" xfId="0" applyFont="1" applyFill="1" applyBorder="1" applyAlignment="1">
      <alignment horizontal="center"/>
    </xf>
    <xf numFmtId="0" fontId="0" fillId="0" borderId="251" xfId="0" applyBorder="1" applyAlignment="1">
      <alignment vertical="center"/>
    </xf>
    <xf numFmtId="0" fontId="0" fillId="55" borderId="251" xfId="0" applyFill="1" applyBorder="1">
      <alignment horizontal="center" vertical="center"/>
    </xf>
    <xf numFmtId="0" fontId="0" fillId="51" borderId="267" xfId="20" applyNumberFormat="1" applyFont="1" applyFill="1" applyBorder="1" applyAlignment="1">
      <alignment horizontal="center" vertical="center"/>
    </xf>
    <xf numFmtId="0" fontId="6" fillId="72" borderId="251" xfId="52" applyBorder="1">
      <alignment horizontal="center" vertical="center"/>
    </xf>
    <xf numFmtId="0" fontId="0" fillId="55" borderId="251" xfId="45" applyFont="1" applyBorder="1">
      <alignment horizontal="center" vertical="center"/>
    </xf>
    <xf numFmtId="0" fontId="3" fillId="43" borderId="253" xfId="0" applyFont="1" applyFill="1" applyBorder="1" applyAlignment="1">
      <alignment horizontal="center"/>
    </xf>
    <xf numFmtId="0" fontId="0" fillId="51" borderId="253" xfId="51" applyFont="1" applyFill="1" applyBorder="1">
      <alignment horizontal="center" vertical="center"/>
    </xf>
    <xf numFmtId="0" fontId="3" fillId="0" borderId="277" xfId="0" applyFont="1" applyBorder="1" applyAlignment="1">
      <alignment horizontal="center"/>
    </xf>
    <xf numFmtId="0" fontId="6" fillId="0" borderId="252" xfId="0" applyFont="1" applyBorder="1" applyAlignment="1">
      <alignment horizontal="left" vertical="center"/>
    </xf>
    <xf numFmtId="0" fontId="6" fillId="0" borderId="258" xfId="0" applyFont="1" applyBorder="1" applyAlignment="1">
      <alignment horizontal="left" vertical="center"/>
    </xf>
    <xf numFmtId="0" fontId="6" fillId="0" borderId="263" xfId="0" applyFont="1" applyBorder="1" applyAlignment="1">
      <alignment horizontal="left" vertical="center"/>
    </xf>
    <xf numFmtId="0" fontId="0" fillId="0" borderId="271" xfId="0" applyBorder="1" applyAlignment="1">
      <alignment horizontal="center"/>
    </xf>
    <xf numFmtId="0" fontId="3" fillId="0" borderId="252" xfId="0" applyFont="1" applyBorder="1" applyAlignment="1">
      <alignment horizontal="left"/>
    </xf>
    <xf numFmtId="0" fontId="0" fillId="0" borderId="258" xfId="0" applyBorder="1" applyAlignment="1"/>
    <xf numFmtId="0" fontId="0" fillId="0" borderId="259" xfId="0" applyBorder="1" applyAlignment="1">
      <alignment horizontal="left"/>
    </xf>
    <xf numFmtId="0" fontId="3" fillId="0" borderId="258" xfId="0" applyFont="1" applyBorder="1" applyAlignment="1"/>
    <xf numFmtId="0" fontId="3" fillId="0" borderId="259" xfId="0" applyFont="1" applyBorder="1" applyAlignment="1">
      <alignment horizontal="left"/>
    </xf>
    <xf numFmtId="0" fontId="0" fillId="0" borderId="252" xfId="0" applyBorder="1" applyAlignment="1">
      <alignment horizontal="center"/>
    </xf>
    <xf numFmtId="0" fontId="0" fillId="0" borderId="263" xfId="0" applyBorder="1" applyAlignment="1"/>
    <xf numFmtId="0" fontId="3" fillId="0" borderId="262" xfId="0" applyFont="1" applyBorder="1" applyAlignment="1">
      <alignment horizontal="left"/>
    </xf>
    <xf numFmtId="0" fontId="0" fillId="0" borderId="260" xfId="0" applyBorder="1" applyAlignment="1"/>
    <xf numFmtId="0" fontId="0" fillId="0" borderId="261" xfId="0" applyBorder="1" applyAlignment="1">
      <alignment horizontal="left"/>
    </xf>
    <xf numFmtId="0" fontId="8" fillId="0" borderId="262" xfId="0" applyFont="1" applyBorder="1" applyAlignment="1">
      <alignment horizontal="center"/>
    </xf>
    <xf numFmtId="0" fontId="0" fillId="0" borderId="272" xfId="0" applyBorder="1" applyAlignment="1"/>
    <xf numFmtId="0" fontId="0" fillId="0" borderId="249" xfId="0" applyBorder="1" applyAlignment="1">
      <alignment horizontal="center"/>
    </xf>
    <xf numFmtId="0" fontId="3" fillId="0" borderId="274" xfId="0" applyFont="1" applyBorder="1" applyAlignment="1">
      <alignment horizontal="left"/>
    </xf>
    <xf numFmtId="0" fontId="6" fillId="0" borderId="273" xfId="0" applyFont="1" applyBorder="1" applyAlignment="1">
      <alignment horizontal="left" vertical="center"/>
    </xf>
    <xf numFmtId="0" fontId="6" fillId="0" borderId="273" xfId="0" applyFont="1" applyBorder="1">
      <alignment horizontal="center" vertical="center"/>
    </xf>
    <xf numFmtId="0" fontId="6" fillId="0" borderId="275" xfId="0" applyFont="1" applyBorder="1">
      <alignment horizontal="center" vertical="center"/>
    </xf>
    <xf numFmtId="0" fontId="6" fillId="0" borderId="274" xfId="0" applyFont="1" applyBorder="1" applyAlignment="1">
      <alignment horizontal="left" vertical="center"/>
    </xf>
    <xf numFmtId="0" fontId="6" fillId="0" borderId="273" xfId="0" applyFont="1" applyBorder="1" applyAlignment="1">
      <alignment horizontal="left"/>
    </xf>
    <xf numFmtId="0" fontId="6" fillId="0" borderId="275" xfId="0" applyFont="1" applyBorder="1" applyAlignment="1">
      <alignment horizontal="left" vertical="center"/>
    </xf>
    <xf numFmtId="0" fontId="0" fillId="0" borderId="273" xfId="0" applyBorder="1" applyAlignment="1">
      <alignment horizontal="left"/>
    </xf>
    <xf numFmtId="0" fontId="0" fillId="0" borderId="276" xfId="0" applyBorder="1" applyAlignment="1"/>
    <xf numFmtId="49" fontId="36" fillId="17" borderId="284" xfId="34" applyNumberFormat="1" applyBorder="1" applyAlignment="1">
      <alignment horizontal="center" vertical="center"/>
    </xf>
    <xf numFmtId="0" fontId="0" fillId="51" borderId="251" xfId="0" applyFill="1" applyBorder="1" applyAlignment="1">
      <alignment horizontal="left" vertical="center"/>
    </xf>
    <xf numFmtId="49" fontId="0" fillId="58" borderId="251" xfId="0" applyNumberFormat="1" applyFill="1" applyBorder="1">
      <alignment horizontal="center" vertical="center"/>
    </xf>
    <xf numFmtId="0" fontId="6" fillId="58" borderId="251" xfId="33" applyBorder="1">
      <alignment horizontal="center" vertical="center"/>
    </xf>
    <xf numFmtId="0" fontId="0" fillId="0" borderId="267" xfId="0" applyBorder="1">
      <alignment horizontal="center" vertical="center"/>
    </xf>
    <xf numFmtId="0" fontId="0" fillId="51" borderId="251" xfId="51" applyFont="1" applyFill="1" applyBorder="1">
      <alignment horizontal="center" vertical="center"/>
    </xf>
    <xf numFmtId="0" fontId="0" fillId="70" borderId="251" xfId="51" applyFont="1" applyFill="1" applyBorder="1">
      <alignment horizontal="center" vertical="center"/>
    </xf>
    <xf numFmtId="0" fontId="0" fillId="0" borderId="251" xfId="48" applyFont="1" applyFill="1" applyBorder="1">
      <alignment horizontal="center" vertical="center"/>
    </xf>
    <xf numFmtId="0" fontId="0" fillId="52" borderId="251" xfId="48" applyFont="1" applyBorder="1">
      <alignment horizontal="center" vertical="center"/>
    </xf>
    <xf numFmtId="0" fontId="0" fillId="75" borderId="251" xfId="48" applyFont="1" applyFill="1" applyBorder="1">
      <alignment horizontal="center" vertical="center"/>
    </xf>
    <xf numFmtId="0" fontId="0" fillId="75" borderId="267" xfId="48" applyFont="1" applyFill="1" applyBorder="1">
      <alignment horizontal="center" vertical="center"/>
    </xf>
    <xf numFmtId="0" fontId="0" fillId="52" borderId="267" xfId="48" applyFont="1" applyBorder="1">
      <alignment horizontal="center" vertical="center"/>
    </xf>
    <xf numFmtId="0" fontId="0" fillId="51" borderId="253" xfId="0" applyFill="1" applyBorder="1" applyAlignment="1">
      <alignment horizontal="left" vertical="center"/>
    </xf>
    <xf numFmtId="0" fontId="0" fillId="52" borderId="253" xfId="48" applyFont="1" applyBorder="1">
      <alignment horizontal="center" vertical="center"/>
    </xf>
    <xf numFmtId="0" fontId="0" fillId="51" borderId="253" xfId="32" applyFont="1" applyFill="1" applyBorder="1" applyAlignment="1">
      <alignment horizontal="center" vertical="center"/>
    </xf>
    <xf numFmtId="0" fontId="0" fillId="51" borderId="266" xfId="48" applyFont="1" applyFill="1" applyBorder="1">
      <alignment horizontal="center" vertical="center"/>
    </xf>
    <xf numFmtId="0" fontId="0" fillId="0" borderId="274" xfId="0" applyBorder="1" applyAlignment="1">
      <alignment horizontal="left"/>
    </xf>
    <xf numFmtId="0" fontId="0" fillId="0" borderId="273" xfId="0" applyBorder="1" applyAlignment="1"/>
    <xf numFmtId="0" fontId="0" fillId="0" borderId="275" xfId="0" applyBorder="1" applyAlignment="1">
      <alignment horizontal="left"/>
    </xf>
    <xf numFmtId="0" fontId="0" fillId="0" borderId="274" xfId="0" applyBorder="1" applyAlignment="1">
      <alignment horizontal="center"/>
    </xf>
    <xf numFmtId="0" fontId="0" fillId="81" borderId="204" xfId="0" applyFill="1" applyBorder="1">
      <alignment horizontal="center" vertical="center"/>
    </xf>
    <xf numFmtId="49" fontId="0" fillId="81" borderId="204" xfId="0" applyNumberFormat="1" applyFill="1" applyBorder="1">
      <alignment horizontal="center" vertical="center"/>
    </xf>
    <xf numFmtId="0" fontId="0" fillId="52" borderId="204" xfId="44" applyFont="1" applyFill="1" applyBorder="1">
      <alignment horizontal="center" vertical="center"/>
    </xf>
    <xf numFmtId="0" fontId="2" fillId="0" borderId="252" xfId="0" applyFont="1" applyBorder="1" applyAlignment="1">
      <alignment horizontal="left"/>
    </xf>
    <xf numFmtId="0" fontId="3" fillId="0" borderId="258" xfId="0" applyFont="1" applyBorder="1">
      <alignment horizontal="center" vertical="center"/>
    </xf>
    <xf numFmtId="167" fontId="8" fillId="0" borderId="274" xfId="0" applyNumberFormat="1" applyFont="1" applyBorder="1" applyAlignment="1">
      <alignment horizontal="center"/>
    </xf>
    <xf numFmtId="0" fontId="6" fillId="51" borderId="251" xfId="0" applyFont="1" applyFill="1" applyBorder="1" applyAlignment="1">
      <alignment vertical="center"/>
    </xf>
    <xf numFmtId="0" fontId="6" fillId="55" borderId="251" xfId="45" applyBorder="1">
      <alignment horizontal="center" vertical="center"/>
    </xf>
    <xf numFmtId="0" fontId="0" fillId="51" borderId="251" xfId="0" applyFill="1" applyBorder="1" applyAlignment="1">
      <alignment vertical="center"/>
    </xf>
    <xf numFmtId="0" fontId="0" fillId="52" borderId="251" xfId="0" applyFill="1" applyBorder="1">
      <alignment horizontal="center" vertical="center"/>
    </xf>
    <xf numFmtId="49" fontId="0" fillId="52" borderId="251" xfId="0" applyNumberFormat="1" applyFill="1" applyBorder="1">
      <alignment horizontal="center" vertical="center"/>
    </xf>
    <xf numFmtId="0" fontId="0" fillId="52" borderId="267" xfId="0" applyFill="1" applyBorder="1">
      <alignment horizontal="center" vertical="center"/>
    </xf>
    <xf numFmtId="0" fontId="6" fillId="53" borderId="267" xfId="43" applyBorder="1">
      <alignment horizontal="center" vertical="center"/>
    </xf>
    <xf numFmtId="0" fontId="6" fillId="54" borderId="251" xfId="50" applyBorder="1">
      <alignment horizontal="center" vertical="center"/>
    </xf>
    <xf numFmtId="0" fontId="2" fillId="0" borderId="285" xfId="0" applyFont="1" applyBorder="1" applyAlignment="1">
      <alignment horizontal="left" vertical="center"/>
    </xf>
    <xf numFmtId="0" fontId="2" fillId="0" borderId="285" xfId="0" applyFont="1" applyBorder="1">
      <alignment horizontal="center" vertical="center"/>
    </xf>
    <xf numFmtId="0" fontId="2" fillId="0" borderId="286" xfId="0" applyFont="1" applyBorder="1">
      <alignment horizontal="center" vertical="center"/>
    </xf>
    <xf numFmtId="49" fontId="2" fillId="0" borderId="287" xfId="0" applyNumberFormat="1" applyFont="1" applyBorder="1">
      <alignment horizontal="center" vertical="center"/>
    </xf>
    <xf numFmtId="49" fontId="6" fillId="0" borderId="287" xfId="0" applyNumberFormat="1" applyFont="1" applyBorder="1">
      <alignment horizontal="center" vertical="center"/>
    </xf>
    <xf numFmtId="0" fontId="6" fillId="0" borderId="285" xfId="0" applyFont="1" applyBorder="1">
      <alignment horizontal="center" vertical="center"/>
    </xf>
    <xf numFmtId="0" fontId="6" fillId="0" borderId="286" xfId="0" applyFont="1" applyBorder="1">
      <alignment horizontal="center" vertical="center"/>
    </xf>
    <xf numFmtId="0" fontId="8" fillId="0" borderId="285" xfId="0" applyFont="1" applyBorder="1">
      <alignment horizontal="center" vertical="center"/>
    </xf>
    <xf numFmtId="0" fontId="8" fillId="0" borderId="288" xfId="0" applyFont="1" applyBorder="1">
      <alignment horizontal="center" vertical="center"/>
    </xf>
    <xf numFmtId="0" fontId="0" fillId="0" borderId="289" xfId="0" applyBorder="1">
      <alignment horizontal="center" vertical="center"/>
    </xf>
    <xf numFmtId="49" fontId="14" fillId="0" borderId="269" xfId="0" applyNumberFormat="1" applyFont="1" applyBorder="1">
      <alignment horizontal="center" vertical="center"/>
    </xf>
    <xf numFmtId="0" fontId="14" fillId="0" borderId="285" xfId="0" applyFont="1" applyBorder="1" applyAlignment="1">
      <alignment horizontal="left" vertical="center"/>
    </xf>
    <xf numFmtId="0" fontId="14" fillId="0" borderId="285" xfId="0" applyFont="1" applyBorder="1">
      <alignment horizontal="center" vertical="center"/>
    </xf>
    <xf numFmtId="0" fontId="14" fillId="0" borderId="286" xfId="0" applyFont="1" applyBorder="1">
      <alignment horizontal="center" vertical="center"/>
    </xf>
    <xf numFmtId="49" fontId="14" fillId="0" borderId="287" xfId="0" applyNumberFormat="1" applyFont="1" applyBorder="1">
      <alignment horizontal="center" vertical="center"/>
    </xf>
    <xf numFmtId="49" fontId="6" fillId="0" borderId="289" xfId="0" applyNumberFormat="1" applyFont="1" applyBorder="1">
      <alignment horizontal="center" vertical="center"/>
    </xf>
    <xf numFmtId="0" fontId="8" fillId="0" borderId="290" xfId="0" applyFont="1" applyBorder="1">
      <alignment horizontal="center" vertical="center"/>
    </xf>
    <xf numFmtId="0" fontId="6" fillId="0" borderId="287" xfId="0" applyFont="1" applyBorder="1">
      <alignment horizontal="center" vertical="center"/>
    </xf>
    <xf numFmtId="49" fontId="6" fillId="0" borderId="285" xfId="0" applyNumberFormat="1" applyFont="1" applyBorder="1">
      <alignment horizontal="center" vertical="center"/>
    </xf>
    <xf numFmtId="0" fontId="5" fillId="0" borderId="279" xfId="0" applyFont="1" applyBorder="1" applyAlignment="1">
      <alignment horizontal="center"/>
    </xf>
    <xf numFmtId="49" fontId="0" fillId="51" borderId="291" xfId="0" applyNumberFormat="1" applyFill="1" applyBorder="1">
      <alignment horizontal="center" vertical="center"/>
    </xf>
    <xf numFmtId="0" fontId="6" fillId="52" borderId="291" xfId="48" applyBorder="1">
      <alignment horizontal="center" vertical="center"/>
    </xf>
    <xf numFmtId="0" fontId="0" fillId="0" borderId="291" xfId="0" applyBorder="1">
      <alignment horizontal="center" vertical="center"/>
    </xf>
    <xf numFmtId="0" fontId="0" fillId="0" borderId="292" xfId="0" applyBorder="1">
      <alignment horizontal="center" vertical="center"/>
    </xf>
    <xf numFmtId="0" fontId="6" fillId="53" borderId="291" xfId="43" applyBorder="1">
      <alignment horizontal="center" vertical="center"/>
    </xf>
    <xf numFmtId="49" fontId="0" fillId="51" borderId="292" xfId="0" applyNumberFormat="1" applyFill="1" applyBorder="1">
      <alignment horizontal="center" vertical="center"/>
    </xf>
    <xf numFmtId="0" fontId="6" fillId="54" borderId="291" xfId="50" applyBorder="1">
      <alignment horizontal="center" vertical="center"/>
    </xf>
    <xf numFmtId="0" fontId="0" fillId="51" borderId="291" xfId="48" applyFont="1" applyFill="1" applyBorder="1">
      <alignment horizontal="center" vertical="center"/>
    </xf>
    <xf numFmtId="0" fontId="0" fillId="53" borderId="291" xfId="48" applyFont="1" applyFill="1" applyBorder="1">
      <alignment horizontal="center" vertical="center"/>
    </xf>
    <xf numFmtId="0" fontId="0" fillId="51" borderId="291" xfId="0" applyFill="1" applyBorder="1">
      <alignment horizontal="center" vertical="center"/>
    </xf>
    <xf numFmtId="49" fontId="0" fillId="81" borderId="291" xfId="0" applyNumberFormat="1" applyFill="1" applyBorder="1">
      <alignment horizontal="center" vertical="center"/>
    </xf>
    <xf numFmtId="49" fontId="0" fillId="0" borderId="291" xfId="0" applyNumberFormat="1" applyBorder="1">
      <alignment horizontal="center" vertical="center"/>
    </xf>
    <xf numFmtId="49" fontId="0" fillId="52" borderId="293" xfId="0" applyNumberFormat="1" applyFill="1" applyBorder="1">
      <alignment horizontal="center" vertical="center"/>
    </xf>
    <xf numFmtId="49" fontId="0" fillId="52" borderId="294" xfId="0" applyNumberFormat="1" applyFill="1" applyBorder="1">
      <alignment horizontal="center" vertical="center"/>
    </xf>
    <xf numFmtId="0" fontId="6" fillId="52" borderId="294" xfId="48" applyBorder="1">
      <alignment horizontal="center" vertical="center"/>
    </xf>
    <xf numFmtId="49" fontId="0" fillId="0" borderId="293" xfId="0" applyNumberFormat="1" applyBorder="1">
      <alignment horizontal="center" vertical="center"/>
    </xf>
    <xf numFmtId="49" fontId="0" fillId="0" borderId="294" xfId="0" applyNumberFormat="1" applyBorder="1">
      <alignment horizontal="center" vertical="center"/>
    </xf>
    <xf numFmtId="49" fontId="0" fillId="53" borderId="151" xfId="0" applyNumberFormat="1" applyFill="1" applyBorder="1">
      <alignment horizontal="center" vertical="center"/>
    </xf>
    <xf numFmtId="0" fontId="3" fillId="0" borderId="293" xfId="0" applyFont="1" applyBorder="1" applyAlignment="1">
      <alignment horizontal="center"/>
    </xf>
    <xf numFmtId="0" fontId="3" fillId="0" borderId="279" xfId="0" applyFont="1" applyBorder="1" applyAlignment="1">
      <alignment horizontal="center"/>
    </xf>
    <xf numFmtId="0" fontId="0" fillId="0" borderId="295" xfId="0" applyBorder="1" applyAlignment="1">
      <alignment horizontal="left" vertical="center"/>
    </xf>
    <xf numFmtId="0" fontId="3" fillId="0" borderId="296" xfId="0" applyFont="1" applyBorder="1" applyAlignment="1">
      <alignment horizontal="left"/>
    </xf>
    <xf numFmtId="0" fontId="0" fillId="0" borderId="297" xfId="0" applyBorder="1" applyAlignment="1">
      <alignment horizontal="left" vertical="center"/>
    </xf>
    <xf numFmtId="0" fontId="0" fillId="0" borderId="298" xfId="0" applyBorder="1" applyAlignment="1">
      <alignment horizontal="left" vertical="center"/>
    </xf>
    <xf numFmtId="49" fontId="0" fillId="0" borderId="295" xfId="0" applyNumberFormat="1" applyBorder="1" applyAlignment="1">
      <alignment horizontal="left"/>
    </xf>
    <xf numFmtId="0" fontId="2" fillId="0" borderId="293" xfId="0" applyFont="1" applyBorder="1" applyAlignment="1">
      <alignment horizontal="center"/>
    </xf>
    <xf numFmtId="0" fontId="0" fillId="0" borderId="299" xfId="0" applyBorder="1" applyAlignment="1">
      <alignment horizontal="left" vertical="center"/>
    </xf>
    <xf numFmtId="0" fontId="0" fillId="0" borderId="300" xfId="0" applyBorder="1" applyAlignment="1">
      <alignment horizontal="left" vertical="center"/>
    </xf>
    <xf numFmtId="49" fontId="0" fillId="0" borderId="300" xfId="0" applyNumberFormat="1" applyBorder="1" applyAlignment="1">
      <alignment horizontal="left"/>
    </xf>
    <xf numFmtId="0" fontId="0" fillId="69" borderId="204" xfId="0" applyFill="1" applyBorder="1">
      <alignment horizontal="center" vertical="center"/>
    </xf>
    <xf numFmtId="0" fontId="6" fillId="51" borderId="204" xfId="43" applyFill="1" applyBorder="1">
      <alignment horizontal="center" vertical="center"/>
    </xf>
    <xf numFmtId="0" fontId="0" fillId="51" borderId="246" xfId="48" applyFont="1" applyFill="1" applyBorder="1">
      <alignment horizontal="center" vertical="center"/>
    </xf>
    <xf numFmtId="0" fontId="3" fillId="0" borderId="301" xfId="0" applyFont="1" applyBorder="1">
      <alignment horizontal="center" vertical="center"/>
    </xf>
    <xf numFmtId="0" fontId="3" fillId="0" borderId="302" xfId="0" applyFont="1" applyBorder="1" applyAlignment="1">
      <alignment horizontal="center"/>
    </xf>
    <xf numFmtId="0" fontId="2" fillId="0" borderId="296" xfId="0" applyFont="1" applyBorder="1" applyAlignment="1">
      <alignment horizontal="left"/>
    </xf>
    <xf numFmtId="0" fontId="3" fillId="0" borderId="303" xfId="0" applyFont="1" applyBorder="1" applyAlignment="1">
      <alignment horizontal="center"/>
    </xf>
    <xf numFmtId="0" fontId="2" fillId="0" borderId="304" xfId="0" applyFont="1" applyBorder="1" applyAlignment="1">
      <alignment horizontal="center"/>
    </xf>
    <xf numFmtId="0" fontId="0" fillId="0" borderId="305" xfId="0" applyBorder="1" applyAlignment="1" applyProtection="1">
      <alignment horizontal="center"/>
      <protection locked="0"/>
    </xf>
    <xf numFmtId="0" fontId="0" fillId="0" borderId="295" xfId="0" applyBorder="1" applyAlignment="1" applyProtection="1">
      <alignment horizontal="center"/>
      <protection locked="0"/>
    </xf>
    <xf numFmtId="0" fontId="0" fillId="43" borderId="306" xfId="0" applyFill="1" applyBorder="1" applyAlignment="1">
      <alignment horizontal="center"/>
    </xf>
    <xf numFmtId="0" fontId="46" fillId="0" borderId="306" xfId="0" applyFont="1" applyBorder="1" applyAlignment="1">
      <alignment horizontal="left" vertical="center"/>
    </xf>
    <xf numFmtId="0" fontId="0" fillId="0" borderId="287" xfId="0" applyBorder="1" applyAlignment="1">
      <alignment horizontal="left" vertical="center"/>
    </xf>
    <xf numFmtId="0" fontId="0" fillId="0" borderId="307" xfId="0" applyBorder="1" applyAlignment="1" applyProtection="1">
      <alignment horizontal="center"/>
      <protection locked="0"/>
    </xf>
    <xf numFmtId="0" fontId="0" fillId="0" borderId="308" xfId="0" applyBorder="1" applyAlignment="1">
      <alignment horizontal="left" vertical="center"/>
    </xf>
    <xf numFmtId="49" fontId="0" fillId="0" borderId="295" xfId="0" applyNumberFormat="1" applyBorder="1" applyAlignment="1"/>
    <xf numFmtId="0" fontId="3" fillId="0" borderId="307" xfId="0" applyFont="1" applyBorder="1" applyAlignment="1" applyProtection="1">
      <alignment horizontal="center"/>
      <protection locked="0"/>
    </xf>
    <xf numFmtId="0" fontId="5" fillId="0" borderId="307" xfId="0" applyFont="1" applyBorder="1" applyAlignment="1">
      <alignment horizontal="center"/>
    </xf>
    <xf numFmtId="0" fontId="0" fillId="0" borderId="305" xfId="0" applyBorder="1" applyAlignment="1" applyProtection="1">
      <alignment horizontal="left"/>
      <protection locked="0"/>
    </xf>
    <xf numFmtId="0" fontId="12" fillId="0" borderId="305" xfId="0" applyFont="1" applyBorder="1" applyAlignment="1">
      <alignment vertical="center"/>
    </xf>
    <xf numFmtId="0" fontId="14" fillId="0" borderId="305" xfId="0" applyFont="1" applyBorder="1" applyAlignment="1">
      <alignment vertical="center"/>
    </xf>
    <xf numFmtId="0" fontId="0" fillId="0" borderId="301" xfId="0" applyBorder="1" applyAlignment="1">
      <alignment vertical="center"/>
    </xf>
    <xf numFmtId="49" fontId="0" fillId="51" borderId="309" xfId="0" applyNumberFormat="1" applyFill="1" applyBorder="1">
      <alignment horizontal="center" vertical="center"/>
    </xf>
    <xf numFmtId="49" fontId="0" fillId="51" borderId="307" xfId="0" applyNumberFormat="1" applyFill="1" applyBorder="1">
      <alignment horizontal="center" vertical="center"/>
    </xf>
    <xf numFmtId="0" fontId="0" fillId="51" borderId="307" xfId="0" applyFill="1" applyBorder="1">
      <alignment horizontal="center" vertical="center"/>
    </xf>
    <xf numFmtId="0" fontId="5" fillId="44" borderId="295" xfId="0" applyFont="1" applyFill="1" applyBorder="1" applyAlignment="1">
      <alignment horizontal="left"/>
    </xf>
    <xf numFmtId="0" fontId="5" fillId="25" borderId="295" xfId="0" applyFont="1" applyFill="1" applyBorder="1">
      <alignment horizontal="center" vertical="center"/>
    </xf>
    <xf numFmtId="0" fontId="6" fillId="25" borderId="296" xfId="0" applyFont="1" applyFill="1" applyBorder="1">
      <alignment horizontal="center" vertical="center"/>
    </xf>
    <xf numFmtId="0" fontId="5" fillId="29" borderId="295" xfId="0" applyFont="1" applyFill="1" applyBorder="1" applyAlignment="1">
      <alignment horizontal="left"/>
    </xf>
    <xf numFmtId="0" fontId="5" fillId="29" borderId="296" xfId="0" applyFont="1" applyFill="1" applyBorder="1" applyAlignment="1">
      <alignment horizontal="left"/>
    </xf>
    <xf numFmtId="0" fontId="6" fillId="29" borderId="296" xfId="0" applyFont="1" applyFill="1" applyBorder="1">
      <alignment horizontal="center" vertical="center"/>
    </xf>
    <xf numFmtId="0" fontId="6" fillId="29" borderId="297" xfId="0" applyFont="1" applyFill="1" applyBorder="1">
      <alignment horizontal="center" vertical="center"/>
    </xf>
    <xf numFmtId="0" fontId="5" fillId="37" borderId="295" xfId="0" applyFont="1" applyFill="1" applyBorder="1" applyAlignment="1">
      <alignment horizontal="left"/>
    </xf>
    <xf numFmtId="0" fontId="5" fillId="37" borderId="296" xfId="0" applyFont="1" applyFill="1" applyBorder="1" applyAlignment="1">
      <alignment horizontal="left"/>
    </xf>
    <xf numFmtId="0" fontId="0" fillId="37" borderId="296" xfId="0" applyFill="1" applyBorder="1">
      <alignment horizontal="center" vertical="center"/>
    </xf>
    <xf numFmtId="0" fontId="5" fillId="45" borderId="295" xfId="0" applyFont="1" applyFill="1" applyBorder="1" applyAlignment="1">
      <alignment horizontal="left"/>
    </xf>
    <xf numFmtId="0" fontId="0" fillId="45" borderId="296" xfId="0" applyFill="1" applyBorder="1">
      <alignment horizontal="center" vertical="center"/>
    </xf>
    <xf numFmtId="0" fontId="6" fillId="45" borderId="296" xfId="0" applyFont="1" applyFill="1" applyBorder="1">
      <alignment horizontal="center" vertical="center"/>
    </xf>
    <xf numFmtId="0" fontId="6" fillId="45" borderId="297" xfId="0" applyFont="1" applyFill="1" applyBorder="1">
      <alignment horizontal="center" vertical="center"/>
    </xf>
    <xf numFmtId="0" fontId="5" fillId="24" borderId="295" xfId="0" applyFont="1" applyFill="1" applyBorder="1">
      <alignment horizontal="center" vertical="center"/>
    </xf>
    <xf numFmtId="0" fontId="0" fillId="24" borderId="296" xfId="0" applyFill="1" applyBorder="1">
      <alignment horizontal="center" vertical="center"/>
    </xf>
    <xf numFmtId="0" fontId="6" fillId="24" borderId="296" xfId="0" applyFont="1" applyFill="1" applyBorder="1">
      <alignment horizontal="center" vertical="center"/>
    </xf>
    <xf numFmtId="0" fontId="5" fillId="40" borderId="295" xfId="0" applyFont="1" applyFill="1" applyBorder="1" applyAlignment="1">
      <alignment horizontal="left"/>
    </xf>
    <xf numFmtId="0" fontId="6" fillId="40" borderId="296" xfId="0" applyFont="1" applyFill="1" applyBorder="1">
      <alignment horizontal="center" vertical="center"/>
    </xf>
    <xf numFmtId="0" fontId="0" fillId="40" borderId="297" xfId="0" applyFill="1" applyBorder="1">
      <alignment horizontal="center" vertical="center"/>
    </xf>
    <xf numFmtId="0" fontId="0" fillId="46" borderId="310" xfId="0" applyFill="1" applyBorder="1">
      <alignment horizontal="center" vertical="center"/>
    </xf>
    <xf numFmtId="0" fontId="6" fillId="46" borderId="310" xfId="0" applyFont="1" applyFill="1" applyBorder="1">
      <alignment horizontal="center" vertical="center"/>
    </xf>
    <xf numFmtId="0" fontId="6" fillId="46" borderId="311" xfId="0" applyFont="1" applyFill="1" applyBorder="1">
      <alignment horizontal="center" vertical="center"/>
    </xf>
    <xf numFmtId="0" fontId="5" fillId="0" borderId="312" xfId="0" applyFont="1" applyBorder="1" applyAlignment="1">
      <alignment horizontal="left" vertical="center"/>
    </xf>
    <xf numFmtId="0" fontId="6" fillId="0" borderId="310" xfId="0" applyFont="1" applyBorder="1">
      <alignment horizontal="center" vertical="center"/>
    </xf>
    <xf numFmtId="0" fontId="6" fillId="0" borderId="311" xfId="0" applyFont="1" applyBorder="1">
      <alignment horizontal="center" vertical="center"/>
    </xf>
    <xf numFmtId="0" fontId="5" fillId="39" borderId="305" xfId="0" applyFont="1" applyFill="1" applyBorder="1" applyAlignment="1">
      <alignment horizontal="left"/>
    </xf>
    <xf numFmtId="0" fontId="5" fillId="47" borderId="295" xfId="0" applyFont="1" applyFill="1" applyBorder="1">
      <alignment horizontal="center" vertical="center"/>
    </xf>
    <xf numFmtId="0" fontId="6" fillId="47" borderId="296" xfId="0" applyFont="1" applyFill="1" applyBorder="1">
      <alignment horizontal="center" vertical="center"/>
    </xf>
    <xf numFmtId="0" fontId="6" fillId="0" borderId="295" xfId="0" applyFont="1" applyBorder="1" applyAlignment="1">
      <alignment horizontal="left"/>
    </xf>
    <xf numFmtId="0" fontId="0" fillId="0" borderId="296" xfId="0" applyBorder="1">
      <alignment horizontal="center" vertical="center"/>
    </xf>
    <xf numFmtId="0" fontId="6" fillId="0" borderId="296" xfId="0" applyFont="1" applyBorder="1" applyAlignment="1">
      <alignment horizontal="left"/>
    </xf>
    <xf numFmtId="0" fontId="6" fillId="0" borderId="296" xfId="0" applyFont="1" applyBorder="1">
      <alignment horizontal="center" vertical="center"/>
    </xf>
    <xf numFmtId="0" fontId="6" fillId="0" borderId="297" xfId="0" applyFont="1" applyBorder="1">
      <alignment horizontal="center" vertical="center"/>
    </xf>
    <xf numFmtId="0" fontId="6" fillId="48" borderId="295" xfId="0" applyFont="1" applyFill="1" applyBorder="1" applyAlignment="1">
      <alignment horizontal="left" vertical="center"/>
    </xf>
    <xf numFmtId="0" fontId="6" fillId="48" borderId="296" xfId="0" applyFont="1" applyFill="1" applyBorder="1">
      <alignment horizontal="center" vertical="center"/>
    </xf>
    <xf numFmtId="0" fontId="6" fillId="48" borderId="297" xfId="0" applyFont="1" applyFill="1" applyBorder="1">
      <alignment horizontal="center" vertical="center"/>
    </xf>
    <xf numFmtId="0" fontId="3" fillId="0" borderId="295" xfId="0" applyFont="1" applyBorder="1" applyAlignment="1">
      <alignment horizontal="left" vertical="center"/>
    </xf>
    <xf numFmtId="0" fontId="0" fillId="0" borderId="297" xfId="0" applyBorder="1">
      <alignment horizontal="center" vertical="center"/>
    </xf>
    <xf numFmtId="0" fontId="0" fillId="0" borderId="313" xfId="0" applyBorder="1">
      <alignment horizontal="center" vertical="center"/>
    </xf>
    <xf numFmtId="0" fontId="3" fillId="0" borderId="296" xfId="0" applyFont="1" applyBorder="1" applyAlignment="1">
      <alignment horizontal="left" vertical="center"/>
    </xf>
    <xf numFmtId="0" fontId="0" fillId="0" borderId="314" xfId="0" applyBorder="1">
      <alignment horizontal="center" vertical="center"/>
    </xf>
    <xf numFmtId="0" fontId="13" fillId="0" borderId="312" xfId="0" applyFont="1" applyBorder="1">
      <alignment horizontal="center" vertical="center"/>
    </xf>
    <xf numFmtId="0" fontId="0" fillId="0" borderId="310" xfId="0" applyBorder="1">
      <alignment horizontal="center" vertical="center"/>
    </xf>
    <xf numFmtId="0" fontId="0" fillId="0" borderId="311" xfId="0" applyBorder="1">
      <alignment horizontal="center" vertical="center"/>
    </xf>
    <xf numFmtId="0" fontId="3" fillId="0" borderId="295" xfId="0" applyFont="1" applyBorder="1">
      <alignment horizontal="center" vertical="center"/>
    </xf>
    <xf numFmtId="0" fontId="0" fillId="0" borderId="306" xfId="0" applyBorder="1" applyAlignment="1" applyProtection="1">
      <alignment horizontal="center"/>
      <protection locked="0"/>
    </xf>
    <xf numFmtId="0" fontId="5" fillId="0" borderId="306" xfId="0" applyFont="1" applyBorder="1" applyAlignment="1">
      <alignment horizontal="center"/>
    </xf>
    <xf numFmtId="0" fontId="0" fillId="51" borderId="306" xfId="0" applyFill="1" applyBorder="1">
      <alignment horizontal="center" vertical="center"/>
    </xf>
    <xf numFmtId="0" fontId="0" fillId="70" borderId="306" xfId="0" applyFill="1" applyBorder="1">
      <alignment horizontal="center" vertical="center"/>
    </xf>
    <xf numFmtId="0" fontId="0" fillId="51" borderId="315" xfId="0" applyFill="1" applyBorder="1">
      <alignment horizontal="center" vertical="center"/>
    </xf>
    <xf numFmtId="0" fontId="3" fillId="24" borderId="305" xfId="0" applyFont="1" applyFill="1" applyBorder="1" applyAlignment="1">
      <alignment horizontal="left" vertical="center"/>
    </xf>
    <xf numFmtId="0" fontId="0" fillId="24" borderId="305" xfId="0" applyFill="1" applyBorder="1">
      <alignment horizontal="center" vertical="center"/>
    </xf>
    <xf numFmtId="0" fontId="0" fillId="24" borderId="316" xfId="0" applyFill="1" applyBorder="1">
      <alignment horizontal="center" vertical="center"/>
    </xf>
    <xf numFmtId="0" fontId="0" fillId="43" borderId="305" xfId="0" applyFill="1" applyBorder="1" applyAlignment="1" applyProtection="1">
      <alignment horizontal="center"/>
      <protection locked="0"/>
    </xf>
    <xf numFmtId="0" fontId="5" fillId="0" borderId="305" xfId="0" applyFont="1" applyBorder="1" applyAlignment="1">
      <alignment horizontal="left" vertical="center"/>
    </xf>
    <xf numFmtId="0" fontId="0" fillId="51" borderId="305" xfId="43" applyFont="1" applyFill="1" applyBorder="1">
      <alignment horizontal="center" vertical="center"/>
    </xf>
    <xf numFmtId="0" fontId="6" fillId="69" borderId="305" xfId="44" applyBorder="1">
      <alignment horizontal="center" vertical="center"/>
    </xf>
    <xf numFmtId="0" fontId="0" fillId="51" borderId="305" xfId="0" applyFill="1" applyBorder="1">
      <alignment horizontal="center" vertical="center"/>
    </xf>
    <xf numFmtId="0" fontId="6" fillId="52" borderId="305" xfId="48" applyBorder="1">
      <alignment horizontal="center" vertical="center"/>
    </xf>
    <xf numFmtId="0" fontId="51" fillId="56" borderId="305" xfId="46" applyBorder="1">
      <alignment horizontal="center" vertical="center"/>
    </xf>
    <xf numFmtId="1" fontId="0" fillId="51" borderId="305" xfId="0" applyNumberFormat="1" applyFill="1" applyBorder="1">
      <alignment horizontal="center" vertical="center"/>
    </xf>
    <xf numFmtId="0" fontId="6" fillId="54" borderId="305" xfId="50" applyBorder="1">
      <alignment horizontal="center" vertical="center"/>
    </xf>
    <xf numFmtId="1" fontId="0" fillId="51" borderId="316" xfId="0" applyNumberFormat="1" applyFill="1" applyBorder="1">
      <alignment horizontal="center" vertical="center"/>
    </xf>
    <xf numFmtId="0" fontId="0" fillId="0" borderId="305" xfId="0" applyBorder="1" applyAlignment="1">
      <alignment horizontal="left" vertical="center"/>
    </xf>
    <xf numFmtId="1" fontId="0" fillId="51" borderId="305" xfId="32" applyNumberFormat="1" applyFont="1" applyFill="1" applyBorder="1" applyAlignment="1">
      <alignment horizontal="center" vertical="center"/>
    </xf>
    <xf numFmtId="0" fontId="0" fillId="51" borderId="305" xfId="44" applyFont="1" applyFill="1" applyBorder="1">
      <alignment horizontal="center" vertical="center"/>
    </xf>
    <xf numFmtId="1" fontId="0" fillId="56" borderId="305" xfId="0" applyNumberFormat="1" applyFill="1" applyBorder="1">
      <alignment horizontal="center" vertical="center"/>
    </xf>
    <xf numFmtId="0" fontId="0" fillId="51" borderId="305" xfId="49" applyFont="1" applyFill="1" applyBorder="1">
      <alignment horizontal="center" vertical="center"/>
    </xf>
    <xf numFmtId="1" fontId="0" fillId="51" borderId="305" xfId="44" applyNumberFormat="1" applyFont="1" applyFill="1" applyBorder="1">
      <alignment horizontal="center" vertical="center"/>
    </xf>
    <xf numFmtId="0" fontId="3" fillId="24" borderId="306" xfId="0" applyFont="1" applyFill="1" applyBorder="1" applyAlignment="1" applyProtection="1">
      <alignment horizontal="left"/>
      <protection locked="0"/>
    </xf>
    <xf numFmtId="0" fontId="3" fillId="24" borderId="306" xfId="0" applyFont="1" applyFill="1" applyBorder="1">
      <alignment horizontal="center" vertical="center"/>
    </xf>
    <xf numFmtId="1" fontId="0" fillId="24" borderId="306" xfId="0" applyNumberFormat="1" applyFill="1" applyBorder="1">
      <alignment horizontal="center" vertical="center"/>
    </xf>
    <xf numFmtId="0" fontId="0" fillId="24" borderId="315" xfId="0" applyFill="1" applyBorder="1">
      <alignment horizontal="center" vertical="center"/>
    </xf>
    <xf numFmtId="0" fontId="0" fillId="51" borderId="305" xfId="46" applyFont="1" applyFill="1" applyBorder="1">
      <alignment horizontal="center" vertical="center"/>
    </xf>
    <xf numFmtId="0" fontId="3" fillId="0" borderId="317" xfId="0" applyFont="1" applyBorder="1" applyAlignment="1">
      <alignment horizontal="left" vertical="center"/>
    </xf>
    <xf numFmtId="0" fontId="3" fillId="0" borderId="295" xfId="0" applyFont="1" applyBorder="1" applyAlignment="1">
      <alignment vertical="center"/>
    </xf>
    <xf numFmtId="0" fontId="13" fillId="0" borderId="296" xfId="0" applyFont="1" applyBorder="1">
      <alignment horizontal="center" vertical="center"/>
    </xf>
    <xf numFmtId="0" fontId="3" fillId="0" borderId="312" xfId="0" applyFont="1" applyBorder="1" applyAlignment="1">
      <alignment horizontal="left" vertical="center"/>
    </xf>
    <xf numFmtId="0" fontId="13" fillId="0" borderId="310" xfId="0" applyFont="1" applyBorder="1">
      <alignment horizontal="center" vertical="center"/>
    </xf>
    <xf numFmtId="0" fontId="3" fillId="0" borderId="310" xfId="0" applyFont="1" applyBorder="1">
      <alignment horizontal="center" vertical="center"/>
    </xf>
    <xf numFmtId="0" fontId="3" fillId="0" borderId="302" xfId="0" applyFont="1" applyBorder="1" applyAlignment="1">
      <alignment horizontal="left" vertical="center"/>
    </xf>
    <xf numFmtId="0" fontId="0" fillId="0" borderId="295" xfId="0" applyBorder="1" applyAlignment="1">
      <alignment vertical="center"/>
    </xf>
    <xf numFmtId="0" fontId="0" fillId="0" borderId="296" xfId="0" applyBorder="1" applyAlignment="1">
      <alignment horizontal="left" vertical="center"/>
    </xf>
    <xf numFmtId="0" fontId="0" fillId="0" borderId="318" xfId="0" applyBorder="1">
      <alignment horizontal="center" vertical="center"/>
    </xf>
    <xf numFmtId="0" fontId="3" fillId="0" borderId="303" xfId="0" applyFont="1" applyBorder="1" applyAlignment="1">
      <alignment horizontal="left" vertical="center"/>
    </xf>
    <xf numFmtId="0" fontId="0" fillId="0" borderId="304" xfId="0" applyBorder="1">
      <alignment horizontal="center" vertical="center"/>
    </xf>
    <xf numFmtId="0" fontId="0" fillId="0" borderId="300" xfId="0" applyBorder="1" applyAlignment="1">
      <alignment vertical="center"/>
    </xf>
    <xf numFmtId="0" fontId="0" fillId="0" borderId="319" xfId="0" applyBorder="1">
      <alignment horizontal="center" vertical="center"/>
    </xf>
    <xf numFmtId="0" fontId="3" fillId="0" borderId="300" xfId="0" applyFont="1" applyBorder="1">
      <alignment horizontal="center" vertical="center"/>
    </xf>
    <xf numFmtId="0" fontId="0" fillId="0" borderId="304" xfId="0" applyBorder="1" applyAlignment="1">
      <alignment horizontal="left" vertical="center"/>
    </xf>
    <xf numFmtId="0" fontId="13" fillId="0" borderId="304" xfId="0" applyFont="1" applyBorder="1">
      <alignment horizontal="center" vertical="center"/>
    </xf>
    <xf numFmtId="0" fontId="3" fillId="0" borderId="304" xfId="0" applyFont="1" applyBorder="1" applyAlignment="1">
      <alignment horizontal="left" vertical="center"/>
    </xf>
    <xf numFmtId="0" fontId="0" fillId="0" borderId="320" xfId="0" applyBorder="1">
      <alignment horizontal="center" vertical="center"/>
    </xf>
    <xf numFmtId="0" fontId="0" fillId="0" borderId="301" xfId="0" applyBorder="1" applyAlignment="1" applyProtection="1">
      <alignment horizontal="center"/>
      <protection locked="0"/>
    </xf>
    <xf numFmtId="0" fontId="5" fillId="0" borderId="301" xfId="0" applyFont="1" applyBorder="1" applyAlignment="1">
      <alignment horizontal="center"/>
    </xf>
    <xf numFmtId="0" fontId="0" fillId="43" borderId="321" xfId="0" applyFill="1" applyBorder="1" applyAlignment="1" applyProtection="1">
      <alignment horizontal="center"/>
      <protection locked="0"/>
    </xf>
    <xf numFmtId="0" fontId="0" fillId="76" borderId="305" xfId="43" applyFont="1" applyFill="1" applyBorder="1">
      <alignment horizontal="center" vertical="center"/>
    </xf>
    <xf numFmtId="0" fontId="0" fillId="54" borderId="305" xfId="43" applyFont="1" applyFill="1" applyBorder="1">
      <alignment horizontal="center" vertical="center"/>
    </xf>
    <xf numFmtId="0" fontId="0" fillId="55" borderId="305" xfId="43" applyFont="1" applyFill="1" applyBorder="1">
      <alignment horizontal="center" vertical="center"/>
    </xf>
    <xf numFmtId="0" fontId="0" fillId="51" borderId="316" xfId="0" applyFill="1" applyBorder="1">
      <alignment horizontal="center" vertical="center"/>
    </xf>
    <xf numFmtId="0" fontId="0" fillId="43" borderId="322" xfId="0" applyFill="1" applyBorder="1" applyAlignment="1" applyProtection="1">
      <alignment horizontal="center"/>
      <protection locked="0"/>
    </xf>
    <xf numFmtId="0" fontId="0" fillId="0" borderId="306" xfId="0" applyBorder="1" applyAlignment="1">
      <alignment horizontal="left" vertical="center"/>
    </xf>
    <xf numFmtId="49" fontId="0" fillId="51" borderId="306" xfId="0" applyNumberFormat="1" applyFill="1" applyBorder="1">
      <alignment horizontal="center" vertical="center"/>
    </xf>
    <xf numFmtId="0" fontId="0" fillId="51" borderId="306" xfId="48" applyFont="1" applyFill="1" applyBorder="1">
      <alignment horizontal="center" vertical="center"/>
    </xf>
    <xf numFmtId="0" fontId="0" fillId="51" borderId="306" xfId="43" applyFont="1" applyFill="1" applyBorder="1">
      <alignment horizontal="center" vertical="center"/>
    </xf>
    <xf numFmtId="0" fontId="0" fillId="51" borderId="306" xfId="44" applyFont="1" applyFill="1" applyBorder="1">
      <alignment horizontal="center" vertical="center"/>
    </xf>
    <xf numFmtId="49" fontId="0" fillId="51" borderId="315" xfId="0" applyNumberFormat="1" applyFill="1" applyBorder="1">
      <alignment horizontal="center" vertical="center"/>
    </xf>
    <xf numFmtId="49" fontId="0" fillId="51" borderId="305" xfId="0" applyNumberFormat="1" applyFill="1" applyBorder="1">
      <alignment horizontal="center" vertical="center"/>
    </xf>
    <xf numFmtId="0" fontId="0" fillId="51" borderId="305" xfId="48" applyFont="1" applyFill="1" applyBorder="1">
      <alignment horizontal="center" vertical="center"/>
    </xf>
    <xf numFmtId="0" fontId="0" fillId="51" borderId="305" xfId="45" applyFont="1" applyFill="1" applyBorder="1">
      <alignment horizontal="center" vertical="center"/>
    </xf>
    <xf numFmtId="49" fontId="0" fillId="51" borderId="316" xfId="0" applyNumberFormat="1" applyFill="1" applyBorder="1">
      <alignment horizontal="center" vertical="center"/>
    </xf>
    <xf numFmtId="0" fontId="0" fillId="0" borderId="306" xfId="0" applyBorder="1" applyAlignment="1">
      <alignment vertical="center"/>
    </xf>
    <xf numFmtId="0" fontId="6" fillId="53" borderId="306" xfId="43" applyBorder="1">
      <alignment horizontal="center" vertical="center"/>
    </xf>
    <xf numFmtId="49" fontId="0" fillId="76" borderId="305" xfId="0" applyNumberFormat="1" applyFill="1" applyBorder="1">
      <alignment horizontal="center" vertical="center"/>
    </xf>
    <xf numFmtId="0" fontId="6" fillId="53" borderId="305" xfId="43" applyBorder="1">
      <alignment horizontal="center" vertical="center"/>
    </xf>
    <xf numFmtId="0" fontId="6" fillId="52" borderId="306" xfId="48" applyBorder="1">
      <alignment horizontal="center" vertical="center"/>
    </xf>
    <xf numFmtId="0" fontId="6" fillId="55" borderId="315" xfId="45" applyBorder="1">
      <alignment horizontal="center" vertical="center"/>
    </xf>
    <xf numFmtId="0" fontId="0" fillId="69" borderId="306" xfId="44" applyFont="1" applyBorder="1">
      <alignment horizontal="center" vertical="center"/>
    </xf>
    <xf numFmtId="49" fontId="0" fillId="69" borderId="306" xfId="0" applyNumberFormat="1" applyFill="1" applyBorder="1">
      <alignment horizontal="center" vertical="center"/>
    </xf>
    <xf numFmtId="49" fontId="0" fillId="52" borderId="306" xfId="0" applyNumberFormat="1" applyFill="1" applyBorder="1">
      <alignment horizontal="center" vertical="center"/>
    </xf>
    <xf numFmtId="0" fontId="0" fillId="52" borderId="306" xfId="0" applyFill="1" applyBorder="1">
      <alignment horizontal="center" vertical="center"/>
    </xf>
    <xf numFmtId="0" fontId="0" fillId="51" borderId="315" xfId="44" applyFont="1" applyFill="1" applyBorder="1">
      <alignment horizontal="center" vertical="center"/>
    </xf>
    <xf numFmtId="0" fontId="3" fillId="0" borderId="305" xfId="0" applyFont="1" applyBorder="1" applyAlignment="1">
      <alignment horizontal="center"/>
    </xf>
    <xf numFmtId="0" fontId="0" fillId="0" borderId="305" xfId="0" applyBorder="1">
      <alignment horizontal="center" vertical="center"/>
    </xf>
    <xf numFmtId="0" fontId="6" fillId="0" borderId="305" xfId="0" applyFont="1" applyBorder="1">
      <alignment horizontal="center" vertical="center"/>
    </xf>
    <xf numFmtId="0" fontId="0" fillId="0" borderId="301" xfId="0" applyBorder="1">
      <alignment horizontal="center" vertical="center"/>
    </xf>
    <xf numFmtId="0" fontId="3" fillId="0" borderId="301" xfId="0" applyFont="1" applyBorder="1" applyAlignment="1">
      <alignment horizontal="center"/>
    </xf>
    <xf numFmtId="0" fontId="5" fillId="0" borderId="305" xfId="0" applyFont="1" applyBorder="1" applyAlignment="1">
      <alignment horizontal="left"/>
    </xf>
    <xf numFmtId="0" fontId="6" fillId="0" borderId="295" xfId="0" applyFont="1" applyBorder="1">
      <alignment horizontal="center" vertical="center"/>
    </xf>
    <xf numFmtId="0" fontId="0" fillId="0" borderId="305" xfId="0" applyBorder="1" applyAlignment="1">
      <alignment horizontal="center"/>
    </xf>
    <xf numFmtId="0" fontId="0" fillId="43" borderId="295" xfId="0" applyFill="1" applyBorder="1" applyAlignment="1" applyProtection="1">
      <alignment horizontal="center"/>
      <protection locked="0"/>
    </xf>
    <xf numFmtId="0" fontId="0" fillId="0" borderId="295" xfId="0" applyBorder="1" applyAlignment="1">
      <alignment horizontal="left"/>
    </xf>
    <xf numFmtId="0" fontId="0" fillId="0" borderId="296" xfId="0" applyBorder="1" applyAlignment="1">
      <alignment horizontal="left"/>
    </xf>
    <xf numFmtId="0" fontId="0" fillId="0" borderId="312" xfId="0" applyBorder="1" applyAlignment="1">
      <alignment horizontal="left"/>
    </xf>
    <xf numFmtId="0" fontId="0" fillId="0" borderId="310" xfId="0" applyBorder="1" applyAlignment="1">
      <alignment horizontal="left"/>
    </xf>
    <xf numFmtId="0" fontId="6" fillId="0" borderId="311" xfId="0" applyFont="1" applyBorder="1" applyAlignment="1">
      <alignment horizontal="left"/>
    </xf>
    <xf numFmtId="0" fontId="6" fillId="0" borderId="310" xfId="0" applyFont="1" applyBorder="1" applyAlignment="1">
      <alignment horizontal="left"/>
    </xf>
    <xf numFmtId="0" fontId="6" fillId="0" borderId="297" xfId="0" applyFont="1" applyBorder="1" applyAlignment="1">
      <alignment horizontal="left"/>
    </xf>
    <xf numFmtId="0" fontId="5" fillId="0" borderId="295" xfId="0" applyFont="1" applyBorder="1" applyAlignment="1">
      <alignment horizontal="left"/>
    </xf>
    <xf numFmtId="0" fontId="21" fillId="0" borderId="305" xfId="0" applyFont="1" applyBorder="1" applyAlignment="1" applyProtection="1">
      <alignment horizontal="center"/>
      <protection locked="0"/>
    </xf>
    <xf numFmtId="0" fontId="0" fillId="0" borderId="305" xfId="0" applyBorder="1" applyAlignment="1">
      <alignment horizontal="left"/>
    </xf>
    <xf numFmtId="0" fontId="6" fillId="0" borderId="305" xfId="0" applyFont="1" applyBorder="1" applyAlignment="1">
      <alignment horizontal="left"/>
    </xf>
    <xf numFmtId="0" fontId="3" fillId="0" borderId="306" xfId="0" applyFont="1" applyBorder="1" applyAlignment="1" applyProtection="1">
      <alignment horizontal="center"/>
      <protection locked="0"/>
    </xf>
    <xf numFmtId="0" fontId="0" fillId="51" borderId="306" xfId="51" applyFont="1" applyFill="1" applyBorder="1">
      <alignment horizontal="center" vertical="center"/>
    </xf>
    <xf numFmtId="0" fontId="0" fillId="51" borderId="293" xfId="0" applyFill="1" applyBorder="1" applyAlignment="1">
      <alignment horizontal="left" vertical="center"/>
    </xf>
    <xf numFmtId="49" fontId="0" fillId="51" borderId="293" xfId="0" applyNumberFormat="1" applyFill="1" applyBorder="1">
      <alignment horizontal="center" vertical="center"/>
    </xf>
    <xf numFmtId="0" fontId="6" fillId="69" borderId="293" xfId="44" applyBorder="1">
      <alignment horizontal="center" vertical="center"/>
    </xf>
    <xf numFmtId="0" fontId="0" fillId="55" borderId="293" xfId="43" applyFont="1" applyFill="1" applyBorder="1">
      <alignment horizontal="center" vertical="center"/>
    </xf>
    <xf numFmtId="0" fontId="0" fillId="51" borderId="293" xfId="43" applyFont="1" applyFill="1" applyBorder="1">
      <alignment horizontal="center" vertical="center"/>
    </xf>
    <xf numFmtId="0" fontId="0" fillId="53" borderId="293" xfId="43" applyFont="1" applyBorder="1">
      <alignment horizontal="center" vertical="center"/>
    </xf>
    <xf numFmtId="0" fontId="6" fillId="53" borderId="316" xfId="43" applyBorder="1">
      <alignment horizontal="center" vertical="center"/>
    </xf>
    <xf numFmtId="0" fontId="6" fillId="53" borderId="293" xfId="43" applyBorder="1">
      <alignment horizontal="center" vertical="center"/>
    </xf>
    <xf numFmtId="0" fontId="6" fillId="53" borderId="268" xfId="43" applyBorder="1">
      <alignment horizontal="center" vertical="center"/>
    </xf>
    <xf numFmtId="0" fontId="0" fillId="0" borderId="293" xfId="0" applyBorder="1" applyAlignment="1">
      <alignment vertical="center"/>
    </xf>
    <xf numFmtId="0" fontId="0" fillId="51" borderId="293" xfId="51" applyFont="1" applyFill="1" applyBorder="1">
      <alignment horizontal="center" vertical="center"/>
    </xf>
    <xf numFmtId="0" fontId="0" fillId="55" borderId="293" xfId="48" applyFont="1" applyFill="1" applyBorder="1">
      <alignment horizontal="center" vertical="center"/>
    </xf>
    <xf numFmtId="0" fontId="0" fillId="55" borderId="293" xfId="0" applyFill="1" applyBorder="1">
      <alignment horizontal="center" vertical="center"/>
    </xf>
    <xf numFmtId="0" fontId="6" fillId="58" borderId="293" xfId="33" applyBorder="1">
      <alignment horizontal="center" vertical="center"/>
    </xf>
    <xf numFmtId="0" fontId="0" fillId="81" borderId="293" xfId="0" applyFill="1" applyBorder="1">
      <alignment horizontal="center" vertical="center"/>
    </xf>
    <xf numFmtId="0" fontId="0" fillId="51" borderId="293" xfId="0" applyFill="1" applyBorder="1" applyAlignment="1" applyProtection="1">
      <alignment horizontal="left" vertical="center"/>
      <protection locked="0"/>
    </xf>
    <xf numFmtId="0" fontId="0" fillId="52" borderId="293" xfId="0" applyFill="1" applyBorder="1">
      <alignment horizontal="center" vertical="center"/>
    </xf>
    <xf numFmtId="0" fontId="0" fillId="51" borderId="323" xfId="0" applyFill="1" applyBorder="1">
      <alignment horizontal="center" vertical="center"/>
    </xf>
    <xf numFmtId="0" fontId="0" fillId="70" borderId="323" xfId="0" applyFill="1" applyBorder="1">
      <alignment horizontal="center" vertical="center"/>
    </xf>
    <xf numFmtId="0" fontId="0" fillId="51" borderId="324" xfId="0" applyFill="1" applyBorder="1">
      <alignment horizontal="center" vertical="center"/>
    </xf>
    <xf numFmtId="0" fontId="6" fillId="55" borderId="293" xfId="45" applyBorder="1">
      <alignment horizontal="center" vertical="center"/>
    </xf>
    <xf numFmtId="0" fontId="0" fillId="57" borderId="325" xfId="48" applyFont="1" applyFill="1" applyBorder="1">
      <alignment horizontal="center" vertical="center"/>
    </xf>
    <xf numFmtId="0" fontId="0" fillId="57" borderId="325" xfId="0" applyFill="1" applyBorder="1">
      <alignment horizontal="center" vertical="center"/>
    </xf>
    <xf numFmtId="0" fontId="18" fillId="0" borderId="293" xfId="0" applyFont="1" applyBorder="1" applyAlignment="1" applyProtection="1">
      <alignment horizontal="center"/>
      <protection locked="0"/>
    </xf>
    <xf numFmtId="0" fontId="18" fillId="0" borderId="326" xfId="0" applyFont="1" applyBorder="1" applyAlignment="1" applyProtection="1">
      <alignment horizontal="center"/>
      <protection locked="0"/>
    </xf>
    <xf numFmtId="0" fontId="0" fillId="51" borderId="326" xfId="0" applyFill="1" applyBorder="1" applyAlignment="1">
      <alignment horizontal="left" vertical="center"/>
    </xf>
    <xf numFmtId="0" fontId="0" fillId="81" borderId="326" xfId="0" applyFill="1" applyBorder="1">
      <alignment horizontal="center" vertical="center"/>
    </xf>
    <xf numFmtId="1" fontId="0" fillId="81" borderId="326" xfId="32" applyNumberFormat="1" applyFont="1" applyFill="1" applyBorder="1" applyAlignment="1">
      <alignment horizontal="center" vertical="center"/>
    </xf>
    <xf numFmtId="1" fontId="0" fillId="51" borderId="326" xfId="32" applyNumberFormat="1" applyFont="1" applyFill="1" applyBorder="1" applyAlignment="1">
      <alignment horizontal="center" vertical="center"/>
    </xf>
    <xf numFmtId="49" fontId="0" fillId="51" borderId="326" xfId="0" applyNumberFormat="1" applyFill="1" applyBorder="1">
      <alignment horizontal="center" vertical="center"/>
    </xf>
    <xf numFmtId="0" fontId="0" fillId="51" borderId="327" xfId="0" applyFill="1" applyBorder="1">
      <alignment horizontal="center" vertical="center"/>
    </xf>
    <xf numFmtId="0" fontId="0" fillId="52" borderId="325" xfId="0" applyFill="1" applyBorder="1">
      <alignment horizontal="center" vertical="center"/>
    </xf>
    <xf numFmtId="0" fontId="6" fillId="55" borderId="325" xfId="45" applyBorder="1">
      <alignment horizontal="center" vertical="center"/>
    </xf>
    <xf numFmtId="0" fontId="0" fillId="51" borderId="325" xfId="47" applyFont="1" applyFill="1" applyBorder="1">
      <alignment horizontal="center" vertical="center"/>
    </xf>
    <xf numFmtId="0" fontId="3" fillId="0" borderId="328" xfId="0" applyFont="1" applyBorder="1" applyAlignment="1" applyProtection="1">
      <alignment horizontal="center"/>
      <protection locked="0"/>
    </xf>
    <xf numFmtId="0" fontId="3" fillId="0" borderId="325" xfId="0" applyFont="1" applyBorder="1" applyAlignment="1" applyProtection="1">
      <alignment horizontal="center"/>
      <protection locked="0"/>
    </xf>
    <xf numFmtId="0" fontId="6" fillId="57" borderId="325" xfId="47" applyBorder="1">
      <alignment horizontal="center" vertical="center"/>
    </xf>
    <xf numFmtId="0" fontId="0" fillId="51" borderId="329" xfId="47" applyFont="1" applyFill="1" applyBorder="1">
      <alignment horizontal="center" vertical="center"/>
    </xf>
    <xf numFmtId="0" fontId="0" fillId="51" borderId="330" xfId="47" applyFont="1" applyFill="1" applyBorder="1">
      <alignment horizontal="center" vertical="center"/>
    </xf>
    <xf numFmtId="0" fontId="0" fillId="0" borderId="331" xfId="0" applyBorder="1">
      <alignment horizontal="center" vertical="center"/>
    </xf>
    <xf numFmtId="0" fontId="0" fillId="0" borderId="332" xfId="0" applyBorder="1">
      <alignment horizontal="center" vertical="center"/>
    </xf>
    <xf numFmtId="0" fontId="0" fillId="0" borderId="333" xfId="0" applyBorder="1">
      <alignment horizontal="center" vertical="center"/>
    </xf>
    <xf numFmtId="0" fontId="0" fillId="0" borderId="334" xfId="0" applyBorder="1">
      <alignment horizontal="center" vertical="center"/>
    </xf>
    <xf numFmtId="0" fontId="0" fillId="0" borderId="335" xfId="0" applyBorder="1">
      <alignment horizontal="center" vertical="center"/>
    </xf>
    <xf numFmtId="0" fontId="0" fillId="0" borderId="336" xfId="0" applyBorder="1">
      <alignment horizontal="center" vertical="center"/>
    </xf>
    <xf numFmtId="0" fontId="0" fillId="0" borderId="337" xfId="0" applyBorder="1">
      <alignment horizontal="center" vertical="center"/>
    </xf>
    <xf numFmtId="0" fontId="3" fillId="43" borderId="325" xfId="0" applyFont="1" applyFill="1" applyBorder="1" applyAlignment="1">
      <alignment horizontal="center"/>
    </xf>
    <xf numFmtId="0" fontId="0" fillId="0" borderId="325" xfId="0" applyBorder="1" applyAlignment="1">
      <alignment vertical="center"/>
    </xf>
    <xf numFmtId="0" fontId="0" fillId="51" borderId="325" xfId="20" applyNumberFormat="1" applyFont="1" applyFill="1" applyBorder="1" applyAlignment="1">
      <alignment horizontal="center" vertical="center"/>
    </xf>
    <xf numFmtId="0" fontId="0" fillId="55" borderId="325" xfId="20" applyNumberFormat="1" applyFont="1" applyFill="1" applyBorder="1" applyAlignment="1">
      <alignment horizontal="center" vertical="center"/>
    </xf>
    <xf numFmtId="0" fontId="0" fillId="51" borderId="329" xfId="20" applyNumberFormat="1" applyFont="1" applyFill="1" applyBorder="1" applyAlignment="1">
      <alignment horizontal="center" vertical="center"/>
    </xf>
    <xf numFmtId="0" fontId="0" fillId="55" borderId="325" xfId="45" applyFont="1" applyBorder="1">
      <alignment horizontal="center" vertical="center"/>
    </xf>
    <xf numFmtId="0" fontId="3" fillId="43" borderId="330" xfId="0" applyFont="1" applyFill="1" applyBorder="1" applyAlignment="1">
      <alignment horizontal="center"/>
    </xf>
    <xf numFmtId="0" fontId="3" fillId="0" borderId="338" xfId="0" applyFont="1" applyBorder="1" applyAlignment="1">
      <alignment horizontal="center"/>
    </xf>
    <xf numFmtId="0" fontId="6" fillId="0" borderId="332" xfId="0" applyFont="1" applyBorder="1" applyAlignment="1">
      <alignment horizontal="left" vertical="center"/>
    </xf>
    <xf numFmtId="0" fontId="6" fillId="0" borderId="339" xfId="0" applyFont="1" applyBorder="1" applyAlignment="1">
      <alignment horizontal="left" vertical="center"/>
    </xf>
    <xf numFmtId="0" fontId="6" fillId="0" borderId="340" xfId="0" applyFont="1" applyBorder="1" applyAlignment="1">
      <alignment horizontal="left" vertical="center"/>
    </xf>
    <xf numFmtId="0" fontId="0" fillId="0" borderId="331" xfId="0" applyBorder="1" applyAlignment="1">
      <alignment horizontal="center"/>
    </xf>
    <xf numFmtId="0" fontId="3" fillId="0" borderId="332" xfId="0" applyFont="1" applyBorder="1" applyAlignment="1">
      <alignment horizontal="left"/>
    </xf>
    <xf numFmtId="0" fontId="0" fillId="0" borderId="339" xfId="0" applyBorder="1" applyAlignment="1"/>
    <xf numFmtId="0" fontId="0" fillId="0" borderId="341" xfId="0" applyBorder="1" applyAlignment="1">
      <alignment horizontal="left"/>
    </xf>
    <xf numFmtId="0" fontId="3" fillId="0" borderId="339" xfId="0" applyFont="1" applyBorder="1" applyAlignment="1"/>
    <xf numFmtId="0" fontId="3" fillId="0" borderId="341" xfId="0" applyFont="1" applyBorder="1" applyAlignment="1">
      <alignment horizontal="left"/>
    </xf>
    <xf numFmtId="0" fontId="0" fillId="0" borderId="332" xfId="0" applyBorder="1" applyAlignment="1">
      <alignment horizontal="center"/>
    </xf>
    <xf numFmtId="0" fontId="0" fillId="0" borderId="340" xfId="0" applyBorder="1" applyAlignment="1"/>
    <xf numFmtId="0" fontId="3" fillId="0" borderId="342" xfId="0" applyFont="1" applyBorder="1" applyAlignment="1">
      <alignment horizontal="left"/>
    </xf>
    <xf numFmtId="0" fontId="0" fillId="0" borderId="343" xfId="0" applyBorder="1" applyAlignment="1"/>
    <xf numFmtId="0" fontId="0" fillId="0" borderId="344" xfId="0" applyBorder="1" applyAlignment="1">
      <alignment horizontal="left"/>
    </xf>
    <xf numFmtId="0" fontId="8" fillId="0" borderId="342" xfId="0" applyFont="1" applyBorder="1" applyAlignment="1">
      <alignment horizontal="center"/>
    </xf>
    <xf numFmtId="0" fontId="0" fillId="0" borderId="345" xfId="0" applyBorder="1" applyAlignment="1"/>
    <xf numFmtId="0" fontId="0" fillId="0" borderId="334" xfId="0" applyBorder="1" applyAlignment="1">
      <alignment horizontal="center"/>
    </xf>
    <xf numFmtId="0" fontId="3" fillId="0" borderId="335" xfId="0" applyFont="1" applyBorder="1" applyAlignment="1">
      <alignment horizontal="left"/>
    </xf>
    <xf numFmtId="0" fontId="6" fillId="0" borderId="346" xfId="0" applyFont="1" applyBorder="1" applyAlignment="1">
      <alignment horizontal="left" vertical="center"/>
    </xf>
    <xf numFmtId="0" fontId="6" fillId="0" borderId="346" xfId="0" applyFont="1" applyBorder="1">
      <alignment horizontal="center" vertical="center"/>
    </xf>
    <xf numFmtId="0" fontId="6" fillId="0" borderId="347" xfId="0" applyFont="1" applyBorder="1">
      <alignment horizontal="center" vertical="center"/>
    </xf>
    <xf numFmtId="0" fontId="6" fillId="0" borderId="335" xfId="0" applyFont="1" applyBorder="1" applyAlignment="1">
      <alignment horizontal="left" vertical="center"/>
    </xf>
    <xf numFmtId="0" fontId="6" fillId="0" borderId="346" xfId="0" applyFont="1" applyBorder="1" applyAlignment="1">
      <alignment horizontal="left"/>
    </xf>
    <xf numFmtId="0" fontId="6" fillId="0" borderId="347" xfId="0" applyFont="1" applyBorder="1" applyAlignment="1">
      <alignment horizontal="left" vertical="center"/>
    </xf>
    <xf numFmtId="0" fontId="0" fillId="0" borderId="346" xfId="0" applyBorder="1" applyAlignment="1">
      <alignment horizontal="left"/>
    </xf>
    <xf numFmtId="0" fontId="0" fillId="0" borderId="348" xfId="0" applyBorder="1" applyAlignment="1"/>
    <xf numFmtId="0" fontId="0" fillId="51" borderId="325" xfId="0" applyFill="1" applyBorder="1" applyAlignment="1">
      <alignment horizontal="left" vertical="center"/>
    </xf>
    <xf numFmtId="49" fontId="36" fillId="17" borderId="349" xfId="34" applyNumberFormat="1" applyBorder="1" applyAlignment="1">
      <alignment horizontal="center" vertical="center"/>
    </xf>
    <xf numFmtId="0" fontId="0" fillId="51" borderId="329" xfId="44" applyFont="1" applyFill="1" applyBorder="1">
      <alignment horizontal="center" vertical="center"/>
    </xf>
    <xf numFmtId="0" fontId="0" fillId="0" borderId="325" xfId="48" applyFont="1" applyFill="1" applyBorder="1">
      <alignment horizontal="center" vertical="center"/>
    </xf>
    <xf numFmtId="0" fontId="0" fillId="51" borderId="325" xfId="51" applyFont="1" applyFill="1" applyBorder="1">
      <alignment horizontal="center" vertical="center"/>
    </xf>
    <xf numFmtId="0" fontId="0" fillId="51" borderId="329" xfId="51" applyFont="1" applyFill="1" applyBorder="1">
      <alignment horizontal="center" vertical="center"/>
    </xf>
    <xf numFmtId="0" fontId="0" fillId="51" borderId="329" xfId="48" applyFont="1" applyFill="1" applyBorder="1">
      <alignment horizontal="center" vertical="center"/>
    </xf>
    <xf numFmtId="0" fontId="0" fillId="51" borderId="330" xfId="0" applyFill="1" applyBorder="1" applyAlignment="1">
      <alignment horizontal="left" vertical="center"/>
    </xf>
    <xf numFmtId="0" fontId="0" fillId="51" borderId="330" xfId="32" applyFont="1" applyFill="1" applyBorder="1" applyAlignment="1">
      <alignment horizontal="center" vertical="center"/>
    </xf>
    <xf numFmtId="0" fontId="0" fillId="51" borderId="350" xfId="48" applyFont="1" applyFill="1" applyBorder="1">
      <alignment horizontal="center" vertical="center"/>
    </xf>
    <xf numFmtId="0" fontId="0" fillId="0" borderId="335" xfId="0" applyBorder="1" applyAlignment="1">
      <alignment horizontal="left"/>
    </xf>
    <xf numFmtId="0" fontId="0" fillId="0" borderId="346" xfId="0" applyBorder="1" applyAlignment="1"/>
    <xf numFmtId="0" fontId="0" fillId="0" borderId="347" xfId="0" applyBorder="1" applyAlignment="1">
      <alignment horizontal="left"/>
    </xf>
    <xf numFmtId="0" fontId="0" fillId="0" borderId="335" xfId="0" applyBorder="1" applyAlignment="1">
      <alignment horizontal="center"/>
    </xf>
    <xf numFmtId="0" fontId="3" fillId="43" borderId="351" xfId="0" applyFont="1" applyFill="1" applyBorder="1" applyAlignment="1">
      <alignment horizontal="center"/>
    </xf>
    <xf numFmtId="0" fontId="0" fillId="53" borderId="351" xfId="44" applyFont="1" applyFill="1" applyBorder="1">
      <alignment horizontal="center" vertical="center"/>
    </xf>
    <xf numFmtId="0" fontId="0" fillId="51" borderId="351" xfId="45" applyFont="1" applyFill="1" applyBorder="1">
      <alignment horizontal="center" vertical="center"/>
    </xf>
    <xf numFmtId="0" fontId="6" fillId="69" borderId="351" xfId="44" applyBorder="1">
      <alignment horizontal="center" vertical="center"/>
    </xf>
    <xf numFmtId="0" fontId="6" fillId="55" borderId="351" xfId="45" applyBorder="1">
      <alignment horizontal="center" vertical="center"/>
    </xf>
    <xf numFmtId="0" fontId="2" fillId="0" borderId="332" xfId="0" applyFont="1" applyBorder="1" applyAlignment="1">
      <alignment horizontal="left"/>
    </xf>
    <xf numFmtId="0" fontId="3" fillId="0" borderId="339" xfId="0" applyFont="1" applyBorder="1">
      <alignment horizontal="center" vertical="center"/>
    </xf>
    <xf numFmtId="167" fontId="8" fillId="0" borderId="335" xfId="0" applyNumberFormat="1" applyFont="1" applyBorder="1" applyAlignment="1">
      <alignment horizontal="center"/>
    </xf>
    <xf numFmtId="0" fontId="6" fillId="51" borderId="325" xfId="0" applyFont="1" applyFill="1" applyBorder="1" applyAlignment="1">
      <alignment vertical="center"/>
    </xf>
    <xf numFmtId="0" fontId="0" fillId="51" borderId="325" xfId="0" applyFill="1" applyBorder="1" applyAlignment="1">
      <alignment vertical="center"/>
    </xf>
    <xf numFmtId="0" fontId="0" fillId="0" borderId="352" xfId="0" applyBorder="1">
      <alignment horizontal="center" vertical="center"/>
    </xf>
    <xf numFmtId="0" fontId="2" fillId="0" borderId="352" xfId="0" applyFont="1" applyBorder="1">
      <alignment horizontal="center" vertical="center"/>
    </xf>
    <xf numFmtId="49" fontId="2" fillId="0" borderId="352" xfId="0" applyNumberFormat="1" applyFont="1" applyBorder="1">
      <alignment horizontal="center" vertical="center"/>
    </xf>
    <xf numFmtId="49" fontId="6" fillId="0" borderId="352" xfId="0" applyNumberFormat="1" applyFont="1" applyBorder="1">
      <alignment horizontal="center" vertical="center"/>
    </xf>
    <xf numFmtId="0" fontId="8" fillId="0" borderId="353" xfId="0" applyFont="1" applyBorder="1">
      <alignment horizontal="center" vertical="center"/>
    </xf>
    <xf numFmtId="0" fontId="0" fillId="0" borderId="354" xfId="0" applyBorder="1">
      <alignment horizontal="center" vertical="center"/>
    </xf>
    <xf numFmtId="49" fontId="14" fillId="0" borderId="351" xfId="0" applyNumberFormat="1" applyFont="1" applyBorder="1">
      <alignment horizontal="center" vertical="center"/>
    </xf>
    <xf numFmtId="0" fontId="14" fillId="0" borderId="355" xfId="0" applyFont="1" applyBorder="1" applyAlignment="1">
      <alignment horizontal="left" vertical="center"/>
    </xf>
    <xf numFmtId="0" fontId="14" fillId="0" borderId="355" xfId="0" applyFont="1" applyBorder="1">
      <alignment horizontal="center" vertical="center"/>
    </xf>
    <xf numFmtId="0" fontId="14" fillId="0" borderId="356" xfId="0" applyFont="1" applyBorder="1">
      <alignment horizontal="center" vertical="center"/>
    </xf>
    <xf numFmtId="49" fontId="14" fillId="0" borderId="352" xfId="0" applyNumberFormat="1" applyFont="1" applyBorder="1">
      <alignment horizontal="center" vertical="center"/>
    </xf>
    <xf numFmtId="49" fontId="6" fillId="0" borderId="354" xfId="0" applyNumberFormat="1" applyFont="1" applyBorder="1">
      <alignment horizontal="center" vertical="center"/>
    </xf>
    <xf numFmtId="0" fontId="8" fillId="0" borderId="357" xfId="0" applyFont="1" applyBorder="1">
      <alignment horizontal="center" vertical="center"/>
    </xf>
    <xf numFmtId="0" fontId="6" fillId="0" borderId="352" xfId="0" applyFont="1" applyBorder="1">
      <alignment horizontal="center" vertical="center"/>
    </xf>
    <xf numFmtId="49" fontId="6" fillId="0" borderId="355" xfId="0" applyNumberFormat="1" applyFont="1" applyBorder="1">
      <alignment horizontal="center" vertical="center"/>
    </xf>
    <xf numFmtId="0" fontId="2" fillId="0" borderId="358" xfId="0" applyFont="1" applyBorder="1" applyAlignment="1">
      <alignment horizontal="left" vertical="center"/>
    </xf>
    <xf numFmtId="0" fontId="2" fillId="0" borderId="358" xfId="0" applyFont="1" applyBorder="1">
      <alignment horizontal="center" vertical="center"/>
    </xf>
    <xf numFmtId="0" fontId="6" fillId="0" borderId="358" xfId="0" applyFont="1" applyBorder="1">
      <alignment horizontal="center" vertical="center"/>
    </xf>
    <xf numFmtId="49" fontId="6" fillId="0" borderId="358" xfId="0" applyNumberFormat="1" applyFont="1" applyBorder="1">
      <alignment horizontal="center" vertical="center"/>
    </xf>
    <xf numFmtId="0" fontId="8" fillId="0" borderId="358" xfId="0" applyFont="1" applyBorder="1">
      <alignment horizontal="center" vertical="center"/>
    </xf>
    <xf numFmtId="0" fontId="5" fillId="0" borderId="359" xfId="0" applyFont="1" applyBorder="1" applyAlignment="1">
      <alignment horizontal="center"/>
    </xf>
    <xf numFmtId="0" fontId="0" fillId="51" borderId="351" xfId="0" applyFill="1" applyBorder="1" applyAlignment="1">
      <alignment horizontal="left" vertical="center" wrapText="1"/>
    </xf>
    <xf numFmtId="49" fontId="0" fillId="51" borderId="360" xfId="0" applyNumberFormat="1" applyFill="1" applyBorder="1">
      <alignment horizontal="center" vertical="center"/>
    </xf>
    <xf numFmtId="49" fontId="0" fillId="52" borderId="361" xfId="0" applyNumberFormat="1" applyFill="1" applyBorder="1">
      <alignment horizontal="center" vertical="center"/>
    </xf>
    <xf numFmtId="0" fontId="6" fillId="58" borderId="361" xfId="33" applyBorder="1">
      <alignment horizontal="center" vertical="center"/>
    </xf>
    <xf numFmtId="0" fontId="6" fillId="53" borderId="361" xfId="43" applyBorder="1">
      <alignment horizontal="center" vertical="center"/>
    </xf>
    <xf numFmtId="0" fontId="0" fillId="51" borderId="361" xfId="0" applyFill="1" applyBorder="1">
      <alignment horizontal="center" vertical="center"/>
    </xf>
    <xf numFmtId="0" fontId="6" fillId="52" borderId="361" xfId="48" applyBorder="1">
      <alignment horizontal="center" vertical="center"/>
    </xf>
    <xf numFmtId="49" fontId="0" fillId="53" borderId="362" xfId="0" applyNumberFormat="1" applyFill="1" applyBorder="1">
      <alignment horizontal="center" vertical="center"/>
    </xf>
    <xf numFmtId="49" fontId="0" fillId="52" borderId="362" xfId="0" applyNumberFormat="1" applyFill="1" applyBorder="1">
      <alignment horizontal="center" vertical="center"/>
    </xf>
    <xf numFmtId="49" fontId="0" fillId="56" borderId="362" xfId="0" applyNumberFormat="1" applyFill="1" applyBorder="1">
      <alignment horizontal="center" vertical="center"/>
    </xf>
    <xf numFmtId="0" fontId="6" fillId="54" borderId="362" xfId="50" applyBorder="1">
      <alignment horizontal="center" vertical="center"/>
    </xf>
    <xf numFmtId="49" fontId="0" fillId="53" borderId="363" xfId="0" applyNumberFormat="1" applyFill="1" applyBorder="1">
      <alignment horizontal="center" vertical="center"/>
    </xf>
    <xf numFmtId="0" fontId="3" fillId="0" borderId="362" xfId="0" applyFont="1" applyBorder="1" applyAlignment="1">
      <alignment horizontal="center"/>
    </xf>
    <xf numFmtId="0" fontId="3" fillId="0" borderId="359" xfId="0" applyFont="1" applyBorder="1" applyAlignment="1">
      <alignment horizontal="center"/>
    </xf>
    <xf numFmtId="0" fontId="0" fillId="0" borderId="364" xfId="0" applyBorder="1" applyAlignment="1">
      <alignment horizontal="left" vertical="center"/>
    </xf>
    <xf numFmtId="0" fontId="3" fillId="0" borderId="365" xfId="0" applyFont="1" applyBorder="1" applyAlignment="1">
      <alignment horizontal="left"/>
    </xf>
    <xf numFmtId="0" fontId="0" fillId="0" borderId="366" xfId="0" applyBorder="1" applyAlignment="1">
      <alignment horizontal="left" vertical="center"/>
    </xf>
    <xf numFmtId="0" fontId="0" fillId="0" borderId="367" xfId="0" applyBorder="1" applyAlignment="1">
      <alignment horizontal="left" vertical="center"/>
    </xf>
    <xf numFmtId="49" fontId="0" fillId="0" borderId="364" xfId="0" applyNumberFormat="1" applyBorder="1" applyAlignment="1">
      <alignment horizontal="left"/>
    </xf>
    <xf numFmtId="0" fontId="2" fillId="0" borderId="351" xfId="0" applyFont="1" applyBorder="1" applyAlignment="1">
      <alignment horizontal="center"/>
    </xf>
    <xf numFmtId="0" fontId="0" fillId="0" borderId="368" xfId="0" applyBorder="1" applyAlignment="1">
      <alignment horizontal="left" vertical="center"/>
    </xf>
    <xf numFmtId="0" fontId="0" fillId="0" borderId="369" xfId="0" applyBorder="1" applyAlignment="1">
      <alignment horizontal="left" vertical="center"/>
    </xf>
    <xf numFmtId="49" fontId="0" fillId="0" borderId="369" xfId="0" applyNumberFormat="1" applyBorder="1" applyAlignment="1">
      <alignment horizontal="left"/>
    </xf>
    <xf numFmtId="0" fontId="3" fillId="0" borderId="351" xfId="0" applyFont="1" applyBorder="1" applyAlignment="1" applyProtection="1">
      <alignment horizontal="center"/>
      <protection locked="0"/>
    </xf>
    <xf numFmtId="0" fontId="3" fillId="0" borderId="351" xfId="0" applyFont="1" applyBorder="1" applyAlignment="1">
      <alignment horizontal="left"/>
    </xf>
    <xf numFmtId="0" fontId="0" fillId="51" borderId="370" xfId="0" applyFill="1" applyBorder="1">
      <alignment horizontal="center" vertical="center"/>
    </xf>
    <xf numFmtId="0" fontId="0" fillId="0" borderId="351" xfId="0" applyBorder="1" applyAlignment="1" applyProtection="1">
      <alignment horizontal="center"/>
      <protection locked="0"/>
    </xf>
    <xf numFmtId="0" fontId="0" fillId="0" borderId="351" xfId="0" applyBorder="1" applyAlignment="1">
      <alignment horizontal="left"/>
    </xf>
    <xf numFmtId="0" fontId="3" fillId="0" borderId="351" xfId="0" applyFont="1" applyBorder="1" applyAlignment="1">
      <alignment vertical="center"/>
    </xf>
    <xf numFmtId="0" fontId="6" fillId="54" borderId="351" xfId="50" applyBorder="1">
      <alignment horizontal="center" vertical="center"/>
    </xf>
    <xf numFmtId="0" fontId="6" fillId="51" borderId="351" xfId="43" applyFill="1" applyBorder="1">
      <alignment horizontal="center" vertical="center"/>
    </xf>
    <xf numFmtId="0" fontId="2" fillId="0" borderId="351" xfId="0" applyFont="1" applyBorder="1" applyAlignment="1" applyProtection="1">
      <alignment horizontal="center"/>
      <protection locked="0"/>
    </xf>
    <xf numFmtId="0" fontId="0" fillId="53" borderId="351" xfId="0" applyFill="1" applyBorder="1">
      <alignment horizontal="center" vertical="center"/>
    </xf>
    <xf numFmtId="0" fontId="6" fillId="53" borderId="370" xfId="43" applyBorder="1">
      <alignment horizontal="center" vertical="center"/>
    </xf>
    <xf numFmtId="0" fontId="51" fillId="56" borderId="351" xfId="46" applyBorder="1">
      <alignment horizontal="center" vertical="center"/>
    </xf>
    <xf numFmtId="0" fontId="6" fillId="60" borderId="351" xfId="51" applyBorder="1">
      <alignment horizontal="center" vertical="center"/>
    </xf>
    <xf numFmtId="0" fontId="6" fillId="60" borderId="370" xfId="51" applyBorder="1">
      <alignment horizontal="center" vertical="center"/>
    </xf>
    <xf numFmtId="0" fontId="6" fillId="54" borderId="370" xfId="50" applyBorder="1">
      <alignment horizontal="center" vertical="center"/>
    </xf>
    <xf numFmtId="0" fontId="3" fillId="0" borderId="371" xfId="0" applyFont="1" applyBorder="1">
      <alignment horizontal="center" vertical="center"/>
    </xf>
    <xf numFmtId="0" fontId="0" fillId="51" borderId="370" xfId="48" applyFont="1" applyFill="1" applyBorder="1">
      <alignment horizontal="center" vertical="center"/>
    </xf>
    <xf numFmtId="0" fontId="0" fillId="51" borderId="351" xfId="33" applyFont="1" applyFill="1" applyBorder="1">
      <alignment horizontal="center" vertical="center"/>
    </xf>
    <xf numFmtId="49" fontId="0" fillId="51" borderId="370" xfId="0" applyNumberFormat="1" applyFill="1" applyBorder="1">
      <alignment horizontal="center" vertical="center"/>
    </xf>
    <xf numFmtId="0" fontId="6" fillId="0" borderId="351" xfId="0" applyFont="1" applyBorder="1" applyAlignment="1">
      <alignment vertical="center"/>
    </xf>
    <xf numFmtId="0" fontId="6" fillId="51" borderId="351" xfId="0" applyFont="1" applyFill="1" applyBorder="1" applyAlignment="1">
      <alignment vertical="center"/>
    </xf>
    <xf numFmtId="0" fontId="3" fillId="0" borderId="372" xfId="0" applyFont="1" applyBorder="1" applyAlignment="1">
      <alignment horizontal="center"/>
    </xf>
    <xf numFmtId="0" fontId="2" fillId="0" borderId="365" xfId="0" applyFont="1" applyBorder="1" applyAlignment="1">
      <alignment horizontal="left"/>
    </xf>
    <xf numFmtId="0" fontId="3" fillId="0" borderId="373" xfId="0" applyFont="1" applyBorder="1" applyAlignment="1">
      <alignment horizontal="center"/>
    </xf>
    <xf numFmtId="0" fontId="2" fillId="0" borderId="374" xfId="0" applyFont="1" applyBorder="1" applyAlignment="1">
      <alignment horizontal="center"/>
    </xf>
    <xf numFmtId="0" fontId="0" fillId="0" borderId="375" xfId="0" applyBorder="1" applyAlignment="1" applyProtection="1">
      <alignment horizontal="center"/>
      <protection locked="0"/>
    </xf>
    <xf numFmtId="0" fontId="0" fillId="0" borderId="364" xfId="0" applyBorder="1" applyAlignment="1" applyProtection="1">
      <alignment horizontal="center"/>
      <protection locked="0"/>
    </xf>
    <xf numFmtId="0" fontId="0" fillId="43" borderId="376" xfId="0" applyFill="1" applyBorder="1" applyAlignment="1">
      <alignment horizontal="center"/>
    </xf>
    <xf numFmtId="0" fontId="46" fillId="0" borderId="376" xfId="0" applyFont="1" applyBorder="1" applyAlignment="1">
      <alignment horizontal="left" vertical="center"/>
    </xf>
    <xf numFmtId="0" fontId="0" fillId="0" borderId="352" xfId="0" applyBorder="1" applyAlignment="1">
      <alignment horizontal="left" vertical="center"/>
    </xf>
    <xf numFmtId="49" fontId="0" fillId="53" borderId="375" xfId="0" applyNumberFormat="1" applyFill="1" applyBorder="1">
      <alignment horizontal="center" vertical="center"/>
    </xf>
    <xf numFmtId="49" fontId="0" fillId="51" borderId="364" xfId="0" applyNumberFormat="1" applyFill="1" applyBorder="1">
      <alignment horizontal="center" vertical="center"/>
    </xf>
    <xf numFmtId="0" fontId="0" fillId="0" borderId="377" xfId="0" applyBorder="1" applyAlignment="1" applyProtection="1">
      <alignment horizontal="center"/>
      <protection locked="0"/>
    </xf>
    <xf numFmtId="0" fontId="0" fillId="0" borderId="378" xfId="0" applyBorder="1" applyAlignment="1">
      <alignment horizontal="left" vertical="center"/>
    </xf>
    <xf numFmtId="0" fontId="6" fillId="53" borderId="369" xfId="43" applyBorder="1">
      <alignment horizontal="center" vertical="center"/>
    </xf>
    <xf numFmtId="49" fontId="0" fillId="0" borderId="364" xfId="0" applyNumberFormat="1" applyBorder="1" applyAlignment="1"/>
    <xf numFmtId="0" fontId="3" fillId="0" borderId="377" xfId="0" applyFont="1" applyBorder="1" applyAlignment="1" applyProtection="1">
      <alignment horizontal="center"/>
      <protection locked="0"/>
    </xf>
    <xf numFmtId="0" fontId="5" fillId="0" borderId="377" xfId="0" applyFont="1" applyBorder="1" applyAlignment="1">
      <alignment horizontal="center"/>
    </xf>
    <xf numFmtId="0" fontId="0" fillId="0" borderId="375" xfId="0" applyBorder="1" applyAlignment="1" applyProtection="1">
      <alignment horizontal="left"/>
      <protection locked="0"/>
    </xf>
    <xf numFmtId="0" fontId="12" fillId="0" borderId="375" xfId="0" applyFont="1" applyBorder="1" applyAlignment="1">
      <alignment vertical="center"/>
    </xf>
    <xf numFmtId="0" fontId="14" fillId="0" borderId="375" xfId="0" applyFont="1" applyBorder="1" applyAlignment="1">
      <alignment vertical="center"/>
    </xf>
    <xf numFmtId="0" fontId="0" fillId="0" borderId="371" xfId="0" applyBorder="1" applyAlignment="1">
      <alignment vertical="center"/>
    </xf>
    <xf numFmtId="0" fontId="0" fillId="51" borderId="351" xfId="50" applyFont="1" applyFill="1" applyBorder="1">
      <alignment horizontal="center" vertical="center"/>
    </xf>
    <xf numFmtId="1" fontId="0" fillId="51" borderId="351" xfId="32" applyNumberFormat="1" applyFont="1" applyFill="1" applyBorder="1" applyAlignment="1">
      <alignment horizontal="center" vertical="center"/>
    </xf>
    <xf numFmtId="49" fontId="0" fillId="51" borderId="379" xfId="0" applyNumberFormat="1" applyFill="1" applyBorder="1">
      <alignment horizontal="center" vertical="center"/>
    </xf>
    <xf numFmtId="49" fontId="0" fillId="51" borderId="377" xfId="0" applyNumberFormat="1" applyFill="1" applyBorder="1">
      <alignment horizontal="center" vertical="center"/>
    </xf>
    <xf numFmtId="0" fontId="0" fillId="51" borderId="377" xfId="0" applyFill="1" applyBorder="1">
      <alignment horizontal="center" vertical="center"/>
    </xf>
    <xf numFmtId="0" fontId="5" fillId="44" borderId="364" xfId="0" applyFont="1" applyFill="1" applyBorder="1" applyAlignment="1">
      <alignment horizontal="left"/>
    </xf>
    <xf numFmtId="0" fontId="5" fillId="25" borderId="364" xfId="0" applyFont="1" applyFill="1" applyBorder="1">
      <alignment horizontal="center" vertical="center"/>
    </xf>
    <xf numFmtId="0" fontId="6" fillId="25" borderId="365" xfId="0" applyFont="1" applyFill="1" applyBorder="1">
      <alignment horizontal="center" vertical="center"/>
    </xf>
    <xf numFmtId="0" fontId="5" fillId="29" borderId="364" xfId="0" applyFont="1" applyFill="1" applyBorder="1" applyAlignment="1">
      <alignment horizontal="left"/>
    </xf>
    <xf numFmtId="0" fontId="5" fillId="29" borderId="365" xfId="0" applyFont="1" applyFill="1" applyBorder="1" applyAlignment="1">
      <alignment horizontal="left"/>
    </xf>
    <xf numFmtId="0" fontId="6" fillId="29" borderId="365" xfId="0" applyFont="1" applyFill="1" applyBorder="1">
      <alignment horizontal="center" vertical="center"/>
    </xf>
    <xf numFmtId="0" fontId="6" fillId="29" borderId="366" xfId="0" applyFont="1" applyFill="1" applyBorder="1">
      <alignment horizontal="center" vertical="center"/>
    </xf>
    <xf numFmtId="0" fontId="5" fillId="37" borderId="364" xfId="0" applyFont="1" applyFill="1" applyBorder="1" applyAlignment="1">
      <alignment horizontal="left"/>
    </xf>
    <xf numFmtId="0" fontId="5" fillId="37" borderId="365" xfId="0" applyFont="1" applyFill="1" applyBorder="1" applyAlignment="1">
      <alignment horizontal="left"/>
    </xf>
    <xf numFmtId="0" fontId="0" fillId="37" borderId="365" xfId="0" applyFill="1" applyBorder="1">
      <alignment horizontal="center" vertical="center"/>
    </xf>
    <xf numFmtId="0" fontId="5" fillId="45" borderId="364" xfId="0" applyFont="1" applyFill="1" applyBorder="1" applyAlignment="1">
      <alignment horizontal="left"/>
    </xf>
    <xf numFmtId="0" fontId="0" fillId="45" borderId="365" xfId="0" applyFill="1" applyBorder="1">
      <alignment horizontal="center" vertical="center"/>
    </xf>
    <xf numFmtId="0" fontId="6" fillId="45" borderId="365" xfId="0" applyFont="1" applyFill="1" applyBorder="1">
      <alignment horizontal="center" vertical="center"/>
    </xf>
    <xf numFmtId="0" fontId="6" fillId="45" borderId="366" xfId="0" applyFont="1" applyFill="1" applyBorder="1">
      <alignment horizontal="center" vertical="center"/>
    </xf>
    <xf numFmtId="0" fontId="5" fillId="24" borderId="364" xfId="0" applyFont="1" applyFill="1" applyBorder="1">
      <alignment horizontal="center" vertical="center"/>
    </xf>
    <xf numFmtId="0" fontId="0" fillId="24" borderId="365" xfId="0" applyFill="1" applyBorder="1">
      <alignment horizontal="center" vertical="center"/>
    </xf>
    <xf numFmtId="0" fontId="6" fillId="24" borderId="365" xfId="0" applyFont="1" applyFill="1" applyBorder="1">
      <alignment horizontal="center" vertical="center"/>
    </xf>
    <xf numFmtId="0" fontId="5" fillId="40" borderId="364" xfId="0" applyFont="1" applyFill="1" applyBorder="1" applyAlignment="1">
      <alignment horizontal="left"/>
    </xf>
    <xf numFmtId="0" fontId="6" fillId="40" borderId="365" xfId="0" applyFont="1" applyFill="1" applyBorder="1">
      <alignment horizontal="center" vertical="center"/>
    </xf>
    <xf numFmtId="0" fontId="0" fillId="40" borderId="366" xfId="0" applyFill="1" applyBorder="1">
      <alignment horizontal="center" vertical="center"/>
    </xf>
    <xf numFmtId="0" fontId="0" fillId="46" borderId="380" xfId="0" applyFill="1" applyBorder="1">
      <alignment horizontal="center" vertical="center"/>
    </xf>
    <xf numFmtId="0" fontId="6" fillId="46" borderId="380" xfId="0" applyFont="1" applyFill="1" applyBorder="1">
      <alignment horizontal="center" vertical="center"/>
    </xf>
    <xf numFmtId="0" fontId="6" fillId="46" borderId="381" xfId="0" applyFont="1" applyFill="1" applyBorder="1">
      <alignment horizontal="center" vertical="center"/>
    </xf>
    <xf numFmtId="0" fontId="5" fillId="0" borderId="382" xfId="0" applyFont="1" applyBorder="1" applyAlignment="1">
      <alignment horizontal="left" vertical="center"/>
    </xf>
    <xf numFmtId="0" fontId="6" fillId="0" borderId="380" xfId="0" applyFont="1" applyBorder="1">
      <alignment horizontal="center" vertical="center"/>
    </xf>
    <xf numFmtId="0" fontId="6" fillId="0" borderId="381" xfId="0" applyFont="1" applyBorder="1">
      <alignment horizontal="center" vertical="center"/>
    </xf>
    <xf numFmtId="0" fontId="5" fillId="39" borderId="375" xfId="0" applyFont="1" applyFill="1" applyBorder="1" applyAlignment="1">
      <alignment horizontal="left"/>
    </xf>
    <xf numFmtId="0" fontId="5" fillId="47" borderId="364" xfId="0" applyFont="1" applyFill="1" applyBorder="1">
      <alignment horizontal="center" vertical="center"/>
    </xf>
    <xf numFmtId="0" fontId="6" fillId="47" borderId="365" xfId="0" applyFont="1" applyFill="1" applyBorder="1">
      <alignment horizontal="center" vertical="center"/>
    </xf>
    <xf numFmtId="0" fontId="6" fillId="0" borderId="364" xfId="0" applyFont="1" applyBorder="1" applyAlignment="1">
      <alignment horizontal="left"/>
    </xf>
    <xf numFmtId="0" fontId="0" fillId="0" borderId="365" xfId="0" applyBorder="1">
      <alignment horizontal="center" vertical="center"/>
    </xf>
    <xf numFmtId="0" fontId="6" fillId="0" borderId="365" xfId="0" applyFont="1" applyBorder="1" applyAlignment="1">
      <alignment horizontal="left"/>
    </xf>
    <xf numFmtId="0" fontId="6" fillId="0" borderId="365" xfId="0" applyFont="1" applyBorder="1">
      <alignment horizontal="center" vertical="center"/>
    </xf>
    <xf numFmtId="0" fontId="6" fillId="0" borderId="366" xfId="0" applyFont="1" applyBorder="1">
      <alignment horizontal="center" vertical="center"/>
    </xf>
    <xf numFmtId="0" fontId="6" fillId="48" borderId="364" xfId="0" applyFont="1" applyFill="1" applyBorder="1" applyAlignment="1">
      <alignment horizontal="left" vertical="center"/>
    </xf>
    <xf numFmtId="0" fontId="6" fillId="48" borderId="365" xfId="0" applyFont="1" applyFill="1" applyBorder="1">
      <alignment horizontal="center" vertical="center"/>
    </xf>
    <xf numFmtId="0" fontId="6" fillId="48" borderId="366" xfId="0" applyFont="1" applyFill="1" applyBorder="1">
      <alignment horizontal="center" vertical="center"/>
    </xf>
    <xf numFmtId="0" fontId="3" fillId="0" borderId="364" xfId="0" applyFont="1" applyBorder="1" applyAlignment="1">
      <alignment horizontal="left" vertical="center"/>
    </xf>
    <xf numFmtId="0" fontId="0" fillId="0" borderId="366" xfId="0" applyBorder="1">
      <alignment horizontal="center" vertical="center"/>
    </xf>
    <xf numFmtId="0" fontId="0" fillId="0" borderId="383" xfId="0" applyBorder="1">
      <alignment horizontal="center" vertical="center"/>
    </xf>
    <xf numFmtId="0" fontId="3" fillId="0" borderId="365" xfId="0" applyFont="1" applyBorder="1" applyAlignment="1">
      <alignment horizontal="left" vertical="center"/>
    </xf>
    <xf numFmtId="0" fontId="0" fillId="0" borderId="384" xfId="0" applyBorder="1">
      <alignment horizontal="center" vertical="center"/>
    </xf>
    <xf numFmtId="0" fontId="13" fillId="0" borderId="382" xfId="0" applyFont="1" applyBorder="1">
      <alignment horizontal="center" vertical="center"/>
    </xf>
    <xf numFmtId="0" fontId="0" fillId="0" borderId="380" xfId="0" applyBorder="1">
      <alignment horizontal="center" vertical="center"/>
    </xf>
    <xf numFmtId="0" fontId="0" fillId="0" borderId="381" xfId="0" applyBorder="1">
      <alignment horizontal="center" vertical="center"/>
    </xf>
    <xf numFmtId="0" fontId="3" fillId="0" borderId="364" xfId="0" applyFont="1" applyBorder="1">
      <alignment horizontal="center" vertical="center"/>
    </xf>
    <xf numFmtId="0" fontId="0" fillId="0" borderId="376" xfId="0" applyBorder="1" applyAlignment="1" applyProtection="1">
      <alignment horizontal="center"/>
      <protection locked="0"/>
    </xf>
    <xf numFmtId="0" fontId="5" fillId="0" borderId="376" xfId="0" applyFont="1" applyBorder="1" applyAlignment="1">
      <alignment horizontal="center"/>
    </xf>
    <xf numFmtId="0" fontId="0" fillId="51" borderId="376" xfId="0" applyFill="1" applyBorder="1">
      <alignment horizontal="center" vertical="center"/>
    </xf>
    <xf numFmtId="0" fontId="0" fillId="70" borderId="376" xfId="0" applyFill="1" applyBorder="1">
      <alignment horizontal="center" vertical="center"/>
    </xf>
    <xf numFmtId="0" fontId="0" fillId="70" borderId="385" xfId="0" applyFill="1" applyBorder="1">
      <alignment horizontal="center" vertical="center"/>
    </xf>
    <xf numFmtId="0" fontId="5" fillId="0" borderId="351" xfId="0" applyFont="1" applyBorder="1">
      <alignment horizontal="center" vertical="center"/>
    </xf>
    <xf numFmtId="0" fontId="3" fillId="24" borderId="375" xfId="0" applyFont="1" applyFill="1" applyBorder="1" applyAlignment="1">
      <alignment horizontal="left" vertical="center"/>
    </xf>
    <xf numFmtId="0" fontId="0" fillId="24" borderId="375" xfId="0" applyFill="1" applyBorder="1">
      <alignment horizontal="center" vertical="center"/>
    </xf>
    <xf numFmtId="0" fontId="0" fillId="24" borderId="386" xfId="0" applyFill="1" applyBorder="1">
      <alignment horizontal="center" vertical="center"/>
    </xf>
    <xf numFmtId="0" fontId="0" fillId="43" borderId="375" xfId="0" applyFill="1" applyBorder="1" applyAlignment="1" applyProtection="1">
      <alignment horizontal="center"/>
      <protection locked="0"/>
    </xf>
    <xf numFmtId="0" fontId="5" fillId="0" borderId="375" xfId="0" applyFont="1" applyBorder="1" applyAlignment="1">
      <alignment horizontal="left" vertical="center"/>
    </xf>
    <xf numFmtId="0" fontId="0" fillId="51" borderId="375" xfId="43" applyFont="1" applyFill="1" applyBorder="1">
      <alignment horizontal="center" vertical="center"/>
    </xf>
    <xf numFmtId="1" fontId="0" fillId="51" borderId="375" xfId="0" applyNumberFormat="1" applyFill="1" applyBorder="1">
      <alignment horizontal="center" vertical="center"/>
    </xf>
    <xf numFmtId="1" fontId="0" fillId="51" borderId="375" xfId="32" applyNumberFormat="1" applyFont="1" applyFill="1" applyBorder="1" applyAlignment="1">
      <alignment horizontal="center" vertical="center"/>
    </xf>
    <xf numFmtId="0" fontId="0" fillId="51" borderId="375" xfId="0" applyFill="1" applyBorder="1">
      <alignment horizontal="center" vertical="center"/>
    </xf>
    <xf numFmtId="0" fontId="0" fillId="51" borderId="375" xfId="44" applyFont="1" applyFill="1" applyBorder="1">
      <alignment horizontal="center" vertical="center"/>
    </xf>
    <xf numFmtId="0" fontId="0" fillId="51" borderId="375" xfId="46" applyFont="1" applyFill="1" applyBorder="1">
      <alignment horizontal="center" vertical="center"/>
    </xf>
    <xf numFmtId="1" fontId="0" fillId="51" borderId="386" xfId="0" applyNumberFormat="1" applyFill="1" applyBorder="1">
      <alignment horizontal="center" vertical="center"/>
    </xf>
    <xf numFmtId="0" fontId="0" fillId="0" borderId="375" xfId="0" applyBorder="1" applyAlignment="1">
      <alignment horizontal="left" vertical="center"/>
    </xf>
    <xf numFmtId="0" fontId="35" fillId="23" borderId="375" xfId="32" applyBorder="1" applyAlignment="1">
      <alignment horizontal="center" vertical="center"/>
    </xf>
    <xf numFmtId="0" fontId="6" fillId="53" borderId="375" xfId="43" applyBorder="1">
      <alignment horizontal="center" vertical="center"/>
    </xf>
    <xf numFmtId="1" fontId="0" fillId="55" borderId="375" xfId="0" applyNumberFormat="1" applyFill="1" applyBorder="1">
      <alignment horizontal="center" vertical="center"/>
    </xf>
    <xf numFmtId="0" fontId="0" fillId="51" borderId="375" xfId="49" applyFont="1" applyFill="1" applyBorder="1">
      <alignment horizontal="center" vertical="center"/>
    </xf>
    <xf numFmtId="1" fontId="0" fillId="52" borderId="375" xfId="32" applyNumberFormat="1" applyFont="1" applyFill="1" applyBorder="1" applyAlignment="1">
      <alignment horizontal="center" vertical="center"/>
    </xf>
    <xf numFmtId="1" fontId="0" fillId="52" borderId="375" xfId="0" applyNumberFormat="1" applyFill="1" applyBorder="1">
      <alignment horizontal="center" vertical="center"/>
    </xf>
    <xf numFmtId="0" fontId="6" fillId="52" borderId="375" xfId="48" applyBorder="1">
      <alignment horizontal="center" vertical="center"/>
    </xf>
    <xf numFmtId="0" fontId="3" fillId="24" borderId="376" xfId="0" applyFont="1" applyFill="1" applyBorder="1" applyAlignment="1" applyProtection="1">
      <alignment horizontal="left"/>
      <protection locked="0"/>
    </xf>
    <xf numFmtId="0" fontId="3" fillId="24" borderId="376" xfId="0" applyFont="1" applyFill="1" applyBorder="1">
      <alignment horizontal="center" vertical="center"/>
    </xf>
    <xf numFmtId="1" fontId="0" fillId="24" borderId="376" xfId="0" applyNumberFormat="1" applyFill="1" applyBorder="1">
      <alignment horizontal="center" vertical="center"/>
    </xf>
    <xf numFmtId="0" fontId="0" fillId="24" borderId="385" xfId="0" applyFill="1" applyBorder="1">
      <alignment horizontal="center" vertical="center"/>
    </xf>
    <xf numFmtId="0" fontId="0" fillId="51" borderId="351" xfId="0" applyFill="1" applyBorder="1">
      <alignment horizontal="center" vertical="center"/>
    </xf>
    <xf numFmtId="0" fontId="0" fillId="0" borderId="351" xfId="0" applyBorder="1">
      <alignment horizontal="center" vertical="center"/>
    </xf>
    <xf numFmtId="173" fontId="0" fillId="0" borderId="351" xfId="0" applyNumberFormat="1" applyBorder="1">
      <alignment horizontal="center" vertical="center"/>
    </xf>
    <xf numFmtId="0" fontId="0" fillId="43" borderId="351" xfId="0" applyFill="1" applyBorder="1" applyAlignment="1" applyProtection="1">
      <alignment horizontal="center"/>
      <protection locked="0"/>
    </xf>
    <xf numFmtId="0" fontId="0" fillId="0" borderId="351" xfId="0" applyBorder="1" applyAlignment="1">
      <alignment horizontal="left" vertical="center"/>
    </xf>
    <xf numFmtId="0" fontId="0" fillId="51" borderId="351" xfId="44" applyFont="1" applyFill="1" applyBorder="1">
      <alignment horizontal="center" vertical="center"/>
    </xf>
    <xf numFmtId="0" fontId="6" fillId="52" borderId="351" xfId="48" applyBorder="1">
      <alignment horizontal="center" vertical="center"/>
    </xf>
    <xf numFmtId="0" fontId="0" fillId="51" borderId="387" xfId="0" applyFill="1" applyBorder="1">
      <alignment horizontal="center" vertical="center"/>
    </xf>
    <xf numFmtId="0" fontId="0" fillId="51" borderId="351" xfId="48" applyFont="1" applyFill="1" applyBorder="1">
      <alignment horizontal="center" vertical="center"/>
    </xf>
    <xf numFmtId="0" fontId="6" fillId="52" borderId="387" xfId="48" applyBorder="1">
      <alignment horizontal="center" vertical="center"/>
    </xf>
    <xf numFmtId="0" fontId="6" fillId="0" borderId="351" xfId="0" applyFont="1" applyBorder="1" applyAlignment="1">
      <alignment horizontal="left" vertical="center"/>
    </xf>
    <xf numFmtId="0" fontId="0" fillId="51" borderId="351" xfId="43" applyFont="1" applyFill="1" applyBorder="1">
      <alignment horizontal="center" vertical="center"/>
    </xf>
    <xf numFmtId="0" fontId="0" fillId="51" borderId="351" xfId="46" applyFont="1" applyFill="1" applyBorder="1">
      <alignment horizontal="center" vertical="center"/>
    </xf>
    <xf numFmtId="0" fontId="0" fillId="0" borderId="351" xfId="0" applyBorder="1" applyAlignment="1">
      <alignment vertical="center"/>
    </xf>
    <xf numFmtId="0" fontId="0" fillId="69" borderId="351" xfId="0" applyFill="1" applyBorder="1">
      <alignment horizontal="center" vertical="center"/>
    </xf>
    <xf numFmtId="0" fontId="0" fillId="51" borderId="376" xfId="48" applyFont="1" applyFill="1" applyBorder="1">
      <alignment horizontal="center" vertical="center"/>
    </xf>
    <xf numFmtId="49" fontId="0" fillId="51" borderId="376" xfId="0" applyNumberFormat="1" applyFill="1" applyBorder="1">
      <alignment horizontal="center" vertical="center"/>
    </xf>
    <xf numFmtId="0" fontId="0" fillId="51" borderId="376" xfId="44" applyFont="1" applyFill="1" applyBorder="1">
      <alignment horizontal="center" vertical="center"/>
    </xf>
    <xf numFmtId="0" fontId="0" fillId="51" borderId="385" xfId="0" applyFill="1" applyBorder="1">
      <alignment horizontal="center" vertical="center"/>
    </xf>
    <xf numFmtId="0" fontId="0" fillId="51" borderId="362" xfId="0" applyFill="1" applyBorder="1">
      <alignment horizontal="center" vertical="center"/>
    </xf>
    <xf numFmtId="0" fontId="0" fillId="51" borderId="376" xfId="47" applyFont="1" applyFill="1" applyBorder="1">
      <alignment horizontal="center" vertical="center"/>
    </xf>
    <xf numFmtId="0" fontId="3" fillId="0" borderId="388" xfId="0" applyFont="1" applyBorder="1" applyAlignment="1">
      <alignment horizontal="left" vertical="center"/>
    </xf>
    <xf numFmtId="0" fontId="3" fillId="0" borderId="364" xfId="0" applyFont="1" applyBorder="1" applyAlignment="1">
      <alignment vertical="center"/>
    </xf>
    <xf numFmtId="0" fontId="13" fillId="0" borderId="365" xfId="0" applyFont="1" applyBorder="1">
      <alignment horizontal="center" vertical="center"/>
    </xf>
    <xf numFmtId="0" fontId="3" fillId="0" borderId="382" xfId="0" applyFont="1" applyBorder="1" applyAlignment="1">
      <alignment horizontal="left" vertical="center"/>
    </xf>
    <xf numFmtId="0" fontId="13" fillId="0" borderId="380" xfId="0" applyFont="1" applyBorder="1">
      <alignment horizontal="center" vertical="center"/>
    </xf>
    <xf numFmtId="0" fontId="3" fillId="0" borderId="380" xfId="0" applyFont="1" applyBorder="1">
      <alignment horizontal="center" vertical="center"/>
    </xf>
    <xf numFmtId="0" fontId="3" fillId="0" borderId="372" xfId="0" applyFont="1" applyBorder="1" applyAlignment="1">
      <alignment horizontal="left" vertical="center"/>
    </xf>
    <xf numFmtId="0" fontId="0" fillId="0" borderId="364" xfId="0" applyBorder="1" applyAlignment="1">
      <alignment vertical="center"/>
    </xf>
    <xf numFmtId="0" fontId="0" fillId="0" borderId="365" xfId="0" applyBorder="1" applyAlignment="1">
      <alignment horizontal="left" vertical="center"/>
    </xf>
    <xf numFmtId="0" fontId="0" fillId="0" borderId="389" xfId="0" applyBorder="1">
      <alignment horizontal="center" vertical="center"/>
    </xf>
    <xf numFmtId="0" fontId="3" fillId="0" borderId="373" xfId="0" applyFont="1" applyBorder="1" applyAlignment="1">
      <alignment horizontal="left" vertical="center"/>
    </xf>
    <xf numFmtId="0" fontId="0" fillId="0" borderId="374" xfId="0" applyBorder="1">
      <alignment horizontal="center" vertical="center"/>
    </xf>
    <xf numFmtId="0" fontId="0" fillId="0" borderId="369" xfId="0" applyBorder="1" applyAlignment="1">
      <alignment vertical="center"/>
    </xf>
    <xf numFmtId="0" fontId="0" fillId="0" borderId="390" xfId="0" applyBorder="1">
      <alignment horizontal="center" vertical="center"/>
    </xf>
    <xf numFmtId="0" fontId="3" fillId="0" borderId="369" xfId="0" applyFont="1" applyBorder="1">
      <alignment horizontal="center" vertical="center"/>
    </xf>
    <xf numFmtId="0" fontId="0" fillId="0" borderId="374" xfId="0" applyBorder="1" applyAlignment="1">
      <alignment horizontal="left" vertical="center"/>
    </xf>
    <xf numFmtId="0" fontId="13" fillId="0" borderId="374" xfId="0" applyFont="1" applyBorder="1">
      <alignment horizontal="center" vertical="center"/>
    </xf>
    <xf numFmtId="0" fontId="3" fillId="0" borderId="374" xfId="0" applyFont="1" applyBorder="1" applyAlignment="1">
      <alignment horizontal="left" vertical="center"/>
    </xf>
    <xf numFmtId="0" fontId="0" fillId="0" borderId="391" xfId="0" applyBorder="1">
      <alignment horizontal="center" vertical="center"/>
    </xf>
    <xf numFmtId="0" fontId="0" fillId="0" borderId="371" xfId="0" applyBorder="1" applyAlignment="1" applyProtection="1">
      <alignment horizontal="center"/>
      <protection locked="0"/>
    </xf>
    <xf numFmtId="0" fontId="5" fillId="0" borderId="371" xfId="0" applyFont="1" applyBorder="1" applyAlignment="1">
      <alignment horizontal="center"/>
    </xf>
    <xf numFmtId="0" fontId="0" fillId="43" borderId="392" xfId="0" applyFill="1" applyBorder="1" applyAlignment="1" applyProtection="1">
      <alignment horizontal="center"/>
      <protection locked="0"/>
    </xf>
    <xf numFmtId="0" fontId="6" fillId="55" borderId="375" xfId="45" applyBorder="1">
      <alignment horizontal="center" vertical="center"/>
    </xf>
    <xf numFmtId="0" fontId="6" fillId="54" borderId="375" xfId="50" applyBorder="1">
      <alignment horizontal="center" vertical="center"/>
    </xf>
    <xf numFmtId="0" fontId="0" fillId="51" borderId="386" xfId="0" applyFill="1" applyBorder="1">
      <alignment horizontal="center" vertical="center"/>
    </xf>
    <xf numFmtId="0" fontId="0" fillId="43" borderId="393" xfId="0" applyFill="1" applyBorder="1" applyAlignment="1" applyProtection="1">
      <alignment horizontal="center"/>
      <protection locked="0"/>
    </xf>
    <xf numFmtId="0" fontId="0" fillId="0" borderId="376" xfId="0" applyBorder="1" applyAlignment="1">
      <alignment horizontal="left" vertical="center"/>
    </xf>
    <xf numFmtId="0" fontId="6" fillId="53" borderId="376" xfId="43" applyBorder="1">
      <alignment horizontal="center" vertical="center"/>
    </xf>
    <xf numFmtId="0" fontId="0" fillId="53" borderId="376" xfId="48" applyFont="1" applyFill="1" applyBorder="1">
      <alignment horizontal="center" vertical="center"/>
    </xf>
    <xf numFmtId="49" fontId="0" fillId="53" borderId="376" xfId="0" applyNumberFormat="1" applyFill="1" applyBorder="1">
      <alignment horizontal="center" vertical="center"/>
    </xf>
    <xf numFmtId="0" fontId="0" fillId="53" borderId="376" xfId="0" applyFill="1" applyBorder="1">
      <alignment horizontal="center" vertical="center"/>
    </xf>
    <xf numFmtId="0" fontId="0" fillId="53" borderId="376" xfId="43" applyFont="1" applyBorder="1">
      <alignment horizontal="center" vertical="center"/>
    </xf>
    <xf numFmtId="0" fontId="0" fillId="0" borderId="376" xfId="0" applyBorder="1">
      <alignment horizontal="center" vertical="center"/>
    </xf>
    <xf numFmtId="49" fontId="0" fillId="51" borderId="385" xfId="0" applyNumberFormat="1" applyFill="1" applyBorder="1">
      <alignment horizontal="center" vertical="center"/>
    </xf>
    <xf numFmtId="49" fontId="0" fillId="51" borderId="375" xfId="0" applyNumberFormat="1" applyFill="1" applyBorder="1">
      <alignment horizontal="center" vertical="center"/>
    </xf>
    <xf numFmtId="0" fontId="0" fillId="51" borderId="375" xfId="48" applyFont="1" applyFill="1" applyBorder="1">
      <alignment horizontal="center" vertical="center"/>
    </xf>
    <xf numFmtId="49" fontId="0" fillId="51" borderId="386" xfId="0" applyNumberFormat="1" applyFill="1" applyBorder="1">
      <alignment horizontal="center" vertical="center"/>
    </xf>
    <xf numFmtId="0" fontId="0" fillId="0" borderId="376" xfId="0" applyBorder="1" applyAlignment="1">
      <alignment vertical="center"/>
    </xf>
    <xf numFmtId="0" fontId="0" fillId="55" borderId="375" xfId="0" applyFill="1" applyBorder="1">
      <alignment horizontal="center" vertical="center"/>
    </xf>
    <xf numFmtId="0" fontId="0" fillId="76" borderId="376" xfId="0" applyFill="1" applyBorder="1">
      <alignment horizontal="center" vertical="center"/>
    </xf>
    <xf numFmtId="49" fontId="0" fillId="76" borderId="376" xfId="0" applyNumberFormat="1" applyFill="1" applyBorder="1">
      <alignment horizontal="center" vertical="center"/>
    </xf>
    <xf numFmtId="49" fontId="0" fillId="56" borderId="376" xfId="0" applyNumberFormat="1" applyFill="1" applyBorder="1">
      <alignment horizontal="center" vertical="center"/>
    </xf>
    <xf numFmtId="49" fontId="0" fillId="56" borderId="385" xfId="0" applyNumberFormat="1" applyFill="1" applyBorder="1">
      <alignment horizontal="center" vertical="center"/>
    </xf>
    <xf numFmtId="0" fontId="6" fillId="69" borderId="375" xfId="44" applyBorder="1">
      <alignment horizontal="center" vertical="center"/>
    </xf>
    <xf numFmtId="0" fontId="0" fillId="0" borderId="375" xfId="0" applyBorder="1">
      <alignment horizontal="center" vertical="center"/>
    </xf>
    <xf numFmtId="0" fontId="0" fillId="52" borderId="376" xfId="0" applyFill="1" applyBorder="1">
      <alignment horizontal="center" vertical="center"/>
    </xf>
    <xf numFmtId="0" fontId="0" fillId="55" borderId="376" xfId="44" applyFont="1" applyFill="1" applyBorder="1">
      <alignment horizontal="center" vertical="center"/>
    </xf>
    <xf numFmtId="0" fontId="6" fillId="55" borderId="376" xfId="45" applyBorder="1">
      <alignment horizontal="center" vertical="center"/>
    </xf>
    <xf numFmtId="0" fontId="0" fillId="51" borderId="385" xfId="44" applyFont="1" applyFill="1" applyBorder="1">
      <alignment horizontal="center" vertical="center"/>
    </xf>
    <xf numFmtId="0" fontId="3" fillId="0" borderId="375" xfId="0" applyFont="1" applyBorder="1" applyAlignment="1">
      <alignment horizontal="center"/>
    </xf>
    <xf numFmtId="0" fontId="6" fillId="0" borderId="375" xfId="0" applyFont="1" applyBorder="1">
      <alignment horizontal="center" vertical="center"/>
    </xf>
    <xf numFmtId="0" fontId="0" fillId="0" borderId="371" xfId="0" applyBorder="1">
      <alignment horizontal="center" vertical="center"/>
    </xf>
    <xf numFmtId="0" fontId="3" fillId="0" borderId="371" xfId="0" applyFont="1" applyBorder="1" applyAlignment="1">
      <alignment horizontal="center"/>
    </xf>
    <xf numFmtId="0" fontId="5" fillId="0" borderId="375" xfId="0" applyFont="1" applyBorder="1" applyAlignment="1">
      <alignment horizontal="left"/>
    </xf>
    <xf numFmtId="0" fontId="6" fillId="0" borderId="364" xfId="0" applyFont="1" applyBorder="1">
      <alignment horizontal="center" vertical="center"/>
    </xf>
    <xf numFmtId="0" fontId="0" fillId="0" borderId="375" xfId="0" applyBorder="1" applyAlignment="1">
      <alignment horizontal="center"/>
    </xf>
    <xf numFmtId="0" fontId="0" fillId="43" borderId="364" xfId="0" applyFill="1" applyBorder="1" applyAlignment="1" applyProtection="1">
      <alignment horizontal="center"/>
      <protection locked="0"/>
    </xf>
    <xf numFmtId="0" fontId="0" fillId="0" borderId="364" xfId="0" applyBorder="1" applyAlignment="1">
      <alignment horizontal="left"/>
    </xf>
    <xf numFmtId="0" fontId="0" fillId="0" borderId="365" xfId="0" applyBorder="1" applyAlignment="1">
      <alignment horizontal="left"/>
    </xf>
    <xf numFmtId="0" fontId="0" fillId="0" borderId="382" xfId="0" applyBorder="1" applyAlignment="1">
      <alignment horizontal="left"/>
    </xf>
    <xf numFmtId="0" fontId="0" fillId="0" borderId="380" xfId="0" applyBorder="1" applyAlignment="1">
      <alignment horizontal="left"/>
    </xf>
    <xf numFmtId="0" fontId="6" fillId="0" borderId="381" xfId="0" applyFont="1" applyBorder="1" applyAlignment="1">
      <alignment horizontal="left"/>
    </xf>
    <xf numFmtId="0" fontId="6" fillId="0" borderId="380" xfId="0" applyFont="1" applyBorder="1" applyAlignment="1">
      <alignment horizontal="left"/>
    </xf>
    <xf numFmtId="0" fontId="6" fillId="0" borderId="366" xfId="0" applyFont="1" applyBorder="1" applyAlignment="1">
      <alignment horizontal="left"/>
    </xf>
    <xf numFmtId="0" fontId="5" fillId="0" borderId="364" xfId="0" applyFont="1" applyBorder="1" applyAlignment="1">
      <alignment horizontal="left"/>
    </xf>
    <xf numFmtId="0" fontId="21" fillId="0" borderId="375" xfId="0" applyFont="1" applyBorder="1" applyAlignment="1" applyProtection="1">
      <alignment horizontal="center"/>
      <protection locked="0"/>
    </xf>
    <xf numFmtId="0" fontId="0" fillId="0" borderId="375" xfId="0" applyBorder="1" applyAlignment="1">
      <alignment horizontal="left"/>
    </xf>
    <xf numFmtId="0" fontId="6" fillId="0" borderId="375" xfId="0" applyFont="1" applyBorder="1" applyAlignment="1">
      <alignment horizontal="left"/>
    </xf>
    <xf numFmtId="0" fontId="3" fillId="0" borderId="376" xfId="0" applyFont="1" applyBorder="1" applyAlignment="1" applyProtection="1">
      <alignment horizontal="center"/>
      <protection locked="0"/>
    </xf>
    <xf numFmtId="0" fontId="0" fillId="0" borderId="362" xfId="0" applyBorder="1" applyAlignment="1">
      <alignment horizontal="left" vertical="center"/>
    </xf>
    <xf numFmtId="0" fontId="0" fillId="51" borderId="362" xfId="0" applyFill="1" applyBorder="1" applyAlignment="1">
      <alignment horizontal="left" vertical="center"/>
    </xf>
    <xf numFmtId="0" fontId="0" fillId="80" borderId="362" xfId="0" applyFill="1" applyBorder="1">
      <alignment horizontal="center" vertical="center"/>
    </xf>
    <xf numFmtId="0" fontId="0" fillId="55" borderId="362" xfId="43" applyFont="1" applyFill="1" applyBorder="1">
      <alignment horizontal="center" vertical="center"/>
    </xf>
    <xf numFmtId="0" fontId="6" fillId="55" borderId="362" xfId="45" applyBorder="1">
      <alignment horizontal="center" vertical="center"/>
    </xf>
    <xf numFmtId="0" fontId="0" fillId="55" borderId="362" xfId="48" applyFont="1" applyFill="1" applyBorder="1">
      <alignment horizontal="center" vertical="center"/>
    </xf>
    <xf numFmtId="0" fontId="0" fillId="51" borderId="362" xfId="47" applyFont="1" applyFill="1" applyBorder="1">
      <alignment horizontal="center" vertical="center"/>
    </xf>
    <xf numFmtId="49" fontId="0" fillId="51" borderId="387" xfId="0" applyNumberFormat="1" applyFill="1" applyBorder="1">
      <alignment horizontal="center" vertical="center"/>
    </xf>
    <xf numFmtId="0" fontId="0" fillId="71" borderId="362" xfId="0" applyFill="1" applyBorder="1">
      <alignment horizontal="center" vertical="center"/>
    </xf>
    <xf numFmtId="0" fontId="0" fillId="71" borderId="362" xfId="48" applyFont="1" applyFill="1" applyBorder="1">
      <alignment horizontal="center" vertical="center"/>
    </xf>
    <xf numFmtId="0" fontId="0" fillId="71" borderId="362" xfId="44" applyFont="1" applyFill="1" applyBorder="1">
      <alignment horizontal="center" vertical="center"/>
    </xf>
    <xf numFmtId="0" fontId="0" fillId="71" borderId="387" xfId="0" applyFill="1" applyBorder="1">
      <alignment horizontal="center" vertical="center"/>
    </xf>
    <xf numFmtId="0" fontId="6" fillId="53" borderId="362" xfId="43" applyBorder="1">
      <alignment horizontal="center" vertical="center"/>
    </xf>
    <xf numFmtId="0" fontId="6" fillId="53" borderId="387" xfId="43" applyBorder="1">
      <alignment horizontal="center" vertical="center"/>
    </xf>
    <xf numFmtId="0" fontId="0" fillId="51" borderId="362" xfId="51" applyFont="1" applyFill="1" applyBorder="1">
      <alignment horizontal="center" vertical="center"/>
    </xf>
    <xf numFmtId="0" fontId="0" fillId="55" borderId="362" xfId="47" applyFont="1" applyFill="1" applyBorder="1">
      <alignment horizontal="center" vertical="center"/>
    </xf>
    <xf numFmtId="0" fontId="0" fillId="55" borderId="362" xfId="0" applyFill="1" applyBorder="1">
      <alignment horizontal="center" vertical="center"/>
    </xf>
    <xf numFmtId="0" fontId="6" fillId="51" borderId="362" xfId="47" applyFill="1" applyBorder="1">
      <alignment horizontal="center" vertical="center"/>
    </xf>
    <xf numFmtId="49" fontId="0" fillId="51" borderId="362" xfId="0" applyNumberFormat="1" applyFill="1" applyBorder="1">
      <alignment horizontal="center" vertical="center"/>
    </xf>
    <xf numFmtId="0" fontId="6" fillId="58" borderId="362" xfId="33" applyBorder="1">
      <alignment horizontal="center" vertical="center"/>
    </xf>
    <xf numFmtId="0" fontId="0" fillId="52" borderId="362" xfId="0" applyFill="1" applyBorder="1">
      <alignment horizontal="center" vertical="center"/>
    </xf>
    <xf numFmtId="0" fontId="6" fillId="53" borderId="362" xfId="45" applyFill="1" applyBorder="1">
      <alignment horizontal="center" vertical="center"/>
    </xf>
    <xf numFmtId="0" fontId="1" fillId="0" borderId="362" xfId="0" applyFont="1" applyBorder="1">
      <alignment horizontal="center" vertical="center"/>
    </xf>
    <xf numFmtId="0" fontId="6" fillId="55" borderId="387" xfId="45" applyBorder="1">
      <alignment horizontal="center" vertical="center"/>
    </xf>
    <xf numFmtId="0" fontId="6" fillId="0" borderId="362" xfId="47" applyFill="1" applyBorder="1">
      <alignment horizontal="center" vertical="center"/>
    </xf>
    <xf numFmtId="0" fontId="0" fillId="0" borderId="362" xfId="47" applyFont="1" applyFill="1" applyBorder="1">
      <alignment horizontal="center" vertical="center"/>
    </xf>
    <xf numFmtId="0" fontId="0" fillId="51" borderId="362" xfId="0" applyFill="1" applyBorder="1" applyAlignment="1" applyProtection="1">
      <alignment horizontal="left" vertical="center"/>
      <protection locked="0"/>
    </xf>
    <xf numFmtId="1" fontId="0" fillId="51" borderId="362" xfId="32" applyNumberFormat="1" applyFont="1" applyFill="1" applyBorder="1" applyAlignment="1">
      <alignment horizontal="center" vertical="center"/>
    </xf>
    <xf numFmtId="0" fontId="0" fillId="51" borderId="359" xfId="0" applyFill="1" applyBorder="1" applyAlignment="1">
      <alignment horizontal="left" vertical="center"/>
    </xf>
    <xf numFmtId="0" fontId="44" fillId="51" borderId="359" xfId="0" applyFont="1" applyFill="1" applyBorder="1" applyAlignment="1">
      <alignment horizontal="left" vertical="center"/>
    </xf>
    <xf numFmtId="0" fontId="0" fillId="51" borderId="394" xfId="0" applyFill="1" applyBorder="1">
      <alignment horizontal="center" vertical="center"/>
    </xf>
    <xf numFmtId="0" fontId="0" fillId="70" borderId="394" xfId="0" applyFill="1" applyBorder="1">
      <alignment horizontal="center" vertical="center"/>
    </xf>
    <xf numFmtId="0" fontId="0" fillId="70" borderId="395" xfId="0" applyFill="1" applyBorder="1">
      <alignment horizontal="center" vertical="center"/>
    </xf>
    <xf numFmtId="49" fontId="0" fillId="55" borderId="362" xfId="0" applyNumberFormat="1" applyFill="1" applyBorder="1">
      <alignment horizontal="center" vertical="center"/>
    </xf>
    <xf numFmtId="0" fontId="18" fillId="0" borderId="362" xfId="0" applyFont="1" applyBorder="1" applyAlignment="1" applyProtection="1">
      <alignment horizontal="center"/>
      <protection locked="0"/>
    </xf>
    <xf numFmtId="0" fontId="0" fillId="52" borderId="150" xfId="48" applyFont="1" applyBorder="1">
      <alignment horizontal="center" vertical="center"/>
    </xf>
    <xf numFmtId="0" fontId="0" fillId="51" borderId="396" xfId="43" applyFont="1" applyFill="1" applyBorder="1">
      <alignment horizontal="center" vertical="center"/>
    </xf>
    <xf numFmtId="0" fontId="3" fillId="0" borderId="397" xfId="0" applyFont="1" applyBorder="1" applyAlignment="1" applyProtection="1">
      <alignment horizontal="center"/>
      <protection locked="0"/>
    </xf>
    <xf numFmtId="0" fontId="3" fillId="0" borderId="398" xfId="0" applyFont="1" applyBorder="1" applyAlignment="1" applyProtection="1">
      <alignment horizontal="center"/>
      <protection locked="0"/>
    </xf>
    <xf numFmtId="0" fontId="6" fillId="57" borderId="398" xfId="47" applyBorder="1">
      <alignment horizontal="center" vertical="center"/>
    </xf>
    <xf numFmtId="0" fontId="0" fillId="51" borderId="398" xfId="47" applyFont="1" applyFill="1" applyBorder="1">
      <alignment horizontal="center" vertical="center"/>
    </xf>
    <xf numFmtId="0" fontId="0" fillId="57" borderId="398" xfId="47" applyFont="1" applyBorder="1">
      <alignment horizontal="center" vertical="center"/>
    </xf>
    <xf numFmtId="0" fontId="0" fillId="51" borderId="399" xfId="47" applyFont="1" applyFill="1" applyBorder="1">
      <alignment horizontal="center" vertical="center"/>
    </xf>
    <xf numFmtId="0" fontId="1" fillId="0" borderId="400" xfId="0" applyFont="1" applyBorder="1">
      <alignment horizontal="center" vertical="center"/>
    </xf>
    <xf numFmtId="0" fontId="1" fillId="0" borderId="401" xfId="0" applyFont="1" applyBorder="1">
      <alignment horizontal="center" vertical="center"/>
    </xf>
    <xf numFmtId="0" fontId="1" fillId="0" borderId="402" xfId="0" applyFont="1" applyBorder="1">
      <alignment horizontal="center" vertical="center"/>
    </xf>
    <xf numFmtId="0" fontId="0" fillId="0" borderId="403" xfId="0" applyBorder="1">
      <alignment horizontal="center" vertical="center"/>
    </xf>
    <xf numFmtId="0" fontId="0" fillId="0" borderId="404" xfId="0" applyBorder="1">
      <alignment horizontal="center" vertical="center"/>
    </xf>
    <xf numFmtId="0" fontId="0" fillId="0" borderId="405" xfId="0" applyBorder="1">
      <alignment horizontal="center" vertical="center"/>
    </xf>
    <xf numFmtId="0" fontId="0" fillId="0" borderId="406" xfId="0" applyBorder="1">
      <alignment horizontal="center" vertical="center"/>
    </xf>
    <xf numFmtId="0" fontId="0" fillId="0" borderId="407" xfId="0" applyBorder="1">
      <alignment horizontal="center" vertical="center"/>
    </xf>
    <xf numFmtId="0" fontId="0" fillId="0" borderId="408" xfId="0" applyBorder="1">
      <alignment horizontal="center" vertical="center"/>
    </xf>
    <xf numFmtId="0" fontId="0" fillId="0" borderId="409" xfId="0" applyBorder="1">
      <alignment horizontal="center" vertical="center"/>
    </xf>
    <xf numFmtId="0" fontId="3" fillId="43" borderId="398" xfId="0" applyFont="1" applyFill="1" applyBorder="1" applyAlignment="1">
      <alignment horizontal="center"/>
    </xf>
    <xf numFmtId="0" fontId="0" fillId="0" borderId="398" xfId="0" applyBorder="1" applyAlignment="1">
      <alignment vertical="center"/>
    </xf>
    <xf numFmtId="0" fontId="0" fillId="51" borderId="398" xfId="20" applyNumberFormat="1" applyFont="1" applyFill="1" applyBorder="1" applyAlignment="1">
      <alignment horizontal="center" vertical="center"/>
    </xf>
    <xf numFmtId="0" fontId="0" fillId="51" borderId="399" xfId="20" applyNumberFormat="1" applyFont="1" applyFill="1" applyBorder="1" applyAlignment="1">
      <alignment horizontal="center" vertical="center"/>
    </xf>
    <xf numFmtId="0" fontId="0" fillId="51" borderId="398" xfId="45" applyFont="1" applyFill="1" applyBorder="1">
      <alignment horizontal="center" vertical="center"/>
    </xf>
    <xf numFmtId="0" fontId="0" fillId="52" borderId="398" xfId="0" applyFill="1" applyBorder="1">
      <alignment horizontal="center" vertical="center"/>
    </xf>
    <xf numFmtId="0" fontId="3" fillId="43" borderId="396" xfId="0" applyFont="1" applyFill="1" applyBorder="1" applyAlignment="1">
      <alignment horizontal="center"/>
    </xf>
    <xf numFmtId="0" fontId="0" fillId="51" borderId="396" xfId="51" applyFont="1" applyFill="1" applyBorder="1">
      <alignment horizontal="center" vertical="center"/>
    </xf>
    <xf numFmtId="0" fontId="3" fillId="0" borderId="410" xfId="0" applyFont="1" applyBorder="1" applyAlignment="1">
      <alignment horizontal="center"/>
    </xf>
    <xf numFmtId="0" fontId="6" fillId="0" borderId="404" xfId="0" applyFont="1" applyBorder="1" applyAlignment="1">
      <alignment horizontal="left" vertical="center"/>
    </xf>
    <xf numFmtId="0" fontId="6" fillId="0" borderId="411" xfId="0" applyFont="1" applyBorder="1" applyAlignment="1">
      <alignment horizontal="left" vertical="center"/>
    </xf>
    <xf numFmtId="0" fontId="6" fillId="0" borderId="412" xfId="0" applyFont="1" applyBorder="1" applyAlignment="1">
      <alignment horizontal="left" vertical="center"/>
    </xf>
    <xf numFmtId="0" fontId="0" fillId="0" borderId="403" xfId="0" applyBorder="1" applyAlignment="1">
      <alignment horizontal="center"/>
    </xf>
    <xf numFmtId="0" fontId="3" fillId="0" borderId="404" xfId="0" applyFont="1" applyBorder="1" applyAlignment="1">
      <alignment horizontal="left"/>
    </xf>
    <xf numFmtId="0" fontId="0" fillId="0" borderId="411" xfId="0" applyBorder="1" applyAlignment="1"/>
    <xf numFmtId="0" fontId="0" fillId="0" borderId="413" xfId="0" applyBorder="1" applyAlignment="1">
      <alignment horizontal="left"/>
    </xf>
    <xf numFmtId="0" fontId="3" fillId="0" borderId="411" xfId="0" applyFont="1" applyBorder="1" applyAlignment="1"/>
    <xf numFmtId="0" fontId="3" fillId="0" borderId="413" xfId="0" applyFont="1" applyBorder="1" applyAlignment="1">
      <alignment horizontal="left"/>
    </xf>
    <xf numFmtId="0" fontId="0" fillId="0" borderId="404" xfId="0" applyBorder="1" applyAlignment="1">
      <alignment horizontal="center"/>
    </xf>
    <xf numFmtId="0" fontId="0" fillId="0" borderId="412" xfId="0" applyBorder="1" applyAlignment="1"/>
    <xf numFmtId="0" fontId="3" fillId="0" borderId="414" xfId="0" applyFont="1" applyBorder="1" applyAlignment="1">
      <alignment horizontal="left"/>
    </xf>
    <xf numFmtId="0" fontId="0" fillId="0" borderId="415" xfId="0" applyBorder="1" applyAlignment="1"/>
    <xf numFmtId="0" fontId="0" fillId="0" borderId="416" xfId="0" applyBorder="1" applyAlignment="1">
      <alignment horizontal="left"/>
    </xf>
    <xf numFmtId="0" fontId="8" fillId="0" borderId="414" xfId="0" applyFont="1" applyBorder="1" applyAlignment="1">
      <alignment horizontal="center"/>
    </xf>
    <xf numFmtId="0" fontId="0" fillId="0" borderId="417" xfId="0" applyBorder="1" applyAlignment="1"/>
    <xf numFmtId="0" fontId="0" fillId="0" borderId="406" xfId="0" applyBorder="1" applyAlignment="1">
      <alignment horizontal="center"/>
    </xf>
    <xf numFmtId="0" fontId="3" fillId="0" borderId="407" xfId="0" applyFont="1" applyBorder="1" applyAlignment="1">
      <alignment horizontal="left"/>
    </xf>
    <xf numFmtId="0" fontId="6" fillId="0" borderId="418" xfId="0" applyFont="1" applyBorder="1" applyAlignment="1">
      <alignment horizontal="left" vertical="center"/>
    </xf>
    <xf numFmtId="0" fontId="6" fillId="0" borderId="418" xfId="0" applyFont="1" applyBorder="1">
      <alignment horizontal="center" vertical="center"/>
    </xf>
    <xf numFmtId="0" fontId="6" fillId="0" borderId="419" xfId="0" applyFont="1" applyBorder="1">
      <alignment horizontal="center" vertical="center"/>
    </xf>
    <xf numFmtId="0" fontId="6" fillId="0" borderId="407" xfId="0" applyFont="1" applyBorder="1" applyAlignment="1">
      <alignment horizontal="left" vertical="center"/>
    </xf>
    <xf numFmtId="0" fontId="6" fillId="0" borderId="418" xfId="0" applyFont="1" applyBorder="1" applyAlignment="1">
      <alignment horizontal="left"/>
    </xf>
    <xf numFmtId="0" fontId="6" fillId="0" borderId="419" xfId="0" applyFont="1" applyBorder="1" applyAlignment="1">
      <alignment horizontal="left" vertical="center"/>
    </xf>
    <xf numFmtId="0" fontId="0" fillId="0" borderId="418" xfId="0" applyBorder="1" applyAlignment="1">
      <alignment horizontal="left"/>
    </xf>
    <xf numFmtId="0" fontId="0" fillId="0" borderId="420" xfId="0" applyBorder="1" applyAlignment="1"/>
    <xf numFmtId="0" fontId="0" fillId="51" borderId="398" xfId="0" applyFill="1" applyBorder="1" applyAlignment="1">
      <alignment horizontal="left" vertical="center"/>
    </xf>
    <xf numFmtId="0" fontId="0" fillId="51" borderId="399" xfId="44" applyFont="1" applyFill="1" applyBorder="1">
      <alignment horizontal="center" vertical="center"/>
    </xf>
    <xf numFmtId="0" fontId="0" fillId="51" borderId="398" xfId="51" applyFont="1" applyFill="1" applyBorder="1">
      <alignment horizontal="center" vertical="center"/>
    </xf>
    <xf numFmtId="0" fontId="6" fillId="51" borderId="398" xfId="43" applyFill="1" applyBorder="1">
      <alignment horizontal="center" vertical="center"/>
    </xf>
    <xf numFmtId="0" fontId="0" fillId="51" borderId="399" xfId="51" applyFont="1" applyFill="1" applyBorder="1">
      <alignment horizontal="center" vertical="center"/>
    </xf>
    <xf numFmtId="0" fontId="0" fillId="51" borderId="399" xfId="48" applyFont="1" applyFill="1" applyBorder="1">
      <alignment horizontal="center" vertical="center"/>
    </xf>
    <xf numFmtId="0" fontId="0" fillId="51" borderId="396" xfId="0" applyFill="1" applyBorder="1" applyAlignment="1">
      <alignment horizontal="left" vertical="center"/>
    </xf>
    <xf numFmtId="0" fontId="6" fillId="52" borderId="396" xfId="48" applyBorder="1">
      <alignment horizontal="center" vertical="center"/>
    </xf>
    <xf numFmtId="0" fontId="6" fillId="54" borderId="396" xfId="50" applyBorder="1">
      <alignment horizontal="center" vertical="center"/>
    </xf>
    <xf numFmtId="0" fontId="0" fillId="51" borderId="421" xfId="48" applyFont="1" applyFill="1" applyBorder="1">
      <alignment horizontal="center" vertical="center"/>
    </xf>
    <xf numFmtId="0" fontId="0" fillId="0" borderId="407" xfId="0" applyBorder="1" applyAlignment="1">
      <alignment horizontal="left"/>
    </xf>
    <xf numFmtId="0" fontId="0" fillId="0" borderId="418" xfId="0" applyBorder="1" applyAlignment="1"/>
    <xf numFmtId="0" fontId="0" fillId="0" borderId="419" xfId="0" applyBorder="1" applyAlignment="1">
      <alignment horizontal="left"/>
    </xf>
    <xf numFmtId="0" fontId="0" fillId="0" borderId="407" xfId="0" applyBorder="1" applyAlignment="1">
      <alignment horizontal="center"/>
    </xf>
    <xf numFmtId="0" fontId="3" fillId="43" borderId="422" xfId="0" applyFont="1" applyFill="1" applyBorder="1" applyAlignment="1">
      <alignment horizontal="center"/>
    </xf>
    <xf numFmtId="0" fontId="6" fillId="54" borderId="422" xfId="50" applyBorder="1">
      <alignment horizontal="center" vertical="center"/>
    </xf>
    <xf numFmtId="0" fontId="6" fillId="53" borderId="422" xfId="43" applyBorder="1">
      <alignment horizontal="center" vertical="center"/>
    </xf>
    <xf numFmtId="0" fontId="6" fillId="53" borderId="423" xfId="43" applyBorder="1">
      <alignment horizontal="center" vertical="center"/>
    </xf>
    <xf numFmtId="0" fontId="0" fillId="51" borderId="422" xfId="45" applyFont="1" applyFill="1" applyBorder="1">
      <alignment horizontal="center" vertical="center"/>
    </xf>
    <xf numFmtId="49" fontId="0" fillId="51" borderId="423" xfId="0" applyNumberFormat="1" applyFill="1" applyBorder="1">
      <alignment horizontal="center" vertical="center"/>
    </xf>
    <xf numFmtId="0" fontId="0" fillId="53" borderId="150" xfId="0" applyFill="1" applyBorder="1">
      <alignment horizontal="center" vertical="center"/>
    </xf>
    <xf numFmtId="0" fontId="6" fillId="51" borderId="150" xfId="43" applyFill="1" applyBorder="1">
      <alignment horizontal="center" vertical="center"/>
    </xf>
    <xf numFmtId="0" fontId="2" fillId="0" borderId="404" xfId="0" applyFont="1" applyBorder="1" applyAlignment="1">
      <alignment horizontal="left"/>
    </xf>
    <xf numFmtId="0" fontId="3" fillId="0" borderId="411" xfId="0" applyFont="1" applyBorder="1">
      <alignment horizontal="center" vertical="center"/>
    </xf>
    <xf numFmtId="167" fontId="8" fillId="0" borderId="407" xfId="0" applyNumberFormat="1" applyFont="1" applyBorder="1" applyAlignment="1">
      <alignment horizontal="center"/>
    </xf>
    <xf numFmtId="0" fontId="6" fillId="51" borderId="398" xfId="0" applyFont="1" applyFill="1" applyBorder="1" applyAlignment="1">
      <alignment vertical="center"/>
    </xf>
    <xf numFmtId="0" fontId="0" fillId="51" borderId="398" xfId="0" applyFill="1" applyBorder="1" applyAlignment="1">
      <alignment vertical="center"/>
    </xf>
    <xf numFmtId="0" fontId="51" fillId="56" borderId="398" xfId="46" applyBorder="1">
      <alignment horizontal="center" vertical="center"/>
    </xf>
    <xf numFmtId="0" fontId="0" fillId="0" borderId="424" xfId="0" applyBorder="1">
      <alignment horizontal="center" vertical="center"/>
    </xf>
    <xf numFmtId="0" fontId="2" fillId="0" borderId="424" xfId="0" applyFont="1" applyBorder="1">
      <alignment horizontal="center" vertical="center"/>
    </xf>
    <xf numFmtId="0" fontId="2" fillId="0" borderId="355" xfId="0" applyFont="1" applyBorder="1" applyAlignment="1">
      <alignment horizontal="left" vertical="center"/>
    </xf>
    <xf numFmtId="0" fontId="2" fillId="0" borderId="355" xfId="0" applyFont="1" applyBorder="1">
      <alignment horizontal="center" vertical="center"/>
    </xf>
    <xf numFmtId="0" fontId="2" fillId="0" borderId="356" xfId="0" applyFont="1" applyBorder="1">
      <alignment horizontal="center" vertical="center"/>
    </xf>
    <xf numFmtId="49" fontId="2" fillId="0" borderId="424" xfId="0" applyNumberFormat="1" applyFont="1" applyBorder="1">
      <alignment horizontal="center" vertical="center"/>
    </xf>
    <xf numFmtId="49" fontId="6" fillId="0" borderId="424" xfId="0" applyNumberFormat="1" applyFont="1" applyBorder="1">
      <alignment horizontal="center" vertical="center"/>
    </xf>
    <xf numFmtId="0" fontId="6" fillId="0" borderId="355" xfId="0" applyFont="1" applyBorder="1">
      <alignment horizontal="center" vertical="center"/>
    </xf>
    <xf numFmtId="0" fontId="6" fillId="0" borderId="356" xfId="0" applyFont="1" applyBorder="1">
      <alignment horizontal="center" vertical="center"/>
    </xf>
    <xf numFmtId="0" fontId="8" fillId="0" borderId="355" xfId="0" applyFont="1" applyBorder="1">
      <alignment horizontal="center" vertical="center"/>
    </xf>
    <xf numFmtId="0" fontId="8" fillId="0" borderId="425" xfId="0" applyFont="1" applyBorder="1">
      <alignment horizontal="center" vertical="center"/>
    </xf>
    <xf numFmtId="0" fontId="0" fillId="0" borderId="426" xfId="0" applyBorder="1">
      <alignment horizontal="center" vertical="center"/>
    </xf>
    <xf numFmtId="49" fontId="14" fillId="0" borderId="422" xfId="0" applyNumberFormat="1" applyFont="1" applyBorder="1">
      <alignment horizontal="center" vertical="center"/>
    </xf>
    <xf numFmtId="0" fontId="14" fillId="0" borderId="427" xfId="0" applyFont="1" applyBorder="1" applyAlignment="1">
      <alignment horizontal="left" vertical="center"/>
    </xf>
    <xf numFmtId="0" fontId="14" fillId="0" borderId="427" xfId="0" applyFont="1" applyBorder="1">
      <alignment horizontal="center" vertical="center"/>
    </xf>
    <xf numFmtId="0" fontId="14" fillId="0" borderId="428" xfId="0" applyFont="1" applyBorder="1">
      <alignment horizontal="center" vertical="center"/>
    </xf>
    <xf numFmtId="49" fontId="14" fillId="0" borderId="424" xfId="0" applyNumberFormat="1" applyFont="1" applyBorder="1">
      <alignment horizontal="center" vertical="center"/>
    </xf>
    <xf numFmtId="49" fontId="6" fillId="0" borderId="426" xfId="0" applyNumberFormat="1" applyFont="1" applyBorder="1">
      <alignment horizontal="center" vertical="center"/>
    </xf>
    <xf numFmtId="0" fontId="8" fillId="0" borderId="429" xfId="0" applyFont="1" applyBorder="1">
      <alignment horizontal="center" vertical="center"/>
    </xf>
    <xf numFmtId="0" fontId="6" fillId="0" borderId="424" xfId="0" applyFont="1" applyBorder="1">
      <alignment horizontal="center" vertical="center"/>
    </xf>
    <xf numFmtId="49" fontId="6" fillId="0" borderId="427" xfId="0" applyNumberFormat="1" applyFont="1" applyBorder="1">
      <alignment horizontal="center" vertical="center"/>
    </xf>
    <xf numFmtId="0" fontId="2" fillId="0" borderId="430" xfId="0" applyFont="1" applyBorder="1" applyAlignment="1">
      <alignment horizontal="left" vertical="center"/>
    </xf>
    <xf numFmtId="0" fontId="2" fillId="0" borderId="430" xfId="0" applyFont="1" applyBorder="1">
      <alignment horizontal="center" vertical="center"/>
    </xf>
    <xf numFmtId="0" fontId="6" fillId="0" borderId="430" xfId="0" applyFont="1" applyBorder="1">
      <alignment horizontal="center" vertical="center"/>
    </xf>
    <xf numFmtId="49" fontId="6" fillId="0" borderId="430" xfId="0" applyNumberFormat="1" applyFont="1" applyBorder="1">
      <alignment horizontal="center" vertical="center"/>
    </xf>
    <xf numFmtId="0" fontId="8" fillId="0" borderId="430" xfId="0" applyFont="1" applyBorder="1">
      <alignment horizontal="center" vertical="center"/>
    </xf>
    <xf numFmtId="0" fontId="5" fillId="0" borderId="431" xfId="0" applyFont="1" applyBorder="1" applyAlignment="1">
      <alignment horizontal="center"/>
    </xf>
    <xf numFmtId="0" fontId="0" fillId="51" borderId="422" xfId="0" applyFill="1" applyBorder="1" applyAlignment="1">
      <alignment horizontal="left" vertical="center" wrapText="1"/>
    </xf>
    <xf numFmtId="49" fontId="0" fillId="51" borderId="432" xfId="0" applyNumberFormat="1" applyFill="1" applyBorder="1">
      <alignment horizontal="center" vertical="center"/>
    </xf>
    <xf numFmtId="49" fontId="0" fillId="56" borderId="432" xfId="0" applyNumberFormat="1" applyFill="1" applyBorder="1">
      <alignment horizontal="center" vertical="center"/>
    </xf>
    <xf numFmtId="49" fontId="0" fillId="51" borderId="433" xfId="0" applyNumberFormat="1" applyFill="1" applyBorder="1">
      <alignment horizontal="center" vertical="center"/>
    </xf>
    <xf numFmtId="49" fontId="0" fillId="52" borderId="432" xfId="0" applyNumberFormat="1" applyFill="1" applyBorder="1">
      <alignment horizontal="center" vertical="center"/>
    </xf>
    <xf numFmtId="49" fontId="0" fillId="82" borderId="432" xfId="0" applyNumberFormat="1" applyFill="1" applyBorder="1">
      <alignment horizontal="center" vertical="center"/>
    </xf>
    <xf numFmtId="0" fontId="6" fillId="54" borderId="432" xfId="50" applyBorder="1">
      <alignment horizontal="center" vertical="center"/>
    </xf>
    <xf numFmtId="0" fontId="6" fillId="52" borderId="432" xfId="48" applyBorder="1">
      <alignment horizontal="center" vertical="center"/>
    </xf>
    <xf numFmtId="0" fontId="0" fillId="51" borderId="432" xfId="0" applyFill="1" applyBorder="1">
      <alignment horizontal="center" vertical="center"/>
    </xf>
    <xf numFmtId="0" fontId="6" fillId="51" borderId="432" xfId="48" applyFill="1" applyBorder="1">
      <alignment horizontal="center" vertical="center"/>
    </xf>
    <xf numFmtId="0" fontId="6" fillId="53" borderId="432" xfId="43" applyBorder="1">
      <alignment horizontal="center" vertical="center"/>
    </xf>
    <xf numFmtId="0" fontId="6" fillId="51" borderId="432" xfId="43" applyFill="1" applyBorder="1">
      <alignment horizontal="center" vertical="center"/>
    </xf>
    <xf numFmtId="49" fontId="0" fillId="53" borderId="432" xfId="0" applyNumberFormat="1" applyFill="1" applyBorder="1">
      <alignment horizontal="center" vertical="center"/>
    </xf>
    <xf numFmtId="49" fontId="0" fillId="53" borderId="434" xfId="0" applyNumberFormat="1" applyFill="1" applyBorder="1">
      <alignment horizontal="center" vertical="center"/>
    </xf>
    <xf numFmtId="49" fontId="0" fillId="58" borderId="435" xfId="0" applyNumberFormat="1" applyFill="1" applyBorder="1">
      <alignment horizontal="center" vertical="center"/>
    </xf>
    <xf numFmtId="0" fontId="3" fillId="0" borderId="434" xfId="0" applyFont="1" applyBorder="1" applyAlignment="1">
      <alignment horizontal="center"/>
    </xf>
    <xf numFmtId="0" fontId="3" fillId="0" borderId="431" xfId="0" applyFont="1" applyBorder="1" applyAlignment="1">
      <alignment horizontal="center"/>
    </xf>
    <xf numFmtId="0" fontId="0" fillId="0" borderId="436" xfId="0" applyBorder="1" applyAlignment="1">
      <alignment horizontal="left" vertical="center"/>
    </xf>
    <xf numFmtId="0" fontId="3" fillId="0" borderId="437" xfId="0" applyFont="1" applyBorder="1" applyAlignment="1">
      <alignment horizontal="left"/>
    </xf>
    <xf numFmtId="0" fontId="0" fillId="0" borderId="438" xfId="0" applyBorder="1" applyAlignment="1">
      <alignment horizontal="left" vertical="center"/>
    </xf>
    <xf numFmtId="0" fontId="0" fillId="0" borderId="439" xfId="0" applyBorder="1" applyAlignment="1">
      <alignment horizontal="left" vertical="center"/>
    </xf>
    <xf numFmtId="49" fontId="0" fillId="0" borderId="436" xfId="0" applyNumberFormat="1" applyBorder="1" applyAlignment="1">
      <alignment horizontal="left"/>
    </xf>
    <xf numFmtId="0" fontId="2" fillId="0" borderId="434" xfId="0" applyFont="1" applyBorder="1" applyAlignment="1">
      <alignment horizontal="center"/>
    </xf>
    <xf numFmtId="0" fontId="0" fillId="0" borderId="440" xfId="0" applyBorder="1" applyAlignment="1">
      <alignment horizontal="left" vertical="center"/>
    </xf>
    <xf numFmtId="0" fontId="0" fillId="0" borderId="441" xfId="0" applyBorder="1" applyAlignment="1">
      <alignment horizontal="left" vertical="center"/>
    </xf>
    <xf numFmtId="49" fontId="0" fillId="0" borderId="441" xfId="0" applyNumberFormat="1" applyBorder="1" applyAlignment="1">
      <alignment horizontal="left"/>
    </xf>
    <xf numFmtId="0" fontId="3" fillId="0" borderId="422" xfId="0" applyFont="1" applyBorder="1" applyAlignment="1" applyProtection="1">
      <alignment horizontal="center"/>
      <protection locked="0"/>
    </xf>
    <xf numFmtId="0" fontId="3" fillId="0" borderId="422" xfId="0" applyFont="1" applyBorder="1" applyAlignment="1">
      <alignment horizontal="left"/>
    </xf>
    <xf numFmtId="0" fontId="0" fillId="0" borderId="422" xfId="0" applyBorder="1">
      <alignment horizontal="center" vertical="center"/>
    </xf>
    <xf numFmtId="0" fontId="0" fillId="51" borderId="442" xfId="0" applyFill="1" applyBorder="1">
      <alignment horizontal="center" vertical="center"/>
    </xf>
    <xf numFmtId="0" fontId="0" fillId="0" borderId="422" xfId="0" applyBorder="1" applyAlignment="1" applyProtection="1">
      <alignment horizontal="center"/>
      <protection locked="0"/>
    </xf>
    <xf numFmtId="0" fontId="0" fillId="0" borderId="422" xfId="0" applyBorder="1" applyAlignment="1">
      <alignment horizontal="left"/>
    </xf>
    <xf numFmtId="0" fontId="3" fillId="0" borderId="422" xfId="0" applyFont="1" applyBorder="1" applyAlignment="1">
      <alignment vertical="center"/>
    </xf>
    <xf numFmtId="0" fontId="6" fillId="69" borderId="422" xfId="44" applyBorder="1">
      <alignment horizontal="center" vertical="center"/>
    </xf>
    <xf numFmtId="0" fontId="2" fillId="0" borderId="422" xfId="0" applyFont="1" applyBorder="1" applyAlignment="1" applyProtection="1">
      <alignment horizontal="center"/>
      <protection locked="0"/>
    </xf>
    <xf numFmtId="0" fontId="51" fillId="56" borderId="422" xfId="46" applyBorder="1">
      <alignment horizontal="center" vertical="center"/>
    </xf>
    <xf numFmtId="0" fontId="0" fillId="51" borderId="442" xfId="48" applyFont="1" applyFill="1" applyBorder="1">
      <alignment horizontal="center" vertical="center"/>
    </xf>
    <xf numFmtId="0" fontId="0" fillId="51" borderId="442" xfId="51" applyFont="1" applyFill="1" applyBorder="1">
      <alignment horizontal="center" vertical="center"/>
    </xf>
    <xf numFmtId="0" fontId="3" fillId="0" borderId="443" xfId="0" applyFont="1" applyBorder="1">
      <alignment horizontal="center" vertical="center"/>
    </xf>
    <xf numFmtId="0" fontId="6" fillId="57" borderId="422" xfId="47" applyBorder="1">
      <alignment horizontal="center" vertical="center"/>
    </xf>
    <xf numFmtId="0" fontId="6" fillId="58" borderId="422" xfId="33" applyBorder="1">
      <alignment horizontal="center" vertical="center"/>
    </xf>
    <xf numFmtId="49" fontId="0" fillId="51" borderId="442" xfId="0" applyNumberFormat="1" applyFill="1" applyBorder="1">
      <alignment horizontal="center" vertical="center"/>
    </xf>
    <xf numFmtId="0" fontId="0" fillId="51" borderId="422" xfId="33" applyFont="1" applyFill="1" applyBorder="1">
      <alignment horizontal="center" vertical="center"/>
    </xf>
    <xf numFmtId="0" fontId="6" fillId="0" borderId="422" xfId="0" applyFont="1" applyBorder="1" applyAlignment="1">
      <alignment vertical="center"/>
    </xf>
    <xf numFmtId="0" fontId="6" fillId="51" borderId="422" xfId="0" applyFont="1" applyFill="1" applyBorder="1" applyAlignment="1">
      <alignment vertical="center"/>
    </xf>
    <xf numFmtId="0" fontId="3" fillId="0" borderId="444" xfId="0" applyFont="1" applyBorder="1" applyAlignment="1">
      <alignment horizontal="center"/>
    </xf>
    <xf numFmtId="0" fontId="2" fillId="0" borderId="437" xfId="0" applyFont="1" applyBorder="1" applyAlignment="1">
      <alignment horizontal="left"/>
    </xf>
    <xf numFmtId="0" fontId="3" fillId="0" borderId="445" xfId="0" applyFont="1" applyBorder="1" applyAlignment="1">
      <alignment horizontal="center"/>
    </xf>
    <xf numFmtId="0" fontId="2" fillId="0" borderId="446" xfId="0" applyFont="1" applyBorder="1" applyAlignment="1">
      <alignment horizontal="center"/>
    </xf>
    <xf numFmtId="0" fontId="0" fillId="0" borderId="447" xfId="0" applyBorder="1" applyAlignment="1" applyProtection="1">
      <alignment horizontal="center"/>
      <protection locked="0"/>
    </xf>
    <xf numFmtId="0" fontId="0" fillId="0" borderId="436" xfId="0" applyBorder="1" applyAlignment="1" applyProtection="1">
      <alignment horizontal="center"/>
      <protection locked="0"/>
    </xf>
    <xf numFmtId="0" fontId="0" fillId="43" borderId="448" xfId="0" applyFill="1" applyBorder="1" applyAlignment="1">
      <alignment horizontal="center"/>
    </xf>
    <xf numFmtId="0" fontId="46" fillId="0" borderId="448" xfId="0" applyFont="1" applyBorder="1" applyAlignment="1">
      <alignment horizontal="left" vertical="center"/>
    </xf>
    <xf numFmtId="0" fontId="0" fillId="0" borderId="424" xfId="0" applyBorder="1" applyAlignment="1">
      <alignment horizontal="left" vertical="center"/>
    </xf>
    <xf numFmtId="49" fontId="0" fillId="51" borderId="436" xfId="0" applyNumberFormat="1" applyFill="1" applyBorder="1">
      <alignment horizontal="center" vertical="center"/>
    </xf>
    <xf numFmtId="0" fontId="0" fillId="0" borderId="449" xfId="0" applyBorder="1" applyAlignment="1" applyProtection="1">
      <alignment horizontal="center"/>
      <protection locked="0"/>
    </xf>
    <xf numFmtId="0" fontId="0" fillId="0" borderId="450" xfId="0" applyBorder="1" applyAlignment="1">
      <alignment horizontal="left" vertical="center"/>
    </xf>
    <xf numFmtId="0" fontId="6" fillId="52" borderId="448" xfId="48" applyBorder="1">
      <alignment horizontal="center" vertical="center"/>
    </xf>
    <xf numFmtId="49" fontId="0" fillId="51" borderId="441" xfId="0" applyNumberFormat="1" applyFill="1" applyBorder="1">
      <alignment horizontal="center" vertical="center"/>
    </xf>
    <xf numFmtId="49" fontId="0" fillId="0" borderId="436" xfId="0" applyNumberFormat="1" applyBorder="1" applyAlignment="1"/>
    <xf numFmtId="0" fontId="3" fillId="0" borderId="449" xfId="0" applyFont="1" applyBorder="1" applyAlignment="1" applyProtection="1">
      <alignment horizontal="center"/>
      <protection locked="0"/>
    </xf>
    <xf numFmtId="0" fontId="5" fillId="0" borderId="449" xfId="0" applyFont="1" applyBorder="1" applyAlignment="1">
      <alignment horizontal="center"/>
    </xf>
    <xf numFmtId="0" fontId="0" fillId="0" borderId="447" xfId="0" applyBorder="1" applyAlignment="1" applyProtection="1">
      <alignment horizontal="left"/>
      <protection locked="0"/>
    </xf>
    <xf numFmtId="0" fontId="12" fillId="0" borderId="447" xfId="0" applyFont="1" applyBorder="1" applyAlignment="1">
      <alignment vertical="center"/>
    </xf>
    <xf numFmtId="0" fontId="14" fillId="0" borderId="447" xfId="0" applyFont="1" applyBorder="1" applyAlignment="1">
      <alignment vertical="center"/>
    </xf>
    <xf numFmtId="0" fontId="0" fillId="0" borderId="443" xfId="0" applyBorder="1" applyAlignment="1">
      <alignment vertical="center"/>
    </xf>
    <xf numFmtId="0" fontId="0" fillId="51" borderId="422" xfId="50" applyFont="1" applyFill="1" applyBorder="1">
      <alignment horizontal="center" vertical="center"/>
    </xf>
    <xf numFmtId="0" fontId="0" fillId="77" borderId="422" xfId="0" applyFill="1" applyBorder="1">
      <alignment horizontal="center" vertical="center"/>
    </xf>
    <xf numFmtId="1" fontId="0" fillId="51" borderId="422" xfId="32" applyNumberFormat="1" applyFont="1" applyFill="1" applyBorder="1" applyAlignment="1">
      <alignment horizontal="center" vertical="center"/>
    </xf>
    <xf numFmtId="49" fontId="0" fillId="51" borderId="451" xfId="0" applyNumberFormat="1" applyFill="1" applyBorder="1">
      <alignment horizontal="center" vertical="center"/>
    </xf>
    <xf numFmtId="49" fontId="0" fillId="51" borderId="449" xfId="0" applyNumberFormat="1" applyFill="1" applyBorder="1">
      <alignment horizontal="center" vertical="center"/>
    </xf>
    <xf numFmtId="0" fontId="0" fillId="51" borderId="449" xfId="0" applyFill="1" applyBorder="1">
      <alignment horizontal="center" vertical="center"/>
    </xf>
    <xf numFmtId="0" fontId="5" fillId="44" borderId="436" xfId="0" applyFont="1" applyFill="1" applyBorder="1" applyAlignment="1">
      <alignment horizontal="left"/>
    </xf>
    <xf numFmtId="0" fontId="5" fillId="25" borderId="436" xfId="0" applyFont="1" applyFill="1" applyBorder="1">
      <alignment horizontal="center" vertical="center"/>
    </xf>
    <xf numFmtId="0" fontId="6" fillId="25" borderId="437" xfId="0" applyFont="1" applyFill="1" applyBorder="1">
      <alignment horizontal="center" vertical="center"/>
    </xf>
    <xf numFmtId="0" fontId="5" fillId="29" borderId="436" xfId="0" applyFont="1" applyFill="1" applyBorder="1" applyAlignment="1">
      <alignment horizontal="left"/>
    </xf>
    <xf numFmtId="0" fontId="5" fillId="29" borderId="437" xfId="0" applyFont="1" applyFill="1" applyBorder="1" applyAlignment="1">
      <alignment horizontal="left"/>
    </xf>
    <xf numFmtId="0" fontId="6" fillId="29" borderId="437" xfId="0" applyFont="1" applyFill="1" applyBorder="1">
      <alignment horizontal="center" vertical="center"/>
    </xf>
    <xf numFmtId="0" fontId="6" fillId="29" borderId="438" xfId="0" applyFont="1" applyFill="1" applyBorder="1">
      <alignment horizontal="center" vertical="center"/>
    </xf>
    <xf numFmtId="0" fontId="5" fillId="37" borderId="436" xfId="0" applyFont="1" applyFill="1" applyBorder="1" applyAlignment="1">
      <alignment horizontal="left"/>
    </xf>
    <xf numFmtId="0" fontId="5" fillId="37" borderId="437" xfId="0" applyFont="1" applyFill="1" applyBorder="1" applyAlignment="1">
      <alignment horizontal="left"/>
    </xf>
    <xf numFmtId="0" fontId="0" fillId="37" borderId="437" xfId="0" applyFill="1" applyBorder="1">
      <alignment horizontal="center" vertical="center"/>
    </xf>
    <xf numFmtId="0" fontId="5" fillId="45" borderId="436" xfId="0" applyFont="1" applyFill="1" applyBorder="1" applyAlignment="1">
      <alignment horizontal="left"/>
    </xf>
    <xf numFmtId="0" fontId="0" fillId="45" borderId="437" xfId="0" applyFill="1" applyBorder="1">
      <alignment horizontal="center" vertical="center"/>
    </xf>
    <xf numFmtId="0" fontId="6" fillId="45" borderId="437" xfId="0" applyFont="1" applyFill="1" applyBorder="1">
      <alignment horizontal="center" vertical="center"/>
    </xf>
    <xf numFmtId="0" fontId="6" fillId="45" borderId="438" xfId="0" applyFont="1" applyFill="1" applyBorder="1">
      <alignment horizontal="center" vertical="center"/>
    </xf>
    <xf numFmtId="0" fontId="5" fillId="24" borderId="436" xfId="0" applyFont="1" applyFill="1" applyBorder="1">
      <alignment horizontal="center" vertical="center"/>
    </xf>
    <xf numFmtId="0" fontId="0" fillId="24" borderId="437" xfId="0" applyFill="1" applyBorder="1">
      <alignment horizontal="center" vertical="center"/>
    </xf>
    <xf numFmtId="0" fontId="6" fillId="24" borderId="437" xfId="0" applyFont="1" applyFill="1" applyBorder="1">
      <alignment horizontal="center" vertical="center"/>
    </xf>
    <xf numFmtId="0" fontId="5" fillId="40" borderId="436" xfId="0" applyFont="1" applyFill="1" applyBorder="1" applyAlignment="1">
      <alignment horizontal="left"/>
    </xf>
    <xf numFmtId="0" fontId="6" fillId="40" borderId="437" xfId="0" applyFont="1" applyFill="1" applyBorder="1">
      <alignment horizontal="center" vertical="center"/>
    </xf>
    <xf numFmtId="0" fontId="0" fillId="40" borderId="438" xfId="0" applyFill="1" applyBorder="1">
      <alignment horizontal="center" vertical="center"/>
    </xf>
    <xf numFmtId="0" fontId="0" fillId="46" borderId="452" xfId="0" applyFill="1" applyBorder="1">
      <alignment horizontal="center" vertical="center"/>
    </xf>
    <xf numFmtId="0" fontId="6" fillId="46" borderId="452" xfId="0" applyFont="1" applyFill="1" applyBorder="1">
      <alignment horizontal="center" vertical="center"/>
    </xf>
    <xf numFmtId="0" fontId="6" fillId="46" borderId="453" xfId="0" applyFont="1" applyFill="1" applyBorder="1">
      <alignment horizontal="center" vertical="center"/>
    </xf>
    <xf numFmtId="0" fontId="5" fillId="0" borderId="454" xfId="0" applyFont="1" applyBorder="1" applyAlignment="1">
      <alignment horizontal="left" vertical="center"/>
    </xf>
    <xf numFmtId="0" fontId="6" fillId="0" borderId="452" xfId="0" applyFont="1" applyBorder="1">
      <alignment horizontal="center" vertical="center"/>
    </xf>
    <xf numFmtId="0" fontId="6" fillId="0" borderId="453" xfId="0" applyFont="1" applyBorder="1">
      <alignment horizontal="center" vertical="center"/>
    </xf>
    <xf numFmtId="0" fontId="5" fillId="39" borderId="447" xfId="0" applyFont="1" applyFill="1" applyBorder="1" applyAlignment="1">
      <alignment horizontal="left"/>
    </xf>
    <xf numFmtId="0" fontId="5" fillId="47" borderId="436" xfId="0" applyFont="1" applyFill="1" applyBorder="1">
      <alignment horizontal="center" vertical="center"/>
    </xf>
    <xf numFmtId="0" fontId="6" fillId="47" borderId="437" xfId="0" applyFont="1" applyFill="1" applyBorder="1">
      <alignment horizontal="center" vertical="center"/>
    </xf>
    <xf numFmtId="0" fontId="6" fillId="0" borderId="436" xfId="0" applyFont="1" applyBorder="1" applyAlignment="1">
      <alignment horizontal="left"/>
    </xf>
    <xf numFmtId="0" fontId="0" fillId="0" borderId="437" xfId="0" applyBorder="1">
      <alignment horizontal="center" vertical="center"/>
    </xf>
    <xf numFmtId="0" fontId="6" fillId="0" borderId="437" xfId="0" applyFont="1" applyBorder="1" applyAlignment="1">
      <alignment horizontal="left"/>
    </xf>
    <xf numFmtId="0" fontId="6" fillId="0" borderId="437" xfId="0" applyFont="1" applyBorder="1">
      <alignment horizontal="center" vertical="center"/>
    </xf>
    <xf numFmtId="0" fontId="6" fillId="0" borderId="438" xfId="0" applyFont="1" applyBorder="1">
      <alignment horizontal="center" vertical="center"/>
    </xf>
    <xf numFmtId="0" fontId="6" fillId="48" borderId="436" xfId="0" applyFont="1" applyFill="1" applyBorder="1" applyAlignment="1">
      <alignment horizontal="left" vertical="center"/>
    </xf>
    <xf numFmtId="0" fontId="6" fillId="48" borderId="437" xfId="0" applyFont="1" applyFill="1" applyBorder="1">
      <alignment horizontal="center" vertical="center"/>
    </xf>
    <xf numFmtId="0" fontId="6" fillId="48" borderId="438" xfId="0" applyFont="1" applyFill="1" applyBorder="1">
      <alignment horizontal="center" vertical="center"/>
    </xf>
    <xf numFmtId="0" fontId="3" fillId="0" borderId="436" xfId="0" applyFont="1" applyBorder="1" applyAlignment="1">
      <alignment horizontal="left" vertical="center"/>
    </xf>
    <xf numFmtId="0" fontId="0" fillId="0" borderId="438" xfId="0" applyBorder="1">
      <alignment horizontal="center" vertical="center"/>
    </xf>
    <xf numFmtId="0" fontId="0" fillId="0" borderId="455" xfId="0" applyBorder="1">
      <alignment horizontal="center" vertical="center"/>
    </xf>
    <xf numFmtId="0" fontId="3" fillId="0" borderId="437" xfId="0" applyFont="1" applyBorder="1" applyAlignment="1">
      <alignment horizontal="left" vertical="center"/>
    </xf>
    <xf numFmtId="0" fontId="0" fillId="0" borderId="456" xfId="0" applyBorder="1">
      <alignment horizontal="center" vertical="center"/>
    </xf>
    <xf numFmtId="0" fontId="13" fillId="0" borderId="454" xfId="0" applyFont="1" applyBorder="1">
      <alignment horizontal="center" vertical="center"/>
    </xf>
    <xf numFmtId="0" fontId="0" fillId="0" borderId="452" xfId="0" applyBorder="1">
      <alignment horizontal="center" vertical="center"/>
    </xf>
    <xf numFmtId="0" fontId="0" fillId="0" borderId="453" xfId="0" applyBorder="1">
      <alignment horizontal="center" vertical="center"/>
    </xf>
    <xf numFmtId="0" fontId="3" fillId="0" borderId="436" xfId="0" applyFont="1" applyBorder="1">
      <alignment horizontal="center" vertical="center"/>
    </xf>
    <xf numFmtId="0" fontId="0" fillId="0" borderId="448" xfId="0" applyBorder="1" applyAlignment="1" applyProtection="1">
      <alignment horizontal="center"/>
      <protection locked="0"/>
    </xf>
    <xf numFmtId="0" fontId="5" fillId="0" borderId="448" xfId="0" applyFont="1" applyBorder="1" applyAlignment="1">
      <alignment horizontal="center"/>
    </xf>
    <xf numFmtId="0" fontId="0" fillId="51" borderId="448" xfId="0" applyFill="1" applyBorder="1">
      <alignment horizontal="center" vertical="center"/>
    </xf>
    <xf numFmtId="0" fontId="0" fillId="70" borderId="448" xfId="0" applyFill="1" applyBorder="1">
      <alignment horizontal="center" vertical="center"/>
    </xf>
    <xf numFmtId="0" fontId="0" fillId="51" borderId="457" xfId="0" applyFill="1" applyBorder="1">
      <alignment horizontal="center" vertical="center"/>
    </xf>
    <xf numFmtId="0" fontId="5" fillId="0" borderId="422" xfId="0" applyFont="1" applyBorder="1">
      <alignment horizontal="center" vertical="center"/>
    </xf>
    <xf numFmtId="0" fontId="6" fillId="69" borderId="447" xfId="44" applyBorder="1">
      <alignment horizontal="center" vertical="center"/>
    </xf>
    <xf numFmtId="0" fontId="3" fillId="24" borderId="447" xfId="0" applyFont="1" applyFill="1" applyBorder="1" applyAlignment="1">
      <alignment horizontal="left" vertical="center"/>
    </xf>
    <xf numFmtId="0" fontId="0" fillId="24" borderId="447" xfId="0" applyFill="1" applyBorder="1">
      <alignment horizontal="center" vertical="center"/>
    </xf>
    <xf numFmtId="0" fontId="0" fillId="24" borderId="458" xfId="0" applyFill="1" applyBorder="1">
      <alignment horizontal="center" vertical="center"/>
    </xf>
    <xf numFmtId="0" fontId="0" fillId="43" borderId="447" xfId="0" applyFill="1" applyBorder="1" applyAlignment="1" applyProtection="1">
      <alignment horizontal="center"/>
      <protection locked="0"/>
    </xf>
    <xf numFmtId="0" fontId="0" fillId="0" borderId="422" xfId="0" applyBorder="1" applyAlignment="1">
      <alignment horizontal="left" vertical="center"/>
    </xf>
    <xf numFmtId="0" fontId="0" fillId="51" borderId="447" xfId="43" applyFont="1" applyFill="1" applyBorder="1">
      <alignment horizontal="center" vertical="center"/>
    </xf>
    <xf numFmtId="1" fontId="0" fillId="51" borderId="447" xfId="0" applyNumberFormat="1" applyFill="1" applyBorder="1">
      <alignment horizontal="center" vertical="center"/>
    </xf>
    <xf numFmtId="1" fontId="35" fillId="23" borderId="447" xfId="32" applyNumberFormat="1" applyBorder="1" applyAlignment="1">
      <alignment horizontal="center" vertical="center"/>
    </xf>
    <xf numFmtId="0" fontId="6" fillId="52" borderId="447" xfId="48" applyBorder="1">
      <alignment horizontal="center" vertical="center"/>
    </xf>
    <xf numFmtId="0" fontId="0" fillId="51" borderId="447" xfId="44" applyFont="1" applyFill="1" applyBorder="1">
      <alignment horizontal="center" vertical="center"/>
    </xf>
    <xf numFmtId="0" fontId="0" fillId="51" borderId="447" xfId="46" applyFont="1" applyFill="1" applyBorder="1">
      <alignment horizontal="center" vertical="center"/>
    </xf>
    <xf numFmtId="1" fontId="0" fillId="51" borderId="458" xfId="0" applyNumberFormat="1" applyFill="1" applyBorder="1">
      <alignment horizontal="center" vertical="center"/>
    </xf>
    <xf numFmtId="0" fontId="0" fillId="0" borderId="447" xfId="0" applyBorder="1" applyAlignment="1">
      <alignment horizontal="left" vertical="center"/>
    </xf>
    <xf numFmtId="0" fontId="35" fillId="23" borderId="447" xfId="32" applyBorder="1" applyAlignment="1">
      <alignment horizontal="center" vertical="center"/>
    </xf>
    <xf numFmtId="1" fontId="0" fillId="51" borderId="447" xfId="32" applyNumberFormat="1" applyFont="1" applyFill="1" applyBorder="1" applyAlignment="1">
      <alignment horizontal="center" vertical="center"/>
    </xf>
    <xf numFmtId="0" fontId="5" fillId="0" borderId="447" xfId="0" applyFont="1" applyBorder="1" applyAlignment="1">
      <alignment horizontal="left" vertical="center"/>
    </xf>
    <xf numFmtId="1" fontId="0" fillId="55" borderId="447" xfId="0" applyNumberFormat="1" applyFill="1" applyBorder="1">
      <alignment horizontal="center" vertical="center"/>
    </xf>
    <xf numFmtId="0" fontId="6" fillId="55" borderId="447" xfId="45" applyBorder="1">
      <alignment horizontal="center" vertical="center"/>
    </xf>
    <xf numFmtId="0" fontId="0" fillId="51" borderId="447" xfId="49" applyFont="1" applyFill="1" applyBorder="1">
      <alignment horizontal="center" vertical="center"/>
    </xf>
    <xf numFmtId="1" fontId="0" fillId="51" borderId="447" xfId="44" applyNumberFormat="1" applyFont="1" applyFill="1" applyBorder="1">
      <alignment horizontal="center" vertical="center"/>
    </xf>
    <xf numFmtId="0" fontId="3" fillId="24" borderId="448" xfId="0" applyFont="1" applyFill="1" applyBorder="1" applyAlignment="1" applyProtection="1">
      <alignment horizontal="left"/>
      <protection locked="0"/>
    </xf>
    <xf numFmtId="0" fontId="3" fillId="24" borderId="448" xfId="0" applyFont="1" applyFill="1" applyBorder="1">
      <alignment horizontal="center" vertical="center"/>
    </xf>
    <xf numFmtId="1" fontId="0" fillId="24" borderId="448" xfId="0" applyNumberFormat="1" applyFill="1" applyBorder="1">
      <alignment horizontal="center" vertical="center"/>
    </xf>
    <xf numFmtId="0" fontId="0" fillId="24" borderId="457" xfId="0" applyFill="1" applyBorder="1">
      <alignment horizontal="center" vertical="center"/>
    </xf>
    <xf numFmtId="0" fontId="0" fillId="55" borderId="422" xfId="0" applyFill="1" applyBorder="1">
      <alignment horizontal="center" vertical="center"/>
    </xf>
    <xf numFmtId="173" fontId="0" fillId="0" borderId="422" xfId="0" applyNumberFormat="1" applyBorder="1">
      <alignment horizontal="center" vertical="center"/>
    </xf>
    <xf numFmtId="0" fontId="0" fillId="43" borderId="422" xfId="0" applyFill="1" applyBorder="1" applyAlignment="1" applyProtection="1">
      <alignment horizontal="center"/>
      <protection locked="0"/>
    </xf>
    <xf numFmtId="0" fontId="0" fillId="51" borderId="422" xfId="0" applyFill="1" applyBorder="1">
      <alignment horizontal="center" vertical="center"/>
    </xf>
    <xf numFmtId="0" fontId="6" fillId="72" borderId="422" xfId="52" applyBorder="1">
      <alignment horizontal="center" vertical="center"/>
    </xf>
    <xf numFmtId="0" fontId="6" fillId="55" borderId="422" xfId="45" applyBorder="1">
      <alignment horizontal="center" vertical="center"/>
    </xf>
    <xf numFmtId="0" fontId="0" fillId="51" borderId="423" xfId="0" applyFill="1" applyBorder="1">
      <alignment horizontal="center" vertical="center"/>
    </xf>
    <xf numFmtId="0" fontId="0" fillId="0" borderId="422" xfId="0" applyBorder="1" applyAlignment="1">
      <alignment vertical="center"/>
    </xf>
    <xf numFmtId="0" fontId="0" fillId="51" borderId="422" xfId="44" applyFont="1" applyFill="1" applyBorder="1">
      <alignment horizontal="center" vertical="center"/>
    </xf>
    <xf numFmtId="0" fontId="0" fillId="51" borderId="422" xfId="48" applyFont="1" applyFill="1" applyBorder="1">
      <alignment horizontal="center" vertical="center"/>
    </xf>
    <xf numFmtId="0" fontId="0" fillId="55" borderId="422" xfId="48" applyFont="1" applyFill="1" applyBorder="1">
      <alignment horizontal="center" vertical="center"/>
    </xf>
    <xf numFmtId="0" fontId="6" fillId="0" borderId="422" xfId="0" applyFont="1" applyBorder="1" applyAlignment="1">
      <alignment horizontal="left" vertical="center"/>
    </xf>
    <xf numFmtId="0" fontId="0" fillId="51" borderId="422" xfId="43" applyFont="1" applyFill="1" applyBorder="1">
      <alignment horizontal="center" vertical="center"/>
    </xf>
    <xf numFmtId="0" fontId="0" fillId="51" borderId="422" xfId="46" applyFont="1" applyFill="1" applyBorder="1">
      <alignment horizontal="center" vertical="center"/>
    </xf>
    <xf numFmtId="0" fontId="6" fillId="52" borderId="422" xfId="48" applyBorder="1">
      <alignment horizontal="center" vertical="center"/>
    </xf>
    <xf numFmtId="0" fontId="0" fillId="51" borderId="448" xfId="44" applyFont="1" applyFill="1" applyBorder="1">
      <alignment horizontal="center" vertical="center"/>
    </xf>
    <xf numFmtId="49" fontId="0" fillId="51" borderId="448" xfId="0" applyNumberFormat="1" applyFill="1" applyBorder="1">
      <alignment horizontal="center" vertical="center"/>
    </xf>
    <xf numFmtId="49" fontId="0" fillId="51" borderId="457" xfId="0" applyNumberFormat="1" applyFill="1" applyBorder="1">
      <alignment horizontal="center" vertical="center"/>
    </xf>
    <xf numFmtId="0" fontId="0" fillId="51" borderId="434" xfId="0" applyFill="1" applyBorder="1">
      <alignment horizontal="center" vertical="center"/>
    </xf>
    <xf numFmtId="0" fontId="3" fillId="0" borderId="459" xfId="0" applyFont="1" applyBorder="1" applyAlignment="1">
      <alignment horizontal="left" vertical="center"/>
    </xf>
    <xf numFmtId="0" fontId="3" fillId="0" borderId="436" xfId="0" applyFont="1" applyBorder="1" applyAlignment="1">
      <alignment vertical="center"/>
    </xf>
    <xf numFmtId="0" fontId="13" fillId="0" borderId="437" xfId="0" applyFont="1" applyBorder="1">
      <alignment horizontal="center" vertical="center"/>
    </xf>
    <xf numFmtId="0" fontId="3" fillId="0" borderId="454" xfId="0" applyFont="1" applyBorder="1" applyAlignment="1">
      <alignment horizontal="left" vertical="center"/>
    </xf>
    <xf numFmtId="0" fontId="13" fillId="0" borderId="452" xfId="0" applyFont="1" applyBorder="1">
      <alignment horizontal="center" vertical="center"/>
    </xf>
    <xf numFmtId="0" fontId="3" fillId="0" borderId="452" xfId="0" applyFont="1" applyBorder="1">
      <alignment horizontal="center" vertical="center"/>
    </xf>
    <xf numFmtId="0" fontId="3" fillId="0" borderId="444" xfId="0" applyFont="1" applyBorder="1" applyAlignment="1">
      <alignment horizontal="left" vertical="center"/>
    </xf>
    <xf numFmtId="0" fontId="0" fillId="0" borderId="436" xfId="0" applyBorder="1" applyAlignment="1">
      <alignment vertical="center"/>
    </xf>
    <xf numFmtId="0" fontId="0" fillId="0" borderId="437" xfId="0" applyBorder="1" applyAlignment="1">
      <alignment horizontal="left" vertical="center"/>
    </xf>
    <xf numFmtId="0" fontId="0" fillId="0" borderId="460" xfId="0" applyBorder="1">
      <alignment horizontal="center" vertical="center"/>
    </xf>
    <xf numFmtId="0" fontId="3" fillId="0" borderId="445" xfId="0" applyFont="1" applyBorder="1" applyAlignment="1">
      <alignment horizontal="left" vertical="center"/>
    </xf>
    <xf numFmtId="0" fontId="0" fillId="0" borderId="446" xfId="0" applyBorder="1">
      <alignment horizontal="center" vertical="center"/>
    </xf>
    <xf numFmtId="0" fontId="0" fillId="0" borderId="441" xfId="0" applyBorder="1" applyAlignment="1">
      <alignment vertical="center"/>
    </xf>
    <xf numFmtId="0" fontId="0" fillId="0" borderId="461" xfId="0" applyBorder="1">
      <alignment horizontal="center" vertical="center"/>
    </xf>
    <xf numFmtId="0" fontId="3" fillId="0" borderId="441" xfId="0" applyFont="1" applyBorder="1">
      <alignment horizontal="center" vertical="center"/>
    </xf>
    <xf numFmtId="0" fontId="0" fillId="0" borderId="446" xfId="0" applyBorder="1" applyAlignment="1">
      <alignment horizontal="left" vertical="center"/>
    </xf>
    <xf numFmtId="0" fontId="13" fillId="0" borderId="446" xfId="0" applyFont="1" applyBorder="1">
      <alignment horizontal="center" vertical="center"/>
    </xf>
    <xf numFmtId="0" fontId="3" fillId="0" borderId="446" xfId="0" applyFont="1" applyBorder="1" applyAlignment="1">
      <alignment horizontal="left" vertical="center"/>
    </xf>
    <xf numFmtId="0" fontId="0" fillId="0" borderId="462" xfId="0" applyBorder="1">
      <alignment horizontal="center" vertical="center"/>
    </xf>
    <xf numFmtId="0" fontId="0" fillId="0" borderId="443" xfId="0" applyBorder="1" applyAlignment="1" applyProtection="1">
      <alignment horizontal="center"/>
      <protection locked="0"/>
    </xf>
    <xf numFmtId="0" fontId="5" fillId="0" borderId="443" xfId="0" applyFont="1" applyBorder="1" applyAlignment="1">
      <alignment horizontal="center"/>
    </xf>
    <xf numFmtId="0" fontId="0" fillId="43" borderId="463" xfId="0" applyFill="1" applyBorder="1" applyAlignment="1" applyProtection="1">
      <alignment horizontal="center"/>
      <protection locked="0"/>
    </xf>
    <xf numFmtId="0" fontId="0" fillId="55" borderId="447" xfId="43" applyFont="1" applyFill="1" applyBorder="1">
      <alignment horizontal="center" vertical="center"/>
    </xf>
    <xf numFmtId="0" fontId="6" fillId="53" borderId="447" xfId="43" applyBorder="1">
      <alignment horizontal="center" vertical="center"/>
    </xf>
    <xf numFmtId="0" fontId="0" fillId="0" borderId="447" xfId="0" applyBorder="1">
      <alignment horizontal="center" vertical="center"/>
    </xf>
    <xf numFmtId="0" fontId="0" fillId="51" borderId="458" xfId="0" applyFill="1" applyBorder="1">
      <alignment horizontal="center" vertical="center"/>
    </xf>
    <xf numFmtId="0" fontId="0" fillId="43" borderId="464" xfId="0" applyFill="1" applyBorder="1" applyAlignment="1" applyProtection="1">
      <alignment horizontal="center"/>
      <protection locked="0"/>
    </xf>
    <xf numFmtId="0" fontId="0" fillId="0" borderId="448" xfId="0" applyBorder="1" applyAlignment="1">
      <alignment horizontal="left" vertical="center"/>
    </xf>
    <xf numFmtId="0" fontId="0" fillId="51" borderId="448" xfId="48" applyFont="1" applyFill="1" applyBorder="1">
      <alignment horizontal="center" vertical="center"/>
    </xf>
    <xf numFmtId="0" fontId="0" fillId="51" borderId="448" xfId="43" applyFont="1" applyFill="1" applyBorder="1">
      <alignment horizontal="center" vertical="center"/>
    </xf>
    <xf numFmtId="0" fontId="0" fillId="53" borderId="432" xfId="0" applyFill="1" applyBorder="1">
      <alignment horizontal="center" vertical="center"/>
    </xf>
    <xf numFmtId="0" fontId="0" fillId="53" borderId="448" xfId="44" applyFont="1" applyFill="1" applyBorder="1">
      <alignment horizontal="center" vertical="center"/>
    </xf>
    <xf numFmtId="49" fontId="0" fillId="53" borderId="448" xfId="0" applyNumberFormat="1" applyFill="1" applyBorder="1">
      <alignment horizontal="center" vertical="center"/>
    </xf>
    <xf numFmtId="49" fontId="0" fillId="53" borderId="457" xfId="0" applyNumberFormat="1" applyFill="1" applyBorder="1">
      <alignment horizontal="center" vertical="center"/>
    </xf>
    <xf numFmtId="49" fontId="0" fillId="51" borderId="447" xfId="0" applyNumberFormat="1" applyFill="1" applyBorder="1">
      <alignment horizontal="center" vertical="center"/>
    </xf>
    <xf numFmtId="0" fontId="0" fillId="51" borderId="447" xfId="48" applyFont="1" applyFill="1" applyBorder="1">
      <alignment horizontal="center" vertical="center"/>
    </xf>
    <xf numFmtId="0" fontId="0" fillId="51" borderId="447" xfId="45" applyFont="1" applyFill="1" applyBorder="1">
      <alignment horizontal="center" vertical="center"/>
    </xf>
    <xf numFmtId="49" fontId="0" fillId="51" borderId="458" xfId="0" applyNumberFormat="1" applyFill="1" applyBorder="1">
      <alignment horizontal="center" vertical="center"/>
    </xf>
    <xf numFmtId="0" fontId="0" fillId="51" borderId="422" xfId="0" applyFill="1" applyBorder="1" applyAlignment="1">
      <alignment horizontal="left" vertical="center"/>
    </xf>
    <xf numFmtId="0" fontId="0" fillId="51" borderId="447" xfId="0" applyFill="1" applyBorder="1">
      <alignment horizontal="center" vertical="center"/>
    </xf>
    <xf numFmtId="0" fontId="0" fillId="53" borderId="447" xfId="44" applyFont="1" applyFill="1" applyBorder="1">
      <alignment horizontal="center" vertical="center"/>
    </xf>
    <xf numFmtId="0" fontId="0" fillId="53" borderId="447" xfId="46" applyFont="1" applyFill="1" applyBorder="1">
      <alignment horizontal="center" vertical="center"/>
    </xf>
    <xf numFmtId="49" fontId="0" fillId="54" borderId="448" xfId="0" applyNumberFormat="1" applyFill="1" applyBorder="1">
      <alignment horizontal="center" vertical="center"/>
    </xf>
    <xf numFmtId="0" fontId="0" fillId="54" borderId="448" xfId="0" applyFill="1" applyBorder="1">
      <alignment horizontal="center" vertical="center"/>
    </xf>
    <xf numFmtId="0" fontId="0" fillId="0" borderId="434" xfId="0" applyBorder="1" applyAlignment="1">
      <alignment vertical="center"/>
    </xf>
    <xf numFmtId="49" fontId="0" fillId="80" borderId="447" xfId="0" applyNumberFormat="1" applyFill="1" applyBorder="1">
      <alignment horizontal="center" vertical="center"/>
    </xf>
    <xf numFmtId="0" fontId="0" fillId="53" borderId="448" xfId="0" applyFill="1" applyBorder="1">
      <alignment horizontal="center" vertical="center"/>
    </xf>
    <xf numFmtId="0" fontId="0" fillId="0" borderId="448" xfId="0" applyBorder="1">
      <alignment horizontal="center" vertical="center"/>
    </xf>
    <xf numFmtId="0" fontId="0" fillId="55" borderId="448" xfId="0" applyFill="1" applyBorder="1">
      <alignment horizontal="center" vertical="center"/>
    </xf>
    <xf numFmtId="0" fontId="6" fillId="52" borderId="457" xfId="48" applyBorder="1">
      <alignment horizontal="center" vertical="center"/>
    </xf>
    <xf numFmtId="49" fontId="0" fillId="86" borderId="447" xfId="0" applyNumberFormat="1" applyFill="1" applyBorder="1">
      <alignment horizontal="center" vertical="center"/>
    </xf>
    <xf numFmtId="0" fontId="0" fillId="86" borderId="447" xfId="44" applyFont="1" applyFill="1" applyBorder="1">
      <alignment horizontal="center" vertical="center"/>
    </xf>
    <xf numFmtId="0" fontId="6" fillId="72" borderId="447" xfId="52" applyBorder="1">
      <alignment horizontal="center" vertical="center"/>
    </xf>
    <xf numFmtId="0" fontId="6" fillId="55" borderId="448" xfId="45" applyBorder="1">
      <alignment horizontal="center" vertical="center"/>
    </xf>
    <xf numFmtId="0" fontId="3" fillId="0" borderId="447" xfId="0" applyFont="1" applyBorder="1" applyAlignment="1">
      <alignment horizontal="center"/>
    </xf>
    <xf numFmtId="0" fontId="6" fillId="0" borderId="447" xfId="0" applyFont="1" applyBorder="1">
      <alignment horizontal="center" vertical="center"/>
    </xf>
    <xf numFmtId="0" fontId="0" fillId="0" borderId="443" xfId="0" applyBorder="1">
      <alignment horizontal="center" vertical="center"/>
    </xf>
    <xf numFmtId="0" fontId="3" fillId="0" borderId="443" xfId="0" applyFont="1" applyBorder="1" applyAlignment="1">
      <alignment horizontal="center"/>
    </xf>
    <xf numFmtId="0" fontId="5" fillId="0" borderId="447" xfId="0" applyFont="1" applyBorder="1" applyAlignment="1">
      <alignment horizontal="left"/>
    </xf>
    <xf numFmtId="0" fontId="6" fillId="0" borderId="436" xfId="0" applyFont="1" applyBorder="1">
      <alignment horizontal="center" vertical="center"/>
    </xf>
    <xf numFmtId="0" fontId="0" fillId="0" borderId="447" xfId="0" applyBorder="1" applyAlignment="1">
      <alignment horizontal="center"/>
    </xf>
    <xf numFmtId="0" fontId="0" fillId="43" borderId="436" xfId="0" applyFill="1" applyBorder="1" applyAlignment="1" applyProtection="1">
      <alignment horizontal="center"/>
      <protection locked="0"/>
    </xf>
    <xf numFmtId="0" fontId="0" fillId="0" borderId="436" xfId="0" applyBorder="1" applyAlignment="1">
      <alignment horizontal="left"/>
    </xf>
    <xf numFmtId="0" fontId="0" fillId="0" borderId="437" xfId="0" applyBorder="1" applyAlignment="1">
      <alignment horizontal="left"/>
    </xf>
    <xf numFmtId="0" fontId="0" fillId="0" borderId="454" xfId="0" applyBorder="1" applyAlignment="1">
      <alignment horizontal="left"/>
    </xf>
    <xf numFmtId="0" fontId="0" fillId="0" borderId="452" xfId="0" applyBorder="1" applyAlignment="1">
      <alignment horizontal="left"/>
    </xf>
    <xf numFmtId="0" fontId="6" fillId="0" borderId="453" xfId="0" applyFont="1" applyBorder="1" applyAlignment="1">
      <alignment horizontal="left"/>
    </xf>
    <xf numFmtId="0" fontId="6" fillId="0" borderId="452" xfId="0" applyFont="1" applyBorder="1" applyAlignment="1">
      <alignment horizontal="left"/>
    </xf>
    <xf numFmtId="0" fontId="6" fillId="0" borderId="438" xfId="0" applyFont="1" applyBorder="1" applyAlignment="1">
      <alignment horizontal="left"/>
    </xf>
    <xf numFmtId="0" fontId="5" fillId="0" borderId="436" xfId="0" applyFont="1" applyBorder="1" applyAlignment="1">
      <alignment horizontal="left"/>
    </xf>
    <xf numFmtId="0" fontId="21" fillId="0" borderId="447" xfId="0" applyFont="1" applyBorder="1" applyAlignment="1" applyProtection="1">
      <alignment horizontal="center"/>
      <protection locked="0"/>
    </xf>
    <xf numFmtId="0" fontId="0" fillId="0" borderId="447" xfId="0" applyBorder="1" applyAlignment="1">
      <alignment horizontal="left"/>
    </xf>
    <xf numFmtId="0" fontId="6" fillId="0" borderId="447" xfId="0" applyFont="1" applyBorder="1" applyAlignment="1">
      <alignment horizontal="left"/>
    </xf>
    <xf numFmtId="0" fontId="3" fillId="0" borderId="448" xfId="0" applyFont="1" applyBorder="1" applyAlignment="1" applyProtection="1">
      <alignment horizontal="center"/>
      <protection locked="0"/>
    </xf>
    <xf numFmtId="0" fontId="6" fillId="69" borderId="432" xfId="44" applyBorder="1">
      <alignment horizontal="center" vertical="center"/>
    </xf>
    <xf numFmtId="0" fontId="0" fillId="0" borderId="434" xfId="0" applyBorder="1" applyAlignment="1">
      <alignment horizontal="left" vertical="center"/>
    </xf>
    <xf numFmtId="0" fontId="0" fillId="51" borderId="434" xfId="43" applyFont="1" applyFill="1" applyBorder="1">
      <alignment horizontal="center" vertical="center"/>
    </xf>
    <xf numFmtId="0" fontId="6" fillId="55" borderId="434" xfId="45" applyBorder="1">
      <alignment horizontal="center" vertical="center"/>
    </xf>
    <xf numFmtId="0" fontId="0" fillId="51" borderId="434" xfId="51" applyFont="1" applyFill="1" applyBorder="1">
      <alignment horizontal="center" vertical="center"/>
    </xf>
    <xf numFmtId="0" fontId="0" fillId="0" borderId="434" xfId="0" applyBorder="1">
      <alignment horizontal="center" vertical="center"/>
    </xf>
    <xf numFmtId="0" fontId="6" fillId="51" borderId="434" xfId="48" applyFill="1" applyBorder="1">
      <alignment horizontal="center" vertical="center"/>
    </xf>
    <xf numFmtId="0" fontId="0" fillId="55" borderId="434" xfId="51" applyFont="1" applyFill="1" applyBorder="1">
      <alignment horizontal="center" vertical="center"/>
    </xf>
    <xf numFmtId="0" fontId="0" fillId="55" borderId="434" xfId="0" applyFill="1" applyBorder="1">
      <alignment horizontal="center" vertical="center"/>
    </xf>
    <xf numFmtId="0" fontId="6" fillId="55" borderId="432" xfId="45" applyBorder="1">
      <alignment horizontal="center" vertical="center"/>
    </xf>
    <xf numFmtId="0" fontId="0" fillId="51" borderId="434" xfId="48" applyFont="1" applyFill="1" applyBorder="1">
      <alignment horizontal="center" vertical="center"/>
    </xf>
    <xf numFmtId="0" fontId="6" fillId="54" borderId="434" xfId="50" applyBorder="1">
      <alignment horizontal="center" vertical="center"/>
    </xf>
    <xf numFmtId="0" fontId="0" fillId="51" borderId="434" xfId="0" applyFill="1" applyBorder="1" applyAlignment="1">
      <alignment horizontal="left" vertical="center"/>
    </xf>
    <xf numFmtId="0" fontId="0" fillId="51" borderId="448" xfId="51" applyFont="1" applyFill="1" applyBorder="1">
      <alignment horizontal="center" vertical="center"/>
    </xf>
    <xf numFmtId="49" fontId="0" fillId="55" borderId="432" xfId="0" applyNumberFormat="1" applyFill="1" applyBorder="1">
      <alignment horizontal="center" vertical="center"/>
    </xf>
    <xf numFmtId="0" fontId="0" fillId="55" borderId="434" xfId="48" applyFont="1" applyFill="1" applyBorder="1">
      <alignment horizontal="center" vertical="center"/>
    </xf>
    <xf numFmtId="0" fontId="0" fillId="70" borderId="434" xfId="43" applyFont="1" applyFill="1" applyBorder="1">
      <alignment horizontal="center" vertical="center"/>
    </xf>
    <xf numFmtId="0" fontId="6" fillId="58" borderId="434" xfId="33" applyBorder="1">
      <alignment horizontal="center" vertical="center"/>
    </xf>
    <xf numFmtId="0" fontId="0" fillId="51" borderId="431" xfId="0" applyFill="1" applyBorder="1" applyAlignment="1">
      <alignment horizontal="left" vertical="center"/>
    </xf>
    <xf numFmtId="0" fontId="0" fillId="53" borderId="447" xfId="43" applyFont="1" applyBorder="1">
      <alignment horizontal="center" vertical="center"/>
    </xf>
    <xf numFmtId="173" fontId="0" fillId="0" borderId="434" xfId="0" applyNumberFormat="1" applyBorder="1">
      <alignment horizontal="center" vertical="center"/>
    </xf>
    <xf numFmtId="0" fontId="0" fillId="0" borderId="431" xfId="0" applyBorder="1" applyAlignment="1">
      <alignment horizontal="left" vertical="center"/>
    </xf>
    <xf numFmtId="49" fontId="0" fillId="51" borderId="465" xfId="0" applyNumberFormat="1" applyFill="1" applyBorder="1">
      <alignment horizontal="center" vertical="center"/>
    </xf>
    <xf numFmtId="0" fontId="0" fillId="51" borderId="431" xfId="0" applyFill="1" applyBorder="1">
      <alignment horizontal="center" vertical="center"/>
    </xf>
    <xf numFmtId="0" fontId="0" fillId="0" borderId="465" xfId="0" applyBorder="1">
      <alignment horizontal="center" vertical="center"/>
    </xf>
    <xf numFmtId="0" fontId="6" fillId="55" borderId="465" xfId="45" applyBorder="1">
      <alignment horizontal="center" vertical="center"/>
    </xf>
    <xf numFmtId="0" fontId="6" fillId="55" borderId="431" xfId="45" applyBorder="1">
      <alignment horizontal="center" vertical="center"/>
    </xf>
    <xf numFmtId="49" fontId="0" fillId="55" borderId="465" xfId="0" applyNumberFormat="1" applyFill="1" applyBorder="1">
      <alignment horizontal="center" vertical="center"/>
    </xf>
    <xf numFmtId="49" fontId="0" fillId="57" borderId="422" xfId="0" applyNumberFormat="1" applyFill="1" applyBorder="1">
      <alignment horizontal="center" vertical="center"/>
    </xf>
    <xf numFmtId="49" fontId="0" fillId="51" borderId="422" xfId="0" applyNumberFormat="1" applyFill="1" applyBorder="1">
      <alignment horizontal="center" vertical="center"/>
    </xf>
    <xf numFmtId="0" fontId="0" fillId="57" borderId="422" xfId="0" applyFill="1" applyBorder="1">
      <alignment horizontal="center" vertical="center"/>
    </xf>
    <xf numFmtId="0" fontId="64" fillId="0" borderId="422" xfId="0" applyFont="1" applyBorder="1" applyAlignment="1">
      <alignment horizontal="left" vertical="center"/>
    </xf>
    <xf numFmtId="0" fontId="44" fillId="51" borderId="431" xfId="0" applyFont="1" applyFill="1" applyBorder="1" applyAlignment="1">
      <alignment horizontal="left" vertical="center"/>
    </xf>
    <xf numFmtId="0" fontId="0" fillId="51" borderId="466" xfId="0" applyFill="1" applyBorder="1">
      <alignment horizontal="center" vertical="center"/>
    </xf>
    <xf numFmtId="0" fontId="0" fillId="70" borderId="466" xfId="0" applyFill="1" applyBorder="1">
      <alignment horizontal="center" vertical="center"/>
    </xf>
    <xf numFmtId="0" fontId="0" fillId="51" borderId="467" xfId="0" applyFill="1" applyBorder="1">
      <alignment horizontal="center" vertical="center"/>
    </xf>
    <xf numFmtId="0" fontId="18" fillId="0" borderId="434" xfId="0" applyFont="1" applyBorder="1" applyAlignment="1" applyProtection="1">
      <alignment horizontal="center"/>
      <protection locked="0"/>
    </xf>
    <xf numFmtId="49" fontId="0" fillId="51" borderId="468" xfId="0" applyNumberFormat="1" applyFill="1" applyBorder="1">
      <alignment horizontal="center" vertical="center"/>
    </xf>
    <xf numFmtId="0" fontId="18" fillId="0" borderId="435" xfId="0" applyFont="1" applyBorder="1" applyAlignment="1" applyProtection="1">
      <alignment horizontal="center"/>
      <protection locked="0"/>
    </xf>
    <xf numFmtId="0" fontId="0" fillId="51" borderId="435" xfId="0" applyFill="1" applyBorder="1" applyAlignment="1">
      <alignment horizontal="left" vertical="center"/>
    </xf>
    <xf numFmtId="0" fontId="0" fillId="51" borderId="435" xfId="0" applyFill="1" applyBorder="1">
      <alignment horizontal="center" vertical="center"/>
    </xf>
    <xf numFmtId="1" fontId="0" fillId="51" borderId="435" xfId="32" applyNumberFormat="1" applyFont="1" applyFill="1" applyBorder="1" applyAlignment="1">
      <alignment horizontal="center" vertical="center"/>
    </xf>
    <xf numFmtId="49" fontId="0" fillId="51" borderId="435" xfId="0" applyNumberFormat="1" applyFill="1" applyBorder="1">
      <alignment horizontal="center" vertical="center"/>
    </xf>
    <xf numFmtId="0" fontId="0" fillId="51" borderId="469" xfId="0" applyFill="1" applyBorder="1">
      <alignment horizontal="center" vertical="center"/>
    </xf>
    <xf numFmtId="0" fontId="3" fillId="0" borderId="443" xfId="0" applyFont="1" applyBorder="1" applyAlignment="1" applyProtection="1">
      <alignment horizontal="center"/>
      <protection locked="0"/>
    </xf>
    <xf numFmtId="0" fontId="0" fillId="51" borderId="447" xfId="47" applyFont="1" applyFill="1" applyBorder="1">
      <alignment horizontal="center" vertical="center"/>
    </xf>
    <xf numFmtId="0" fontId="0" fillId="51" borderId="458" xfId="47" applyFont="1" applyFill="1" applyBorder="1">
      <alignment horizontal="center" vertical="center"/>
    </xf>
    <xf numFmtId="0" fontId="3" fillId="0" borderId="447" xfId="0" applyFont="1" applyBorder="1" applyAlignment="1" applyProtection="1">
      <alignment horizontal="center"/>
      <protection locked="0"/>
    </xf>
    <xf numFmtId="0" fontId="0" fillId="51" borderId="448" xfId="47" applyFont="1" applyFill="1" applyBorder="1">
      <alignment horizontal="center" vertical="center"/>
    </xf>
    <xf numFmtId="0" fontId="0" fillId="0" borderId="444" xfId="0" applyBorder="1">
      <alignment horizontal="center" vertical="center"/>
    </xf>
    <xf numFmtId="0" fontId="0" fillId="0" borderId="436" xfId="0" applyBorder="1">
      <alignment horizontal="center" vertical="center"/>
    </xf>
    <xf numFmtId="0" fontId="0" fillId="0" borderId="439" xfId="0" applyBorder="1">
      <alignment horizontal="center" vertical="center"/>
    </xf>
    <xf numFmtId="0" fontId="0" fillId="0" borderId="445" xfId="0" applyBorder="1">
      <alignment horizontal="center" vertical="center"/>
    </xf>
    <xf numFmtId="0" fontId="0" fillId="0" borderId="441" xfId="0" applyBorder="1">
      <alignment horizontal="center" vertical="center"/>
    </xf>
    <xf numFmtId="0" fontId="0" fillId="0" borderId="440" xfId="0" applyBorder="1">
      <alignment horizontal="center" vertical="center"/>
    </xf>
    <xf numFmtId="0" fontId="0" fillId="0" borderId="470" xfId="0" applyBorder="1">
      <alignment horizontal="center" vertical="center"/>
    </xf>
    <xf numFmtId="0" fontId="3" fillId="43" borderId="447" xfId="0" applyFont="1" applyFill="1" applyBorder="1" applyAlignment="1">
      <alignment horizontal="center"/>
    </xf>
    <xf numFmtId="0" fontId="0" fillId="0" borderId="447" xfId="0" applyBorder="1" applyAlignment="1">
      <alignment vertical="center"/>
    </xf>
    <xf numFmtId="0" fontId="0" fillId="51" borderId="447" xfId="20" applyNumberFormat="1" applyFont="1" applyFill="1" applyBorder="1" applyAlignment="1">
      <alignment horizontal="center" vertical="center"/>
    </xf>
    <xf numFmtId="0" fontId="0" fillId="55" borderId="447" xfId="0" applyFill="1" applyBorder="1">
      <alignment horizontal="center" vertical="center"/>
    </xf>
    <xf numFmtId="0" fontId="0" fillId="51" borderId="458" xfId="20" applyNumberFormat="1" applyFont="1" applyFill="1" applyBorder="1" applyAlignment="1">
      <alignment horizontal="center" vertical="center"/>
    </xf>
    <xf numFmtId="0" fontId="0" fillId="51" borderId="447" xfId="34" applyNumberFormat="1" applyFont="1" applyFill="1" applyBorder="1" applyAlignment="1">
      <alignment horizontal="center" vertical="center"/>
    </xf>
    <xf numFmtId="0" fontId="0" fillId="51" borderId="447" xfId="51" applyFont="1" applyFill="1" applyBorder="1">
      <alignment horizontal="center" vertical="center"/>
    </xf>
    <xf numFmtId="0" fontId="3" fillId="43" borderId="448" xfId="0" applyFont="1" applyFill="1" applyBorder="1" applyAlignment="1">
      <alignment horizontal="center"/>
    </xf>
    <xf numFmtId="0" fontId="0" fillId="0" borderId="448" xfId="0" applyBorder="1" applyAlignment="1">
      <alignment vertical="center"/>
    </xf>
    <xf numFmtId="0" fontId="3" fillId="0" borderId="463" xfId="0" applyFont="1" applyBorder="1" applyAlignment="1">
      <alignment horizontal="center"/>
    </xf>
    <xf numFmtId="0" fontId="6" fillId="0" borderId="436" xfId="0" applyFont="1" applyBorder="1" applyAlignment="1">
      <alignment horizontal="left" vertical="center"/>
    </xf>
    <xf numFmtId="0" fontId="6" fillId="0" borderId="437" xfId="0" applyFont="1" applyBorder="1" applyAlignment="1">
      <alignment horizontal="left" vertical="center"/>
    </xf>
    <xf numFmtId="0" fontId="6" fillId="0" borderId="455" xfId="0" applyFont="1" applyBorder="1" applyAlignment="1">
      <alignment horizontal="left" vertical="center"/>
    </xf>
    <xf numFmtId="0" fontId="0" fillId="0" borderId="444" xfId="0" applyBorder="1" applyAlignment="1">
      <alignment horizontal="center"/>
    </xf>
    <xf numFmtId="0" fontId="3" fillId="0" borderId="436" xfId="0" applyFont="1" applyBorder="1" applyAlignment="1">
      <alignment horizontal="left"/>
    </xf>
    <xf numFmtId="0" fontId="0" fillId="0" borderId="437" xfId="0" applyBorder="1" applyAlignment="1"/>
    <xf numFmtId="0" fontId="0" fillId="0" borderId="438" xfId="0" applyBorder="1" applyAlignment="1">
      <alignment horizontal="left"/>
    </xf>
    <xf numFmtId="0" fontId="3" fillId="0" borderId="437" xfId="0" applyFont="1" applyBorder="1" applyAlignment="1"/>
    <xf numFmtId="0" fontId="3" fillId="0" borderId="438" xfId="0" applyFont="1" applyBorder="1" applyAlignment="1">
      <alignment horizontal="left"/>
    </xf>
    <xf numFmtId="0" fontId="0" fillId="0" borderId="436" xfId="0" applyBorder="1" applyAlignment="1">
      <alignment horizontal="center"/>
    </xf>
    <xf numFmtId="0" fontId="0" fillId="0" borderId="455" xfId="0" applyBorder="1" applyAlignment="1"/>
    <xf numFmtId="0" fontId="3" fillId="0" borderId="454" xfId="0" applyFont="1" applyBorder="1" applyAlignment="1">
      <alignment horizontal="left"/>
    </xf>
    <xf numFmtId="0" fontId="0" fillId="0" borderId="452" xfId="0" applyBorder="1" applyAlignment="1"/>
    <xf numFmtId="0" fontId="0" fillId="0" borderId="453" xfId="0" applyBorder="1" applyAlignment="1">
      <alignment horizontal="left"/>
    </xf>
    <xf numFmtId="0" fontId="8" fillId="0" borderId="454" xfId="0" applyFont="1" applyBorder="1" applyAlignment="1">
      <alignment horizontal="center"/>
    </xf>
    <xf numFmtId="0" fontId="0" fillId="0" borderId="460" xfId="0" applyBorder="1" applyAlignment="1"/>
    <xf numFmtId="0" fontId="0" fillId="0" borderId="445" xfId="0" applyBorder="1" applyAlignment="1">
      <alignment horizontal="center"/>
    </xf>
    <xf numFmtId="0" fontId="3" fillId="0" borderId="441" xfId="0" applyFont="1" applyBorder="1" applyAlignment="1">
      <alignment horizontal="left"/>
    </xf>
    <xf numFmtId="0" fontId="6" fillId="0" borderId="446" xfId="0" applyFont="1" applyBorder="1" applyAlignment="1">
      <alignment horizontal="left" vertical="center"/>
    </xf>
    <xf numFmtId="0" fontId="6" fillId="0" borderId="446" xfId="0" applyFont="1" applyBorder="1">
      <alignment horizontal="center" vertical="center"/>
    </xf>
    <xf numFmtId="0" fontId="6" fillId="0" borderId="461" xfId="0" applyFont="1" applyBorder="1">
      <alignment horizontal="center" vertical="center"/>
    </xf>
    <xf numFmtId="0" fontId="6" fillId="0" borderId="441" xfId="0" applyFont="1" applyBorder="1" applyAlignment="1">
      <alignment horizontal="left" vertical="center"/>
    </xf>
    <xf numFmtId="0" fontId="6" fillId="0" borderId="446" xfId="0" applyFont="1" applyBorder="1" applyAlignment="1">
      <alignment horizontal="left"/>
    </xf>
    <xf numFmtId="0" fontId="6" fillId="0" borderId="461" xfId="0" applyFont="1" applyBorder="1" applyAlignment="1">
      <alignment horizontal="left" vertical="center"/>
    </xf>
    <xf numFmtId="0" fontId="0" fillId="0" borderId="446" xfId="0" applyBorder="1" applyAlignment="1">
      <alignment horizontal="left"/>
    </xf>
    <xf numFmtId="0" fontId="0" fillId="0" borderId="462" xfId="0" applyBorder="1" applyAlignment="1"/>
    <xf numFmtId="0" fontId="0" fillId="51" borderId="447" xfId="0" applyFill="1" applyBorder="1" applyAlignment="1">
      <alignment horizontal="left" vertical="center"/>
    </xf>
    <xf numFmtId="0" fontId="0" fillId="51" borderId="458" xfId="44" applyFont="1" applyFill="1" applyBorder="1">
      <alignment horizontal="center" vertical="center"/>
    </xf>
    <xf numFmtId="0" fontId="0" fillId="57" borderId="447" xfId="51" applyFont="1" applyFill="1" applyBorder="1">
      <alignment horizontal="center" vertical="center"/>
    </xf>
    <xf numFmtId="0" fontId="0" fillId="58" borderId="447" xfId="51" applyFont="1" applyFill="1" applyBorder="1">
      <alignment horizontal="center" vertical="center"/>
    </xf>
    <xf numFmtId="0" fontId="0" fillId="51" borderId="458" xfId="51" applyFont="1" applyFill="1" applyBorder="1">
      <alignment horizontal="center" vertical="center"/>
    </xf>
    <xf numFmtId="0" fontId="0" fillId="51" borderId="458" xfId="48" applyFont="1" applyFill="1" applyBorder="1">
      <alignment horizontal="center" vertical="center"/>
    </xf>
    <xf numFmtId="0" fontId="0" fillId="51" borderId="448" xfId="0" applyFill="1" applyBorder="1" applyAlignment="1">
      <alignment horizontal="left" vertical="center"/>
    </xf>
    <xf numFmtId="0" fontId="0" fillId="80" borderId="448" xfId="32" applyFont="1" applyFill="1" applyBorder="1" applyAlignment="1">
      <alignment horizontal="center" vertical="center"/>
    </xf>
    <xf numFmtId="0" fontId="0" fillId="71" borderId="448" xfId="47" applyFont="1" applyFill="1" applyBorder="1">
      <alignment horizontal="center" vertical="center"/>
    </xf>
    <xf numFmtId="0" fontId="0" fillId="51" borderId="457" xfId="48" applyFont="1" applyFill="1" applyBorder="1">
      <alignment horizontal="center" vertical="center"/>
    </xf>
    <xf numFmtId="0" fontId="0" fillId="0" borderId="441" xfId="0" applyBorder="1" applyAlignment="1">
      <alignment horizontal="left"/>
    </xf>
    <xf numFmtId="0" fontId="0" fillId="0" borderId="446" xfId="0" applyBorder="1" applyAlignment="1"/>
    <xf numFmtId="0" fontId="0" fillId="0" borderId="461" xfId="0" applyBorder="1" applyAlignment="1">
      <alignment horizontal="left"/>
    </xf>
    <xf numFmtId="0" fontId="0" fillId="0" borderId="441" xfId="0" applyBorder="1" applyAlignment="1">
      <alignment horizontal="center"/>
    </xf>
    <xf numFmtId="0" fontId="2" fillId="0" borderId="436" xfId="0" applyFont="1" applyBorder="1" applyAlignment="1">
      <alignment horizontal="left"/>
    </xf>
    <xf numFmtId="0" fontId="3" fillId="0" borderId="437" xfId="0" applyFont="1" applyBorder="1">
      <alignment horizontal="center" vertical="center"/>
    </xf>
    <xf numFmtId="167" fontId="8" fillId="0" borderId="441" xfId="0" applyNumberFormat="1" applyFont="1" applyBorder="1" applyAlignment="1">
      <alignment horizontal="center"/>
    </xf>
    <xf numFmtId="0" fontId="6" fillId="51" borderId="447" xfId="0" applyFont="1" applyFill="1" applyBorder="1" applyAlignment="1">
      <alignment vertical="center"/>
    </xf>
    <xf numFmtId="0" fontId="0" fillId="51" borderId="447" xfId="0" applyFill="1" applyBorder="1" applyAlignment="1">
      <alignment vertical="center"/>
    </xf>
    <xf numFmtId="0" fontId="6" fillId="54" borderId="447" xfId="50" applyBorder="1">
      <alignment horizontal="center" vertical="center"/>
    </xf>
    <xf numFmtId="0" fontId="0" fillId="53" borderId="447" xfId="0" applyFill="1" applyBorder="1">
      <alignment horizontal="center" vertical="center"/>
    </xf>
    <xf numFmtId="0" fontId="6" fillId="53" borderId="447" xfId="45" applyFill="1" applyBorder="1">
      <alignment horizontal="center" vertical="center"/>
    </xf>
    <xf numFmtId="0" fontId="6" fillId="52" borderId="458" xfId="48" applyBorder="1">
      <alignment horizontal="center" vertical="center"/>
    </xf>
    <xf numFmtId="0" fontId="2" fillId="0" borderId="427" xfId="0" applyFont="1" applyBorder="1" applyAlignment="1">
      <alignment horizontal="left" vertical="center"/>
    </xf>
    <xf numFmtId="0" fontId="2" fillId="0" borderId="427" xfId="0" applyFont="1" applyBorder="1">
      <alignment horizontal="center" vertical="center"/>
    </xf>
    <xf numFmtId="0" fontId="2" fillId="0" borderId="428" xfId="0" applyFont="1" applyBorder="1">
      <alignment horizontal="center" vertical="center"/>
    </xf>
    <xf numFmtId="0" fontId="6" fillId="0" borderId="427" xfId="0" applyFont="1" applyBorder="1">
      <alignment horizontal="center" vertical="center"/>
    </xf>
    <xf numFmtId="0" fontId="6" fillId="0" borderId="428" xfId="0" applyFont="1" applyBorder="1">
      <alignment horizontal="center" vertical="center"/>
    </xf>
    <xf numFmtId="0" fontId="8" fillId="0" borderId="427" xfId="0" applyFont="1" applyBorder="1">
      <alignment horizontal="center" vertical="center"/>
    </xf>
    <xf numFmtId="0" fontId="0" fillId="51" borderId="432" xfId="48" applyFont="1" applyFill="1" applyBorder="1">
      <alignment horizontal="center" vertical="center"/>
    </xf>
    <xf numFmtId="49" fontId="0" fillId="53" borderId="422" xfId="0" applyNumberFormat="1" applyFill="1" applyBorder="1">
      <alignment horizontal="center" vertical="center"/>
    </xf>
    <xf numFmtId="49" fontId="0" fillId="52" borderId="422" xfId="0" applyNumberFormat="1" applyFill="1" applyBorder="1">
      <alignment horizontal="center" vertical="center"/>
    </xf>
    <xf numFmtId="49" fontId="0" fillId="53" borderId="423" xfId="0" applyNumberFormat="1" applyFill="1" applyBorder="1">
      <alignment horizontal="center" vertical="center"/>
    </xf>
    <xf numFmtId="0" fontId="6" fillId="51" borderId="423" xfId="43" applyFill="1" applyBorder="1">
      <alignment horizontal="center" vertical="center"/>
    </xf>
    <xf numFmtId="0" fontId="6" fillId="51" borderId="150" xfId="33" applyFill="1" applyBorder="1">
      <alignment horizontal="center" vertical="center"/>
    </xf>
    <xf numFmtId="0" fontId="3" fillId="0" borderId="422" xfId="0" applyFont="1" applyBorder="1" applyAlignment="1">
      <alignment horizontal="center"/>
    </xf>
    <xf numFmtId="0" fontId="2" fillId="0" borderId="422" xfId="0" applyFont="1" applyBorder="1" applyAlignment="1">
      <alignment horizontal="center"/>
    </xf>
    <xf numFmtId="0" fontId="0" fillId="69" borderId="422" xfId="48" applyFont="1" applyFill="1" applyBorder="1">
      <alignment horizontal="center" vertical="center"/>
    </xf>
    <xf numFmtId="0" fontId="6" fillId="69" borderId="442" xfId="44" applyBorder="1">
      <alignment horizontal="center" vertical="center"/>
    </xf>
    <xf numFmtId="0" fontId="6" fillId="72" borderId="442" xfId="52" applyBorder="1">
      <alignment horizontal="center" vertical="center"/>
    </xf>
    <xf numFmtId="0" fontId="0" fillId="52" borderId="422" xfId="48" applyFont="1" applyBorder="1">
      <alignment horizontal="center" vertical="center"/>
    </xf>
    <xf numFmtId="0" fontId="6" fillId="53" borderId="442" xfId="43" applyBorder="1">
      <alignment horizontal="center" vertical="center"/>
    </xf>
    <xf numFmtId="0" fontId="0" fillId="53" borderId="422" xfId="0" applyFill="1" applyBorder="1">
      <alignment horizontal="center" vertical="center"/>
    </xf>
    <xf numFmtId="0" fontId="6" fillId="51" borderId="447" xfId="43" applyFill="1" applyBorder="1">
      <alignment horizontal="center" vertical="center"/>
    </xf>
    <xf numFmtId="1" fontId="0" fillId="53" borderId="447" xfId="0" applyNumberFormat="1" applyFill="1" applyBorder="1">
      <alignment horizontal="center" vertical="center"/>
    </xf>
    <xf numFmtId="1" fontId="0" fillId="53" borderId="447" xfId="32" applyNumberFormat="1" applyFont="1" applyFill="1" applyBorder="1" applyAlignment="1">
      <alignment horizontal="center" vertical="center"/>
    </xf>
    <xf numFmtId="0" fontId="0" fillId="69" borderId="422" xfId="0" applyFill="1" applyBorder="1">
      <alignment horizontal="center" vertical="center"/>
    </xf>
    <xf numFmtId="0" fontId="6" fillId="53" borderId="448" xfId="43" applyBorder="1">
      <alignment horizontal="center" vertical="center"/>
    </xf>
    <xf numFmtId="0" fontId="0" fillId="53" borderId="448" xfId="48" applyFont="1" applyFill="1" applyBorder="1">
      <alignment horizontal="center" vertical="center"/>
    </xf>
    <xf numFmtId="0" fontId="0" fillId="55" borderId="447" xfId="48" applyFont="1" applyFill="1" applyBorder="1">
      <alignment horizontal="center" vertical="center"/>
    </xf>
    <xf numFmtId="0" fontId="0" fillId="54" borderId="448" xfId="48" applyFont="1" applyFill="1" applyBorder="1">
      <alignment horizontal="center" vertical="center"/>
    </xf>
    <xf numFmtId="0" fontId="6" fillId="54" borderId="448" xfId="50" applyBorder="1">
      <alignment horizontal="center" vertical="center"/>
    </xf>
    <xf numFmtId="0" fontId="6" fillId="51" borderId="448" xfId="50" applyFill="1" applyBorder="1">
      <alignment horizontal="center" vertical="center"/>
    </xf>
    <xf numFmtId="0" fontId="6" fillId="51" borderId="448" xfId="48" applyFill="1" applyBorder="1">
      <alignment horizontal="center" vertical="center"/>
    </xf>
    <xf numFmtId="0" fontId="0" fillId="80" borderId="447" xfId="46" applyFont="1" applyFill="1" applyBorder="1">
      <alignment horizontal="center" vertical="center"/>
    </xf>
    <xf numFmtId="49" fontId="0" fillId="80" borderId="448" xfId="0" applyNumberFormat="1" applyFill="1" applyBorder="1">
      <alignment horizontal="center" vertical="center"/>
    </xf>
    <xf numFmtId="0" fontId="51" fillId="56" borderId="447" xfId="46" applyBorder="1">
      <alignment horizontal="center" vertical="center"/>
    </xf>
    <xf numFmtId="49" fontId="0" fillId="56" borderId="448" xfId="0" applyNumberFormat="1" applyFill="1" applyBorder="1">
      <alignment horizontal="center" vertical="center"/>
    </xf>
    <xf numFmtId="0" fontId="0" fillId="51" borderId="457" xfId="44" applyFont="1" applyFill="1" applyBorder="1">
      <alignment horizontal="center" vertical="center"/>
    </xf>
    <xf numFmtId="0" fontId="0" fillId="0" borderId="432" xfId="0" applyBorder="1">
      <alignment horizontal="center" vertical="center"/>
    </xf>
    <xf numFmtId="0" fontId="0" fillId="55" borderId="434" xfId="43" applyFont="1" applyFill="1" applyBorder="1">
      <alignment horizontal="center" vertical="center"/>
    </xf>
    <xf numFmtId="0" fontId="0" fillId="80" borderId="434" xfId="0" applyFill="1" applyBorder="1">
      <alignment horizontal="center" vertical="center"/>
    </xf>
    <xf numFmtId="0" fontId="0" fillId="54" borderId="422" xfId="48" applyFont="1" applyFill="1" applyBorder="1">
      <alignment horizontal="center" vertical="center"/>
    </xf>
    <xf numFmtId="0" fontId="0" fillId="53" borderId="422" xfId="48" applyFont="1" applyFill="1" applyBorder="1">
      <alignment horizontal="center" vertical="center"/>
    </xf>
    <xf numFmtId="0" fontId="0" fillId="51" borderId="422" xfId="51" applyFont="1" applyFill="1" applyBorder="1">
      <alignment horizontal="center" vertical="center"/>
    </xf>
    <xf numFmtId="0" fontId="0" fillId="57" borderId="422" xfId="47" applyFont="1" applyBorder="1">
      <alignment horizontal="center" vertical="center"/>
    </xf>
    <xf numFmtId="0" fontId="0" fillId="57" borderId="448" xfId="51" applyFont="1" applyFill="1" applyBorder="1">
      <alignment horizontal="center" vertical="center"/>
    </xf>
    <xf numFmtId="0" fontId="0" fillId="51" borderId="422" xfId="0" applyFill="1" applyBorder="1" applyAlignment="1" applyProtection="1">
      <alignment horizontal="left" vertical="center"/>
      <protection locked="0"/>
    </xf>
    <xf numFmtId="49" fontId="0" fillId="51" borderId="434" xfId="0" applyNumberFormat="1" applyFill="1" applyBorder="1">
      <alignment horizontal="center" vertical="center"/>
    </xf>
    <xf numFmtId="0" fontId="0" fillId="77" borderId="447" xfId="51" applyFont="1" applyFill="1" applyBorder="1">
      <alignment horizontal="center" vertical="center"/>
    </xf>
    <xf numFmtId="0" fontId="0" fillId="80" borderId="447" xfId="51" applyFont="1" applyFill="1" applyBorder="1">
      <alignment horizontal="center" vertical="center"/>
    </xf>
    <xf numFmtId="0" fontId="0" fillId="55" borderId="447" xfId="51" applyFont="1" applyFill="1" applyBorder="1">
      <alignment horizontal="center" vertical="center"/>
    </xf>
    <xf numFmtId="49" fontId="0" fillId="55" borderId="448" xfId="0" applyNumberFormat="1" applyFill="1" applyBorder="1">
      <alignment horizontal="center" vertical="center"/>
    </xf>
    <xf numFmtId="0" fontId="0" fillId="51" borderId="448" xfId="32" applyFont="1" applyFill="1" applyBorder="1" applyAlignment="1">
      <alignment horizontal="center" vertical="center"/>
    </xf>
    <xf numFmtId="0" fontId="0" fillId="53" borderId="150" xfId="43" applyFont="1" applyBorder="1">
      <alignment horizontal="center" vertical="center"/>
    </xf>
    <xf numFmtId="0" fontId="6" fillId="53" borderId="458" xfId="43" applyBorder="1">
      <alignment horizontal="center" vertical="center"/>
    </xf>
    <xf numFmtId="49" fontId="0" fillId="52" borderId="433" xfId="0" applyNumberFormat="1" applyFill="1" applyBorder="1">
      <alignment horizontal="center" vertical="center"/>
    </xf>
    <xf numFmtId="49" fontId="0" fillId="70" borderId="432" xfId="0" applyNumberFormat="1" applyFill="1" applyBorder="1">
      <alignment horizontal="center" vertical="center"/>
    </xf>
    <xf numFmtId="0" fontId="0" fillId="52" borderId="432" xfId="0" applyFill="1" applyBorder="1">
      <alignment horizontal="center" vertical="center"/>
    </xf>
    <xf numFmtId="0" fontId="0" fillId="54" borderId="422" xfId="0" applyFill="1" applyBorder="1">
      <alignment horizontal="center" vertical="center"/>
    </xf>
    <xf numFmtId="0" fontId="6" fillId="51" borderId="422" xfId="50" applyFill="1" applyBorder="1">
      <alignment horizontal="center" vertical="center"/>
    </xf>
    <xf numFmtId="0" fontId="0" fillId="54" borderId="422" xfId="50" applyFont="1" applyBorder="1">
      <alignment horizontal="center" vertical="center"/>
    </xf>
    <xf numFmtId="0" fontId="6" fillId="52" borderId="442" xfId="48" applyBorder="1">
      <alignment horizontal="center" vertical="center"/>
    </xf>
    <xf numFmtId="0" fontId="56" fillId="48" borderId="437" xfId="0" applyFont="1" applyFill="1" applyBorder="1">
      <alignment horizontal="center" vertical="center"/>
    </xf>
    <xf numFmtId="0" fontId="36" fillId="17" borderId="471" xfId="34" applyBorder="1" applyAlignment="1">
      <alignment horizontal="center" vertical="center"/>
    </xf>
    <xf numFmtId="0" fontId="35" fillId="83" borderId="447" xfId="32" applyFill="1" applyBorder="1" applyAlignment="1">
      <alignment horizontal="center" vertical="center"/>
    </xf>
    <xf numFmtId="1" fontId="35" fillId="83" borderId="447" xfId="32" applyNumberFormat="1" applyFill="1" applyBorder="1" applyAlignment="1">
      <alignment horizontal="center" vertical="center"/>
    </xf>
    <xf numFmtId="1" fontId="0" fillId="84" borderId="448" xfId="0" applyNumberFormat="1" applyFill="1" applyBorder="1">
      <alignment horizontal="center" vertical="center"/>
    </xf>
    <xf numFmtId="0" fontId="30" fillId="17" borderId="472" xfId="21" applyBorder="1" applyAlignment="1">
      <alignment horizontal="center" vertical="center"/>
    </xf>
    <xf numFmtId="0" fontId="35" fillId="83" borderId="422" xfId="32" applyFill="1" applyBorder="1" applyAlignment="1">
      <alignment horizontal="center" vertical="center"/>
    </xf>
    <xf numFmtId="0" fontId="35" fillId="0" borderId="447" xfId="32" applyFill="1" applyBorder="1" applyAlignment="1">
      <alignment horizontal="center" vertical="center"/>
    </xf>
    <xf numFmtId="0" fontId="0" fillId="54" borderId="447" xfId="43" applyFont="1" applyFill="1" applyBorder="1">
      <alignment horizontal="center" vertical="center"/>
    </xf>
    <xf numFmtId="0" fontId="6" fillId="51" borderId="448" xfId="43" applyFill="1" applyBorder="1">
      <alignment horizontal="center" vertical="center"/>
    </xf>
    <xf numFmtId="0" fontId="6" fillId="51" borderId="443" xfId="43" applyFill="1" applyBorder="1">
      <alignment horizontal="center" vertical="center"/>
    </xf>
    <xf numFmtId="0" fontId="0" fillId="51" borderId="443" xfId="48" applyFont="1" applyFill="1" applyBorder="1">
      <alignment horizontal="center" vertical="center"/>
    </xf>
    <xf numFmtId="49" fontId="0" fillId="51" borderId="443" xfId="0" applyNumberFormat="1" applyFill="1" applyBorder="1">
      <alignment horizontal="center" vertical="center"/>
    </xf>
    <xf numFmtId="0" fontId="0" fillId="51" borderId="443" xfId="0" applyFill="1" applyBorder="1">
      <alignment horizontal="center" vertical="center"/>
    </xf>
    <xf numFmtId="0" fontId="0" fillId="51" borderId="473" xfId="0" applyFill="1" applyBorder="1">
      <alignment horizontal="center" vertical="center"/>
    </xf>
    <xf numFmtId="49" fontId="0" fillId="76" borderId="448" xfId="0" applyNumberFormat="1" applyFill="1" applyBorder="1">
      <alignment horizontal="center" vertical="center"/>
    </xf>
    <xf numFmtId="0" fontId="6" fillId="69" borderId="448" xfId="44" applyBorder="1">
      <alignment horizontal="center" vertical="center"/>
    </xf>
    <xf numFmtId="0" fontId="0" fillId="55" borderId="422" xfId="44" applyFont="1" applyFill="1" applyBorder="1">
      <alignment horizontal="center" vertical="center"/>
    </xf>
    <xf numFmtId="0" fontId="0" fillId="55" borderId="422" xfId="43" applyFont="1" applyFill="1" applyBorder="1">
      <alignment horizontal="center" vertical="center"/>
    </xf>
    <xf numFmtId="0" fontId="0" fillId="55" borderId="422" xfId="51" applyFont="1" applyFill="1" applyBorder="1">
      <alignment horizontal="center" vertical="center"/>
    </xf>
    <xf numFmtId="0" fontId="0" fillId="71" borderId="422" xfId="0" applyFill="1" applyBorder="1">
      <alignment horizontal="center" vertical="center"/>
    </xf>
    <xf numFmtId="0" fontId="0" fillId="0" borderId="422" xfId="48" applyFont="1" applyFill="1" applyBorder="1">
      <alignment horizontal="center" vertical="center"/>
    </xf>
    <xf numFmtId="0" fontId="0" fillId="57" borderId="422" xfId="48" applyFont="1" applyFill="1" applyBorder="1">
      <alignment horizontal="center" vertical="center"/>
    </xf>
    <xf numFmtId="0" fontId="0" fillId="58" borderId="447" xfId="0" applyFill="1" applyBorder="1">
      <alignment horizontal="center" vertical="center"/>
    </xf>
    <xf numFmtId="0" fontId="0" fillId="51" borderId="474" xfId="0" applyFill="1" applyBorder="1">
      <alignment horizontal="center" vertical="center"/>
    </xf>
    <xf numFmtId="0" fontId="0" fillId="51" borderId="475" xfId="0" applyFill="1" applyBorder="1" applyAlignment="1">
      <alignment horizontal="left" vertical="center"/>
    </xf>
    <xf numFmtId="0" fontId="44" fillId="51" borderId="475" xfId="0" applyFont="1" applyFill="1" applyBorder="1" applyAlignment="1">
      <alignment horizontal="left" vertical="center"/>
    </xf>
    <xf numFmtId="0" fontId="0" fillId="51" borderId="476" xfId="0" applyFill="1" applyBorder="1">
      <alignment horizontal="center" vertical="center"/>
    </xf>
    <xf numFmtId="0" fontId="0" fillId="70" borderId="476" xfId="0" applyFill="1" applyBorder="1">
      <alignment horizontal="center" vertical="center"/>
    </xf>
    <xf numFmtId="0" fontId="0" fillId="51" borderId="477" xfId="0" applyFill="1" applyBorder="1">
      <alignment horizontal="center" vertical="center"/>
    </xf>
    <xf numFmtId="0" fontId="6" fillId="53" borderId="478" xfId="43" applyBorder="1">
      <alignment horizontal="center" vertical="center"/>
    </xf>
    <xf numFmtId="0" fontId="6" fillId="55" borderId="478" xfId="43" applyFill="1" applyBorder="1">
      <alignment horizontal="center" vertical="center"/>
    </xf>
    <xf numFmtId="0" fontId="0" fillId="0" borderId="478" xfId="0" applyBorder="1">
      <alignment horizontal="center" vertical="center"/>
    </xf>
    <xf numFmtId="0" fontId="58" fillId="51" borderId="478" xfId="43" applyFont="1" applyFill="1" applyBorder="1">
      <alignment horizontal="center" vertical="center"/>
    </xf>
    <xf numFmtId="0" fontId="18" fillId="0" borderId="479" xfId="0" applyFont="1" applyBorder="1" applyAlignment="1" applyProtection="1">
      <alignment horizontal="center"/>
      <protection locked="0"/>
    </xf>
    <xf numFmtId="0" fontId="3" fillId="0" borderId="480" xfId="0" applyFont="1" applyBorder="1" applyAlignment="1" applyProtection="1">
      <alignment horizontal="center"/>
      <protection locked="0"/>
    </xf>
    <xf numFmtId="0" fontId="3" fillId="0" borderId="481" xfId="0" applyFont="1" applyBorder="1" applyAlignment="1" applyProtection="1">
      <alignment horizontal="center"/>
      <protection locked="0"/>
    </xf>
    <xf numFmtId="0" fontId="0" fillId="57" borderId="481" xfId="47" applyFont="1" applyBorder="1">
      <alignment horizontal="center" vertical="center"/>
    </xf>
    <xf numFmtId="0" fontId="6" fillId="57" borderId="481" xfId="47" applyBorder="1">
      <alignment horizontal="center" vertical="center"/>
    </xf>
    <xf numFmtId="0" fontId="0" fillId="51" borderId="481" xfId="47" applyFont="1" applyFill="1" applyBorder="1">
      <alignment horizontal="center" vertical="center"/>
    </xf>
    <xf numFmtId="0" fontId="0" fillId="0" borderId="479" xfId="0" applyBorder="1">
      <alignment horizontal="center" vertical="center"/>
    </xf>
    <xf numFmtId="0" fontId="0" fillId="51" borderId="478" xfId="47" applyFont="1" applyFill="1" applyBorder="1">
      <alignment horizontal="center" vertical="center"/>
    </xf>
    <xf numFmtId="0" fontId="0" fillId="0" borderId="482" xfId="0" applyBorder="1">
      <alignment horizontal="center" vertical="center"/>
    </xf>
    <xf numFmtId="0" fontId="0" fillId="0" borderId="483" xfId="0" applyBorder="1">
      <alignment horizontal="center" vertical="center"/>
    </xf>
    <xf numFmtId="0" fontId="0" fillId="0" borderId="484" xfId="0" applyBorder="1">
      <alignment horizontal="center" vertical="center"/>
    </xf>
    <xf numFmtId="0" fontId="0" fillId="0" borderId="485" xfId="0" applyBorder="1">
      <alignment horizontal="center" vertical="center"/>
    </xf>
    <xf numFmtId="0" fontId="0" fillId="0" borderId="486" xfId="0" applyBorder="1">
      <alignment horizontal="center" vertical="center"/>
    </xf>
    <xf numFmtId="0" fontId="0" fillId="0" borderId="487" xfId="0" applyBorder="1">
      <alignment horizontal="center" vertical="center"/>
    </xf>
    <xf numFmtId="0" fontId="0" fillId="0" borderId="488" xfId="0" applyBorder="1">
      <alignment horizontal="center" vertical="center"/>
    </xf>
    <xf numFmtId="0" fontId="3" fillId="43" borderId="481" xfId="0" applyFont="1" applyFill="1" applyBorder="1" applyAlignment="1">
      <alignment horizontal="center"/>
    </xf>
    <xf numFmtId="0" fontId="0" fillId="0" borderId="481" xfId="0" applyBorder="1" applyAlignment="1">
      <alignment vertical="center"/>
    </xf>
    <xf numFmtId="0" fontId="0" fillId="51" borderId="481" xfId="20" applyNumberFormat="1" applyFont="1" applyFill="1" applyBorder="1" applyAlignment="1">
      <alignment horizontal="center" vertical="center"/>
    </xf>
    <xf numFmtId="0" fontId="0" fillId="55" borderId="481" xfId="45" applyFont="1" applyBorder="1">
      <alignment horizontal="center" vertical="center"/>
    </xf>
    <xf numFmtId="0" fontId="6" fillId="55" borderId="489" xfId="45" applyBorder="1">
      <alignment horizontal="center" vertical="center"/>
    </xf>
    <xf numFmtId="0" fontId="0" fillId="51" borderId="490" xfId="20" applyNumberFormat="1" applyFont="1" applyFill="1" applyBorder="1" applyAlignment="1">
      <alignment horizontal="center" vertical="center"/>
    </xf>
    <xf numFmtId="0" fontId="6" fillId="53" borderId="481" xfId="43" applyBorder="1">
      <alignment horizontal="center" vertical="center"/>
    </xf>
    <xf numFmtId="0" fontId="6" fillId="0" borderId="481" xfId="43" applyFill="1" applyBorder="1">
      <alignment horizontal="center" vertical="center"/>
    </xf>
    <xf numFmtId="0" fontId="3" fillId="43" borderId="478" xfId="0" applyFont="1" applyFill="1" applyBorder="1" applyAlignment="1">
      <alignment horizontal="center"/>
    </xf>
    <xf numFmtId="0" fontId="0" fillId="51" borderId="478" xfId="51" applyFont="1" applyFill="1" applyBorder="1">
      <alignment horizontal="center" vertical="center"/>
    </xf>
    <xf numFmtId="0" fontId="3" fillId="0" borderId="491" xfId="0" applyFont="1" applyBorder="1" applyAlignment="1">
      <alignment horizontal="center"/>
    </xf>
    <xf numFmtId="0" fontId="6" fillId="0" borderId="483" xfId="0" applyFont="1" applyBorder="1" applyAlignment="1">
      <alignment horizontal="left" vertical="center"/>
    </xf>
    <xf numFmtId="0" fontId="6" fillId="0" borderId="492" xfId="0" applyFont="1" applyBorder="1" applyAlignment="1">
      <alignment horizontal="left" vertical="center"/>
    </xf>
    <xf numFmtId="0" fontId="6" fillId="0" borderId="493" xfId="0" applyFont="1" applyBorder="1" applyAlignment="1">
      <alignment horizontal="left" vertical="center"/>
    </xf>
    <xf numFmtId="0" fontId="0" fillId="0" borderId="482" xfId="0" applyBorder="1" applyAlignment="1">
      <alignment horizontal="center"/>
    </xf>
    <xf numFmtId="0" fontId="3" fillId="0" borderId="483" xfId="0" applyFont="1" applyBorder="1" applyAlignment="1">
      <alignment horizontal="left"/>
    </xf>
    <xf numFmtId="0" fontId="0" fillId="0" borderId="492" xfId="0" applyBorder="1" applyAlignment="1"/>
    <xf numFmtId="0" fontId="0" fillId="0" borderId="494" xfId="0" applyBorder="1" applyAlignment="1">
      <alignment horizontal="left"/>
    </xf>
    <xf numFmtId="0" fontId="3" fillId="0" borderId="492" xfId="0" applyFont="1" applyBorder="1" applyAlignment="1"/>
    <xf numFmtId="0" fontId="3" fillId="0" borderId="494" xfId="0" applyFont="1" applyBorder="1" applyAlignment="1">
      <alignment horizontal="left"/>
    </xf>
    <xf numFmtId="0" fontId="0" fillId="0" borderId="483" xfId="0" applyBorder="1" applyAlignment="1">
      <alignment horizontal="center"/>
    </xf>
    <xf numFmtId="0" fontId="0" fillId="0" borderId="493" xfId="0" applyBorder="1" applyAlignment="1"/>
    <xf numFmtId="0" fontId="3" fillId="0" borderId="495" xfId="0" applyFont="1" applyBorder="1" applyAlignment="1">
      <alignment horizontal="left"/>
    </xf>
    <xf numFmtId="0" fontId="0" fillId="0" borderId="496" xfId="0" applyBorder="1" applyAlignment="1"/>
    <xf numFmtId="0" fontId="0" fillId="0" borderId="497" xfId="0" applyBorder="1" applyAlignment="1">
      <alignment horizontal="left"/>
    </xf>
    <xf numFmtId="0" fontId="8" fillId="0" borderId="495" xfId="0" applyFont="1" applyBorder="1" applyAlignment="1">
      <alignment horizontal="center"/>
    </xf>
    <xf numFmtId="0" fontId="0" fillId="0" borderId="498" xfId="0" applyBorder="1" applyAlignment="1"/>
    <xf numFmtId="0" fontId="0" fillId="0" borderId="485" xfId="0" applyBorder="1" applyAlignment="1">
      <alignment horizontal="center"/>
    </xf>
    <xf numFmtId="0" fontId="3" fillId="0" borderId="486" xfId="0" applyFont="1" applyBorder="1" applyAlignment="1">
      <alignment horizontal="left"/>
    </xf>
    <xf numFmtId="0" fontId="6" fillId="0" borderId="499" xfId="0" applyFont="1" applyBorder="1" applyAlignment="1">
      <alignment horizontal="left" vertical="center"/>
    </xf>
    <xf numFmtId="0" fontId="6" fillId="0" borderId="499" xfId="0" applyFont="1" applyBorder="1">
      <alignment horizontal="center" vertical="center"/>
    </xf>
    <xf numFmtId="0" fontId="6" fillId="0" borderId="500" xfId="0" applyFont="1" applyBorder="1">
      <alignment horizontal="center" vertical="center"/>
    </xf>
    <xf numFmtId="0" fontId="6" fillId="0" borderId="486" xfId="0" applyFont="1" applyBorder="1" applyAlignment="1">
      <alignment horizontal="left" vertical="center"/>
    </xf>
    <xf numFmtId="0" fontId="6" fillId="0" borderId="499" xfId="0" applyFont="1" applyBorder="1" applyAlignment="1">
      <alignment horizontal="left"/>
    </xf>
    <xf numFmtId="0" fontId="6" fillId="0" borderId="500" xfId="0" applyFont="1" applyBorder="1" applyAlignment="1">
      <alignment horizontal="left" vertical="center"/>
    </xf>
    <xf numFmtId="0" fontId="0" fillId="0" borderId="499" xfId="0" applyBorder="1" applyAlignment="1">
      <alignment horizontal="left"/>
    </xf>
    <xf numFmtId="0" fontId="0" fillId="0" borderId="501" xfId="0" applyBorder="1" applyAlignment="1"/>
    <xf numFmtId="0" fontId="0" fillId="51" borderId="481" xfId="0" applyFill="1" applyBorder="1" applyAlignment="1">
      <alignment horizontal="left" vertical="center"/>
    </xf>
    <xf numFmtId="49" fontId="0" fillId="58" borderId="481" xfId="0" applyNumberFormat="1" applyFill="1" applyBorder="1">
      <alignment horizontal="center" vertical="center"/>
    </xf>
    <xf numFmtId="0" fontId="0" fillId="51" borderId="490" xfId="44" applyFont="1" applyFill="1" applyBorder="1">
      <alignment horizontal="center" vertical="center"/>
    </xf>
    <xf numFmtId="0" fontId="0" fillId="51" borderId="481" xfId="51" applyFont="1" applyFill="1" applyBorder="1">
      <alignment horizontal="center" vertical="center"/>
    </xf>
    <xf numFmtId="0" fontId="0" fillId="80" borderId="481" xfId="51" applyFont="1" applyFill="1" applyBorder="1">
      <alignment horizontal="center" vertical="center"/>
    </xf>
    <xf numFmtId="0" fontId="6" fillId="58" borderId="481" xfId="33" applyBorder="1">
      <alignment horizontal="center" vertical="center"/>
    </xf>
    <xf numFmtId="0" fontId="0" fillId="51" borderId="490" xfId="51" applyFont="1" applyFill="1" applyBorder="1">
      <alignment horizontal="center" vertical="center"/>
    </xf>
    <xf numFmtId="0" fontId="0" fillId="51" borderId="490" xfId="48" applyFont="1" applyFill="1" applyBorder="1">
      <alignment horizontal="center" vertical="center"/>
    </xf>
    <xf numFmtId="0" fontId="0" fillId="51" borderId="478" xfId="0" applyFill="1" applyBorder="1" applyAlignment="1">
      <alignment horizontal="left" vertical="center"/>
    </xf>
    <xf numFmtId="0" fontId="0" fillId="51" borderId="478" xfId="32" applyFont="1" applyFill="1" applyBorder="1" applyAlignment="1">
      <alignment horizontal="center" vertical="center"/>
    </xf>
    <xf numFmtId="0" fontId="0" fillId="51" borderId="502" xfId="48" applyFont="1" applyFill="1" applyBorder="1">
      <alignment horizontal="center" vertical="center"/>
    </xf>
    <xf numFmtId="0" fontId="0" fillId="0" borderId="486" xfId="0" applyBorder="1" applyAlignment="1">
      <alignment horizontal="left"/>
    </xf>
    <xf numFmtId="0" fontId="0" fillId="0" borderId="499" xfId="0" applyBorder="1" applyAlignment="1"/>
    <xf numFmtId="0" fontId="0" fillId="0" borderId="500" xfId="0" applyBorder="1" applyAlignment="1">
      <alignment horizontal="left"/>
    </xf>
    <xf numFmtId="0" fontId="0" fillId="0" borderId="486" xfId="0" applyBorder="1" applyAlignment="1">
      <alignment horizontal="center"/>
    </xf>
    <xf numFmtId="0" fontId="3" fillId="43" borderId="479" xfId="0" applyFont="1" applyFill="1" applyBorder="1" applyAlignment="1">
      <alignment horizontal="center"/>
    </xf>
    <xf numFmtId="49" fontId="0" fillId="53" borderId="479" xfId="0" applyNumberFormat="1" applyFill="1" applyBorder="1">
      <alignment horizontal="center" vertical="center"/>
    </xf>
    <xf numFmtId="0" fontId="0" fillId="51" borderId="479" xfId="45" applyFont="1" applyFill="1" applyBorder="1">
      <alignment horizontal="center" vertical="center"/>
    </xf>
    <xf numFmtId="0" fontId="2" fillId="0" borderId="483" xfId="0" applyFont="1" applyBorder="1" applyAlignment="1">
      <alignment horizontal="left"/>
    </xf>
    <xf numFmtId="0" fontId="3" fillId="0" borderId="492" xfId="0" applyFont="1" applyBorder="1">
      <alignment horizontal="center" vertical="center"/>
    </xf>
    <xf numFmtId="167" fontId="8" fillId="0" borderId="486" xfId="0" applyNumberFormat="1" applyFont="1" applyBorder="1" applyAlignment="1">
      <alignment horizontal="center"/>
    </xf>
    <xf numFmtId="0" fontId="6" fillId="51" borderId="481" xfId="0" applyFont="1" applyFill="1" applyBorder="1" applyAlignment="1">
      <alignment vertical="center"/>
    </xf>
    <xf numFmtId="0" fontId="0" fillId="51" borderId="481" xfId="0" applyFill="1" applyBorder="1" applyAlignment="1">
      <alignment vertical="center"/>
    </xf>
    <xf numFmtId="0" fontId="0" fillId="53" borderId="481" xfId="0" applyFill="1" applyBorder="1">
      <alignment horizontal="center" vertical="center"/>
    </xf>
    <xf numFmtId="0" fontId="0" fillId="53" borderId="490" xfId="0" applyFill="1" applyBorder="1">
      <alignment horizontal="center" vertical="center"/>
    </xf>
    <xf numFmtId="0" fontId="0" fillId="0" borderId="503" xfId="0" applyBorder="1">
      <alignment horizontal="center" vertical="center"/>
    </xf>
    <xf numFmtId="0" fontId="2" fillId="0" borderId="503" xfId="0" applyFont="1" applyBorder="1">
      <alignment horizontal="center" vertical="center"/>
    </xf>
    <xf numFmtId="0" fontId="2" fillId="0" borderId="504" xfId="0" applyFont="1" applyBorder="1" applyAlignment="1">
      <alignment horizontal="left" vertical="center"/>
    </xf>
    <xf numFmtId="0" fontId="2" fillId="0" borderId="504" xfId="0" applyFont="1" applyBorder="1">
      <alignment horizontal="center" vertical="center"/>
    </xf>
    <xf numFmtId="0" fontId="2" fillId="0" borderId="505" xfId="0" applyFont="1" applyBorder="1">
      <alignment horizontal="center" vertical="center"/>
    </xf>
    <xf numFmtId="49" fontId="2" fillId="0" borderId="503" xfId="0" applyNumberFormat="1" applyFont="1" applyBorder="1">
      <alignment horizontal="center" vertical="center"/>
    </xf>
    <xf numFmtId="49" fontId="6" fillId="0" borderId="503" xfId="0" applyNumberFormat="1" applyFont="1" applyBorder="1">
      <alignment horizontal="center" vertical="center"/>
    </xf>
    <xf numFmtId="0" fontId="6" fillId="0" borderId="504" xfId="0" applyFont="1" applyBorder="1">
      <alignment horizontal="center" vertical="center"/>
    </xf>
    <xf numFmtId="0" fontId="6" fillId="0" borderId="505" xfId="0" applyFont="1" applyBorder="1">
      <alignment horizontal="center" vertical="center"/>
    </xf>
    <xf numFmtId="0" fontId="8" fillId="0" borderId="504" xfId="0" applyFont="1" applyBorder="1">
      <alignment horizontal="center" vertical="center"/>
    </xf>
    <xf numFmtId="0" fontId="8" fillId="0" borderId="506" xfId="0" applyFont="1" applyBorder="1">
      <alignment horizontal="center" vertical="center"/>
    </xf>
    <xf numFmtId="0" fontId="0" fillId="0" borderId="507" xfId="0" applyBorder="1">
      <alignment horizontal="center" vertical="center"/>
    </xf>
    <xf numFmtId="49" fontId="14" fillId="0" borderId="479" xfId="0" applyNumberFormat="1" applyFont="1" applyBorder="1">
      <alignment horizontal="center" vertical="center"/>
    </xf>
    <xf numFmtId="0" fontId="14" fillId="0" borderId="508" xfId="0" applyFont="1" applyBorder="1" applyAlignment="1">
      <alignment horizontal="left" vertical="center"/>
    </xf>
    <xf numFmtId="0" fontId="14" fillId="0" borderId="508" xfId="0" applyFont="1" applyBorder="1">
      <alignment horizontal="center" vertical="center"/>
    </xf>
    <xf numFmtId="0" fontId="14" fillId="0" borderId="509" xfId="0" applyFont="1" applyBorder="1">
      <alignment horizontal="center" vertical="center"/>
    </xf>
    <xf numFmtId="49" fontId="14" fillId="0" borderId="503" xfId="0" applyNumberFormat="1" applyFont="1" applyBorder="1">
      <alignment horizontal="center" vertical="center"/>
    </xf>
    <xf numFmtId="0" fontId="6" fillId="0" borderId="510" xfId="0" applyFont="1" applyBorder="1">
      <alignment horizontal="center" vertical="center"/>
    </xf>
    <xf numFmtId="49" fontId="6" fillId="0" borderId="507" xfId="0" applyNumberFormat="1" applyFont="1" applyBorder="1">
      <alignment horizontal="center" vertical="center"/>
    </xf>
    <xf numFmtId="0" fontId="6" fillId="0" borderId="474" xfId="0" applyFont="1" applyBorder="1">
      <alignment horizontal="center" vertical="center"/>
    </xf>
    <xf numFmtId="0" fontId="8" fillId="0" borderId="474" xfId="0" applyFont="1" applyBorder="1">
      <alignment horizontal="center" vertical="center"/>
    </xf>
    <xf numFmtId="0" fontId="8" fillId="0" borderId="511" xfId="0" applyFont="1" applyBorder="1">
      <alignment horizontal="center" vertical="center"/>
    </xf>
    <xf numFmtId="0" fontId="6" fillId="0" borderId="503" xfId="0" applyFont="1" applyBorder="1">
      <alignment horizontal="center" vertical="center"/>
    </xf>
    <xf numFmtId="49" fontId="6" fillId="0" borderId="508" xfId="0" applyNumberFormat="1" applyFont="1" applyBorder="1">
      <alignment horizontal="center" vertical="center"/>
    </xf>
    <xf numFmtId="0" fontId="2" fillId="0" borderId="512" xfId="0" applyFont="1" applyBorder="1" applyAlignment="1">
      <alignment horizontal="left" vertical="center"/>
    </xf>
    <xf numFmtId="0" fontId="2" fillId="0" borderId="512" xfId="0" applyFont="1" applyBorder="1">
      <alignment horizontal="center" vertical="center"/>
    </xf>
    <xf numFmtId="0" fontId="6" fillId="0" borderId="512" xfId="0" applyFont="1" applyBorder="1">
      <alignment horizontal="center" vertical="center"/>
    </xf>
    <xf numFmtId="49" fontId="6" fillId="0" borderId="512" xfId="0" applyNumberFormat="1" applyFont="1" applyBorder="1">
      <alignment horizontal="center" vertical="center"/>
    </xf>
    <xf numFmtId="0" fontId="8" fillId="0" borderId="512" xfId="0" applyFont="1" applyBorder="1">
      <alignment horizontal="center" vertical="center"/>
    </xf>
    <xf numFmtId="0" fontId="5" fillId="0" borderId="475" xfId="0" applyFont="1" applyBorder="1" applyAlignment="1">
      <alignment horizontal="center"/>
    </xf>
    <xf numFmtId="0" fontId="0" fillId="51" borderId="479" xfId="0" applyFill="1" applyBorder="1" applyAlignment="1">
      <alignment horizontal="left" vertical="center" wrapText="1"/>
    </xf>
    <xf numFmtId="49" fontId="0" fillId="56" borderId="513" xfId="0" applyNumberFormat="1" applyFill="1" applyBorder="1">
      <alignment horizontal="center" vertical="center"/>
    </xf>
    <xf numFmtId="49" fontId="0" fillId="52" borderId="513" xfId="0" applyNumberFormat="1" applyFill="1" applyBorder="1">
      <alignment horizontal="center" vertical="center"/>
    </xf>
    <xf numFmtId="49" fontId="0" fillId="51" borderId="514" xfId="0" applyNumberFormat="1" applyFill="1" applyBorder="1">
      <alignment horizontal="center" vertical="center"/>
    </xf>
    <xf numFmtId="0" fontId="6" fillId="58" borderId="513" xfId="33" applyBorder="1">
      <alignment horizontal="center" vertical="center"/>
    </xf>
    <xf numFmtId="0" fontId="6" fillId="54" borderId="513" xfId="50" applyBorder="1">
      <alignment horizontal="center" vertical="center"/>
    </xf>
    <xf numFmtId="0" fontId="0" fillId="51" borderId="513" xfId="0" applyFill="1" applyBorder="1">
      <alignment horizontal="center" vertical="center"/>
    </xf>
    <xf numFmtId="0" fontId="0" fillId="52" borderId="513" xfId="0" applyFill="1" applyBorder="1">
      <alignment horizontal="center" vertical="center"/>
    </xf>
    <xf numFmtId="0" fontId="6" fillId="69" borderId="513" xfId="44" applyBorder="1">
      <alignment horizontal="center" vertical="center"/>
    </xf>
    <xf numFmtId="49" fontId="0" fillId="69" borderId="513" xfId="0" applyNumberFormat="1" applyFill="1" applyBorder="1">
      <alignment horizontal="center" vertical="center"/>
    </xf>
    <xf numFmtId="0" fontId="51" fillId="56" borderId="479" xfId="46" applyBorder="1">
      <alignment horizontal="center" vertical="center"/>
    </xf>
    <xf numFmtId="0" fontId="6" fillId="51" borderId="479" xfId="43" applyFill="1" applyBorder="1">
      <alignment horizontal="center" vertical="center"/>
    </xf>
    <xf numFmtId="49" fontId="0" fillId="52" borderId="479" xfId="0" applyNumberFormat="1" applyFill="1" applyBorder="1">
      <alignment horizontal="center" vertical="center"/>
    </xf>
    <xf numFmtId="0" fontId="6" fillId="58" borderId="150" xfId="33" applyBorder="1">
      <alignment horizontal="center" vertical="center"/>
    </xf>
    <xf numFmtId="0" fontId="6" fillId="72" borderId="150" xfId="52" applyBorder="1">
      <alignment horizontal="center" vertical="center"/>
    </xf>
    <xf numFmtId="0" fontId="3" fillId="0" borderId="479" xfId="0" applyFont="1" applyBorder="1" applyAlignment="1">
      <alignment horizontal="center"/>
    </xf>
    <xf numFmtId="0" fontId="3" fillId="0" borderId="475" xfId="0" applyFont="1" applyBorder="1" applyAlignment="1">
      <alignment horizontal="center"/>
    </xf>
    <xf numFmtId="0" fontId="0" fillId="0" borderId="515" xfId="0" applyBorder="1" applyAlignment="1">
      <alignment horizontal="left" vertical="center"/>
    </xf>
    <xf numFmtId="0" fontId="3" fillId="0" borderId="516" xfId="0" applyFont="1" applyBorder="1" applyAlignment="1">
      <alignment horizontal="left"/>
    </xf>
    <xf numFmtId="0" fontId="0" fillId="0" borderId="517" xfId="0" applyBorder="1" applyAlignment="1">
      <alignment horizontal="left" vertical="center"/>
    </xf>
    <xf numFmtId="0" fontId="0" fillId="0" borderId="518" xfId="0" applyBorder="1" applyAlignment="1">
      <alignment horizontal="left" vertical="center"/>
    </xf>
    <xf numFmtId="49" fontId="0" fillId="0" borderId="515" xfId="0" applyNumberFormat="1" applyBorder="1" applyAlignment="1">
      <alignment horizontal="left"/>
    </xf>
    <xf numFmtId="0" fontId="2" fillId="0" borderId="479" xfId="0" applyFont="1" applyBorder="1" applyAlignment="1">
      <alignment horizontal="center"/>
    </xf>
    <xf numFmtId="0" fontId="0" fillId="0" borderId="519" xfId="0" applyBorder="1" applyAlignment="1">
      <alignment horizontal="left" vertical="center"/>
    </xf>
    <xf numFmtId="0" fontId="0" fillId="0" borderId="520" xfId="0" applyBorder="1" applyAlignment="1">
      <alignment horizontal="left" vertical="center"/>
    </xf>
    <xf numFmtId="49" fontId="0" fillId="0" borderId="520" xfId="0" applyNumberFormat="1" applyBorder="1" applyAlignment="1">
      <alignment horizontal="left"/>
    </xf>
    <xf numFmtId="0" fontId="0" fillId="51" borderId="521" xfId="0" applyFill="1" applyBorder="1">
      <alignment horizontal="center" vertical="center"/>
    </xf>
    <xf numFmtId="0" fontId="3" fillId="0" borderId="521" xfId="0" applyFont="1" applyBorder="1" applyAlignment="1" applyProtection="1">
      <alignment horizontal="center"/>
      <protection locked="0"/>
    </xf>
    <xf numFmtId="0" fontId="3" fillId="0" borderId="521" xfId="0" applyFont="1" applyBorder="1" applyAlignment="1">
      <alignment horizontal="left"/>
    </xf>
    <xf numFmtId="0" fontId="0" fillId="51" borderId="522" xfId="0" applyFill="1" applyBorder="1">
      <alignment horizontal="center" vertical="center"/>
    </xf>
    <xf numFmtId="0" fontId="0" fillId="0" borderId="521" xfId="0" applyBorder="1" applyAlignment="1" applyProtection="1">
      <alignment horizontal="center"/>
      <protection locked="0"/>
    </xf>
    <xf numFmtId="0" fontId="0" fillId="0" borderId="521" xfId="0" applyBorder="1" applyAlignment="1">
      <alignment horizontal="left"/>
    </xf>
    <xf numFmtId="0" fontId="3" fillId="0" borderId="521" xfId="0" applyFont="1" applyBorder="1" applyAlignment="1">
      <alignment vertical="center"/>
    </xf>
    <xf numFmtId="0" fontId="6" fillId="69" borderId="521" xfId="44" applyBorder="1">
      <alignment horizontal="center" vertical="center"/>
    </xf>
    <xf numFmtId="0" fontId="2" fillId="0" borderId="521" xfId="0" applyFont="1" applyBorder="1" applyAlignment="1" applyProtection="1">
      <alignment horizontal="center"/>
      <protection locked="0"/>
    </xf>
    <xf numFmtId="0" fontId="6" fillId="58" borderId="521" xfId="33" applyBorder="1">
      <alignment horizontal="center" vertical="center"/>
    </xf>
    <xf numFmtId="0" fontId="0" fillId="51" borderId="522" xfId="48" applyFont="1" applyFill="1" applyBorder="1">
      <alignment horizontal="center" vertical="center"/>
    </xf>
    <xf numFmtId="0" fontId="0" fillId="51" borderId="522" xfId="51" applyFont="1" applyFill="1" applyBorder="1">
      <alignment horizontal="center" vertical="center"/>
    </xf>
    <xf numFmtId="0" fontId="20" fillId="51" borderId="475" xfId="0" applyFont="1" applyFill="1" applyBorder="1" applyAlignment="1">
      <alignment horizontal="left" vertical="center"/>
    </xf>
    <xf numFmtId="0" fontId="3" fillId="0" borderId="523" xfId="0" applyFont="1" applyBorder="1">
      <alignment horizontal="center" vertical="center"/>
    </xf>
    <xf numFmtId="49" fontId="0" fillId="51" borderId="522" xfId="0" applyNumberFormat="1" applyFill="1" applyBorder="1">
      <alignment horizontal="center" vertical="center"/>
    </xf>
    <xf numFmtId="0" fontId="6" fillId="0" borderId="479" xfId="0" applyFont="1" applyBorder="1" applyAlignment="1">
      <alignment vertical="center"/>
    </xf>
    <xf numFmtId="0" fontId="6" fillId="51" borderId="479" xfId="0" applyFont="1" applyFill="1" applyBorder="1" applyAlignment="1">
      <alignment vertical="center"/>
    </xf>
    <xf numFmtId="0" fontId="3" fillId="0" borderId="524" xfId="0" applyFont="1" applyBorder="1" applyAlignment="1">
      <alignment horizontal="center"/>
    </xf>
    <xf numFmtId="0" fontId="2" fillId="0" borderId="516" xfId="0" applyFont="1" applyBorder="1" applyAlignment="1">
      <alignment horizontal="left"/>
    </xf>
    <xf numFmtId="0" fontId="3" fillId="0" borderId="525" xfId="0" applyFont="1" applyBorder="1" applyAlignment="1">
      <alignment horizontal="center"/>
    </xf>
    <xf numFmtId="0" fontId="2" fillId="0" borderId="526" xfId="0" applyFont="1" applyBorder="1" applyAlignment="1">
      <alignment horizontal="center"/>
    </xf>
    <xf numFmtId="0" fontId="0" fillId="0" borderId="527" xfId="0" applyBorder="1" applyAlignment="1" applyProtection="1">
      <alignment horizontal="center"/>
      <protection locked="0"/>
    </xf>
    <xf numFmtId="0" fontId="0" fillId="0" borderId="515" xfId="0" applyBorder="1" applyAlignment="1" applyProtection="1">
      <alignment horizontal="center"/>
      <protection locked="0"/>
    </xf>
    <xf numFmtId="0" fontId="0" fillId="43" borderId="528" xfId="0" applyFill="1" applyBorder="1" applyAlignment="1">
      <alignment horizontal="center"/>
    </xf>
    <xf numFmtId="0" fontId="46" fillId="0" borderId="528" xfId="0" applyFont="1" applyBorder="1" applyAlignment="1">
      <alignment horizontal="left" vertical="center"/>
    </xf>
    <xf numFmtId="0" fontId="0" fillId="0" borderId="503" xfId="0" applyBorder="1" applyAlignment="1">
      <alignment horizontal="left" vertical="center"/>
    </xf>
    <xf numFmtId="49" fontId="0" fillId="51" borderId="515" xfId="0" applyNumberFormat="1" applyFill="1" applyBorder="1">
      <alignment horizontal="center" vertical="center"/>
    </xf>
    <xf numFmtId="0" fontId="0" fillId="0" borderId="529" xfId="0" applyBorder="1" applyAlignment="1" applyProtection="1">
      <alignment horizontal="center"/>
      <protection locked="0"/>
    </xf>
    <xf numFmtId="0" fontId="0" fillId="0" borderId="530" xfId="0" applyBorder="1" applyAlignment="1">
      <alignment horizontal="left" vertical="center"/>
    </xf>
    <xf numFmtId="49" fontId="0" fillId="51" borderId="520" xfId="0" applyNumberFormat="1" applyFill="1" applyBorder="1">
      <alignment horizontal="center" vertical="center"/>
    </xf>
    <xf numFmtId="49" fontId="0" fillId="0" borderId="515" xfId="0" applyNumberFormat="1" applyBorder="1" applyAlignment="1"/>
    <xf numFmtId="0" fontId="3" fillId="0" borderId="529" xfId="0" applyFont="1" applyBorder="1" applyAlignment="1" applyProtection="1">
      <alignment horizontal="center"/>
      <protection locked="0"/>
    </xf>
    <xf numFmtId="0" fontId="5" fillId="0" borderId="529" xfId="0" applyFont="1" applyBorder="1" applyAlignment="1">
      <alignment horizontal="center"/>
    </xf>
    <xf numFmtId="0" fontId="0" fillId="0" borderId="527" xfId="0" applyBorder="1" applyAlignment="1" applyProtection="1">
      <alignment horizontal="left"/>
      <protection locked="0"/>
    </xf>
    <xf numFmtId="0" fontId="12" fillId="0" borderId="527" xfId="0" applyFont="1" applyBorder="1" applyAlignment="1">
      <alignment vertical="center"/>
    </xf>
    <xf numFmtId="0" fontId="14" fillId="0" borderId="527" xfId="0" applyFont="1" applyBorder="1" applyAlignment="1">
      <alignment vertical="center"/>
    </xf>
    <xf numFmtId="0" fontId="0" fillId="0" borderId="523" xfId="0" applyBorder="1" applyAlignment="1">
      <alignment vertical="center"/>
    </xf>
    <xf numFmtId="0" fontId="0" fillId="51" borderId="479" xfId="50" applyFont="1" applyFill="1" applyBorder="1">
      <alignment horizontal="center" vertical="center"/>
    </xf>
    <xf numFmtId="1" fontId="0" fillId="51" borderId="479" xfId="32" applyNumberFormat="1" applyFont="1" applyFill="1" applyBorder="1" applyAlignment="1">
      <alignment horizontal="center" vertical="center"/>
    </xf>
    <xf numFmtId="49" fontId="0" fillId="51" borderId="531" xfId="0" applyNumberFormat="1" applyFill="1" applyBorder="1">
      <alignment horizontal="center" vertical="center"/>
    </xf>
    <xf numFmtId="49" fontId="0" fillId="51" borderId="529" xfId="0" applyNumberFormat="1" applyFill="1" applyBorder="1">
      <alignment horizontal="center" vertical="center"/>
    </xf>
    <xf numFmtId="0" fontId="0" fillId="51" borderId="529" xfId="0" applyFill="1" applyBorder="1">
      <alignment horizontal="center" vertical="center"/>
    </xf>
    <xf numFmtId="0" fontId="5" fillId="44" borderId="515" xfId="0" applyFont="1" applyFill="1" applyBorder="1" applyAlignment="1">
      <alignment horizontal="left"/>
    </xf>
    <xf numFmtId="0" fontId="5" fillId="25" borderId="515" xfId="0" applyFont="1" applyFill="1" applyBorder="1">
      <alignment horizontal="center" vertical="center"/>
    </xf>
    <xf numFmtId="0" fontId="6" fillId="25" borderId="516" xfId="0" applyFont="1" applyFill="1" applyBorder="1">
      <alignment horizontal="center" vertical="center"/>
    </xf>
    <xf numFmtId="0" fontId="5" fillId="29" borderId="515" xfId="0" applyFont="1" applyFill="1" applyBorder="1" applyAlignment="1">
      <alignment horizontal="left"/>
    </xf>
    <xf numFmtId="0" fontId="5" fillId="29" borderId="516" xfId="0" applyFont="1" applyFill="1" applyBorder="1" applyAlignment="1">
      <alignment horizontal="left"/>
    </xf>
    <xf numFmtId="0" fontId="6" fillId="29" borderId="516" xfId="0" applyFont="1" applyFill="1" applyBorder="1">
      <alignment horizontal="center" vertical="center"/>
    </xf>
    <xf numFmtId="0" fontId="6" fillId="29" borderId="517" xfId="0" applyFont="1" applyFill="1" applyBorder="1">
      <alignment horizontal="center" vertical="center"/>
    </xf>
    <xf numFmtId="0" fontId="5" fillId="37" borderId="515" xfId="0" applyFont="1" applyFill="1" applyBorder="1" applyAlignment="1">
      <alignment horizontal="left"/>
    </xf>
    <xf numFmtId="0" fontId="5" fillId="37" borderId="516" xfId="0" applyFont="1" applyFill="1" applyBorder="1" applyAlignment="1">
      <alignment horizontal="left"/>
    </xf>
    <xf numFmtId="0" fontId="0" fillId="37" borderId="516" xfId="0" applyFill="1" applyBorder="1">
      <alignment horizontal="center" vertical="center"/>
    </xf>
    <xf numFmtId="0" fontId="5" fillId="45" borderId="515" xfId="0" applyFont="1" applyFill="1" applyBorder="1" applyAlignment="1">
      <alignment horizontal="left"/>
    </xf>
    <xf numFmtId="0" fontId="0" fillId="45" borderId="516" xfId="0" applyFill="1" applyBorder="1">
      <alignment horizontal="center" vertical="center"/>
    </xf>
    <xf numFmtId="0" fontId="6" fillId="45" borderId="516" xfId="0" applyFont="1" applyFill="1" applyBorder="1">
      <alignment horizontal="center" vertical="center"/>
    </xf>
    <xf numFmtId="0" fontId="6" fillId="45" borderId="517" xfId="0" applyFont="1" applyFill="1" applyBorder="1">
      <alignment horizontal="center" vertical="center"/>
    </xf>
    <xf numFmtId="0" fontId="5" fillId="24" borderId="515" xfId="0" applyFont="1" applyFill="1" applyBorder="1">
      <alignment horizontal="center" vertical="center"/>
    </xf>
    <xf numFmtId="0" fontId="0" fillId="24" borderId="516" xfId="0" applyFill="1" applyBorder="1">
      <alignment horizontal="center" vertical="center"/>
    </xf>
    <xf numFmtId="0" fontId="6" fillId="24" borderId="516" xfId="0" applyFont="1" applyFill="1" applyBorder="1">
      <alignment horizontal="center" vertical="center"/>
    </xf>
    <xf numFmtId="0" fontId="5" fillId="40" borderId="515" xfId="0" applyFont="1" applyFill="1" applyBorder="1" applyAlignment="1">
      <alignment horizontal="left"/>
    </xf>
    <xf numFmtId="0" fontId="6" fillId="40" borderId="516" xfId="0" applyFont="1" applyFill="1" applyBorder="1">
      <alignment horizontal="center" vertical="center"/>
    </xf>
    <xf numFmtId="0" fontId="0" fillId="40" borderId="517" xfId="0" applyFill="1" applyBorder="1">
      <alignment horizontal="center" vertical="center"/>
    </xf>
    <xf numFmtId="0" fontId="0" fillId="46" borderId="532" xfId="0" applyFill="1" applyBorder="1">
      <alignment horizontal="center" vertical="center"/>
    </xf>
    <xf numFmtId="0" fontId="6" fillId="46" borderId="532" xfId="0" applyFont="1" applyFill="1" applyBorder="1">
      <alignment horizontal="center" vertical="center"/>
    </xf>
    <xf numFmtId="0" fontId="6" fillId="46" borderId="533" xfId="0" applyFont="1" applyFill="1" applyBorder="1">
      <alignment horizontal="center" vertical="center"/>
    </xf>
    <xf numFmtId="0" fontId="5" fillId="0" borderId="534" xfId="0" applyFont="1" applyBorder="1" applyAlignment="1">
      <alignment horizontal="left" vertical="center"/>
    </xf>
    <xf numFmtId="0" fontId="6" fillId="0" borderId="532" xfId="0" applyFont="1" applyBorder="1">
      <alignment horizontal="center" vertical="center"/>
    </xf>
    <xf numFmtId="0" fontId="6" fillId="0" borderId="533" xfId="0" applyFont="1" applyBorder="1">
      <alignment horizontal="center" vertical="center"/>
    </xf>
    <xf numFmtId="0" fontId="5" fillId="39" borderId="527" xfId="0" applyFont="1" applyFill="1" applyBorder="1" applyAlignment="1">
      <alignment horizontal="left"/>
    </xf>
    <xf numFmtId="0" fontId="5" fillId="47" borderId="515" xfId="0" applyFont="1" applyFill="1" applyBorder="1">
      <alignment horizontal="center" vertical="center"/>
    </xf>
    <xf numFmtId="0" fontId="6" fillId="47" borderId="516" xfId="0" applyFont="1" applyFill="1" applyBorder="1">
      <alignment horizontal="center" vertical="center"/>
    </xf>
    <xf numFmtId="0" fontId="6" fillId="0" borderId="515" xfId="0" applyFont="1" applyBorder="1" applyAlignment="1">
      <alignment horizontal="left"/>
    </xf>
    <xf numFmtId="0" fontId="0" fillId="0" borderId="516" xfId="0" applyBorder="1">
      <alignment horizontal="center" vertical="center"/>
    </xf>
    <xf numFmtId="0" fontId="6" fillId="0" borderId="516" xfId="0" applyFont="1" applyBorder="1" applyAlignment="1">
      <alignment horizontal="left"/>
    </xf>
    <xf numFmtId="0" fontId="6" fillId="0" borderId="516" xfId="0" applyFont="1" applyBorder="1">
      <alignment horizontal="center" vertical="center"/>
    </xf>
    <xf numFmtId="0" fontId="6" fillId="0" borderId="517" xfId="0" applyFont="1" applyBorder="1">
      <alignment horizontal="center" vertical="center"/>
    </xf>
    <xf numFmtId="0" fontId="6" fillId="48" borderId="515" xfId="0" applyFont="1" applyFill="1" applyBorder="1" applyAlignment="1">
      <alignment horizontal="left" vertical="center"/>
    </xf>
    <xf numFmtId="0" fontId="6" fillId="48" borderId="516" xfId="0" applyFont="1" applyFill="1" applyBorder="1">
      <alignment horizontal="center" vertical="center"/>
    </xf>
    <xf numFmtId="0" fontId="6" fillId="48" borderId="517" xfId="0" applyFont="1" applyFill="1" applyBorder="1">
      <alignment horizontal="center" vertical="center"/>
    </xf>
    <xf numFmtId="0" fontId="3" fillId="0" borderId="515" xfId="0" applyFont="1" applyBorder="1" applyAlignment="1">
      <alignment horizontal="left" vertical="center"/>
    </xf>
    <xf numFmtId="0" fontId="0" fillId="0" borderId="517" xfId="0" applyBorder="1">
      <alignment horizontal="center" vertical="center"/>
    </xf>
    <xf numFmtId="0" fontId="0" fillId="0" borderId="535" xfId="0" applyBorder="1">
      <alignment horizontal="center" vertical="center"/>
    </xf>
    <xf numFmtId="0" fontId="3" fillId="0" borderId="516" xfId="0" applyFont="1" applyBorder="1" applyAlignment="1">
      <alignment horizontal="left" vertical="center"/>
    </xf>
    <xf numFmtId="0" fontId="0" fillId="0" borderId="536" xfId="0" applyBorder="1">
      <alignment horizontal="center" vertical="center"/>
    </xf>
    <xf numFmtId="0" fontId="13" fillId="0" borderId="534" xfId="0" applyFont="1" applyBorder="1">
      <alignment horizontal="center" vertical="center"/>
    </xf>
    <xf numFmtId="0" fontId="0" fillId="0" borderId="532" xfId="0" applyBorder="1">
      <alignment horizontal="center" vertical="center"/>
    </xf>
    <xf numFmtId="0" fontId="0" fillId="0" borderId="533" xfId="0" applyBorder="1">
      <alignment horizontal="center" vertical="center"/>
    </xf>
    <xf numFmtId="0" fontId="3" fillId="0" borderId="515" xfId="0" applyFont="1" applyBorder="1">
      <alignment horizontal="center" vertical="center"/>
    </xf>
    <xf numFmtId="0" fontId="0" fillId="0" borderId="528" xfId="0" applyBorder="1" applyAlignment="1" applyProtection="1">
      <alignment horizontal="center"/>
      <protection locked="0"/>
    </xf>
    <xf numFmtId="0" fontId="5" fillId="0" borderId="528" xfId="0" applyFont="1" applyBorder="1" applyAlignment="1">
      <alignment horizontal="center"/>
    </xf>
    <xf numFmtId="0" fontId="0" fillId="51" borderId="528" xfId="0" applyFill="1" applyBorder="1">
      <alignment horizontal="center" vertical="center"/>
    </xf>
    <xf numFmtId="0" fontId="0" fillId="70" borderId="528" xfId="0" applyFill="1" applyBorder="1">
      <alignment horizontal="center" vertical="center"/>
    </xf>
    <xf numFmtId="0" fontId="0" fillId="0" borderId="528" xfId="0" applyBorder="1">
      <alignment horizontal="center" vertical="center"/>
    </xf>
    <xf numFmtId="0" fontId="0" fillId="0" borderId="537" xfId="0" applyBorder="1">
      <alignment horizontal="center" vertical="center"/>
    </xf>
    <xf numFmtId="0" fontId="5" fillId="0" borderId="479" xfId="0" applyFont="1" applyBorder="1">
      <alignment horizontal="center" vertical="center"/>
    </xf>
    <xf numFmtId="0" fontId="3" fillId="24" borderId="527" xfId="0" applyFont="1" applyFill="1" applyBorder="1" applyAlignment="1">
      <alignment horizontal="left" vertical="center"/>
    </xf>
    <xf numFmtId="0" fontId="0" fillId="24" borderId="527" xfId="0" applyFill="1" applyBorder="1">
      <alignment horizontal="center" vertical="center"/>
    </xf>
    <xf numFmtId="0" fontId="0" fillId="24" borderId="538" xfId="0" applyFill="1" applyBorder="1">
      <alignment horizontal="center" vertical="center"/>
    </xf>
    <xf numFmtId="0" fontId="0" fillId="43" borderId="527" xfId="0" applyFill="1" applyBorder="1" applyAlignment="1" applyProtection="1">
      <alignment horizontal="center"/>
      <protection locked="0"/>
    </xf>
    <xf numFmtId="0" fontId="0" fillId="0" borderId="521" xfId="0" applyBorder="1" applyAlignment="1">
      <alignment horizontal="left" vertical="center"/>
    </xf>
    <xf numFmtId="0" fontId="0" fillId="51" borderId="527" xfId="43" applyFont="1" applyFill="1" applyBorder="1">
      <alignment horizontal="center" vertical="center"/>
    </xf>
    <xf numFmtId="1" fontId="0" fillId="51" borderId="527" xfId="0" applyNumberFormat="1" applyFill="1" applyBorder="1">
      <alignment horizontal="center" vertical="center"/>
    </xf>
    <xf numFmtId="1" fontId="0" fillId="51" borderId="527" xfId="32" applyNumberFormat="1" applyFont="1" applyFill="1" applyBorder="1" applyAlignment="1">
      <alignment horizontal="center" vertical="center"/>
    </xf>
    <xf numFmtId="0" fontId="0" fillId="51" borderId="527" xfId="0" applyFill="1" applyBorder="1">
      <alignment horizontal="center" vertical="center"/>
    </xf>
    <xf numFmtId="0" fontId="0" fillId="51" borderId="527" xfId="44" applyFont="1" applyFill="1" applyBorder="1">
      <alignment horizontal="center" vertical="center"/>
    </xf>
    <xf numFmtId="0" fontId="0" fillId="51" borderId="527" xfId="46" applyFont="1" applyFill="1" applyBorder="1">
      <alignment horizontal="center" vertical="center"/>
    </xf>
    <xf numFmtId="1" fontId="0" fillId="51" borderId="538" xfId="0" applyNumberFormat="1" applyFill="1" applyBorder="1">
      <alignment horizontal="center" vertical="center"/>
    </xf>
    <xf numFmtId="0" fontId="0" fillId="0" borderId="527" xfId="0" applyBorder="1" applyAlignment="1">
      <alignment horizontal="left" vertical="center"/>
    </xf>
    <xf numFmtId="1" fontId="35" fillId="23" borderId="527" xfId="32" applyNumberFormat="1" applyBorder="1" applyAlignment="1">
      <alignment horizontal="center" vertical="center"/>
    </xf>
    <xf numFmtId="0" fontId="5" fillId="0" borderId="527" xfId="0" applyFont="1" applyBorder="1" applyAlignment="1">
      <alignment horizontal="left" vertical="center"/>
    </xf>
    <xf numFmtId="0" fontId="6" fillId="53" borderId="527" xfId="43" applyBorder="1">
      <alignment horizontal="center" vertical="center"/>
    </xf>
    <xf numFmtId="0" fontId="6" fillId="69" borderId="527" xfId="44" applyBorder="1">
      <alignment horizontal="center" vertical="center"/>
    </xf>
    <xf numFmtId="0" fontId="0" fillId="70" borderId="527" xfId="44" applyFont="1" applyFill="1" applyBorder="1">
      <alignment horizontal="center" vertical="center"/>
    </xf>
    <xf numFmtId="1" fontId="0" fillId="70" borderId="527" xfId="0" applyNumberFormat="1" applyFill="1" applyBorder="1">
      <alignment horizontal="center" vertical="center"/>
    </xf>
    <xf numFmtId="0" fontId="6" fillId="72" borderId="527" xfId="52" applyBorder="1">
      <alignment horizontal="center" vertical="center"/>
    </xf>
    <xf numFmtId="0" fontId="6" fillId="52" borderId="527" xfId="48" applyBorder="1">
      <alignment horizontal="center" vertical="center"/>
    </xf>
    <xf numFmtId="1" fontId="0" fillId="55" borderId="527" xfId="0" applyNumberFormat="1" applyFill="1" applyBorder="1">
      <alignment horizontal="center" vertical="center"/>
    </xf>
    <xf numFmtId="1" fontId="0" fillId="51" borderId="527" xfId="44" applyNumberFormat="1" applyFont="1" applyFill="1" applyBorder="1">
      <alignment horizontal="center" vertical="center"/>
    </xf>
    <xf numFmtId="0" fontId="3" fillId="24" borderId="528" xfId="0" applyFont="1" applyFill="1" applyBorder="1" applyAlignment="1" applyProtection="1">
      <alignment horizontal="left"/>
      <protection locked="0"/>
    </xf>
    <xf numFmtId="0" fontId="3" fillId="24" borderId="528" xfId="0" applyFont="1" applyFill="1" applyBorder="1">
      <alignment horizontal="center" vertical="center"/>
    </xf>
    <xf numFmtId="1" fontId="0" fillId="24" borderId="528" xfId="0" applyNumberFormat="1" applyFill="1" applyBorder="1">
      <alignment horizontal="center" vertical="center"/>
    </xf>
    <xf numFmtId="0" fontId="0" fillId="24" borderId="537" xfId="0" applyFill="1" applyBorder="1">
      <alignment horizontal="center" vertical="center"/>
    </xf>
    <xf numFmtId="173" fontId="0" fillId="0" borderId="479" xfId="0" applyNumberFormat="1" applyBorder="1">
      <alignment horizontal="center" vertical="center"/>
    </xf>
    <xf numFmtId="0" fontId="0" fillId="43" borderId="479" xfId="0" applyFill="1" applyBorder="1" applyAlignment="1" applyProtection="1">
      <alignment horizontal="center"/>
      <protection locked="0"/>
    </xf>
    <xf numFmtId="0" fontId="0" fillId="0" borderId="479" xfId="0" applyBorder="1" applyAlignment="1">
      <alignment horizontal="left" vertical="center"/>
    </xf>
    <xf numFmtId="0" fontId="0" fillId="55" borderId="527" xfId="43" applyFont="1" applyFill="1" applyBorder="1">
      <alignment horizontal="center" vertical="center"/>
    </xf>
    <xf numFmtId="0" fontId="0" fillId="51" borderId="479" xfId="0" applyFill="1" applyBorder="1">
      <alignment horizontal="center" vertical="center"/>
    </xf>
    <xf numFmtId="0" fontId="35" fillId="51" borderId="527" xfId="32" applyFill="1" applyBorder="1" applyAlignment="1">
      <alignment horizontal="center" vertical="center"/>
    </xf>
    <xf numFmtId="0" fontId="0" fillId="51" borderId="479" xfId="44" applyFont="1" applyFill="1" applyBorder="1">
      <alignment horizontal="center" vertical="center"/>
    </xf>
    <xf numFmtId="0" fontId="0" fillId="55" borderId="479" xfId="0" applyFill="1" applyBorder="1">
      <alignment horizontal="center" vertical="center"/>
    </xf>
    <xf numFmtId="0" fontId="0" fillId="51" borderId="479" xfId="48" applyFont="1" applyFill="1" applyBorder="1">
      <alignment horizontal="center" vertical="center"/>
    </xf>
    <xf numFmtId="0" fontId="0" fillId="51" borderId="539" xfId="0" applyFill="1" applyBorder="1">
      <alignment horizontal="center" vertical="center"/>
    </xf>
    <xf numFmtId="0" fontId="6" fillId="0" borderId="479" xfId="0" applyFont="1" applyBorder="1" applyAlignment="1">
      <alignment horizontal="left" vertical="center"/>
    </xf>
    <xf numFmtId="0" fontId="35" fillId="23" borderId="479" xfId="32" applyBorder="1" applyAlignment="1">
      <alignment horizontal="center" vertical="center"/>
    </xf>
    <xf numFmtId="0" fontId="0" fillId="51" borderId="479" xfId="43" applyFont="1" applyFill="1" applyBorder="1">
      <alignment horizontal="center" vertical="center"/>
    </xf>
    <xf numFmtId="0" fontId="0" fillId="51" borderId="479" xfId="46" applyFont="1" applyFill="1" applyBorder="1">
      <alignment horizontal="center" vertical="center"/>
    </xf>
    <xf numFmtId="0" fontId="0" fillId="0" borderId="479" xfId="0" applyBorder="1" applyAlignment="1">
      <alignment vertical="center"/>
    </xf>
    <xf numFmtId="0" fontId="0" fillId="55" borderId="479" xfId="48" applyFont="1" applyFill="1" applyBorder="1">
      <alignment horizontal="center" vertical="center"/>
    </xf>
    <xf numFmtId="0" fontId="0" fillId="55" borderId="479" xfId="44" applyFont="1" applyFill="1" applyBorder="1">
      <alignment horizontal="center" vertical="center"/>
    </xf>
    <xf numFmtId="0" fontId="6" fillId="52" borderId="479" xfId="48" applyBorder="1">
      <alignment horizontal="center" vertical="center"/>
    </xf>
    <xf numFmtId="49" fontId="0" fillId="51" borderId="513" xfId="0" applyNumberFormat="1" applyFill="1" applyBorder="1">
      <alignment horizontal="center" vertical="center"/>
    </xf>
    <xf numFmtId="49" fontId="0" fillId="51" borderId="479" xfId="0" applyNumberFormat="1" applyFill="1" applyBorder="1">
      <alignment horizontal="center" vertical="center"/>
    </xf>
    <xf numFmtId="0" fontId="3" fillId="0" borderId="540" xfId="0" applyFont="1" applyBorder="1" applyAlignment="1">
      <alignment horizontal="left" vertical="center"/>
    </xf>
    <xf numFmtId="0" fontId="3" fillId="0" borderId="515" xfId="0" applyFont="1" applyBorder="1" applyAlignment="1">
      <alignment vertical="center"/>
    </xf>
    <xf numFmtId="0" fontId="13" fillId="0" borderId="516" xfId="0" applyFont="1" applyBorder="1">
      <alignment horizontal="center" vertical="center"/>
    </xf>
    <xf numFmtId="0" fontId="3" fillId="0" borderId="534" xfId="0" applyFont="1" applyBorder="1" applyAlignment="1">
      <alignment horizontal="left" vertical="center"/>
    </xf>
    <xf numFmtId="0" fontId="13" fillId="0" borderId="532" xfId="0" applyFont="1" applyBorder="1">
      <alignment horizontal="center" vertical="center"/>
    </xf>
    <xf numFmtId="0" fontId="3" fillId="0" borderId="532" xfId="0" applyFont="1" applyBorder="1">
      <alignment horizontal="center" vertical="center"/>
    </xf>
    <xf numFmtId="0" fontId="3" fillId="0" borderId="524" xfId="0" applyFont="1" applyBorder="1" applyAlignment="1">
      <alignment horizontal="left" vertical="center"/>
    </xf>
    <xf numFmtId="0" fontId="0" fillId="0" borderId="515" xfId="0" applyBorder="1" applyAlignment="1">
      <alignment vertical="center"/>
    </xf>
    <xf numFmtId="0" fontId="0" fillId="0" borderId="516" xfId="0" applyBorder="1" applyAlignment="1">
      <alignment horizontal="left" vertical="center"/>
    </xf>
    <xf numFmtId="0" fontId="0" fillId="0" borderId="541" xfId="0" applyBorder="1">
      <alignment horizontal="center" vertical="center"/>
    </xf>
    <xf numFmtId="0" fontId="3" fillId="0" borderId="525" xfId="0" applyFont="1" applyBorder="1" applyAlignment="1">
      <alignment horizontal="left" vertical="center"/>
    </xf>
    <xf numFmtId="0" fontId="0" fillId="0" borderId="526" xfId="0" applyBorder="1">
      <alignment horizontal="center" vertical="center"/>
    </xf>
    <xf numFmtId="0" fontId="0" fillId="0" borderId="520" xfId="0" applyBorder="1" applyAlignment="1">
      <alignment vertical="center"/>
    </xf>
    <xf numFmtId="0" fontId="0" fillId="0" borderId="542" xfId="0" applyBorder="1">
      <alignment horizontal="center" vertical="center"/>
    </xf>
    <xf numFmtId="0" fontId="3" fillId="0" borderId="520" xfId="0" applyFont="1" applyBorder="1">
      <alignment horizontal="center" vertical="center"/>
    </xf>
    <xf numFmtId="0" fontId="0" fillId="0" borderId="526" xfId="0" applyBorder="1" applyAlignment="1">
      <alignment horizontal="left" vertical="center"/>
    </xf>
    <xf numFmtId="0" fontId="13" fillId="0" borderId="526" xfId="0" applyFont="1" applyBorder="1">
      <alignment horizontal="center" vertical="center"/>
    </xf>
    <xf numFmtId="0" fontId="3" fillId="0" borderId="526" xfId="0" applyFont="1" applyBorder="1" applyAlignment="1">
      <alignment horizontal="left" vertical="center"/>
    </xf>
    <xf numFmtId="0" fontId="0" fillId="0" borderId="543" xfId="0" applyBorder="1">
      <alignment horizontal="center" vertical="center"/>
    </xf>
    <xf numFmtId="0" fontId="0" fillId="0" borderId="523" xfId="0" applyBorder="1" applyAlignment="1" applyProtection="1">
      <alignment horizontal="center"/>
      <protection locked="0"/>
    </xf>
    <xf numFmtId="0" fontId="5" fillId="0" borderId="523" xfId="0" applyFont="1" applyBorder="1" applyAlignment="1">
      <alignment horizontal="center"/>
    </xf>
    <xf numFmtId="0" fontId="0" fillId="43" borderId="544" xfId="0" applyFill="1" applyBorder="1" applyAlignment="1" applyProtection="1">
      <alignment horizontal="center"/>
      <protection locked="0"/>
    </xf>
    <xf numFmtId="0" fontId="0" fillId="51" borderId="538" xfId="0" applyFill="1" applyBorder="1">
      <alignment horizontal="center" vertical="center"/>
    </xf>
    <xf numFmtId="0" fontId="0" fillId="43" borderId="545" xfId="0" applyFill="1" applyBorder="1" applyAlignment="1" applyProtection="1">
      <alignment horizontal="center"/>
      <protection locked="0"/>
    </xf>
    <xf numFmtId="0" fontId="0" fillId="0" borderId="528" xfId="0" applyBorder="1" applyAlignment="1">
      <alignment horizontal="left" vertical="center"/>
    </xf>
    <xf numFmtId="0" fontId="0" fillId="53" borderId="528" xfId="0" applyFill="1" applyBorder="1">
      <alignment horizontal="center" vertical="center"/>
    </xf>
    <xf numFmtId="49" fontId="0" fillId="51" borderId="528" xfId="0" applyNumberFormat="1" applyFill="1" applyBorder="1">
      <alignment horizontal="center" vertical="center"/>
    </xf>
    <xf numFmtId="0" fontId="0" fillId="51" borderId="528" xfId="48" applyFont="1" applyFill="1" applyBorder="1">
      <alignment horizontal="center" vertical="center"/>
    </xf>
    <xf numFmtId="0" fontId="0" fillId="51" borderId="528" xfId="43" applyFont="1" applyFill="1" applyBorder="1">
      <alignment horizontal="center" vertical="center"/>
    </xf>
    <xf numFmtId="0" fontId="0" fillId="53" borderId="528" xfId="43" applyFont="1" applyBorder="1">
      <alignment horizontal="center" vertical="center"/>
    </xf>
    <xf numFmtId="49" fontId="0" fillId="53" borderId="528" xfId="0" applyNumberFormat="1" applyFill="1" applyBorder="1">
      <alignment horizontal="center" vertical="center"/>
    </xf>
    <xf numFmtId="0" fontId="0" fillId="51" borderId="528" xfId="44" applyFont="1" applyFill="1" applyBorder="1">
      <alignment horizontal="center" vertical="center"/>
    </xf>
    <xf numFmtId="49" fontId="0" fillId="51" borderId="527" xfId="0" applyNumberFormat="1" applyFill="1" applyBorder="1">
      <alignment horizontal="center" vertical="center"/>
    </xf>
    <xf numFmtId="0" fontId="0" fillId="0" borderId="527" xfId="0" applyBorder="1">
      <alignment horizontal="center" vertical="center"/>
    </xf>
    <xf numFmtId="0" fontId="0" fillId="51" borderId="527" xfId="48" applyFont="1" applyFill="1" applyBorder="1">
      <alignment horizontal="center" vertical="center"/>
    </xf>
    <xf numFmtId="0" fontId="0" fillId="51" borderId="527" xfId="45" applyFont="1" applyFill="1" applyBorder="1">
      <alignment horizontal="center" vertical="center"/>
    </xf>
    <xf numFmtId="49" fontId="0" fillId="51" borderId="538" xfId="0" applyNumberFormat="1" applyFill="1" applyBorder="1">
      <alignment horizontal="center" vertical="center"/>
    </xf>
    <xf numFmtId="0" fontId="0" fillId="0" borderId="528" xfId="0" applyBorder="1" applyAlignment="1">
      <alignment vertical="center"/>
    </xf>
    <xf numFmtId="0" fontId="0" fillId="51" borderId="537" xfId="0" applyFill="1" applyBorder="1">
      <alignment horizontal="center" vertical="center"/>
    </xf>
    <xf numFmtId="0" fontId="0" fillId="52" borderId="527" xfId="46" applyFont="1" applyFill="1" applyBorder="1">
      <alignment horizontal="center" vertical="center"/>
    </xf>
    <xf numFmtId="0" fontId="0" fillId="52" borderId="527" xfId="44" applyFont="1" applyFill="1" applyBorder="1">
      <alignment horizontal="center" vertical="center"/>
    </xf>
    <xf numFmtId="0" fontId="6" fillId="54" borderId="527" xfId="50" applyBorder="1">
      <alignment horizontal="center" vertical="center"/>
    </xf>
    <xf numFmtId="49" fontId="0" fillId="55" borderId="538" xfId="0" applyNumberFormat="1" applyFill="1" applyBorder="1">
      <alignment horizontal="center" vertical="center"/>
    </xf>
    <xf numFmtId="49" fontId="0" fillId="56" borderId="528" xfId="0" applyNumberFormat="1" applyFill="1" applyBorder="1">
      <alignment horizontal="center" vertical="center"/>
    </xf>
    <xf numFmtId="49" fontId="0" fillId="51" borderId="537" xfId="0" applyNumberFormat="1" applyFill="1" applyBorder="1">
      <alignment horizontal="center" vertical="center"/>
    </xf>
    <xf numFmtId="49" fontId="0" fillId="55" borderId="528" xfId="0" applyNumberFormat="1" applyFill="1" applyBorder="1">
      <alignment horizontal="center" vertical="center"/>
    </xf>
    <xf numFmtId="49" fontId="0" fillId="53" borderId="527" xfId="0" applyNumberFormat="1" applyFill="1" applyBorder="1">
      <alignment horizontal="center" vertical="center"/>
    </xf>
    <xf numFmtId="0" fontId="0" fillId="53" borderId="527" xfId="43" applyFont="1" applyBorder="1">
      <alignment horizontal="center" vertical="center"/>
    </xf>
    <xf numFmtId="0" fontId="0" fillId="56" borderId="527" xfId="43" applyFont="1" applyFill="1" applyBorder="1">
      <alignment horizontal="center" vertical="center"/>
    </xf>
    <xf numFmtId="0" fontId="6" fillId="52" borderId="528" xfId="48" applyBorder="1">
      <alignment horizontal="center" vertical="center"/>
    </xf>
    <xf numFmtId="0" fontId="0" fillId="51" borderId="537" xfId="44" applyFont="1" applyFill="1" applyBorder="1">
      <alignment horizontal="center" vertical="center"/>
    </xf>
    <xf numFmtId="0" fontId="3" fillId="0" borderId="527" xfId="0" applyFont="1" applyBorder="1" applyAlignment="1">
      <alignment horizontal="center"/>
    </xf>
    <xf numFmtId="0" fontId="6" fillId="0" borderId="527" xfId="0" applyFont="1" applyBorder="1">
      <alignment horizontal="center" vertical="center"/>
    </xf>
    <xf numFmtId="0" fontId="0" fillId="0" borderId="523" xfId="0" applyBorder="1">
      <alignment horizontal="center" vertical="center"/>
    </xf>
    <xf numFmtId="0" fontId="3" fillId="0" borderId="523" xfId="0" applyFont="1" applyBorder="1" applyAlignment="1">
      <alignment horizontal="center"/>
    </xf>
    <xf numFmtId="0" fontId="5" fillId="0" borderId="527" xfId="0" applyFont="1" applyBorder="1" applyAlignment="1">
      <alignment horizontal="left"/>
    </xf>
    <xf numFmtId="0" fontId="6" fillId="0" borderId="515" xfId="0" applyFont="1" applyBorder="1">
      <alignment horizontal="center" vertical="center"/>
    </xf>
    <xf numFmtId="0" fontId="0" fillId="0" borderId="527" xfId="0" applyBorder="1" applyAlignment="1">
      <alignment horizontal="center"/>
    </xf>
    <xf numFmtId="0" fontId="0" fillId="43" borderId="515" xfId="0" applyFill="1" applyBorder="1" applyAlignment="1" applyProtection="1">
      <alignment horizontal="center"/>
      <protection locked="0"/>
    </xf>
    <xf numFmtId="0" fontId="0" fillId="0" borderId="515" xfId="0" applyBorder="1" applyAlignment="1">
      <alignment horizontal="left"/>
    </xf>
    <xf numFmtId="0" fontId="0" fillId="0" borderId="516" xfId="0" applyBorder="1" applyAlignment="1">
      <alignment horizontal="left"/>
    </xf>
    <xf numFmtId="0" fontId="0" fillId="0" borderId="534" xfId="0" applyBorder="1" applyAlignment="1">
      <alignment horizontal="left"/>
    </xf>
    <xf numFmtId="0" fontId="0" fillId="0" borderId="532" xfId="0" applyBorder="1" applyAlignment="1">
      <alignment horizontal="left"/>
    </xf>
    <xf numFmtId="0" fontId="6" fillId="0" borderId="533" xfId="0" applyFont="1" applyBorder="1" applyAlignment="1">
      <alignment horizontal="left"/>
    </xf>
    <xf numFmtId="0" fontId="6" fillId="0" borderId="532" xfId="0" applyFont="1" applyBorder="1" applyAlignment="1">
      <alignment horizontal="left"/>
    </xf>
    <xf numFmtId="0" fontId="6" fillId="0" borderId="517" xfId="0" applyFont="1" applyBorder="1" applyAlignment="1">
      <alignment horizontal="left"/>
    </xf>
    <xf numFmtId="0" fontId="5" fillId="0" borderId="515" xfId="0" applyFont="1" applyBorder="1" applyAlignment="1">
      <alignment horizontal="left"/>
    </xf>
    <xf numFmtId="0" fontId="21" fillId="0" borderId="527" xfId="0" applyFont="1" applyBorder="1" applyAlignment="1" applyProtection="1">
      <alignment horizontal="center"/>
      <protection locked="0"/>
    </xf>
    <xf numFmtId="0" fontId="0" fillId="0" borderId="527" xfId="0" applyBorder="1" applyAlignment="1">
      <alignment horizontal="left"/>
    </xf>
    <xf numFmtId="0" fontId="6" fillId="0" borderId="527" xfId="0" applyFont="1" applyBorder="1" applyAlignment="1">
      <alignment horizontal="left"/>
    </xf>
    <xf numFmtId="0" fontId="3" fillId="0" borderId="528" xfId="0" applyFont="1" applyBorder="1" applyAlignment="1" applyProtection="1">
      <alignment horizontal="center"/>
      <protection locked="0"/>
    </xf>
    <xf numFmtId="0" fontId="0" fillId="51" borderId="521" xfId="43" applyFont="1" applyFill="1" applyBorder="1">
      <alignment horizontal="center" vertical="center"/>
    </xf>
    <xf numFmtId="0" fontId="6" fillId="53" borderId="521" xfId="43" applyBorder="1">
      <alignment horizontal="center" vertical="center"/>
    </xf>
    <xf numFmtId="0" fontId="0" fillId="51" borderId="521" xfId="0" applyFill="1" applyBorder="1" applyAlignment="1">
      <alignment horizontal="left" vertical="center"/>
    </xf>
    <xf numFmtId="49" fontId="0" fillId="51" borderId="521" xfId="0" applyNumberFormat="1" applyFill="1" applyBorder="1">
      <alignment horizontal="center" vertical="center"/>
    </xf>
    <xf numFmtId="0" fontId="0" fillId="51" borderId="521" xfId="48" applyFont="1" applyFill="1" applyBorder="1">
      <alignment horizontal="center" vertical="center"/>
    </xf>
    <xf numFmtId="0" fontId="0" fillId="55" borderId="521" xfId="43" applyFont="1" applyFill="1" applyBorder="1">
      <alignment horizontal="center" vertical="center"/>
    </xf>
    <xf numFmtId="0" fontId="6" fillId="55" borderId="521" xfId="45" applyBorder="1">
      <alignment horizontal="center" vertical="center"/>
    </xf>
    <xf numFmtId="0" fontId="0" fillId="53" borderId="521" xfId="48" applyFont="1" applyFill="1" applyBorder="1">
      <alignment horizontal="center" vertical="center"/>
    </xf>
    <xf numFmtId="0" fontId="6" fillId="53" borderId="513" xfId="43" applyBorder="1">
      <alignment horizontal="center" vertical="center"/>
    </xf>
    <xf numFmtId="0" fontId="6" fillId="55" borderId="513" xfId="45" applyBorder="1">
      <alignment horizontal="center" vertical="center"/>
    </xf>
    <xf numFmtId="0" fontId="0" fillId="55" borderId="521" xfId="0" applyFill="1" applyBorder="1">
      <alignment horizontal="center" vertical="center"/>
    </xf>
    <xf numFmtId="0" fontId="6" fillId="51" borderId="521" xfId="43" applyFill="1" applyBorder="1">
      <alignment horizontal="center" vertical="center"/>
    </xf>
    <xf numFmtId="0" fontId="0" fillId="51" borderId="527" xfId="47" applyFont="1" applyFill="1" applyBorder="1">
      <alignment horizontal="center" vertical="center"/>
    </xf>
    <xf numFmtId="0" fontId="0" fillId="57" borderId="521" xfId="48" applyFont="1" applyFill="1" applyBorder="1">
      <alignment horizontal="center" vertical="center"/>
    </xf>
    <xf numFmtId="0" fontId="0" fillId="0" borderId="521" xfId="0" applyBorder="1" applyAlignment="1">
      <alignment vertical="center"/>
    </xf>
    <xf numFmtId="0" fontId="0" fillId="51" borderId="521" xfId="51" applyFont="1" applyFill="1" applyBorder="1">
      <alignment horizontal="center" vertical="center"/>
    </xf>
    <xf numFmtId="0" fontId="0" fillId="55" borderId="521" xfId="48" applyFont="1" applyFill="1" applyBorder="1">
      <alignment horizontal="center" vertical="center"/>
    </xf>
    <xf numFmtId="0" fontId="0" fillId="80" borderId="521" xfId="48" applyFont="1" applyFill="1" applyBorder="1">
      <alignment horizontal="center" vertical="center"/>
    </xf>
    <xf numFmtId="0" fontId="0" fillId="53" borderId="521" xfId="0" applyFill="1" applyBorder="1">
      <alignment horizontal="center" vertical="center"/>
    </xf>
    <xf numFmtId="0" fontId="6" fillId="52" borderId="521" xfId="48" applyBorder="1">
      <alignment horizontal="center" vertical="center"/>
    </xf>
    <xf numFmtId="0" fontId="0" fillId="52" borderId="521" xfId="0" applyFill="1" applyBorder="1">
      <alignment horizontal="center" vertical="center"/>
    </xf>
    <xf numFmtId="0" fontId="0" fillId="70" borderId="521" xfId="0" applyFill="1" applyBorder="1">
      <alignment horizontal="center" vertical="center"/>
    </xf>
    <xf numFmtId="0" fontId="6" fillId="51" borderId="475" xfId="43" applyFill="1" applyBorder="1" applyAlignment="1">
      <alignment horizontal="left" vertical="center"/>
    </xf>
    <xf numFmtId="49" fontId="0" fillId="55" borderId="527" xfId="0" applyNumberFormat="1" applyFill="1" applyBorder="1">
      <alignment horizontal="center" vertical="center"/>
    </xf>
    <xf numFmtId="0" fontId="0" fillId="57" borderId="521" xfId="43" applyFont="1" applyFill="1" applyBorder="1">
      <alignment horizontal="center" vertical="center"/>
    </xf>
    <xf numFmtId="0" fontId="0" fillId="57" borderId="527" xfId="0" applyFill="1" applyBorder="1">
      <alignment horizontal="center" vertical="center"/>
    </xf>
    <xf numFmtId="49" fontId="0" fillId="57" borderId="527" xfId="0" applyNumberFormat="1" applyFill="1" applyBorder="1">
      <alignment horizontal="center" vertical="center"/>
    </xf>
    <xf numFmtId="0" fontId="0" fillId="57" borderId="479" xfId="44" applyFont="1" applyFill="1" applyBorder="1">
      <alignment horizontal="center" vertical="center"/>
    </xf>
    <xf numFmtId="0" fontId="0" fillId="0" borderId="475" xfId="0" applyBorder="1" applyAlignment="1">
      <alignment horizontal="left" vertical="center"/>
    </xf>
    <xf numFmtId="0" fontId="0" fillId="51" borderId="546" xfId="0" applyFill="1" applyBorder="1">
      <alignment horizontal="center" vertical="center"/>
    </xf>
    <xf numFmtId="0" fontId="0" fillId="70" borderId="546" xfId="0" applyFill="1" applyBorder="1">
      <alignment horizontal="center" vertical="center"/>
    </xf>
    <xf numFmtId="0" fontId="0" fillId="0" borderId="546" xfId="0" applyBorder="1">
      <alignment horizontal="center" vertical="center"/>
    </xf>
    <xf numFmtId="0" fontId="0" fillId="0" borderId="547" xfId="0" applyBorder="1">
      <alignment horizontal="center" vertical="center"/>
    </xf>
    <xf numFmtId="1" fontId="0" fillId="51" borderId="548" xfId="32" applyNumberFormat="1" applyFont="1" applyFill="1" applyBorder="1" applyAlignment="1">
      <alignment horizontal="center" vertical="center"/>
    </xf>
    <xf numFmtId="0" fontId="0" fillId="52" borderId="527" xfId="43" applyFont="1" applyFill="1" applyBorder="1">
      <alignment horizontal="center" vertical="center"/>
    </xf>
    <xf numFmtId="0" fontId="3" fillId="0" borderId="523" xfId="0" applyFont="1" applyBorder="1" applyAlignment="1" applyProtection="1">
      <alignment horizontal="center"/>
      <protection locked="0"/>
    </xf>
    <xf numFmtId="0" fontId="3" fillId="0" borderId="527" xfId="0" applyFont="1" applyBorder="1" applyAlignment="1" applyProtection="1">
      <alignment horizontal="center"/>
      <protection locked="0"/>
    </xf>
    <xf numFmtId="0" fontId="6" fillId="57" borderId="527" xfId="47" applyBorder="1">
      <alignment horizontal="center" vertical="center"/>
    </xf>
    <xf numFmtId="0" fontId="6" fillId="85" borderId="527" xfId="43" applyFill="1" applyBorder="1">
      <alignment horizontal="center" vertical="center"/>
    </xf>
    <xf numFmtId="0" fontId="6" fillId="85" borderId="538" xfId="43" applyFill="1" applyBorder="1">
      <alignment horizontal="center" vertical="center"/>
    </xf>
    <xf numFmtId="0" fontId="0" fillId="51" borderId="528" xfId="47" applyFont="1" applyFill="1" applyBorder="1">
      <alignment horizontal="center" vertical="center"/>
    </xf>
    <xf numFmtId="0" fontId="0" fillId="0" borderId="524" xfId="0" applyBorder="1">
      <alignment horizontal="center" vertical="center"/>
    </xf>
    <xf numFmtId="0" fontId="0" fillId="0" borderId="515" xfId="0" applyBorder="1">
      <alignment horizontal="center" vertical="center"/>
    </xf>
    <xf numFmtId="0" fontId="0" fillId="0" borderId="518" xfId="0" applyBorder="1">
      <alignment horizontal="center" vertical="center"/>
    </xf>
    <xf numFmtId="0" fontId="0" fillId="0" borderId="525" xfId="0" applyBorder="1">
      <alignment horizontal="center" vertical="center"/>
    </xf>
    <xf numFmtId="0" fontId="0" fillId="0" borderId="520" xfId="0" applyBorder="1">
      <alignment horizontal="center" vertical="center"/>
    </xf>
    <xf numFmtId="0" fontId="0" fillId="0" borderId="519" xfId="0" applyBorder="1">
      <alignment horizontal="center" vertical="center"/>
    </xf>
    <xf numFmtId="0" fontId="0" fillId="0" borderId="549" xfId="0" applyBorder="1">
      <alignment horizontal="center" vertical="center"/>
    </xf>
    <xf numFmtId="0" fontId="3" fillId="43" borderId="527" xfId="0" applyFont="1" applyFill="1" applyBorder="1" applyAlignment="1">
      <alignment horizontal="center"/>
    </xf>
    <xf numFmtId="0" fontId="0" fillId="0" borderId="527" xfId="0" applyBorder="1" applyAlignment="1">
      <alignment vertical="center"/>
    </xf>
    <xf numFmtId="0" fontId="0" fillId="51" borderId="527" xfId="20" applyNumberFormat="1" applyFont="1" applyFill="1" applyBorder="1" applyAlignment="1">
      <alignment horizontal="center" vertical="center"/>
    </xf>
    <xf numFmtId="0" fontId="0" fillId="55" borderId="527" xfId="0" applyFill="1" applyBorder="1">
      <alignment horizontal="center" vertical="center"/>
    </xf>
    <xf numFmtId="0" fontId="0" fillId="56" borderId="527" xfId="0" applyFill="1" applyBorder="1">
      <alignment horizontal="center" vertical="center"/>
    </xf>
    <xf numFmtId="0" fontId="3" fillId="43" borderId="528" xfId="0" applyFont="1" applyFill="1" applyBorder="1" applyAlignment="1">
      <alignment horizontal="center"/>
    </xf>
    <xf numFmtId="0" fontId="0" fillId="51" borderId="528" xfId="51" applyFont="1" applyFill="1" applyBorder="1">
      <alignment horizontal="center" vertical="center"/>
    </xf>
    <xf numFmtId="0" fontId="3" fillId="0" borderId="544" xfId="0" applyFont="1" applyBorder="1" applyAlignment="1">
      <alignment horizontal="center"/>
    </xf>
    <xf numFmtId="0" fontId="6" fillId="0" borderId="515" xfId="0" applyFont="1" applyBorder="1" applyAlignment="1">
      <alignment horizontal="left" vertical="center"/>
    </xf>
    <xf numFmtId="0" fontId="6" fillId="0" borderId="516" xfId="0" applyFont="1" applyBorder="1" applyAlignment="1">
      <alignment horizontal="left" vertical="center"/>
    </xf>
    <xf numFmtId="0" fontId="6" fillId="0" borderId="535" xfId="0" applyFont="1" applyBorder="1" applyAlignment="1">
      <alignment horizontal="left" vertical="center"/>
    </xf>
    <xf numFmtId="0" fontId="0" fillId="0" borderId="524" xfId="0" applyBorder="1" applyAlignment="1">
      <alignment horizontal="center"/>
    </xf>
    <xf numFmtId="0" fontId="3" fillId="0" borderId="515" xfId="0" applyFont="1" applyBorder="1" applyAlignment="1">
      <alignment horizontal="left"/>
    </xf>
    <xf numFmtId="0" fontId="0" fillId="0" borderId="516" xfId="0" applyBorder="1" applyAlignment="1"/>
    <xf numFmtId="0" fontId="0" fillId="0" borderId="517" xfId="0" applyBorder="1" applyAlignment="1">
      <alignment horizontal="left"/>
    </xf>
    <xf numFmtId="0" fontId="3" fillId="0" borderId="516" xfId="0" applyFont="1" applyBorder="1" applyAlignment="1"/>
    <xf numFmtId="0" fontId="3" fillId="0" borderId="517" xfId="0" applyFont="1" applyBorder="1" applyAlignment="1">
      <alignment horizontal="left"/>
    </xf>
    <xf numFmtId="0" fontId="0" fillId="0" borderId="515" xfId="0" applyBorder="1" applyAlignment="1">
      <alignment horizontal="center"/>
    </xf>
    <xf numFmtId="0" fontId="0" fillId="0" borderId="535" xfId="0" applyBorder="1" applyAlignment="1"/>
    <xf numFmtId="0" fontId="3" fillId="0" borderId="534" xfId="0" applyFont="1" applyBorder="1" applyAlignment="1">
      <alignment horizontal="left"/>
    </xf>
    <xf numFmtId="0" fontId="0" fillId="0" borderId="532" xfId="0" applyBorder="1" applyAlignment="1"/>
    <xf numFmtId="0" fontId="0" fillId="0" borderId="533" xfId="0" applyBorder="1" applyAlignment="1">
      <alignment horizontal="left"/>
    </xf>
    <xf numFmtId="0" fontId="8" fillId="0" borderId="534" xfId="0" applyFont="1" applyBorder="1" applyAlignment="1">
      <alignment horizontal="center"/>
    </xf>
    <xf numFmtId="0" fontId="0" fillId="0" borderId="541" xfId="0" applyBorder="1" applyAlignment="1"/>
    <xf numFmtId="0" fontId="0" fillId="0" borderId="525" xfId="0" applyBorder="1" applyAlignment="1">
      <alignment horizontal="center"/>
    </xf>
    <xf numFmtId="0" fontId="3" fillId="0" borderId="520" xfId="0" applyFont="1" applyBorder="1" applyAlignment="1">
      <alignment horizontal="left"/>
    </xf>
    <xf numFmtId="0" fontId="6" fillId="0" borderId="526" xfId="0" applyFont="1" applyBorder="1" applyAlignment="1">
      <alignment horizontal="left" vertical="center"/>
    </xf>
    <xf numFmtId="0" fontId="6" fillId="0" borderId="526" xfId="0" applyFont="1" applyBorder="1">
      <alignment horizontal="center" vertical="center"/>
    </xf>
    <xf numFmtId="0" fontId="6" fillId="0" borderId="542" xfId="0" applyFont="1" applyBorder="1">
      <alignment horizontal="center" vertical="center"/>
    </xf>
    <xf numFmtId="0" fontId="6" fillId="0" borderId="520" xfId="0" applyFont="1" applyBorder="1" applyAlignment="1">
      <alignment horizontal="left" vertical="center"/>
    </xf>
    <xf numFmtId="0" fontId="6" fillId="0" borderId="526" xfId="0" applyFont="1" applyBorder="1" applyAlignment="1">
      <alignment horizontal="left"/>
    </xf>
    <xf numFmtId="0" fontId="6" fillId="0" borderId="542" xfId="0" applyFont="1" applyBorder="1" applyAlignment="1">
      <alignment horizontal="left" vertical="center"/>
    </xf>
    <xf numFmtId="0" fontId="0" fillId="0" borderId="526" xfId="0" applyBorder="1" applyAlignment="1">
      <alignment horizontal="left"/>
    </xf>
    <xf numFmtId="0" fontId="0" fillId="0" borderId="543" xfId="0" applyBorder="1" applyAlignment="1"/>
    <xf numFmtId="0" fontId="0" fillId="51" borderId="527" xfId="0" applyFill="1" applyBorder="1" applyAlignment="1">
      <alignment horizontal="left" vertical="center"/>
    </xf>
    <xf numFmtId="0" fontId="36" fillId="17" borderId="550" xfId="34" applyBorder="1" applyAlignment="1">
      <alignment horizontal="center" vertical="center"/>
    </xf>
    <xf numFmtId="0" fontId="6" fillId="52" borderId="550" xfId="48" applyBorder="1">
      <alignment horizontal="center" vertical="center"/>
    </xf>
    <xf numFmtId="0" fontId="6" fillId="52" borderId="538" xfId="48" applyBorder="1">
      <alignment horizontal="center" vertical="center"/>
    </xf>
    <xf numFmtId="0" fontId="0" fillId="51" borderId="527" xfId="51" applyFont="1" applyFill="1" applyBorder="1">
      <alignment horizontal="center" vertical="center"/>
    </xf>
    <xf numFmtId="0" fontId="0" fillId="55" borderId="527" xfId="51" applyFont="1" applyFill="1" applyBorder="1">
      <alignment horizontal="center" vertical="center"/>
    </xf>
    <xf numFmtId="0" fontId="0" fillId="70" borderId="527" xfId="51" applyFont="1" applyFill="1" applyBorder="1">
      <alignment horizontal="center" vertical="center"/>
    </xf>
    <xf numFmtId="0" fontId="0" fillId="51" borderId="538" xfId="51" applyFont="1" applyFill="1" applyBorder="1">
      <alignment horizontal="center" vertical="center"/>
    </xf>
    <xf numFmtId="0" fontId="0" fillId="51" borderId="538" xfId="48" applyFont="1" applyFill="1" applyBorder="1">
      <alignment horizontal="center" vertical="center"/>
    </xf>
    <xf numFmtId="0" fontId="0" fillId="51" borderId="528" xfId="0" applyFill="1" applyBorder="1" applyAlignment="1">
      <alignment horizontal="left" vertical="center"/>
    </xf>
    <xf numFmtId="0" fontId="0" fillId="55" borderId="528" xfId="32" applyFont="1" applyFill="1" applyBorder="1" applyAlignment="1">
      <alignment horizontal="center" vertical="center"/>
    </xf>
    <xf numFmtId="0" fontId="6" fillId="69" borderId="528" xfId="44" applyBorder="1">
      <alignment horizontal="center" vertical="center"/>
    </xf>
    <xf numFmtId="0" fontId="0" fillId="51" borderId="537" xfId="48" applyFont="1" applyFill="1" applyBorder="1">
      <alignment horizontal="center" vertical="center"/>
    </xf>
    <xf numFmtId="0" fontId="0" fillId="0" borderId="520" xfId="0" applyBorder="1" applyAlignment="1">
      <alignment horizontal="left"/>
    </xf>
    <xf numFmtId="0" fontId="0" fillId="0" borderId="526" xfId="0" applyBorder="1" applyAlignment="1"/>
    <xf numFmtId="0" fontId="0" fillId="0" borderId="542" xfId="0" applyBorder="1" applyAlignment="1">
      <alignment horizontal="left"/>
    </xf>
    <xf numFmtId="0" fontId="0" fillId="0" borderId="520" xfId="0" applyBorder="1" applyAlignment="1">
      <alignment horizontal="center"/>
    </xf>
    <xf numFmtId="0" fontId="6" fillId="54" borderId="479" xfId="50" applyBorder="1">
      <alignment horizontal="center" vertical="center"/>
    </xf>
    <xf numFmtId="0" fontId="6" fillId="85" borderId="479" xfId="48" applyFill="1" applyBorder="1">
      <alignment horizontal="center" vertical="center"/>
    </xf>
    <xf numFmtId="0" fontId="6" fillId="85" borderId="479" xfId="50" applyFill="1" applyBorder="1">
      <alignment horizontal="center" vertical="center"/>
    </xf>
    <xf numFmtId="49" fontId="0" fillId="51" borderId="539" xfId="0" applyNumberFormat="1" applyFill="1" applyBorder="1">
      <alignment horizontal="center" vertical="center"/>
    </xf>
    <xf numFmtId="0" fontId="6" fillId="53" borderId="479" xfId="43" applyBorder="1">
      <alignment horizontal="center" vertical="center"/>
    </xf>
    <xf numFmtId="0" fontId="0" fillId="0" borderId="539" xfId="0" applyBorder="1">
      <alignment horizontal="center" vertical="center"/>
    </xf>
    <xf numFmtId="0" fontId="0" fillId="0" borderId="151" xfId="0" applyBorder="1">
      <alignment horizontal="center" vertical="center"/>
    </xf>
    <xf numFmtId="0" fontId="2" fillId="0" borderId="515" xfId="0" applyFont="1" applyBorder="1" applyAlignment="1">
      <alignment horizontal="left"/>
    </xf>
    <xf numFmtId="0" fontId="3" fillId="0" borderId="516" xfId="0" applyFont="1" applyBorder="1">
      <alignment horizontal="center" vertical="center"/>
    </xf>
    <xf numFmtId="167" fontId="8" fillId="0" borderId="520" xfId="0" applyNumberFormat="1" applyFont="1" applyBorder="1" applyAlignment="1">
      <alignment horizontal="center"/>
    </xf>
    <xf numFmtId="0" fontId="6" fillId="51" borderId="527" xfId="0" applyFont="1" applyFill="1" applyBorder="1" applyAlignment="1">
      <alignment vertical="center"/>
    </xf>
    <xf numFmtId="0" fontId="0" fillId="51" borderId="527" xfId="0" applyFill="1" applyBorder="1" applyAlignment="1">
      <alignment vertical="center"/>
    </xf>
    <xf numFmtId="0" fontId="51" fillId="56" borderId="527" xfId="46" applyBorder="1">
      <alignment horizontal="center" vertical="center"/>
    </xf>
    <xf numFmtId="0" fontId="51" fillId="56" borderId="538" xfId="46" applyBorder="1">
      <alignment horizontal="center" vertical="center"/>
    </xf>
    <xf numFmtId="0" fontId="2" fillId="0" borderId="508" xfId="0" applyFont="1" applyBorder="1" applyAlignment="1">
      <alignment horizontal="left" vertical="center"/>
    </xf>
    <xf numFmtId="0" fontId="2" fillId="0" borderId="508" xfId="0" applyFont="1" applyBorder="1">
      <alignment horizontal="center" vertical="center"/>
    </xf>
    <xf numFmtId="0" fontId="2" fillId="0" borderId="509" xfId="0" applyFont="1" applyBorder="1">
      <alignment horizontal="center" vertical="center"/>
    </xf>
    <xf numFmtId="0" fontId="6" fillId="0" borderId="508" xfId="0" applyFont="1" applyBorder="1">
      <alignment horizontal="center" vertical="center"/>
    </xf>
    <xf numFmtId="0" fontId="6" fillId="0" borderId="509" xfId="0" applyFont="1" applyBorder="1">
      <alignment horizontal="center" vertical="center"/>
    </xf>
    <xf numFmtId="0" fontId="8" fillId="0" borderId="508" xfId="0" applyFont="1" applyBorder="1">
      <alignment horizontal="center" vertical="center"/>
    </xf>
    <xf numFmtId="0" fontId="0" fillId="0" borderId="551" xfId="0" applyBorder="1">
      <alignment horizontal="center" vertical="center"/>
    </xf>
    <xf numFmtId="49" fontId="6" fillId="0" borderId="551" xfId="0" applyNumberFormat="1" applyFont="1" applyBorder="1">
      <alignment horizontal="center" vertical="center"/>
    </xf>
    <xf numFmtId="0" fontId="0" fillId="0" borderId="513" xfId="0" applyBorder="1">
      <alignment horizontal="center" vertical="center"/>
    </xf>
    <xf numFmtId="0" fontId="51" fillId="56" borderId="513" xfId="46" applyBorder="1">
      <alignment horizontal="center" vertical="center"/>
    </xf>
    <xf numFmtId="49" fontId="0" fillId="85" borderId="513" xfId="0" applyNumberFormat="1" applyFill="1" applyBorder="1">
      <alignment horizontal="center" vertical="center"/>
    </xf>
    <xf numFmtId="49" fontId="0" fillId="53" borderId="513" xfId="0" applyNumberFormat="1" applyFill="1" applyBorder="1">
      <alignment horizontal="center" vertical="center"/>
    </xf>
    <xf numFmtId="49" fontId="0" fillId="0" borderId="513" xfId="0" applyNumberFormat="1" applyBorder="1">
      <alignment horizontal="center" vertical="center"/>
    </xf>
    <xf numFmtId="0" fontId="6" fillId="52" borderId="513" xfId="48" applyBorder="1">
      <alignment horizontal="center" vertical="center"/>
    </xf>
    <xf numFmtId="0" fontId="0" fillId="56" borderId="513" xfId="0" applyFill="1" applyBorder="1">
      <alignment horizontal="center" vertical="center"/>
    </xf>
    <xf numFmtId="49" fontId="0" fillId="56" borderId="479" xfId="0" applyNumberFormat="1" applyFill="1" applyBorder="1">
      <alignment horizontal="center" vertical="center"/>
    </xf>
    <xf numFmtId="49" fontId="0" fillId="54" borderId="479" xfId="0" applyNumberFormat="1" applyFill="1" applyBorder="1">
      <alignment horizontal="center" vertical="center"/>
    </xf>
    <xf numFmtId="0" fontId="6" fillId="0" borderId="479" xfId="43" applyFill="1" applyBorder="1">
      <alignment horizontal="center" vertical="center"/>
    </xf>
    <xf numFmtId="49" fontId="0" fillId="58" borderId="150" xfId="0" applyNumberFormat="1" applyFill="1" applyBorder="1">
      <alignment horizontal="center" vertical="center"/>
    </xf>
    <xf numFmtId="49" fontId="0" fillId="52" borderId="150" xfId="0" applyNumberFormat="1" applyFill="1" applyBorder="1">
      <alignment horizontal="center" vertical="center"/>
    </xf>
    <xf numFmtId="0" fontId="3" fillId="0" borderId="479" xfId="0" applyFont="1" applyBorder="1" applyAlignment="1" applyProtection="1">
      <alignment horizontal="center"/>
      <protection locked="0"/>
    </xf>
    <xf numFmtId="0" fontId="3" fillId="0" borderId="479" xfId="0" applyFont="1" applyBorder="1" applyAlignment="1">
      <alignment horizontal="left"/>
    </xf>
    <xf numFmtId="0" fontId="0" fillId="0" borderId="479" xfId="0" applyBorder="1" applyAlignment="1" applyProtection="1">
      <alignment horizontal="center"/>
      <protection locked="0"/>
    </xf>
    <xf numFmtId="0" fontId="0" fillId="0" borderId="479" xfId="0" applyBorder="1" applyAlignment="1">
      <alignment horizontal="left"/>
    </xf>
    <xf numFmtId="0" fontId="3" fillId="0" borderId="479" xfId="0" applyFont="1" applyBorder="1" applyAlignment="1">
      <alignment vertical="center"/>
    </xf>
    <xf numFmtId="0" fontId="6" fillId="69" borderId="479" xfId="44" applyBorder="1">
      <alignment horizontal="center" vertical="center"/>
    </xf>
    <xf numFmtId="0" fontId="2" fillId="0" borderId="479" xfId="0" applyFont="1" applyBorder="1" applyAlignment="1" applyProtection="1">
      <alignment horizontal="center"/>
      <protection locked="0"/>
    </xf>
    <xf numFmtId="0" fontId="6" fillId="72" borderId="479" xfId="52" applyBorder="1">
      <alignment horizontal="center" vertical="center"/>
    </xf>
    <xf numFmtId="0" fontId="36" fillId="86" borderId="550" xfId="34" applyFill="1" applyBorder="1" applyAlignment="1">
      <alignment horizontal="center" vertical="center"/>
    </xf>
    <xf numFmtId="0" fontId="6" fillId="86" borderId="479" xfId="44" applyFill="1" applyBorder="1">
      <alignment horizontal="center" vertical="center"/>
    </xf>
    <xf numFmtId="0" fontId="6" fillId="52" borderId="522" xfId="48" applyBorder="1">
      <alignment horizontal="center" vertical="center"/>
    </xf>
    <xf numFmtId="0" fontId="0" fillId="51" borderId="479" xfId="33" applyFont="1" applyFill="1" applyBorder="1">
      <alignment horizontal="center" vertical="center"/>
    </xf>
    <xf numFmtId="0" fontId="35" fillId="23" borderId="527" xfId="32" applyBorder="1" applyAlignment="1">
      <alignment horizontal="center" vertical="center"/>
    </xf>
    <xf numFmtId="0" fontId="0" fillId="53" borderId="527" xfId="44" applyFont="1" applyFill="1" applyBorder="1">
      <alignment horizontal="center" vertical="center"/>
    </xf>
    <xf numFmtId="1" fontId="0" fillId="53" borderId="527" xfId="0" applyNumberFormat="1" applyFill="1" applyBorder="1">
      <alignment horizontal="center" vertical="center"/>
    </xf>
    <xf numFmtId="1" fontId="0" fillId="53" borderId="538" xfId="0" applyNumberFormat="1" applyFill="1" applyBorder="1">
      <alignment horizontal="center" vertical="center"/>
    </xf>
    <xf numFmtId="0" fontId="6" fillId="55" borderId="527" xfId="45" applyBorder="1">
      <alignment horizontal="center" vertical="center"/>
    </xf>
    <xf numFmtId="0" fontId="0" fillId="51" borderId="527" xfId="49" applyFont="1" applyFill="1" applyBorder="1">
      <alignment horizontal="center" vertical="center"/>
    </xf>
    <xf numFmtId="1" fontId="0" fillId="69" borderId="527" xfId="0" applyNumberFormat="1" applyFill="1" applyBorder="1">
      <alignment horizontal="center" vertical="center"/>
    </xf>
    <xf numFmtId="0" fontId="0" fillId="71" borderId="479" xfId="0" applyFill="1" applyBorder="1">
      <alignment horizontal="center" vertical="center"/>
    </xf>
    <xf numFmtId="49" fontId="35" fillId="23" borderId="513" xfId="32" applyNumberFormat="1" applyBorder="1" applyAlignment="1">
      <alignment horizontal="center" vertical="center"/>
    </xf>
    <xf numFmtId="0" fontId="6" fillId="72" borderId="513" xfId="52" applyBorder="1">
      <alignment horizontal="center" vertical="center"/>
    </xf>
    <xf numFmtId="0" fontId="0" fillId="55" borderId="539" xfId="0" applyFill="1" applyBorder="1">
      <alignment horizontal="center" vertical="center"/>
    </xf>
    <xf numFmtId="0" fontId="35" fillId="52" borderId="527" xfId="32" applyFill="1" applyBorder="1" applyAlignment="1">
      <alignment horizontal="center" vertical="center"/>
    </xf>
    <xf numFmtId="0" fontId="6" fillId="53" borderId="528" xfId="43" applyBorder="1">
      <alignment horizontal="center" vertical="center"/>
    </xf>
    <xf numFmtId="0" fontId="0" fillId="53" borderId="528" xfId="48" applyFont="1" applyFill="1" applyBorder="1">
      <alignment horizontal="center" vertical="center"/>
    </xf>
    <xf numFmtId="0" fontId="0" fillId="51" borderId="479" xfId="0" applyFill="1" applyBorder="1" applyAlignment="1">
      <alignment horizontal="left" vertical="center"/>
    </xf>
    <xf numFmtId="0" fontId="6" fillId="72" borderId="528" xfId="52" applyBorder="1">
      <alignment horizontal="center" vertical="center"/>
    </xf>
    <xf numFmtId="49" fontId="0" fillId="86" borderId="528" xfId="0" applyNumberFormat="1" applyFill="1" applyBorder="1">
      <alignment horizontal="center" vertical="center"/>
    </xf>
    <xf numFmtId="0" fontId="0" fillId="55" borderId="528" xfId="44" applyFont="1" applyFill="1" applyBorder="1">
      <alignment horizontal="center" vertical="center"/>
    </xf>
    <xf numFmtId="0" fontId="6" fillId="55" borderId="528" xfId="45" applyBorder="1">
      <alignment horizontal="center" vertical="center"/>
    </xf>
    <xf numFmtId="0" fontId="0" fillId="86" borderId="527" xfId="44" applyFont="1" applyFill="1" applyBorder="1">
      <alignment horizontal="center" vertical="center"/>
    </xf>
    <xf numFmtId="49" fontId="0" fillId="86" borderId="527" xfId="0" applyNumberFormat="1" applyFill="1" applyBorder="1">
      <alignment horizontal="center" vertical="center"/>
    </xf>
    <xf numFmtId="0" fontId="6" fillId="53" borderId="537" xfId="43" applyBorder="1">
      <alignment horizontal="center" vertical="center"/>
    </xf>
    <xf numFmtId="0" fontId="0" fillId="86" borderId="521" xfId="0" applyFill="1" applyBorder="1">
      <alignment horizontal="center" vertical="center"/>
    </xf>
    <xf numFmtId="0" fontId="0" fillId="0" borderId="521" xfId="0" applyBorder="1">
      <alignment horizontal="center" vertical="center"/>
    </xf>
    <xf numFmtId="49" fontId="0" fillId="55" borderId="513" xfId="0" applyNumberFormat="1" applyFill="1" applyBorder="1">
      <alignment horizontal="center" vertical="center"/>
    </xf>
    <xf numFmtId="0" fontId="6" fillId="72" borderId="521" xfId="52" applyBorder="1">
      <alignment horizontal="center" vertical="center"/>
    </xf>
    <xf numFmtId="0" fontId="0" fillId="86" borderId="521" xfId="48" applyFont="1" applyFill="1" applyBorder="1">
      <alignment horizontal="center" vertical="center"/>
    </xf>
    <xf numFmtId="49" fontId="0" fillId="86" borderId="513" xfId="0" applyNumberFormat="1" applyFill="1" applyBorder="1">
      <alignment horizontal="center" vertical="center"/>
    </xf>
    <xf numFmtId="0" fontId="6" fillId="53" borderId="552" xfId="43" applyBorder="1">
      <alignment horizontal="center" vertical="center"/>
    </xf>
    <xf numFmtId="0" fontId="0" fillId="53" borderId="521" xfId="43" applyFont="1" applyBorder="1">
      <alignment horizontal="center" vertical="center"/>
    </xf>
    <xf numFmtId="0" fontId="0" fillId="51" borderId="552" xfId="0" applyFill="1" applyBorder="1">
      <alignment horizontal="center" vertical="center"/>
    </xf>
    <xf numFmtId="0" fontId="0" fillId="51" borderId="521" xfId="0" applyFill="1" applyBorder="1" applyProtection="1">
      <alignment horizontal="center" vertical="center"/>
      <protection locked="0"/>
    </xf>
    <xf numFmtId="49" fontId="0" fillId="52" borderId="521" xfId="0" applyNumberFormat="1" applyFill="1" applyBorder="1">
      <alignment horizontal="center" vertical="center"/>
    </xf>
    <xf numFmtId="0" fontId="0" fillId="51" borderId="521" xfId="44" applyFont="1" applyFill="1" applyBorder="1">
      <alignment horizontal="center" vertical="center"/>
    </xf>
    <xf numFmtId="49" fontId="0" fillId="86" borderId="521" xfId="0" applyNumberFormat="1" applyFill="1" applyBorder="1">
      <alignment horizontal="center" vertical="center"/>
    </xf>
    <xf numFmtId="173" fontId="0" fillId="0" borderId="521" xfId="0" applyNumberFormat="1" applyBorder="1">
      <alignment horizontal="center" vertical="center"/>
    </xf>
    <xf numFmtId="0" fontId="0" fillId="57" borderId="521" xfId="0" applyFill="1" applyBorder="1">
      <alignment horizontal="center" vertical="center"/>
    </xf>
    <xf numFmtId="0" fontId="0" fillId="51" borderId="547" xfId="0" applyFill="1" applyBorder="1">
      <alignment horizontal="center" vertical="center"/>
    </xf>
    <xf numFmtId="0" fontId="0" fillId="86" borderId="521" xfId="44" applyFont="1" applyFill="1" applyBorder="1">
      <alignment horizontal="center" vertical="center"/>
    </xf>
    <xf numFmtId="0" fontId="17" fillId="0" borderId="521" xfId="0" applyFont="1" applyBorder="1" applyAlignment="1" applyProtection="1">
      <alignment horizontal="center"/>
      <protection locked="0"/>
    </xf>
    <xf numFmtId="49" fontId="0" fillId="51" borderId="552" xfId="0" applyNumberFormat="1" applyFill="1" applyBorder="1">
      <alignment horizontal="center" vertical="center"/>
    </xf>
    <xf numFmtId="0" fontId="17" fillId="0" borderId="548" xfId="0" applyFont="1" applyBorder="1" applyAlignment="1" applyProtection="1">
      <alignment horizontal="center"/>
      <protection locked="0"/>
    </xf>
    <xf numFmtId="0" fontId="0" fillId="51" borderId="548" xfId="0" applyFill="1" applyBorder="1" applyAlignment="1">
      <alignment horizontal="left" vertical="center"/>
    </xf>
    <xf numFmtId="0" fontId="6" fillId="86" borderId="527" xfId="43" applyFill="1" applyBorder="1">
      <alignment horizontal="center" vertical="center"/>
    </xf>
    <xf numFmtId="0" fontId="6" fillId="86" borderId="527" xfId="47" applyFill="1" applyBorder="1">
      <alignment horizontal="center" vertical="center"/>
    </xf>
    <xf numFmtId="0" fontId="6" fillId="0" borderId="527" xfId="47" applyFill="1" applyBorder="1">
      <alignment horizontal="center" vertical="center"/>
    </xf>
    <xf numFmtId="0" fontId="0" fillId="0" borderId="527" xfId="43" applyFont="1" applyFill="1" applyBorder="1">
      <alignment horizontal="center" vertical="center"/>
    </xf>
    <xf numFmtId="0" fontId="0" fillId="0" borderId="527" xfId="47" applyFont="1" applyFill="1" applyBorder="1">
      <alignment horizontal="center" vertical="center"/>
    </xf>
    <xf numFmtId="0" fontId="0" fillId="51" borderId="538" xfId="47" applyFont="1" applyFill="1" applyBorder="1">
      <alignment horizontal="center" vertical="center"/>
    </xf>
    <xf numFmtId="0" fontId="6" fillId="86" borderId="527" xfId="48" applyFill="1" applyBorder="1">
      <alignment horizontal="center" vertical="center"/>
    </xf>
    <xf numFmtId="0" fontId="0" fillId="51" borderId="527" xfId="20" applyFont="1" applyFill="1" applyBorder="1" applyAlignment="1">
      <alignment horizontal="center" vertical="center"/>
    </xf>
    <xf numFmtId="0" fontId="0" fillId="86" borderId="527" xfId="0" applyFill="1" applyBorder="1">
      <alignment horizontal="center" vertical="center"/>
    </xf>
    <xf numFmtId="0" fontId="6" fillId="51" borderId="527" xfId="45" applyFill="1" applyBorder="1">
      <alignment horizontal="center" vertical="center"/>
    </xf>
    <xf numFmtId="0" fontId="0" fillId="51" borderId="538" xfId="45" applyFont="1" applyFill="1" applyBorder="1">
      <alignment horizontal="center" vertical="center"/>
    </xf>
    <xf numFmtId="0" fontId="0" fillId="51" borderId="537" xfId="51" applyFont="1" applyFill="1" applyBorder="1">
      <alignment horizontal="center" vertical="center"/>
    </xf>
    <xf numFmtId="0" fontId="0" fillId="51" borderId="538" xfId="44" applyFont="1" applyFill="1" applyBorder="1">
      <alignment horizontal="center" vertical="center"/>
    </xf>
    <xf numFmtId="0" fontId="6" fillId="53" borderId="538" xfId="52" applyFill="1" applyBorder="1">
      <alignment horizontal="center" vertical="center"/>
    </xf>
    <xf numFmtId="0" fontId="0" fillId="55" borderId="528" xfId="47" applyFont="1" applyFill="1" applyBorder="1">
      <alignment horizontal="center" vertical="center"/>
    </xf>
    <xf numFmtId="0" fontId="0" fillId="71" borderId="528" xfId="0" applyFill="1" applyBorder="1">
      <alignment horizontal="center" vertical="center"/>
    </xf>
    <xf numFmtId="0" fontId="0" fillId="51" borderId="528" xfId="32" applyFont="1" applyFill="1" applyBorder="1" applyAlignment="1">
      <alignment horizontal="center" vertical="center"/>
    </xf>
    <xf numFmtId="0" fontId="0" fillId="53" borderId="479" xfId="44" applyFont="1" applyFill="1" applyBorder="1">
      <alignment horizontal="center" vertical="center"/>
    </xf>
    <xf numFmtId="49" fontId="0" fillId="78" borderId="513" xfId="0" applyNumberFormat="1" applyFill="1" applyBorder="1">
      <alignment horizontal="center" vertical="center"/>
    </xf>
    <xf numFmtId="0" fontId="6" fillId="72" borderId="514" xfId="52" applyBorder="1">
      <alignment horizontal="center" vertical="center"/>
    </xf>
    <xf numFmtId="49" fontId="0" fillId="78" borderId="514" xfId="0" applyNumberFormat="1" applyFill="1" applyBorder="1">
      <alignment horizontal="center" vertical="center"/>
    </xf>
    <xf numFmtId="0" fontId="0" fillId="51" borderId="513" xfId="48" applyFont="1" applyFill="1" applyBorder="1">
      <alignment horizontal="center" vertical="center"/>
    </xf>
    <xf numFmtId="0" fontId="0" fillId="0" borderId="514" xfId="0" applyBorder="1">
      <alignment horizontal="center" vertical="center"/>
    </xf>
    <xf numFmtId="0" fontId="6" fillId="51" borderId="513" xfId="52" applyFill="1" applyBorder="1">
      <alignment horizontal="center" vertical="center"/>
    </xf>
    <xf numFmtId="0" fontId="6" fillId="51" borderId="514" xfId="52" applyFill="1" applyBorder="1">
      <alignment horizontal="center" vertical="center"/>
    </xf>
    <xf numFmtId="0" fontId="6" fillId="78" borderId="521" xfId="52" applyFill="1" applyBorder="1">
      <alignment horizontal="center" vertical="center"/>
    </xf>
    <xf numFmtId="0" fontId="6" fillId="72" borderId="539" xfId="52" applyBorder="1">
      <alignment horizontal="center" vertical="center"/>
    </xf>
    <xf numFmtId="0" fontId="0" fillId="53" borderId="150" xfId="44" applyFont="1" applyFill="1" applyBorder="1">
      <alignment horizontal="center" vertical="center"/>
    </xf>
    <xf numFmtId="0" fontId="3" fillId="0" borderId="521" xfId="0" applyFont="1" applyBorder="1" applyAlignment="1">
      <alignment horizontal="center"/>
    </xf>
    <xf numFmtId="0" fontId="2" fillId="0" borderId="521" xfId="0" applyFont="1" applyBorder="1" applyAlignment="1">
      <alignment horizontal="center"/>
    </xf>
    <xf numFmtId="0" fontId="0" fillId="0" borderId="479" xfId="52" applyFont="1" applyFill="1" applyBorder="1">
      <alignment horizontal="center" vertical="center"/>
    </xf>
    <xf numFmtId="0" fontId="6" fillId="55" borderId="479" xfId="45" applyBorder="1">
      <alignment horizontal="center" vertical="center"/>
    </xf>
    <xf numFmtId="0" fontId="0" fillId="53" borderId="479" xfId="48" applyFont="1" applyFill="1" applyBorder="1">
      <alignment horizontal="center" vertical="center"/>
    </xf>
    <xf numFmtId="0" fontId="0" fillId="86" borderId="479" xfId="0" applyFill="1" applyBorder="1">
      <alignment horizontal="center" vertical="center"/>
    </xf>
    <xf numFmtId="0" fontId="6" fillId="60" borderId="479" xfId="51" applyBorder="1">
      <alignment horizontal="center" vertical="center"/>
    </xf>
    <xf numFmtId="0" fontId="6" fillId="60" borderId="522" xfId="51" applyBorder="1">
      <alignment horizontal="center" vertical="center"/>
    </xf>
    <xf numFmtId="0" fontId="6" fillId="53" borderId="522" xfId="43" applyBorder="1">
      <alignment horizontal="center" vertical="center"/>
    </xf>
    <xf numFmtId="1" fontId="0" fillId="0" borderId="527" xfId="0" applyNumberFormat="1" applyBorder="1">
      <alignment horizontal="center" vertical="center"/>
    </xf>
    <xf numFmtId="1" fontId="0" fillId="80" borderId="527" xfId="0" applyNumberFormat="1" applyFill="1" applyBorder="1">
      <alignment horizontal="center" vertical="center"/>
    </xf>
    <xf numFmtId="0" fontId="0" fillId="55" borderId="527" xfId="49" applyFont="1" applyFill="1" applyBorder="1">
      <alignment horizontal="center" vertical="center"/>
    </xf>
    <xf numFmtId="0" fontId="6" fillId="51" borderId="479" xfId="48" applyFill="1" applyBorder="1">
      <alignment horizontal="center" vertical="center"/>
    </xf>
    <xf numFmtId="0" fontId="58" fillId="52" borderId="479" xfId="48" applyFont="1" applyBorder="1">
      <alignment horizontal="center" vertical="center"/>
    </xf>
    <xf numFmtId="0" fontId="58" fillId="52" borderId="479" xfId="44" applyFont="1" applyFill="1" applyBorder="1">
      <alignment horizontal="center" vertical="center"/>
    </xf>
    <xf numFmtId="0" fontId="58" fillId="52" borderId="479" xfId="0" applyFont="1" applyFill="1" applyBorder="1">
      <alignment horizontal="center" vertical="center"/>
    </xf>
    <xf numFmtId="0" fontId="63" fillId="52" borderId="479" xfId="48" applyFont="1" applyBorder="1">
      <alignment horizontal="center" vertical="center"/>
    </xf>
    <xf numFmtId="0" fontId="6" fillId="51" borderId="527" xfId="48" applyFill="1" applyBorder="1">
      <alignment horizontal="center" vertical="center"/>
    </xf>
    <xf numFmtId="0" fontId="0" fillId="55" borderId="528" xfId="0" applyFill="1" applyBorder="1">
      <alignment horizontal="center" vertical="center"/>
    </xf>
    <xf numFmtId="0" fontId="6" fillId="51" borderId="528" xfId="43" applyFill="1" applyBorder="1">
      <alignment horizontal="center" vertical="center"/>
    </xf>
    <xf numFmtId="0" fontId="6" fillId="54" borderId="528" xfId="50" applyBorder="1">
      <alignment horizontal="center" vertical="center"/>
    </xf>
    <xf numFmtId="0" fontId="0" fillId="53" borderId="527" xfId="45" applyFont="1" applyFill="1" applyBorder="1">
      <alignment horizontal="center" vertical="center"/>
    </xf>
    <xf numFmtId="49" fontId="0" fillId="80" borderId="527" xfId="0" applyNumberFormat="1" applyFill="1" applyBorder="1">
      <alignment horizontal="center" vertical="center"/>
    </xf>
    <xf numFmtId="0" fontId="0" fillId="51" borderId="523" xfId="0" applyFill="1" applyBorder="1">
      <alignment horizontal="center" vertical="center"/>
    </xf>
    <xf numFmtId="49" fontId="0" fillId="51" borderId="523" xfId="0" applyNumberFormat="1" applyFill="1" applyBorder="1">
      <alignment horizontal="center" vertical="center"/>
    </xf>
    <xf numFmtId="0" fontId="0" fillId="53" borderId="527" xfId="0" applyFill="1" applyBorder="1">
      <alignment horizontal="center" vertical="center"/>
    </xf>
    <xf numFmtId="0" fontId="0" fillId="55" borderId="528" xfId="51" applyFont="1" applyFill="1" applyBorder="1">
      <alignment horizontal="center" vertical="center"/>
    </xf>
    <xf numFmtId="0" fontId="0" fillId="52" borderId="521" xfId="48" applyFont="1" applyBorder="1">
      <alignment horizontal="center" vertical="center"/>
    </xf>
    <xf numFmtId="0" fontId="6" fillId="53" borderId="521" xfId="48" applyFill="1" applyBorder="1">
      <alignment horizontal="center" vertical="center"/>
    </xf>
    <xf numFmtId="0" fontId="0" fillId="53" borderId="539" xfId="0" applyFill="1" applyBorder="1">
      <alignment horizontal="center" vertical="center"/>
    </xf>
    <xf numFmtId="0" fontId="0" fillId="58" borderId="521" xfId="43" applyFont="1" applyFill="1" applyBorder="1">
      <alignment horizontal="center" vertical="center"/>
    </xf>
    <xf numFmtId="0" fontId="0" fillId="51" borderId="521" xfId="0" applyFill="1" applyBorder="1" applyAlignment="1" applyProtection="1">
      <alignment horizontal="left" vertical="center"/>
      <protection locked="0"/>
    </xf>
    <xf numFmtId="0" fontId="0" fillId="53" borderId="528" xfId="51" applyFont="1" applyFill="1" applyBorder="1">
      <alignment horizontal="center" vertical="center"/>
    </xf>
    <xf numFmtId="0" fontId="0" fillId="55" borderId="521" xfId="44" applyFont="1" applyFill="1" applyBorder="1">
      <alignment horizontal="center" vertical="center"/>
    </xf>
    <xf numFmtId="0" fontId="18" fillId="0" borderId="521" xfId="0" applyFont="1" applyBorder="1" applyAlignment="1" applyProtection="1">
      <alignment horizontal="center"/>
      <protection locked="0"/>
    </xf>
    <xf numFmtId="0" fontId="18" fillId="0" borderId="548" xfId="0" applyFont="1" applyBorder="1" applyAlignment="1" applyProtection="1">
      <alignment horizontal="center"/>
      <protection locked="0"/>
    </xf>
    <xf numFmtId="0" fontId="0" fillId="51" borderId="548" xfId="0" applyFill="1" applyBorder="1">
      <alignment horizontal="center" vertical="center"/>
    </xf>
    <xf numFmtId="49" fontId="0" fillId="51" borderId="548" xfId="0" applyNumberFormat="1" applyFill="1" applyBorder="1">
      <alignment horizontal="center" vertical="center"/>
    </xf>
    <xf numFmtId="0" fontId="0" fillId="51" borderId="553" xfId="0" applyFill="1" applyBorder="1">
      <alignment horizontal="center" vertical="center"/>
    </xf>
    <xf numFmtId="0" fontId="0" fillId="55" borderId="527" xfId="45" applyFont="1" applyBorder="1">
      <alignment horizontal="center" vertical="center"/>
    </xf>
    <xf numFmtId="0" fontId="0" fillId="51" borderId="538" xfId="20" applyNumberFormat="1" applyFont="1" applyFill="1" applyBorder="1" applyAlignment="1">
      <alignment horizontal="center" vertical="center"/>
    </xf>
    <xf numFmtId="0" fontId="0" fillId="51" borderId="527" xfId="34" applyNumberFormat="1" applyFont="1" applyFill="1" applyBorder="1" applyAlignment="1">
      <alignment horizontal="center" vertical="center"/>
    </xf>
    <xf numFmtId="0" fontId="0" fillId="52" borderId="527" xfId="0" applyFill="1" applyBorder="1">
      <alignment horizontal="center" vertical="center"/>
    </xf>
    <xf numFmtId="0" fontId="0" fillId="55" borderId="527" xfId="44" applyFont="1" applyFill="1" applyBorder="1">
      <alignment horizontal="center" vertical="center"/>
    </xf>
    <xf numFmtId="0" fontId="0" fillId="53" borderId="527" xfId="51" applyFont="1" applyFill="1" applyBorder="1">
      <alignment horizontal="center" vertical="center"/>
    </xf>
    <xf numFmtId="0" fontId="6" fillId="51" borderId="513" xfId="45" applyFill="1" applyBorder="1">
      <alignment horizontal="center" vertical="center"/>
    </xf>
    <xf numFmtId="49" fontId="0" fillId="71" borderId="528" xfId="0" applyNumberFormat="1" applyFill="1" applyBorder="1">
      <alignment horizontal="center" vertical="center"/>
    </xf>
    <xf numFmtId="0" fontId="0" fillId="71" borderId="528" xfId="47" applyFont="1" applyFill="1" applyBorder="1">
      <alignment horizontal="center" vertical="center"/>
    </xf>
    <xf numFmtId="0" fontId="0" fillId="71" borderId="528" xfId="48" applyFont="1" applyFill="1" applyBorder="1">
      <alignment horizontal="center" vertical="center"/>
    </xf>
    <xf numFmtId="0" fontId="0" fillId="52" borderId="479" xfId="45" applyFont="1" applyFill="1" applyBorder="1">
      <alignment horizontal="center" vertical="center"/>
    </xf>
    <xf numFmtId="0" fontId="0" fillId="87" borderId="479" xfId="0" applyFill="1" applyBorder="1">
      <alignment horizontal="center" vertical="center"/>
    </xf>
    <xf numFmtId="0" fontId="0" fillId="87" borderId="479" xfId="44" applyFont="1" applyFill="1" applyBorder="1">
      <alignment horizontal="center" vertical="center"/>
    </xf>
    <xf numFmtId="0" fontId="6" fillId="51" borderId="527" xfId="43" applyFill="1" applyBorder="1">
      <alignment horizontal="center" vertical="center"/>
    </xf>
    <xf numFmtId="0" fontId="6" fillId="51" borderId="513" xfId="48" applyFill="1" applyBorder="1">
      <alignment horizontal="center" vertical="center"/>
    </xf>
    <xf numFmtId="49" fontId="0" fillId="78" borderId="521" xfId="0" applyNumberFormat="1" applyFill="1" applyBorder="1">
      <alignment horizontal="center" vertical="center"/>
    </xf>
    <xf numFmtId="0" fontId="0" fillId="0" borderId="548" xfId="0" applyBorder="1">
      <alignment horizontal="center" vertical="center"/>
    </xf>
    <xf numFmtId="0" fontId="6" fillId="52" borderId="548" xfId="48" applyBorder="1">
      <alignment horizontal="center" vertical="center"/>
    </xf>
    <xf numFmtId="0" fontId="0" fillId="58" borderId="548" xfId="44" applyFont="1" applyFill="1" applyBorder="1">
      <alignment horizontal="center" vertical="center"/>
    </xf>
    <xf numFmtId="0" fontId="0" fillId="69" borderId="479" xfId="44" applyFont="1" applyBorder="1">
      <alignment horizontal="center" vertical="center"/>
    </xf>
    <xf numFmtId="0" fontId="0" fillId="52" borderId="479" xfId="48" applyFont="1" applyBorder="1">
      <alignment horizontal="center" vertical="center"/>
    </xf>
    <xf numFmtId="0" fontId="59" fillId="63" borderId="515" xfId="0" applyFont="1" applyFill="1" applyBorder="1" applyAlignment="1">
      <alignment horizontal="center" wrapText="1"/>
    </xf>
    <xf numFmtId="0" fontId="19" fillId="63" borderId="479" xfId="0" applyFont="1" applyFill="1" applyBorder="1" applyAlignment="1">
      <alignment horizontal="center" wrapText="1"/>
    </xf>
    <xf numFmtId="0" fontId="19" fillId="63" borderId="479" xfId="0" applyFont="1" applyFill="1" applyBorder="1" applyAlignment="1">
      <alignment horizontal="left" wrapText="1"/>
    </xf>
    <xf numFmtId="0" fontId="19" fillId="64" borderId="541" xfId="0" applyFont="1" applyFill="1" applyBorder="1">
      <alignment horizontal="center" vertical="center"/>
    </xf>
    <xf numFmtId="171" fontId="19" fillId="0" borderId="521" xfId="0" applyNumberFormat="1" applyFont="1" applyBorder="1" applyAlignment="1">
      <alignment horizontal="left" wrapText="1"/>
    </xf>
    <xf numFmtId="0" fontId="22" fillId="0" borderId="515" xfId="0" applyFont="1" applyBorder="1" applyAlignment="1">
      <alignment wrapText="1"/>
    </xf>
    <xf numFmtId="171" fontId="19" fillId="0" borderId="479" xfId="0" applyNumberFormat="1" applyFont="1" applyBorder="1" applyAlignment="1">
      <alignment horizontal="left"/>
    </xf>
    <xf numFmtId="171" fontId="19" fillId="0" borderId="479" xfId="0" applyNumberFormat="1" applyFont="1" applyBorder="1" applyAlignment="1">
      <alignment horizontal="left" wrapText="1"/>
    </xf>
    <xf numFmtId="171" fontId="19" fillId="0" borderId="475" xfId="0" applyNumberFormat="1" applyFont="1" applyBorder="1" applyAlignment="1">
      <alignment horizontal="left"/>
    </xf>
    <xf numFmtId="0" fontId="19" fillId="0" borderId="551" xfId="0" applyFont="1" applyBorder="1">
      <alignment horizontal="center" vertical="center"/>
    </xf>
    <xf numFmtId="0" fontId="19" fillId="39" borderId="436" xfId="0" applyFont="1" applyFill="1" applyBorder="1" applyAlignment="1">
      <alignment wrapText="1"/>
    </xf>
    <xf numFmtId="171" fontId="19" fillId="39" borderId="479" xfId="0" applyNumberFormat="1" applyFont="1" applyFill="1" applyBorder="1" applyAlignment="1">
      <alignment horizontal="left" wrapText="1"/>
    </xf>
    <xf numFmtId="0" fontId="22" fillId="39" borderId="436" xfId="0" applyFont="1" applyFill="1" applyBorder="1" applyAlignment="1">
      <alignment wrapText="1"/>
    </xf>
    <xf numFmtId="0" fontId="22" fillId="47" borderId="436" xfId="0" applyFont="1" applyFill="1" applyBorder="1" applyAlignment="1">
      <alignment wrapText="1"/>
    </xf>
    <xf numFmtId="171" fontId="19" fillId="47" borderId="434" xfId="0" applyNumberFormat="1" applyFont="1" applyFill="1" applyBorder="1" applyAlignment="1">
      <alignment horizontal="left"/>
    </xf>
    <xf numFmtId="0" fontId="22" fillId="0" borderId="436" xfId="0" applyFont="1" applyBorder="1" applyAlignment="1"/>
    <xf numFmtId="0" fontId="22" fillId="65" borderId="436" xfId="0" applyFont="1" applyFill="1" applyBorder="1" applyAlignment="1"/>
    <xf numFmtId="171" fontId="19" fillId="65" borderId="479" xfId="0" applyNumberFormat="1" applyFont="1" applyFill="1" applyBorder="1" applyAlignment="1">
      <alignment horizontal="left" wrapText="1"/>
    </xf>
    <xf numFmtId="0" fontId="22" fillId="65" borderId="436" xfId="0" applyFont="1" applyFill="1" applyBorder="1" applyAlignment="1">
      <alignment horizontal="left" vertical="center"/>
    </xf>
    <xf numFmtId="172" fontId="19" fillId="65" borderId="479" xfId="0" applyNumberFormat="1" applyFont="1" applyFill="1" applyBorder="1" applyAlignment="1">
      <alignment horizontal="left" wrapText="1"/>
    </xf>
    <xf numFmtId="3" fontId="22" fillId="0" borderId="479" xfId="0" applyNumberFormat="1" applyFont="1" applyBorder="1">
      <alignment horizontal="center" vertical="center"/>
    </xf>
    <xf numFmtId="0" fontId="22" fillId="66" borderId="436" xfId="0" applyFont="1" applyFill="1" applyBorder="1" applyAlignment="1">
      <alignment horizontal="left" vertical="center"/>
    </xf>
    <xf numFmtId="172" fontId="19" fillId="66" borderId="479" xfId="0" applyNumberFormat="1" applyFont="1" applyFill="1" applyBorder="1" applyAlignment="1">
      <alignment horizontal="left" wrapText="1"/>
    </xf>
    <xf numFmtId="0" fontId="22" fillId="67" borderId="436" xfId="0" applyFont="1" applyFill="1" applyBorder="1" applyAlignment="1">
      <alignment horizontal="left" vertical="center"/>
    </xf>
    <xf numFmtId="172" fontId="19" fillId="66" borderId="431" xfId="0" applyNumberFormat="1" applyFont="1" applyFill="1" applyBorder="1" applyAlignment="1">
      <alignment horizontal="left" wrapText="1"/>
    </xf>
    <xf numFmtId="3" fontId="22" fillId="0" borderId="428" xfId="0" applyNumberFormat="1" applyFont="1" applyBorder="1">
      <alignment horizontal="center" vertical="center"/>
    </xf>
    <xf numFmtId="0" fontId="22" fillId="68" borderId="436" xfId="0" applyFont="1" applyFill="1" applyBorder="1" applyAlignment="1">
      <alignment horizontal="left" vertical="center"/>
    </xf>
    <xf numFmtId="171" fontId="19" fillId="66" borderId="434" xfId="0" applyNumberFormat="1" applyFont="1" applyFill="1" applyBorder="1" applyAlignment="1">
      <alignment horizontal="left" wrapText="1"/>
    </xf>
    <xf numFmtId="0" fontId="22" fillId="0" borderId="436" xfId="0" applyFont="1" applyBorder="1">
      <alignment horizontal="center" vertical="center"/>
    </xf>
    <xf numFmtId="0" fontId="22" fillId="38" borderId="436" xfId="0" applyFont="1" applyFill="1" applyBorder="1" applyAlignment="1">
      <alignment horizontal="left" vertical="center"/>
    </xf>
    <xf numFmtId="171" fontId="19" fillId="38" borderId="465" xfId="0" applyNumberFormat="1" applyFont="1" applyFill="1" applyBorder="1" applyAlignment="1">
      <alignment horizontal="left" wrapText="1"/>
    </xf>
    <xf numFmtId="0" fontId="19" fillId="38" borderId="436" xfId="0" applyFont="1" applyFill="1" applyBorder="1" applyAlignment="1">
      <alignment horizontal="left" vertical="center"/>
    </xf>
    <xf numFmtId="171" fontId="19" fillId="38" borderId="479" xfId="0" applyNumberFormat="1" applyFont="1" applyFill="1" applyBorder="1" applyAlignment="1">
      <alignment horizontal="left" wrapText="1"/>
    </xf>
    <xf numFmtId="171" fontId="19" fillId="38" borderId="554" xfId="0" applyNumberFormat="1" applyFont="1" applyFill="1" applyBorder="1" applyAlignment="1">
      <alignment horizontal="left" wrapText="1"/>
    </xf>
    <xf numFmtId="0" fontId="59" fillId="63" borderId="436" xfId="0" applyFont="1" applyFill="1" applyBorder="1" applyAlignment="1">
      <alignment horizontal="center" wrapText="1"/>
    </xf>
    <xf numFmtId="0" fontId="19" fillId="64" borderId="460" xfId="0" applyFont="1" applyFill="1" applyBorder="1">
      <alignment horizontal="center" vertical="center"/>
    </xf>
    <xf numFmtId="0" fontId="19" fillId="64" borderId="460" xfId="0" applyFont="1" applyFill="1" applyBorder="1" applyAlignment="1">
      <alignment horizontal="center" vertical="center" wrapText="1"/>
    </xf>
    <xf numFmtId="171" fontId="19" fillId="0" borderId="434" xfId="0" applyNumberFormat="1" applyFont="1" applyBorder="1" applyAlignment="1">
      <alignment horizontal="left" wrapText="1"/>
    </xf>
    <xf numFmtId="171" fontId="23" fillId="0" borderId="434" xfId="0" applyNumberFormat="1" applyFont="1" applyBorder="1" applyAlignment="1">
      <alignment horizontal="left" wrapText="1"/>
    </xf>
    <xf numFmtId="0" fontId="22" fillId="0" borderId="436" xfId="0" applyFont="1" applyBorder="1" applyAlignment="1">
      <alignment wrapText="1"/>
    </xf>
    <xf numFmtId="171" fontId="23" fillId="0" borderId="434" xfId="0" applyNumberFormat="1" applyFont="1" applyBorder="1" applyAlignment="1">
      <alignment horizontal="left"/>
    </xf>
    <xf numFmtId="171" fontId="23" fillId="0" borderId="431" xfId="0" applyNumberFormat="1" applyFont="1" applyBorder="1" applyAlignment="1">
      <alignment horizontal="left"/>
    </xf>
    <xf numFmtId="0" fontId="19" fillId="0" borderId="426" xfId="0" applyFont="1" applyBorder="1">
      <alignment horizontal="center" vertical="center"/>
    </xf>
    <xf numFmtId="0" fontId="22" fillId="0" borderId="404" xfId="0" applyFont="1" applyBorder="1" applyAlignment="1">
      <alignment wrapText="1"/>
    </xf>
    <xf numFmtId="171" fontId="23" fillId="0" borderId="362" xfId="0" applyNumberFormat="1" applyFont="1" applyBorder="1" applyAlignment="1">
      <alignment horizontal="left" wrapText="1"/>
    </xf>
    <xf numFmtId="0" fontId="19" fillId="39" borderId="404" xfId="0" applyFont="1" applyFill="1" applyBorder="1" applyAlignment="1">
      <alignment wrapText="1"/>
    </xf>
    <xf numFmtId="171" fontId="23" fillId="39" borderId="362" xfId="0" applyNumberFormat="1" applyFont="1" applyFill="1" applyBorder="1" applyAlignment="1">
      <alignment horizontal="left" wrapText="1"/>
    </xf>
    <xf numFmtId="0" fontId="22" fillId="39" borderId="404" xfId="0" applyFont="1" applyFill="1" applyBorder="1" applyAlignment="1">
      <alignment wrapText="1"/>
    </xf>
    <xf numFmtId="0" fontId="22" fillId="0" borderId="404" xfId="0" applyFont="1" applyBorder="1" applyAlignment="1"/>
    <xf numFmtId="0" fontId="22" fillId="65" borderId="404" xfId="0" applyFont="1" applyFill="1" applyBorder="1" applyAlignment="1"/>
    <xf numFmtId="171" fontId="23" fillId="65" borderId="362" xfId="0" applyNumberFormat="1" applyFont="1" applyFill="1" applyBorder="1" applyAlignment="1">
      <alignment horizontal="left" wrapText="1"/>
    </xf>
    <xf numFmtId="0" fontId="22" fillId="65" borderId="404" xfId="0" applyFont="1" applyFill="1" applyBorder="1" applyAlignment="1">
      <alignment horizontal="left" vertical="center"/>
    </xf>
    <xf numFmtId="172" fontId="23" fillId="65" borderId="362" xfId="0" applyNumberFormat="1" applyFont="1" applyFill="1" applyBorder="1" applyAlignment="1">
      <alignment horizontal="left" wrapText="1"/>
    </xf>
    <xf numFmtId="3" fontId="62" fillId="0" borderId="362" xfId="0" applyNumberFormat="1" applyFont="1" applyBorder="1">
      <alignment horizontal="center" vertical="center"/>
    </xf>
    <xf numFmtId="0" fontId="22" fillId="66" borderId="404" xfId="0" applyFont="1" applyFill="1" applyBorder="1" applyAlignment="1">
      <alignment horizontal="left" vertical="center"/>
    </xf>
    <xf numFmtId="172" fontId="23" fillId="66" borderId="362" xfId="0" applyNumberFormat="1" applyFont="1" applyFill="1" applyBorder="1" applyAlignment="1">
      <alignment horizontal="left" wrapText="1"/>
    </xf>
    <xf numFmtId="0" fontId="22" fillId="67" borderId="404" xfId="0" applyFont="1" applyFill="1" applyBorder="1" applyAlignment="1">
      <alignment horizontal="left" vertical="center"/>
    </xf>
    <xf numFmtId="172" fontId="23" fillId="66" borderId="359" xfId="0" applyNumberFormat="1" applyFont="1" applyFill="1" applyBorder="1" applyAlignment="1">
      <alignment horizontal="left" wrapText="1"/>
    </xf>
    <xf numFmtId="3" fontId="62" fillId="0" borderId="356" xfId="0" applyNumberFormat="1" applyFont="1" applyBorder="1">
      <alignment horizontal="center" vertical="center"/>
    </xf>
    <xf numFmtId="0" fontId="22" fillId="68" borderId="404" xfId="0" applyFont="1" applyFill="1" applyBorder="1" applyAlignment="1">
      <alignment horizontal="left" vertical="center"/>
    </xf>
    <xf numFmtId="171" fontId="23" fillId="66" borderId="362" xfId="0" applyNumberFormat="1" applyFont="1" applyFill="1" applyBorder="1" applyAlignment="1">
      <alignment horizontal="left" wrapText="1"/>
    </xf>
    <xf numFmtId="0" fontId="22" fillId="0" borderId="404" xfId="0" applyFont="1" applyBorder="1">
      <alignment horizontal="center" vertical="center"/>
    </xf>
    <xf numFmtId="0" fontId="22" fillId="38" borderId="404" xfId="0" applyFont="1" applyFill="1" applyBorder="1" applyAlignment="1">
      <alignment horizontal="left" vertical="center"/>
    </xf>
    <xf numFmtId="171" fontId="23" fillId="38" borderId="555" xfId="0" applyNumberFormat="1" applyFont="1" applyFill="1" applyBorder="1" applyAlignment="1">
      <alignment horizontal="left" wrapText="1"/>
    </xf>
    <xf numFmtId="0" fontId="19" fillId="38" borderId="404" xfId="0" applyFont="1" applyFill="1" applyBorder="1" applyAlignment="1">
      <alignment horizontal="left" vertical="center"/>
    </xf>
    <xf numFmtId="171" fontId="23" fillId="38" borderId="362" xfId="0" applyNumberFormat="1" applyFont="1" applyFill="1" applyBorder="1" applyAlignment="1">
      <alignment horizontal="left" wrapText="1"/>
    </xf>
    <xf numFmtId="171" fontId="23" fillId="38" borderId="556" xfId="0" applyNumberFormat="1" applyFont="1" applyFill="1" applyBorder="1" applyAlignment="1">
      <alignment horizontal="left" wrapText="1"/>
    </xf>
    <xf numFmtId="0" fontId="44" fillId="50" borderId="362" xfId="0" applyFont="1" applyFill="1" applyBorder="1" applyAlignment="1">
      <alignment horizontal="center"/>
    </xf>
    <xf numFmtId="0" fontId="44" fillId="50" borderId="359" xfId="0" applyFont="1" applyFill="1" applyBorder="1" applyAlignment="1">
      <alignment horizontal="center"/>
    </xf>
    <xf numFmtId="169" fontId="44" fillId="50" borderId="359" xfId="0" applyNumberFormat="1" applyFont="1" applyFill="1" applyBorder="1" applyAlignment="1">
      <alignment horizontal="center"/>
    </xf>
    <xf numFmtId="0" fontId="0" fillId="24" borderId="397" xfId="0" applyFill="1" applyBorder="1" applyAlignment="1">
      <alignment horizontal="center"/>
    </xf>
    <xf numFmtId="0" fontId="20" fillId="0" borderId="362" xfId="0" applyFont="1" applyBorder="1">
      <alignment horizontal="center" vertical="center"/>
    </xf>
    <xf numFmtId="0" fontId="44" fillId="0" borderId="362" xfId="0" applyFont="1" applyBorder="1" applyAlignment="1">
      <alignment vertical="center"/>
    </xf>
    <xf numFmtId="0" fontId="20" fillId="51" borderId="362" xfId="0" applyFont="1" applyFill="1" applyBorder="1" applyAlignment="1">
      <alignment horizontal="left" vertical="center"/>
    </xf>
    <xf numFmtId="49" fontId="44" fillId="0" borderId="362" xfId="0" applyNumberFormat="1" applyFont="1" applyBorder="1">
      <alignment horizontal="center" vertical="center"/>
    </xf>
    <xf numFmtId="0" fontId="20" fillId="0" borderId="362" xfId="0" applyFont="1" applyBorder="1" applyAlignment="1">
      <alignment vertical="center"/>
    </xf>
    <xf numFmtId="0" fontId="44" fillId="0" borderId="362" xfId="0" applyFont="1" applyBorder="1">
      <alignment horizontal="center" vertical="center"/>
    </xf>
    <xf numFmtId="0" fontId="20" fillId="0" borderId="362" xfId="0" applyFont="1" applyBorder="1" applyAlignment="1">
      <alignment horizontal="left" vertical="center"/>
    </xf>
    <xf numFmtId="0" fontId="44" fillId="0" borderId="557" xfId="0" applyFont="1" applyBorder="1">
      <alignment horizontal="center" vertical="center"/>
    </xf>
    <xf numFmtId="0" fontId="20" fillId="0" borderId="398" xfId="0" applyFont="1" applyBorder="1" applyAlignment="1">
      <alignment horizontal="left" vertical="center"/>
    </xf>
    <xf numFmtId="0" fontId="0" fillId="0" borderId="399" xfId="0" applyBorder="1">
      <alignment horizontal="center" vertical="center"/>
    </xf>
    <xf numFmtId="0" fontId="44" fillId="0" borderId="558" xfId="0" applyFont="1" applyBorder="1">
      <alignment horizontal="center" vertical="center"/>
    </xf>
    <xf numFmtId="0" fontId="0" fillId="0" borderId="559" xfId="0" applyBorder="1">
      <alignment horizontal="center" vertical="center"/>
    </xf>
    <xf numFmtId="49" fontId="44" fillId="0" borderId="539" xfId="0" applyNumberFormat="1" applyFont="1" applyBorder="1">
      <alignment horizontal="center" vertical="center"/>
    </xf>
    <xf numFmtId="0" fontId="14" fillId="0" borderId="362" xfId="0" applyFont="1" applyBorder="1" applyAlignment="1">
      <alignment horizontal="left" vertical="center"/>
    </xf>
    <xf numFmtId="0" fontId="20" fillId="0" borderId="359" xfId="0" applyFont="1" applyBorder="1" applyAlignment="1">
      <alignment vertical="center"/>
    </xf>
    <xf numFmtId="49" fontId="44" fillId="0" borderId="560" xfId="0" applyNumberFormat="1" applyFont="1" applyBorder="1">
      <alignment horizontal="center" vertical="center"/>
    </xf>
    <xf numFmtId="0" fontId="44" fillId="0" borderId="561" xfId="0" applyFont="1" applyBorder="1" applyAlignment="1">
      <alignment vertical="center"/>
    </xf>
    <xf numFmtId="0" fontId="20" fillId="51" borderId="562" xfId="0" applyFont="1" applyFill="1" applyBorder="1" applyAlignment="1">
      <alignment horizontal="left" vertical="center" wrapText="1"/>
    </xf>
    <xf numFmtId="0" fontId="20" fillId="51" borderId="562" xfId="0" applyFont="1" applyFill="1" applyBorder="1" applyAlignment="1">
      <alignment horizontal="left" vertical="center"/>
    </xf>
    <xf numFmtId="169" fontId="44" fillId="0" borderId="562" xfId="0" applyNumberFormat="1" applyFont="1" applyBorder="1">
      <alignment horizontal="center" vertical="center"/>
    </xf>
    <xf numFmtId="0" fontId="44" fillId="49" borderId="562" xfId="0" applyFont="1" applyFill="1" applyBorder="1" applyAlignment="1">
      <alignment vertical="center"/>
    </xf>
    <xf numFmtId="0" fontId="44" fillId="0" borderId="563" xfId="0" applyFont="1" applyBorder="1" applyAlignment="1">
      <alignment vertical="center"/>
    </xf>
    <xf numFmtId="0" fontId="0" fillId="0" borderId="421" xfId="0" applyBorder="1">
      <alignment horizontal="center" vertical="center"/>
    </xf>
    <xf numFmtId="17" fontId="44" fillId="0" borderId="562" xfId="0" applyNumberFormat="1" applyFont="1" applyBorder="1">
      <alignment horizontal="center" vertical="center"/>
    </xf>
    <xf numFmtId="0" fontId="20" fillId="0" borderId="562" xfId="0" applyFont="1" applyBorder="1" applyAlignment="1"/>
    <xf numFmtId="0" fontId="13" fillId="0" borderId="562" xfId="0" applyFont="1" applyBorder="1" applyAlignment="1">
      <alignment vertical="center"/>
    </xf>
    <xf numFmtId="0" fontId="20" fillId="51" borderId="564" xfId="0" applyFont="1" applyFill="1" applyBorder="1" applyAlignment="1">
      <alignment horizontal="left" vertical="center" wrapText="1"/>
    </xf>
    <xf numFmtId="49" fontId="44" fillId="0" borderId="562" xfId="0" applyNumberFormat="1" applyFont="1" applyBorder="1" applyAlignment="1">
      <alignment horizontal="right"/>
    </xf>
    <xf numFmtId="0" fontId="44" fillId="0" borderId="150" xfId="0" applyFont="1" applyBorder="1">
      <alignment horizontal="center" vertical="center"/>
    </xf>
    <xf numFmtId="0" fontId="20" fillId="0" borderId="359" xfId="0" applyFont="1" applyBorder="1">
      <alignment horizontal="center" vertical="center"/>
    </xf>
    <xf numFmtId="0" fontId="13" fillId="0" borderId="562" xfId="0" applyFont="1" applyBorder="1" applyAlignment="1">
      <alignment horizontal="left" vertical="center"/>
    </xf>
    <xf numFmtId="0" fontId="0" fillId="0" borderId="562" xfId="0" applyBorder="1">
      <alignment horizontal="center" vertical="center"/>
    </xf>
    <xf numFmtId="0" fontId="20" fillId="51" borderId="562" xfId="0" applyFont="1" applyFill="1" applyBorder="1" applyAlignment="1" applyProtection="1">
      <alignment horizontal="left" vertical="center"/>
      <protection locked="0"/>
    </xf>
    <xf numFmtId="0" fontId="13" fillId="51" borderId="359" xfId="0" applyFont="1" applyFill="1" applyBorder="1" applyAlignment="1">
      <alignment horizontal="left" vertical="center"/>
    </xf>
    <xf numFmtId="0" fontId="20" fillId="0" borderId="359" xfId="0" applyFont="1" applyBorder="1" applyAlignment="1"/>
    <xf numFmtId="0" fontId="20" fillId="0" borderId="150" xfId="0" applyFont="1" applyBorder="1" applyAlignment="1">
      <alignment vertical="center"/>
    </xf>
    <xf numFmtId="0" fontId="20" fillId="0" borderId="557" xfId="0" applyFont="1" applyBorder="1">
      <alignment horizontal="center" vertical="center"/>
    </xf>
    <xf numFmtId="0" fontId="0" fillId="0" borderId="562" xfId="0" applyBorder="1" applyAlignment="1">
      <alignment horizontal="left" vertical="center"/>
    </xf>
    <xf numFmtId="0" fontId="44" fillId="0" borderId="562" xfId="0" applyFont="1" applyBorder="1" applyAlignment="1">
      <alignment horizontal="left"/>
    </xf>
    <xf numFmtId="0" fontId="20" fillId="51" borderId="359" xfId="0" applyFont="1" applyFill="1" applyBorder="1" applyAlignment="1">
      <alignment horizontal="left" vertical="center"/>
    </xf>
    <xf numFmtId="0" fontId="0" fillId="0" borderId="562" xfId="0" applyBorder="1" applyAlignment="1">
      <alignment vertical="center"/>
    </xf>
    <xf numFmtId="0" fontId="44" fillId="0" borderId="359" xfId="0" applyFont="1" applyBorder="1" applyAlignment="1">
      <alignment horizontal="center"/>
    </xf>
    <xf numFmtId="0" fontId="44" fillId="51" borderId="562" xfId="0" applyFont="1" applyFill="1" applyBorder="1" applyAlignment="1">
      <alignment horizontal="left" vertical="center"/>
    </xf>
    <xf numFmtId="0" fontId="0" fillId="0" borderId="359" xfId="0" applyBorder="1" applyAlignment="1">
      <alignment horizontal="left" vertical="center"/>
    </xf>
    <xf numFmtId="0" fontId="49" fillId="51" borderId="562" xfId="0" applyFont="1" applyFill="1" applyBorder="1" applyAlignment="1">
      <alignment horizontal="center"/>
    </xf>
    <xf numFmtId="0" fontId="48" fillId="51" borderId="562" xfId="0" applyFont="1" applyFill="1" applyBorder="1" applyAlignment="1">
      <alignment wrapText="1"/>
    </xf>
    <xf numFmtId="0" fontId="45" fillId="51" borderId="562" xfId="0" applyFont="1" applyFill="1" applyBorder="1" applyAlignment="1">
      <alignment wrapText="1"/>
    </xf>
    <xf numFmtId="0" fontId="44" fillId="0" borderId="562" xfId="0" applyFont="1" applyBorder="1" applyAlignment="1">
      <alignment horizontal="left" vertical="center"/>
    </xf>
    <xf numFmtId="0" fontId="44" fillId="51" borderId="562" xfId="0" applyFont="1" applyFill="1" applyBorder="1" applyAlignment="1">
      <alignment wrapText="1"/>
    </xf>
    <xf numFmtId="0" fontId="20" fillId="51" borderId="562" xfId="0" applyFont="1" applyFill="1" applyBorder="1" applyAlignment="1">
      <alignment vertical="center"/>
    </xf>
    <xf numFmtId="0" fontId="44" fillId="0" borderId="562" xfId="0" applyFont="1" applyBorder="1" applyAlignment="1"/>
    <xf numFmtId="0" fontId="13" fillId="51" borderId="562" xfId="0" applyFont="1" applyFill="1" applyBorder="1" applyAlignment="1">
      <alignment horizontal="left" vertical="center"/>
    </xf>
    <xf numFmtId="0" fontId="2" fillId="0" borderId="562" xfId="0" applyFont="1" applyBorder="1" applyAlignment="1">
      <alignment horizontal="left" vertical="center"/>
    </xf>
    <xf numFmtId="0" fontId="44" fillId="0" borderId="562" xfId="0" applyFont="1" applyBorder="1" applyAlignment="1">
      <alignment wrapText="1"/>
    </xf>
    <xf numFmtId="0" fontId="0" fillId="51" borderId="562" xfId="0" applyFill="1" applyBorder="1" applyAlignment="1">
      <alignment horizontal="left" vertical="center"/>
    </xf>
    <xf numFmtId="169" fontId="0" fillId="0" borderId="562" xfId="0" applyNumberFormat="1" applyBorder="1">
      <alignment horizontal="center" vertical="center"/>
    </xf>
    <xf numFmtId="0" fontId="13" fillId="51" borderId="561" xfId="0" applyFont="1" applyFill="1" applyBorder="1" applyAlignment="1">
      <alignment vertical="center"/>
    </xf>
    <xf numFmtId="0" fontId="20" fillId="51" borderId="561" xfId="0" applyFont="1" applyFill="1" applyBorder="1" applyAlignment="1">
      <alignment horizontal="left" vertical="center"/>
    </xf>
    <xf numFmtId="0" fontId="45" fillId="0" borderId="562" xfId="0" applyFont="1" applyBorder="1" applyAlignment="1">
      <alignment vertical="top" wrapText="1"/>
    </xf>
    <xf numFmtId="0" fontId="48" fillId="0" borderId="562" xfId="0" applyFont="1" applyBorder="1" applyAlignment="1">
      <alignment vertical="top" wrapText="1"/>
    </xf>
    <xf numFmtId="0" fontId="20" fillId="0" borderId="562" xfId="0" applyFont="1" applyBorder="1" applyAlignment="1">
      <alignment vertical="top" wrapText="1"/>
    </xf>
    <xf numFmtId="0" fontId="20" fillId="51" borderId="150" xfId="0" applyFont="1" applyFill="1" applyBorder="1" applyAlignment="1">
      <alignment horizontal="left" vertical="center"/>
    </xf>
    <xf numFmtId="0" fontId="50" fillId="0" borderId="562" xfId="0" applyFont="1" applyBorder="1" applyAlignment="1">
      <alignment vertical="top" wrapText="1"/>
    </xf>
    <xf numFmtId="0" fontId="0" fillId="0" borderId="545" xfId="0" applyBorder="1" applyAlignment="1">
      <alignment horizontal="center"/>
    </xf>
    <xf numFmtId="0" fontId="0" fillId="0" borderId="396" xfId="0" applyBorder="1" applyAlignment="1">
      <alignment horizontal="center"/>
    </xf>
    <xf numFmtId="0" fontId="0" fillId="0" borderId="418" xfId="0" applyBorder="1" applyAlignment="1">
      <alignment horizontal="center"/>
    </xf>
    <xf numFmtId="0" fontId="0" fillId="0" borderId="396" xfId="0" applyBorder="1">
      <alignment horizontal="center" vertical="center"/>
    </xf>
    <xf numFmtId="0" fontId="0" fillId="0" borderId="418" xfId="0" applyBorder="1">
      <alignment horizontal="center" vertical="center"/>
    </xf>
    <xf numFmtId="0" fontId="3" fillId="0" borderId="406" xfId="0" applyFont="1" applyBorder="1" applyAlignment="1">
      <alignment horizontal="left"/>
    </xf>
    <xf numFmtId="0" fontId="0" fillId="27" borderId="396" xfId="0" applyFill="1" applyBorder="1" applyAlignment="1">
      <alignment horizontal="center"/>
    </xf>
    <xf numFmtId="0" fontId="0" fillId="30" borderId="396" xfId="0" applyFill="1" applyBorder="1" applyAlignment="1">
      <alignment horizontal="center"/>
    </xf>
    <xf numFmtId="0" fontId="7" fillId="31" borderId="396" xfId="0" applyFont="1" applyFill="1" applyBorder="1" applyAlignment="1">
      <alignment horizontal="center"/>
    </xf>
    <xf numFmtId="0" fontId="7" fillId="31" borderId="407" xfId="0" applyFont="1" applyFill="1" applyBorder="1" applyAlignment="1">
      <alignment horizontal="center"/>
    </xf>
    <xf numFmtId="0" fontId="0" fillId="28" borderId="396" xfId="0" applyFill="1" applyBorder="1" applyAlignment="1">
      <alignment horizontal="center"/>
    </xf>
    <xf numFmtId="0" fontId="0" fillId="0" borderId="565" xfId="0" applyBorder="1" applyAlignment="1">
      <alignment horizontal="left"/>
    </xf>
    <xf numFmtId="0" fontId="0" fillId="0" borderId="565" xfId="0" applyBorder="1" applyAlignment="1">
      <alignment horizontal="center"/>
    </xf>
    <xf numFmtId="0" fontId="0" fillId="0" borderId="561" xfId="0" applyBorder="1" applyAlignment="1">
      <alignment horizontal="center"/>
    </xf>
    <xf numFmtId="0" fontId="0" fillId="0" borderId="566" xfId="0" applyBorder="1" applyAlignment="1">
      <alignment horizontal="center"/>
    </xf>
    <xf numFmtId="0" fontId="0" fillId="0" borderId="567" xfId="0" applyBorder="1" applyAlignment="1">
      <alignment horizontal="center"/>
    </xf>
    <xf numFmtId="0" fontId="0" fillId="0" borderId="568" xfId="0" applyBorder="1" applyAlignment="1">
      <alignment horizontal="center"/>
    </xf>
    <xf numFmtId="0" fontId="0" fillId="0" borderId="568" xfId="0" applyBorder="1">
      <alignment horizontal="center" vertical="center"/>
    </xf>
    <xf numFmtId="0" fontId="0" fillId="0" borderId="569" xfId="0" applyBorder="1">
      <alignment horizontal="center" vertical="center"/>
    </xf>
    <xf numFmtId="0" fontId="0" fillId="0" borderId="570" xfId="0" applyBorder="1">
      <alignment horizontal="center" vertical="center"/>
    </xf>
    <xf numFmtId="0" fontId="6" fillId="0" borderId="396" xfId="0" applyFont="1" applyBorder="1" applyAlignment="1">
      <alignment horizontal="center"/>
    </xf>
    <xf numFmtId="0" fontId="0" fillId="24" borderId="407" xfId="0" applyFill="1" applyBorder="1" applyAlignment="1">
      <alignment horizontal="center"/>
    </xf>
    <xf numFmtId="0" fontId="6" fillId="0" borderId="421" xfId="0" applyFont="1" applyBorder="1" applyAlignment="1">
      <alignment horizontal="left"/>
    </xf>
    <xf numFmtId="0" fontId="0" fillId="24" borderId="396" xfId="0" applyFill="1" applyBorder="1" applyAlignment="1">
      <alignment horizontal="center"/>
    </xf>
    <xf numFmtId="0" fontId="0" fillId="0" borderId="561" xfId="0" applyBorder="1">
      <alignment horizontal="center" vertical="center"/>
    </xf>
    <xf numFmtId="0" fontId="0" fillId="0" borderId="565" xfId="0" applyBorder="1">
      <alignment horizontal="center" vertical="center"/>
    </xf>
    <xf numFmtId="2" fontId="0" fillId="0" borderId="561" xfId="0" applyNumberFormat="1" applyBorder="1">
      <alignment horizontal="center" vertical="center"/>
    </xf>
    <xf numFmtId="0" fontId="0" fillId="0" borderId="566" xfId="0" applyBorder="1">
      <alignment horizontal="center" vertical="center"/>
    </xf>
    <xf numFmtId="0" fontId="0" fillId="0" borderId="571" xfId="0" applyBorder="1">
      <alignment horizontal="center" vertical="center"/>
    </xf>
    <xf numFmtId="2" fontId="0" fillId="24" borderId="572" xfId="0" applyNumberFormat="1" applyFill="1" applyBorder="1">
      <alignment horizontal="center" vertical="center"/>
    </xf>
    <xf numFmtId="2" fontId="0" fillId="0" borderId="571" xfId="0" applyNumberFormat="1" applyBorder="1">
      <alignment horizontal="center" vertical="center"/>
    </xf>
    <xf numFmtId="0" fontId="6" fillId="0" borderId="561" xfId="0" applyFont="1" applyBorder="1" applyAlignment="1">
      <alignment horizontal="center"/>
    </xf>
    <xf numFmtId="0" fontId="5" fillId="0" borderId="561" xfId="0" applyFont="1" applyBorder="1" applyAlignment="1">
      <alignment horizontal="center"/>
    </xf>
    <xf numFmtId="0" fontId="5" fillId="0" borderId="399" xfId="0" applyFont="1" applyBorder="1" applyAlignment="1">
      <alignment horizontal="left"/>
    </xf>
    <xf numFmtId="0" fontId="7" fillId="32" borderId="561" xfId="0" applyFont="1" applyFill="1" applyBorder="1" applyAlignment="1">
      <alignment horizontal="center"/>
    </xf>
    <xf numFmtId="2" fontId="0" fillId="0" borderId="561" xfId="0" applyNumberFormat="1" applyBorder="1" applyAlignment="1">
      <alignment horizontal="center"/>
    </xf>
    <xf numFmtId="0" fontId="3" fillId="0" borderId="561" xfId="0" applyFont="1" applyBorder="1">
      <alignment horizontal="center" vertical="center"/>
    </xf>
    <xf numFmtId="0" fontId="0" fillId="0" borderId="410" xfId="0" applyBorder="1">
      <alignment horizontal="center" vertical="center"/>
    </xf>
    <xf numFmtId="0" fontId="0" fillId="0" borderId="399" xfId="0" applyBorder="1" applyAlignment="1">
      <alignment horizontal="center"/>
    </xf>
    <xf numFmtId="0" fontId="6" fillId="0" borderId="396" xfId="0" applyFont="1" applyBorder="1">
      <alignment horizontal="center" vertical="center"/>
    </xf>
    <xf numFmtId="0" fontId="5" fillId="0" borderId="561" xfId="0" applyFont="1" applyBorder="1">
      <alignment horizontal="center" vertical="center"/>
    </xf>
    <xf numFmtId="0" fontId="0" fillId="0" borderId="545" xfId="0" applyBorder="1">
      <alignment horizontal="center" vertical="center"/>
    </xf>
    <xf numFmtId="0" fontId="0" fillId="24" borderId="421" xfId="0" applyFill="1" applyBorder="1" applyAlignment="1">
      <alignment horizontal="center"/>
    </xf>
    <xf numFmtId="0" fontId="6" fillId="0" borderId="407" xfId="0" applyFont="1" applyBorder="1" applyAlignment="1">
      <alignment horizontal="left"/>
    </xf>
    <xf numFmtId="0" fontId="3" fillId="40" borderId="565" xfId="0" applyFont="1" applyFill="1" applyBorder="1">
      <alignment horizontal="center" vertical="center"/>
    </xf>
    <xf numFmtId="0" fontId="0" fillId="40" borderId="566" xfId="0" applyFill="1" applyBorder="1">
      <alignment horizontal="center" vertical="center"/>
    </xf>
    <xf numFmtId="0" fontId="6" fillId="40" borderId="566" xfId="0" applyFont="1" applyFill="1" applyBorder="1">
      <alignment horizontal="center" vertical="center"/>
    </xf>
    <xf numFmtId="0" fontId="3" fillId="26" borderId="565" xfId="0" applyFont="1" applyFill="1" applyBorder="1">
      <alignment horizontal="center" vertical="center"/>
    </xf>
    <xf numFmtId="0" fontId="0" fillId="26" borderId="566" xfId="0" applyFill="1" applyBorder="1">
      <alignment horizontal="center" vertical="center"/>
    </xf>
    <xf numFmtId="0" fontId="3" fillId="42" borderId="565" xfId="0" applyFont="1" applyFill="1" applyBorder="1" applyAlignment="1">
      <alignment horizontal="left"/>
    </xf>
    <xf numFmtId="0" fontId="0" fillId="42" borderId="566" xfId="0" applyFill="1" applyBorder="1">
      <alignment horizontal="center" vertical="center"/>
    </xf>
    <xf numFmtId="0" fontId="3" fillId="39" borderId="565" xfId="0" applyFont="1" applyFill="1" applyBorder="1">
      <alignment horizontal="center" vertical="center"/>
    </xf>
    <xf numFmtId="0" fontId="0" fillId="39" borderId="566" xfId="0" applyFill="1" applyBorder="1">
      <alignment horizontal="center" vertical="center"/>
    </xf>
    <xf numFmtId="0" fontId="3" fillId="37" borderId="565" xfId="0" applyFont="1" applyFill="1" applyBorder="1">
      <alignment horizontal="center" vertical="center"/>
    </xf>
    <xf numFmtId="0" fontId="0" fillId="37" borderId="566" xfId="0" applyFill="1" applyBorder="1">
      <alignment horizontal="center" vertical="center"/>
    </xf>
    <xf numFmtId="0" fontId="3" fillId="41" borderId="573" xfId="0" applyFont="1" applyFill="1" applyBorder="1" applyAlignment="1">
      <alignment horizontal="left"/>
    </xf>
    <xf numFmtId="0" fontId="0" fillId="41" borderId="569" xfId="0" applyFill="1" applyBorder="1">
      <alignment horizontal="center" vertical="center"/>
    </xf>
    <xf numFmtId="0" fontId="3" fillId="24" borderId="573" xfId="0" applyFont="1" applyFill="1" applyBorder="1">
      <alignment horizontal="center" vertical="center"/>
    </xf>
    <xf numFmtId="0" fontId="0" fillId="24" borderId="569" xfId="0" applyFill="1" applyBorder="1">
      <alignment horizontal="center" vertical="center"/>
    </xf>
    <xf numFmtId="0" fontId="9" fillId="31" borderId="573" xfId="0" applyFont="1" applyFill="1" applyBorder="1">
      <alignment horizontal="center" vertical="center"/>
    </xf>
    <xf numFmtId="0" fontId="7" fillId="31" borderId="569" xfId="0" applyFont="1" applyFill="1" applyBorder="1">
      <alignment horizontal="center" vertical="center"/>
    </xf>
    <xf numFmtId="0" fontId="0" fillId="31" borderId="569" xfId="0" applyFill="1" applyBorder="1">
      <alignment horizontal="center" vertical="center"/>
    </xf>
    <xf numFmtId="0" fontId="3" fillId="38" borderId="565" xfId="0" applyFont="1" applyFill="1" applyBorder="1">
      <alignment horizontal="center" vertical="center"/>
    </xf>
    <xf numFmtId="0" fontId="0" fillId="38" borderId="566" xfId="0" applyFill="1" applyBorder="1">
      <alignment horizontal="center" vertical="center"/>
    </xf>
    <xf numFmtId="0" fontId="3" fillId="25" borderId="565" xfId="0" applyFont="1" applyFill="1" applyBorder="1">
      <alignment horizontal="center" vertical="center"/>
    </xf>
    <xf numFmtId="0" fontId="0" fillId="25" borderId="574" xfId="0" applyFill="1" applyBorder="1">
      <alignment horizontal="center" vertical="center"/>
    </xf>
    <xf numFmtId="0" fontId="3" fillId="36" borderId="565" xfId="0" applyFont="1" applyFill="1" applyBorder="1">
      <alignment horizontal="center" vertical="center"/>
    </xf>
    <xf numFmtId="0" fontId="0" fillId="36" borderId="574" xfId="0" applyFill="1" applyBorder="1">
      <alignment horizontal="center" vertical="center"/>
    </xf>
    <xf numFmtId="0" fontId="3" fillId="33" borderId="565" xfId="0" applyFont="1" applyFill="1" applyBorder="1">
      <alignment horizontal="center" vertical="center"/>
    </xf>
    <xf numFmtId="0" fontId="0" fillId="33" borderId="574" xfId="0" applyFill="1" applyBorder="1">
      <alignment horizontal="center" vertical="center"/>
    </xf>
    <xf numFmtId="0" fontId="3" fillId="35" borderId="565" xfId="0" applyFont="1" applyFill="1" applyBorder="1">
      <alignment horizontal="center" vertical="center"/>
    </xf>
    <xf numFmtId="0" fontId="0" fillId="35" borderId="566" xfId="0" applyFill="1" applyBorder="1">
      <alignment horizontal="center" vertical="center"/>
    </xf>
    <xf numFmtId="0" fontId="0" fillId="35" borderId="574" xfId="0" applyFill="1" applyBorder="1">
      <alignment horizontal="center" vertical="center"/>
    </xf>
    <xf numFmtId="0" fontId="3" fillId="34" borderId="565" xfId="0" applyFont="1" applyFill="1" applyBorder="1">
      <alignment horizontal="center" vertical="center"/>
    </xf>
    <xf numFmtId="0" fontId="0" fillId="34" borderId="566" xfId="0" applyFill="1" applyBorder="1">
      <alignment horizontal="center" vertical="center"/>
    </xf>
    <xf numFmtId="0" fontId="0" fillId="34" borderId="574" xfId="0" applyFill="1" applyBorder="1">
      <alignment horizontal="center" vertical="center"/>
    </xf>
    <xf numFmtId="0" fontId="3" fillId="0" borderId="575" xfId="0" applyFont="1" applyBorder="1" applyAlignment="1">
      <alignment horizontal="center"/>
    </xf>
    <xf numFmtId="0" fontId="6" fillId="0" borderId="568" xfId="0" applyFont="1" applyBorder="1" applyAlignment="1">
      <alignment horizontal="center"/>
    </xf>
    <xf numFmtId="0" fontId="5" fillId="0" borderId="568" xfId="0" applyFont="1" applyBorder="1" applyAlignment="1">
      <alignment horizontal="center"/>
    </xf>
    <xf numFmtId="0" fontId="6" fillId="0" borderId="570" xfId="0" applyFont="1" applyBorder="1" applyAlignment="1">
      <alignment horizontal="left"/>
    </xf>
    <xf numFmtId="0" fontId="3" fillId="0" borderId="545" xfId="0" applyFont="1" applyBorder="1" applyAlignment="1">
      <alignment horizontal="center"/>
    </xf>
    <xf numFmtId="0" fontId="3" fillId="0" borderId="545" xfId="0" applyFont="1" applyBorder="1" applyAlignment="1">
      <alignment horizontal="left"/>
    </xf>
    <xf numFmtId="0" fontId="0" fillId="0" borderId="575" xfId="0" applyBorder="1">
      <alignment horizontal="center" vertical="center"/>
    </xf>
    <xf numFmtId="0" fontId="0" fillId="0" borderId="570" xfId="0" applyBorder="1" applyAlignment="1">
      <alignment horizontal="center"/>
    </xf>
    <xf numFmtId="0" fontId="6" fillId="40" borderId="396" xfId="0" applyFont="1" applyFill="1" applyBorder="1" applyAlignment="1">
      <alignment horizontal="center"/>
    </xf>
    <xf numFmtId="0" fontId="6" fillId="24" borderId="396" xfId="0" applyFont="1" applyFill="1" applyBorder="1" applyAlignment="1">
      <alignment horizontal="center"/>
    </xf>
    <xf numFmtId="2" fontId="0" fillId="0" borderId="399" xfId="0" applyNumberFormat="1" applyBorder="1">
      <alignment horizontal="center" vertical="center"/>
    </xf>
    <xf numFmtId="2" fontId="0" fillId="24" borderId="421" xfId="0" applyNumberFormat="1" applyFill="1" applyBorder="1">
      <alignment horizontal="center" vertical="center"/>
    </xf>
    <xf numFmtId="0" fontId="12" fillId="0" borderId="545" xfId="0" applyFont="1" applyBorder="1" applyAlignment="1">
      <alignment horizontal="left"/>
    </xf>
    <xf numFmtId="0" fontId="0" fillId="0" borderId="545" xfId="0" applyBorder="1" applyAlignment="1">
      <alignment horizontal="left"/>
    </xf>
    <xf numFmtId="0" fontId="0" fillId="0" borderId="561" xfId="0" applyBorder="1" applyAlignment="1" applyProtection="1">
      <alignment horizontal="center"/>
      <protection locked="0"/>
    </xf>
    <xf numFmtId="0" fontId="3" fillId="0" borderId="396" xfId="0" applyFont="1" applyBorder="1" applyAlignment="1">
      <alignment horizontal="center"/>
    </xf>
    <xf numFmtId="0" fontId="5" fillId="0" borderId="396" xfId="0" applyFont="1" applyBorder="1" applyAlignment="1">
      <alignment horizontal="center"/>
    </xf>
    <xf numFmtId="0" fontId="5" fillId="0" borderId="421" xfId="0" applyFont="1" applyBorder="1" applyAlignment="1">
      <alignment horizontal="left"/>
    </xf>
    <xf numFmtId="0" fontId="0" fillId="0" borderId="410" xfId="0" applyBorder="1" applyAlignment="1">
      <alignment horizontal="center"/>
    </xf>
    <xf numFmtId="0" fontId="6" fillId="0" borderId="399" xfId="0" applyFont="1" applyBorder="1" applyAlignment="1">
      <alignment horizontal="left"/>
    </xf>
    <xf numFmtId="0" fontId="3" fillId="0" borderId="575" xfId="0" applyFont="1" applyBorder="1">
      <alignment horizontal="center" vertical="center"/>
    </xf>
    <xf numFmtId="0" fontId="5" fillId="24" borderId="570" xfId="0" applyFont="1" applyFill="1" applyBorder="1" applyAlignment="1">
      <alignment horizontal="left"/>
    </xf>
    <xf numFmtId="0" fontId="3" fillId="0" borderId="410" xfId="0" applyFont="1" applyBorder="1">
      <alignment horizontal="center" vertical="center"/>
    </xf>
    <xf numFmtId="0" fontId="6" fillId="0" borderId="561" xfId="0" applyFont="1" applyBorder="1">
      <alignment horizontal="center" vertical="center"/>
    </xf>
    <xf numFmtId="0" fontId="5" fillId="24" borderId="399" xfId="0" applyFont="1" applyFill="1" applyBorder="1" applyAlignment="1">
      <alignment horizontal="left"/>
    </xf>
    <xf numFmtId="0" fontId="6" fillId="0" borderId="568" xfId="0" applyFont="1" applyBorder="1">
      <alignment horizontal="center" vertical="center"/>
    </xf>
    <xf numFmtId="0" fontId="5" fillId="0" borderId="410" xfId="0" applyFont="1" applyBorder="1">
      <alignment horizontal="center" vertical="center"/>
    </xf>
    <xf numFmtId="0" fontId="6" fillId="0" borderId="561" xfId="0" applyFont="1" applyBorder="1" applyAlignment="1">
      <alignment horizontal="left"/>
    </xf>
    <xf numFmtId="0" fontId="6" fillId="0" borderId="396" xfId="0" applyFont="1" applyBorder="1" applyAlignment="1">
      <alignment horizontal="left"/>
    </xf>
    <xf numFmtId="0" fontId="3" fillId="0" borderId="568" xfId="0" applyFont="1" applyBorder="1" applyAlignment="1">
      <alignment horizontal="center"/>
    </xf>
    <xf numFmtId="0" fontId="10" fillId="34" borderId="396" xfId="0" applyFont="1" applyFill="1" applyBorder="1" applyAlignment="1">
      <alignment horizontal="center"/>
    </xf>
    <xf numFmtId="0" fontId="10" fillId="34" borderId="421" xfId="0" applyFont="1" applyFill="1" applyBorder="1" applyAlignment="1">
      <alignment horizontal="center"/>
    </xf>
    <xf numFmtId="0" fontId="6" fillId="0" borderId="421" xfId="0" applyFont="1" applyBorder="1" applyAlignment="1">
      <alignment horizontal="center"/>
    </xf>
    <xf numFmtId="0" fontId="0" fillId="0" borderId="421" xfId="0" applyBorder="1" applyAlignment="1">
      <alignment horizontal="center"/>
    </xf>
    <xf numFmtId="0" fontId="0" fillId="0" borderId="575" xfId="0" applyBorder="1" applyAlignment="1">
      <alignment horizontal="center"/>
    </xf>
    <xf numFmtId="0" fontId="3" fillId="0" borderId="561" xfId="0" applyFont="1" applyBorder="1" applyAlignment="1">
      <alignment horizontal="center"/>
    </xf>
    <xf numFmtId="0" fontId="6" fillId="29" borderId="561" xfId="0" applyFont="1" applyFill="1" applyBorder="1" applyAlignment="1">
      <alignment horizontal="center"/>
    </xf>
    <xf numFmtId="0" fontId="3" fillId="29" borderId="568" xfId="0" applyFont="1" applyFill="1" applyBorder="1" applyAlignment="1">
      <alignment horizontal="center"/>
    </xf>
    <xf numFmtId="0" fontId="0" fillId="29" borderId="561" xfId="0" applyFill="1" applyBorder="1" applyAlignment="1">
      <alignment horizontal="center"/>
    </xf>
    <xf numFmtId="0" fontId="3" fillId="29" borderId="396" xfId="0" applyFont="1" applyFill="1" applyBorder="1" applyAlignment="1">
      <alignment horizontal="center"/>
    </xf>
    <xf numFmtId="0" fontId="3" fillId="0" borderId="410" xfId="0" applyFont="1" applyBorder="1" applyAlignment="1">
      <alignment horizontal="left"/>
    </xf>
    <xf numFmtId="0" fontId="3" fillId="0" borderId="575" xfId="0" applyFont="1" applyBorder="1" applyAlignment="1">
      <alignment horizontal="left"/>
    </xf>
    <xf numFmtId="0" fontId="0" fillId="43" borderId="567" xfId="0" applyFill="1" applyBorder="1" applyAlignment="1" applyProtection="1">
      <alignment horizontal="center"/>
      <protection locked="0"/>
    </xf>
    <xf numFmtId="0" fontId="0" fillId="0" borderId="561" xfId="0" applyBorder="1" applyAlignment="1">
      <alignment horizontal="left"/>
    </xf>
    <xf numFmtId="0" fontId="0" fillId="43" borderId="406" xfId="0" applyFill="1" applyBorder="1" applyAlignment="1" applyProtection="1">
      <alignment horizontal="center"/>
      <protection locked="0"/>
    </xf>
    <xf numFmtId="2" fontId="0" fillId="0" borderId="396" xfId="0" applyNumberFormat="1" applyBorder="1" applyAlignment="1">
      <alignment horizontal="left"/>
    </xf>
    <xf numFmtId="2" fontId="6" fillId="0" borderId="396" xfId="0" applyNumberFormat="1" applyFont="1" applyBorder="1" applyAlignment="1">
      <alignment horizontal="left"/>
    </xf>
    <xf numFmtId="2" fontId="6" fillId="0" borderId="421" xfId="0" applyNumberFormat="1" applyFont="1" applyBorder="1" applyAlignment="1">
      <alignment horizontal="left"/>
    </xf>
    <xf numFmtId="0" fontId="21" fillId="39" borderId="561" xfId="0" applyFont="1" applyFill="1" applyBorder="1" applyAlignment="1">
      <alignment wrapText="1"/>
    </xf>
    <xf numFmtId="0" fontId="6" fillId="0" borderId="561" xfId="0" applyFont="1" applyBorder="1" applyAlignment="1">
      <alignment wrapText="1"/>
    </xf>
    <xf numFmtId="0" fontId="8" fillId="0" borderId="574" xfId="0" applyFont="1" applyBorder="1" applyAlignment="1">
      <alignment wrapText="1"/>
    </xf>
    <xf numFmtId="0" fontId="17" fillId="0" borderId="561" xfId="0" applyFont="1" applyBorder="1" applyAlignment="1">
      <alignment wrapText="1"/>
    </xf>
    <xf numFmtId="0" fontId="24" fillId="0" borderId="565" xfId="0" applyFont="1" applyBorder="1" applyAlignment="1">
      <alignment horizontal="center" wrapText="1"/>
    </xf>
    <xf numFmtId="3" fontId="24" fillId="0" borderId="410" xfId="0" applyNumberFormat="1" applyFont="1" applyBorder="1" applyAlignment="1"/>
    <xf numFmtId="3" fontId="24" fillId="0" borderId="565" xfId="0" applyNumberFormat="1" applyFont="1" applyBorder="1" applyAlignment="1"/>
    <xf numFmtId="3" fontId="24" fillId="0" borderId="561" xfId="0" applyNumberFormat="1" applyFont="1" applyBorder="1" applyAlignment="1"/>
    <xf numFmtId="3" fontId="24" fillId="0" borderId="399" xfId="0" applyNumberFormat="1" applyFont="1" applyBorder="1" applyAlignment="1"/>
    <xf numFmtId="0" fontId="17" fillId="0" borderId="576" xfId="0" applyFont="1" applyBorder="1">
      <alignment horizontal="center" vertical="center"/>
    </xf>
    <xf numFmtId="0" fontId="8" fillId="0" borderId="561" xfId="0" applyFont="1" applyBorder="1" applyAlignment="1">
      <alignment wrapText="1"/>
    </xf>
    <xf numFmtId="0" fontId="24" fillId="0" borderId="565" xfId="0" applyFont="1" applyBorder="1" applyAlignment="1">
      <alignment horizontal="center"/>
    </xf>
    <xf numFmtId="1" fontId="24" fillId="0" borderId="410" xfId="0" applyNumberFormat="1" applyFont="1" applyBorder="1" applyAlignment="1">
      <alignment horizontal="center"/>
    </xf>
    <xf numFmtId="1" fontId="24" fillId="0" borderId="561" xfId="0" applyNumberFormat="1" applyFont="1" applyBorder="1" applyAlignment="1">
      <alignment horizontal="center"/>
    </xf>
    <xf numFmtId="1" fontId="24" fillId="0" borderId="399" xfId="0" applyNumberFormat="1" applyFont="1" applyBorder="1" applyAlignment="1">
      <alignment horizontal="center"/>
    </xf>
    <xf numFmtId="0" fontId="8" fillId="0" borderId="576" xfId="0" applyFont="1" applyBorder="1" applyAlignment="1">
      <alignment horizontal="center" wrapText="1"/>
    </xf>
    <xf numFmtId="0" fontId="24" fillId="0" borderId="561" xfId="0" applyFont="1" applyBorder="1" applyAlignment="1">
      <alignment wrapText="1"/>
    </xf>
    <xf numFmtId="0" fontId="8" fillId="0" borderId="561" xfId="0" applyFont="1" applyBorder="1" applyAlignment="1">
      <alignment vertical="top" wrapText="1"/>
    </xf>
    <xf numFmtId="0" fontId="17" fillId="0" borderId="576" xfId="0" applyFont="1" applyBorder="1" applyAlignment="1">
      <alignment horizontal="center"/>
    </xf>
    <xf numFmtId="0" fontId="24" fillId="0" borderId="396" xfId="0" applyFont="1" applyBorder="1" applyAlignment="1">
      <alignment wrapText="1"/>
    </xf>
    <xf numFmtId="0" fontId="8" fillId="0" borderId="396" xfId="0" applyFont="1" applyBorder="1" applyAlignment="1">
      <alignment vertical="top" wrapText="1"/>
    </xf>
    <xf numFmtId="0" fontId="24" fillId="0" borderId="407" xfId="0" applyFont="1" applyBorder="1" applyAlignment="1">
      <alignment horizontal="center"/>
    </xf>
    <xf numFmtId="1" fontId="24" fillId="0" borderId="545" xfId="0" applyNumberFormat="1" applyFont="1" applyBorder="1" applyAlignment="1">
      <alignment horizontal="center"/>
    </xf>
    <xf numFmtId="1" fontId="24" fillId="0" borderId="396" xfId="0" applyNumberFormat="1" applyFont="1" applyBorder="1" applyAlignment="1">
      <alignment horizontal="center"/>
    </xf>
    <xf numFmtId="1" fontId="24" fillId="0" borderId="421" xfId="0" applyNumberFormat="1" applyFont="1" applyBorder="1" applyAlignment="1">
      <alignment horizontal="center"/>
    </xf>
    <xf numFmtId="0" fontId="17" fillId="0" borderId="420" xfId="0" applyFont="1" applyBorder="1" applyAlignment="1">
      <alignment horizontal="center"/>
    </xf>
    <xf numFmtId="170" fontId="24" fillId="0" borderId="403" xfId="0" applyNumberFormat="1" applyFont="1" applyBorder="1" applyAlignment="1"/>
    <xf numFmtId="170" fontId="24" fillId="0" borderId="561" xfId="0" applyNumberFormat="1" applyFont="1" applyBorder="1" applyAlignment="1"/>
    <xf numFmtId="170" fontId="24" fillId="0" borderId="399" xfId="0" applyNumberFormat="1" applyFont="1" applyBorder="1" applyAlignment="1"/>
    <xf numFmtId="0" fontId="8" fillId="0" borderId="576" xfId="0" applyFont="1" applyBorder="1" applyAlignment="1">
      <alignment wrapText="1"/>
    </xf>
    <xf numFmtId="3" fontId="24" fillId="0" borderId="545" xfId="0" applyNumberFormat="1" applyFont="1" applyBorder="1" applyAlignment="1"/>
    <xf numFmtId="3" fontId="24" fillId="0" borderId="396" xfId="0" applyNumberFormat="1" applyFont="1" applyBorder="1" applyAlignment="1"/>
    <xf numFmtId="3" fontId="24" fillId="0" borderId="421" xfId="0" applyNumberFormat="1" applyFont="1" applyBorder="1" applyAlignment="1"/>
    <xf numFmtId="0" fontId="17" fillId="0" borderId="420" xfId="0" applyFont="1" applyBorder="1">
      <alignment horizontal="center" vertical="center"/>
    </xf>
    <xf numFmtId="0" fontId="3" fillId="0" borderId="71" xfId="0" applyFont="1" applyBorder="1" applyAlignment="1">
      <alignment wrapText="1"/>
    </xf>
    <xf numFmtId="0" fontId="3" fillId="0" borderId="72" xfId="0" applyFont="1" applyBorder="1" applyAlignment="1">
      <alignment wrapText="1"/>
    </xf>
    <xf numFmtId="0" fontId="3" fillId="0" borderId="73" xfId="0" applyFont="1" applyBorder="1" applyAlignment="1">
      <alignment wrapText="1"/>
    </xf>
    <xf numFmtId="0" fontId="19" fillId="0" borderId="84" xfId="0" applyFont="1" applyBorder="1" applyAlignment="1">
      <alignment horizontal="center"/>
    </xf>
  </cellXfs>
  <cellStyles count="53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Oplæring" xfId="47" xr:uid="{00000000-0005-0000-0000-000029000000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99"/>
      <color rgb="FFCC99FF"/>
      <color rgb="FF99CCFF"/>
      <color rgb="FFFFFF99"/>
      <color rgb="FF0000FF"/>
      <color rgb="FFF79443"/>
      <color rgb="FF9966FF"/>
      <color rgb="FF1F12C8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C6C0E6B-D9EF-4346-A0B7-285C59FA68E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80F70B2-EFC8-4C52-A081-4EF60986E6D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E1EB15B-4057-4479-86F6-69AEE6FDDDFF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B8B50C66-A8FC-4338-AB89-B23C5399CF2A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B3C4BC1-A082-40A9-9CD7-5EB923F9BF7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86886B8-2887-4922-8FE7-007185DC58D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342E617E-10E4-4AA1-A906-70841ED409F0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7FC450B3-D9A3-48D5-8491-95B15131CB8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2CAC2B6-C185-4319-8D4D-1415B93F15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3ACE669-0DBE-47FF-BDE9-0A0E94AA94B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D9B7003D-0BBB-4B9E-ADC5-C09A3BA9E48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E5AB51A9-FDB3-4559-A369-308D547F966C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DC8219-E2B8-49DA-A526-68E2DA733CB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5752B2B-905C-4DEB-86C6-A65395A4819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A23178FF-1B48-41FD-9DBC-2407E599039E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13238A3-B13D-4F22-9800-E36E295802EF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07F7045-8918-4282-BF1C-63854B315DB6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F5540A-2691-4EDE-AD69-C8B85E77839F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729F55A-ACD1-47A5-8C46-FF5E78F08594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AEB0F361-E63E-44F1-B0E1-3080C8993DDD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ED3BAD5-08EF-4FCE-8B2C-4E1DBF761139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952D33A-22A7-4742-B248-F6A482BFBE4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4803C5C5-6699-420D-9122-A98587B3EB8A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FED1ADF2-8411-45DF-A416-0DC7839978B4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2E1D1A8-00B1-40B2-8A7A-13BE42E85FDF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E87EE60-1094-4C70-AF67-77879343BC7C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C7FA6494-358E-4B54-9F2A-78137E47366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CDB7188-A59C-431B-8BA8-8B2D383A965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65B649-C461-442C-A50A-4F7CD753DAC1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82EB85B-6D34-4992-9C24-2335E3DA431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688DFA94-4E40-421D-9F0C-3278677023F8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BAF2D5E-82B3-40E5-8A71-B0D1D2EC02B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BFAC14B-818D-4747-8032-5A7EC7C0E16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3DCD65-0451-4558-A07E-A8AC7DBC394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54275BF6-0E4C-485E-AC3F-0A8E2ECBDF4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DFD0721-1A37-4D43-96E7-941F572A529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67853B4-6B68-46AC-B630-9718E04C2E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A15319-F459-40EB-970A-ED056ED13A6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4DF65E0-AC15-4910-A640-9B2CAB48D0A3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6BD4E01-E489-4CD2-A41A-4240A367091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0C1C0F3-C7F5-4A50-92CB-CF5075968B5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EDDF4A7-B1D9-4EA6-9F97-91977CAD2C6E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3731383-E210-4411-B50D-024F34260F8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02D567D-5817-40D3-B459-8D2F4F1C5C0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463FD3F-5BB3-4B9C-B34F-7A08472177B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7BBAA80-A649-4452-B2B3-26AE2A6A4904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1006001E-1CDE-4FAA-98E5-F5A8BE05A1A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2369645-1D90-4428-AE57-86A478A03D7E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ksky-my.sharepoint.com/personal/perlar_kk_dk/Documents/Skrivebord/Priser%20for%20R&#229;dhusservice%20og%20maskinhus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k7"/>
      <sheetName val="Ark8"/>
      <sheetName val="Ark9"/>
      <sheetName val="Ark4"/>
      <sheetName val="Maj 2021"/>
      <sheetName val="Juni 2021"/>
      <sheetName val="Juli 2021"/>
      <sheetName val="August 2021"/>
      <sheetName val="September 2021"/>
      <sheetName val="Oktober 2021"/>
      <sheetName val="November 2021"/>
      <sheetName val="December 2021"/>
      <sheetName val="Januar 2022"/>
      <sheetName val="Februar 2022"/>
      <sheetName val="Marts 2022"/>
      <sheetName val="April 2022"/>
      <sheetName val="Prisliste 2022"/>
      <sheetName val="GRUSMUS 2021"/>
      <sheetName val="Nøgler GL"/>
      <sheetName val="Nøgler januar 2000"/>
      <sheetName val="Nøgler m. lønkode"/>
      <sheetName val="Balanced 2010"/>
      <sheetName val="_56F9DC9755BA473782653E2940F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ennis Rise" id="{9D9A311B-BE05-48FF-87C4-DFA5A4050196}" userId="S::derise@kk.dk::7e8d672f-9273-495b-bff0-cf08dd8b6dff" providerId="AD"/>
  <person displayName="Erik Skyggebjerg Andersen" id="{0AFA0C70-E852-4877-B6AB-062D69FC52ED}" userId="S::erskyg@kk.dk::06f51414-fa6a-4b54-8b92-1f56c3d92d92" providerId="AD"/>
  <person displayName="Steen Hertin-Sandkær" id="{38B8BAD8-5649-40D2-9166-A70670AC663B}" userId="S::sthert@kk.dk::e957bcde-1e2d-44a2-9cbc-c9e1fd46d711" providerId="AD"/>
</personList>
</file>

<file path=xl/theme/theme1.xml><?xml version="1.0" encoding="utf-8"?>
<a:theme xmlns:a="http://schemas.openxmlformats.org/drawingml/2006/main" name="Kontortema">
  <a:themeElements>
    <a:clrScheme name="Gul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48" dT="2021-05-24T10:06:26.53" personId="{9D9A311B-BE05-48FF-87C4-DFA5A4050196}" id="{BB4C1B3E-BD5A-43C6-84F6-CA672AA7D8E1}">
    <text>7-vagt på o/a</text>
  </threadedComment>
  <threadedComment ref="C123" dT="2021-04-30T15:13:21.20" personId="{9D9A311B-BE05-48FF-87C4-DFA5A4050196}" id="{7EA7A3FF-1D0C-4847-8EF6-962739D90190}">
    <text>Covid-19 beredskab</text>
  </threadedComment>
  <threadedComment ref="D123" dT="2021-04-30T15:13:49.92" personId="{9D9A311B-BE05-48FF-87C4-DFA5A4050196}" id="{A8CA5FEF-1992-4CEF-A0CC-F1655809027E}">
    <text>Covid 19 beredskab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79" dT="2021-06-02T14:35:04.93" personId="{9D9A311B-BE05-48FF-87C4-DFA5A4050196}" id="{E977629A-B3D8-4D96-86FD-436F9AB7FC7C}">
    <text>Covid 19 beredskab 10-23</text>
  </threadedComment>
  <threadedComment ref="H79" dT="2021-06-02T14:35:33.61" personId="{9D9A311B-BE05-48FF-87C4-DFA5A4050196}" id="{85EB4BCB-F1F2-41D4-BD5F-8E89F2D75DEB}">
    <text>Covid 19 beredskab 10-23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6" dT="2021-07-19T09:14:11.17" personId="{0AFA0C70-E852-4877-B6AB-062D69FC52ED}" id="{DBED6890-7CF4-4B97-B6B7-BE4AEB9A3E57}">
    <text>Møder 09.00 - 12.00</text>
  </threadedComment>
  <threadedComment ref="W16" dT="2021-07-19T09:13:15.65" personId="{0AFA0C70-E852-4877-B6AB-062D69FC52ED}" id="{B54514FD-3529-4080-A3EE-EE395CF26426}">
    <text>Møder 09.00 - 13.00</text>
  </threadedComment>
  <threadedComment ref="X16" dT="2021-07-19T09:13:40.65" personId="{0AFA0C70-E852-4877-B6AB-062D69FC52ED}" id="{77CBCFCF-2077-4454-B6B2-B0A5CC709731}">
    <text>Møder 09.00 - 13.00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G45" dT="2021-08-30T16:02:38.02" personId="{0AFA0C70-E852-4877-B6AB-062D69FC52ED}" id="{C3E67E07-D6F5-4663-83FF-B7B1A67D7A4D}">
    <text>3-vagt på OA</text>
  </threadedComment>
  <threadedComment ref="P46" dT="2021-03-28T09:24:31.05" personId="{9D9A311B-BE05-48FF-87C4-DFA5A4050196}" id="{0D202DDB-99F7-42F8-B116-F09C79F5F07A}">
    <text>Flemming Grambo´s ferie</text>
  </threadedComment>
  <threadedComment ref="AG63" dT="2021-08-30T16:04:00.04" personId="{0AFA0C70-E852-4877-B6AB-062D69FC52ED}" id="{1795450C-954F-4D05-9C60-4840B7615476}">
    <text>69-vagt på OA</text>
  </threadedComment>
  <threadedComment ref="R64" dT="2021-08-15T10:01:05.52" personId="{9D9A311B-BE05-48FF-87C4-DFA5A4050196}" id="{9491AEA5-95EC-429F-B6FD-803FFEEB8A1A}">
    <text>3-vagt på o/a</text>
  </threadedComment>
  <threadedComment ref="Z70" dT="2021-08-24T21:07:25.53" personId="{9D9A311B-BE05-48FF-87C4-DFA5A4050196}" id="{2E27D743-559C-4970-A8AB-9035B8BE5380}">
    <text>10-vagt på oa</text>
  </threadedComment>
  <threadedComment ref="P73" dT="2021-03-28T09:24:31.05" personId="{9D9A311B-BE05-48FF-87C4-DFA5A4050196}" id="{7FBB9D52-A67D-4F97-A56D-678D20F51195}">
    <text>Flemming Grambo´s ferie</text>
  </threadedComment>
  <threadedComment ref="R157" dT="2021-04-08T02:30:28.15" personId="{9D9A311B-BE05-48FF-87C4-DFA5A4050196}" id="{360E0F3D-4A71-4F3A-A6D5-D36F47D26200}">
    <text>Flemmings ferie</text>
  </threadedComment>
  <threadedComment ref="R214" dT="2021-08-19T10:58:16.55" personId="{38B8BAD8-5649-40D2-9166-A70670AC663B}" id="{C3CAE9B8-0289-4585-9C6E-8529E6B61AC7}">
    <text>Vaccinaionscenter 15.00-21.00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68" dT="2021-09-01T18:18:25.13" personId="{0AFA0C70-E852-4877-B6AB-062D69FC52ED}" id="{96366B8F-1FAA-41AA-83B6-5C3F4228103D}">
    <text>11-vagt på OA</text>
  </threadedComment>
  <threadedComment ref="D82" dT="2021-09-01T19:26:27.20" personId="{0AFA0C70-E852-4877-B6AB-062D69FC52ED}" id="{FF803B0D-F070-4D15-8897-AA217E3D770D}">
    <text>23-vagt på OA</text>
  </threadedComment>
  <threadedComment ref="E82" dT="2021-09-01T19:26:49.54" personId="{0AFA0C70-E852-4877-B6AB-062D69FC52ED}" id="{7500BB7F-1C3D-4668-A932-9E82A12F0CF4}">
    <text>23-vagt på OA</text>
  </threadedComment>
  <threadedComment ref="C157" dT="2021-04-08T02:30:51.21" personId="{9D9A311B-BE05-48FF-87C4-DFA5A4050196}" id="{2CA2EBA2-F0CC-4D79-990E-BAD7F65646CC}">
    <text>Flemmings ferie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U101" dT="2021-10-18T21:54:07.18" personId="{0AFA0C70-E852-4877-B6AB-062D69FC52ED}" id="{DE70B514-629C-4621-A287-0B345DD51F20}">
    <text>G-vagt på OA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E105" dT="2022-03-28T17:27:39.91" personId="{0AFA0C70-E852-4877-B6AB-062D69FC52ED}" id="{CAA27E0C-4B07-4317-82DF-9D7ADDC0F08E}">
    <text>8-vagt på OA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C37" dT="2021-11-01T07:13:29.37" personId="{0AFA0C70-E852-4877-B6AB-062D69FC52ED}" id="{5EAF535D-6F56-40F7-93EB-9E6D0B55C47A}">
    <text>S-vagt på OA</text>
  </threadedComment>
  <threadedComment ref="D37" dT="2021-11-01T11:44:24.82" personId="{0AFA0C70-E852-4877-B6AB-062D69FC52ED}" id="{7BD03921-5A37-435C-B6BF-F505E8634249}">
    <text>S-vagt på OA</text>
  </threadedComment>
  <threadedComment ref="F37" dT="2021-11-04T06:31:07.25" personId="{0AFA0C70-E852-4877-B6AB-062D69FC52ED}" id="{617CF488-B950-4EAD-AE3E-44076778F8B9}">
    <text>N-vagt, Svanevej på OA</text>
  </threadedComment>
  <threadedComment ref="I37" dT="2021-11-05T08:34:18.96" personId="{0AFA0C70-E852-4877-B6AB-062D69FC52ED}" id="{FCC22D96-3269-42BE-BB27-A1B7612F9F0A}">
    <text>21-vagt på OA (Kødbyen)</text>
  </threadedComment>
  <threadedComment ref="L38" dT="2021-11-10T17:09:07.21" personId="{0AFA0C70-E852-4877-B6AB-062D69FC52ED}" id="{7FECEF8C-4A47-4DA0-942B-CB5189DDADAD}">
    <text>Vagthavende</text>
  </threadedComment>
  <threadedComment ref="M38" dT="2021-11-10T17:09:07.21" personId="{0AFA0C70-E852-4877-B6AB-062D69FC52ED}" id="{716CDDC7-B346-4262-8155-6332FFD7ACBE}">
    <text>Vagthavende</text>
  </threadedComment>
  <threadedComment ref="D45" dT="2021-11-02T06:53:46.65" personId="{0AFA0C70-E852-4877-B6AB-062D69FC52ED}" id="{9F14BE8A-4F8C-4ADB-A508-DBA1D4124094}">
    <text>O-vagt på OA</text>
  </threadedComment>
  <threadedComment ref="D62" dT="2021-11-02T07:10:50.34" personId="{0AFA0C70-E852-4877-B6AB-062D69FC52ED}" id="{5F8A42DA-4819-4BB8-A36D-6A7C4916E1FD}">
    <text>P-vagt på OA</text>
  </threadedComment>
  <threadedComment ref="E62" dT="2021-11-02T07:11:06.92" personId="{0AFA0C70-E852-4877-B6AB-062D69FC52ED}" id="{E6D009A0-4B89-4F34-9A1F-FC78B3A7A892}">
    <text>P-vagt på OA</text>
  </threadedComment>
  <threadedComment ref="D63" dT="2021-11-01T11:39:11.00" personId="{0AFA0C70-E852-4877-B6AB-062D69FC52ED}" id="{0BF9A0C2-A3E4-4A82-AFD1-C767BA1A6DE7}">
    <text>G-vagt på OA</text>
  </threadedComment>
  <threadedComment ref="H63" dT="2021-11-05T09:42:23.86" personId="{0AFA0C70-E852-4877-B6AB-062D69FC52ED}" id="{B772CECE-20C4-4A52-87B3-FBA5792EE482}">
    <text>21-vagt på OA (Kødbyen)</text>
  </threadedComment>
  <threadedComment ref="L67" dT="2021-11-10T17:09:47.61" personId="{0AFA0C70-E852-4877-B6AB-062D69FC52ED}" id="{62243F12-A9AD-4684-A3EE-E99E83FA0161}">
    <text>11-vagt på OA</text>
  </threadedComment>
  <threadedComment ref="G197" dT="2021-11-03T08:51:56.58" personId="{0AFA0C70-E852-4877-B6AB-062D69FC52ED}" id="{BD5C5A99-CCD5-48C9-8B51-1384E7B12EC5}">
    <text>Ingen afløsning fredag 5-11-21</text>
  </threadedComment>
  <threadedComment ref="G198" dT="2021-11-03T08:50:04.00" personId="{0AFA0C70-E852-4877-B6AB-062D69FC52ED}" id="{5EF163ED-E5F8-4693-9014-26E6DAE1B280}">
    <text>Ingen afløsning fredag 5-11-21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T74" dT="2021-12-17T14:00:47.60" personId="{0AFA0C70-E852-4877-B6AB-062D69FC52ED}" id="{AB06E455-14BA-48AE-8391-7EC3060CD7A4}">
    <text>B1 på OA</text>
  </threadedComment>
  <threadedComment ref="S75" dT="2021-12-17T13:45:58.14" personId="{0AFA0C70-E852-4877-B6AB-062D69FC52ED}" id="{CB48B2CF-EF75-49F9-A3B7-2D3923860F41}">
    <text>6-vagt på OA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39" dT="2022-01-18T19:53:35.23" personId="{0AFA0C70-E852-4877-B6AB-062D69FC52ED}" id="{91FA7826-88B0-45CA-83AE-492BC808D548}">
    <text>25-vagt på OA</text>
  </threadedComment>
  <threadedComment ref="P67" dT="2022-01-14T08:38:35.69" personId="{0AFA0C70-E852-4877-B6AB-062D69FC52ED}" id="{7EAC567C-352E-4A84-9E50-6CB958FF0D3F}">
    <text>Matthæusgade 1 10.00 - 13.00</text>
  </threadedComment>
  <threadedComment ref="V76" dT="2022-01-19T14:53:42.67" personId="{0AFA0C70-E852-4877-B6AB-062D69FC52ED}" id="{402A4348-E5A5-416B-B80A-E2875C568D6C}">
    <text>25-vagt på OA</text>
  </threadedComment>
  <threadedComment ref="W76" dT="2022-01-19T14:54:00.79" personId="{0AFA0C70-E852-4877-B6AB-062D69FC52ED}" id="{36DB66A2-AD7D-4681-917C-B77492A70832}">
    <text>25-vagt på OA</text>
  </threadedComment>
  <threadedComment ref="U105" dT="2022-01-18T16:46:34.95" personId="{0AFA0C70-E852-4877-B6AB-062D69FC52ED}" id="{3200A473-AF0D-41CD-B8C1-111CCC52D88F}">
    <text>L-vagt på OA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8B022-2087-4CD4-A80B-DDF96B63A855}">
  <sheetPr codeName="Ark10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3E2-3BBC-45C4-8357-497B8D2455DE}">
  <sheetPr codeName="Ark11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B260-C009-4FF5-BD37-D7EC08E557E7}">
  <sheetPr codeName="Ark12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76DE-BFD1-42BC-B4C5-28B139E0DE1B}">
  <sheetPr codeName="Ark13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7E07-9BCD-47DA-9386-717DDA4A5C52}">
  <sheetPr codeName="Ark73"/>
  <dimension ref="A1:AO283"/>
  <sheetViews>
    <sheetView zoomScale="90" zoomScaleNormal="90" workbookViewId="0">
      <pane xSplit="2" ySplit="3" topLeftCell="AK255" activePane="bottomRight" state="frozen"/>
      <selection pane="topRight" activeCell="B186" sqref="B186"/>
      <selection pane="bottomLeft" activeCell="B186" sqref="B186"/>
      <selection pane="bottomRight" activeCell="AK255" sqref="AK255"/>
    </sheetView>
  </sheetViews>
  <sheetFormatPr defaultColWidth="9.140625" defaultRowHeight="12"/>
  <cols>
    <col min="1" max="1" width="5.7109375" customWidth="1"/>
    <col min="2" max="2" width="26.425781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0" width="11.140625" bestFit="1" customWidth="1"/>
    <col min="41" max="41" width="14.7109375" customWidth="1"/>
    <col min="42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811" t="s">
        <v>2</v>
      </c>
      <c r="C2" s="812" t="s">
        <v>3</v>
      </c>
      <c r="D2" s="813"/>
      <c r="E2" s="814" t="s">
        <v>4</v>
      </c>
      <c r="F2" s="815"/>
      <c r="G2" s="816"/>
      <c r="H2" s="816"/>
      <c r="I2" s="816"/>
      <c r="J2" s="816"/>
      <c r="K2" s="817"/>
      <c r="L2" s="818" t="s">
        <v>5</v>
      </c>
      <c r="M2" s="819"/>
      <c r="N2" s="820"/>
      <c r="O2" s="821" t="s">
        <v>6</v>
      </c>
      <c r="P2" s="822"/>
      <c r="Q2" s="823"/>
      <c r="R2" s="824"/>
      <c r="S2" s="825" t="s">
        <v>7</v>
      </c>
      <c r="T2" s="826"/>
      <c r="U2" s="827"/>
      <c r="V2" s="826"/>
      <c r="W2" s="828" t="s">
        <v>8</v>
      </c>
      <c r="X2" s="829"/>
      <c r="Y2" s="830"/>
      <c r="Z2" s="163" t="s">
        <v>9</v>
      </c>
      <c r="AA2" s="831"/>
      <c r="AB2" s="832"/>
      <c r="AC2" s="833"/>
      <c r="AD2" s="834" t="s">
        <v>10</v>
      </c>
      <c r="AE2" s="835"/>
      <c r="AF2" s="835"/>
      <c r="AG2" s="836"/>
    </row>
    <row r="3" spans="1:38" ht="13.35" customHeight="1">
      <c r="A3" s="1"/>
      <c r="B3" s="837" t="s">
        <v>11</v>
      </c>
      <c r="C3" s="838" t="s">
        <v>12</v>
      </c>
      <c r="D3" s="839"/>
      <c r="E3" s="91"/>
      <c r="F3" s="92"/>
      <c r="G3" s="92"/>
      <c r="H3" s="164" t="s">
        <v>13</v>
      </c>
      <c r="I3" s="93"/>
      <c r="J3" s="93"/>
      <c r="K3" s="94"/>
      <c r="L3" s="840" t="s">
        <v>14</v>
      </c>
      <c r="M3" s="841"/>
      <c r="N3" s="842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841"/>
      <c r="AA3" s="841"/>
      <c r="AB3" s="843"/>
      <c r="AC3" s="844"/>
      <c r="AD3" s="845" t="s">
        <v>17</v>
      </c>
      <c r="AE3" s="846"/>
      <c r="AF3" s="846"/>
      <c r="AG3" s="847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848" t="s">
        <v>20</v>
      </c>
      <c r="B6" s="841"/>
      <c r="C6" s="849"/>
      <c r="D6" s="848" t="s">
        <v>21</v>
      </c>
      <c r="E6" s="841"/>
      <c r="F6" s="841"/>
      <c r="G6" s="841"/>
      <c r="H6" s="850"/>
      <c r="I6" s="841"/>
      <c r="J6" s="841"/>
      <c r="K6" s="841"/>
      <c r="L6" s="851" t="s">
        <v>22</v>
      </c>
      <c r="M6" s="841"/>
      <c r="N6" s="841"/>
      <c r="O6" s="841"/>
      <c r="P6" s="841"/>
      <c r="Q6" s="841"/>
      <c r="R6" s="841"/>
      <c r="S6" s="849"/>
      <c r="T6" s="852"/>
      <c r="U6" s="841"/>
      <c r="V6" s="841"/>
      <c r="W6" s="841"/>
      <c r="X6" s="841"/>
      <c r="Y6" s="841"/>
      <c r="Z6" s="841"/>
      <c r="AA6" s="849"/>
      <c r="AB6" s="853"/>
      <c r="AC6" s="854"/>
      <c r="AD6" s="854"/>
      <c r="AE6" s="854"/>
      <c r="AF6" s="854"/>
      <c r="AG6" s="855"/>
    </row>
    <row r="7" spans="1:38" ht="22.35" customHeight="1">
      <c r="A7" s="848" t="s">
        <v>23</v>
      </c>
      <c r="B7" s="841"/>
      <c r="C7" s="841"/>
      <c r="D7" s="841"/>
      <c r="E7" s="841"/>
      <c r="F7" s="841"/>
      <c r="G7" s="841"/>
      <c r="H7" s="841"/>
      <c r="I7" s="841"/>
      <c r="J7" s="841"/>
      <c r="K7" s="849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841"/>
      <c r="V7" s="841"/>
      <c r="W7" s="841"/>
      <c r="X7" s="841"/>
      <c r="Y7" s="841"/>
      <c r="Z7" s="841"/>
      <c r="AA7" s="841"/>
      <c r="AB7" s="856"/>
      <c r="AC7" s="841"/>
      <c r="AD7" s="841"/>
      <c r="AE7" s="841"/>
      <c r="AF7" s="841"/>
      <c r="AG7" s="849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857" t="s">
        <v>28</v>
      </c>
      <c r="B11" s="858" t="s">
        <v>29</v>
      </c>
      <c r="C11" s="859">
        <v>1</v>
      </c>
      <c r="D11" s="859">
        <v>2</v>
      </c>
      <c r="E11" s="860">
        <v>3</v>
      </c>
      <c r="F11" s="860">
        <v>4</v>
      </c>
      <c r="G11" s="860">
        <v>5</v>
      </c>
      <c r="H11" s="860">
        <v>6</v>
      </c>
      <c r="I11" s="860">
        <v>7</v>
      </c>
      <c r="J11" s="859">
        <v>8</v>
      </c>
      <c r="K11" s="859">
        <v>9</v>
      </c>
      <c r="L11" s="860">
        <v>10</v>
      </c>
      <c r="M11" s="860">
        <v>11</v>
      </c>
      <c r="N11" s="860">
        <v>12</v>
      </c>
      <c r="O11" s="859">
        <v>13</v>
      </c>
      <c r="P11" s="860">
        <v>14</v>
      </c>
      <c r="Q11" s="859">
        <v>15</v>
      </c>
      <c r="R11" s="859">
        <v>16</v>
      </c>
      <c r="S11" s="860">
        <v>17</v>
      </c>
      <c r="T11" s="860">
        <v>18</v>
      </c>
      <c r="U11" s="860">
        <v>19</v>
      </c>
      <c r="V11" s="860">
        <v>20</v>
      </c>
      <c r="W11" s="860">
        <v>21</v>
      </c>
      <c r="X11" s="859">
        <v>22</v>
      </c>
      <c r="Y11" s="859">
        <v>23</v>
      </c>
      <c r="Z11" s="859">
        <v>24</v>
      </c>
      <c r="AA11" s="860">
        <v>25</v>
      </c>
      <c r="AB11" s="860">
        <v>26</v>
      </c>
      <c r="AC11" s="860">
        <v>27</v>
      </c>
      <c r="AD11" s="860">
        <v>28</v>
      </c>
      <c r="AE11" s="859">
        <v>29</v>
      </c>
      <c r="AF11" s="859">
        <v>30</v>
      </c>
      <c r="AG11" s="861">
        <v>31</v>
      </c>
      <c r="AH11" s="176"/>
      <c r="AI11" s="177"/>
      <c r="AJ11" s="862" t="s">
        <v>30</v>
      </c>
    </row>
    <row r="12" spans="1:38" ht="22.35" customHeight="1">
      <c r="A12" s="506">
        <v>8500</v>
      </c>
      <c r="B12" s="389" t="s">
        <v>31</v>
      </c>
      <c r="C12" s="349"/>
      <c r="D12" s="349"/>
      <c r="E12" s="349" t="s">
        <v>32</v>
      </c>
      <c r="F12" s="349" t="s">
        <v>32</v>
      </c>
      <c r="G12" s="349" t="s">
        <v>32</v>
      </c>
      <c r="H12" s="349" t="s">
        <v>32</v>
      </c>
      <c r="I12" s="349" t="s">
        <v>32</v>
      </c>
      <c r="J12" s="349"/>
      <c r="K12" s="349"/>
      <c r="L12" s="350" t="s">
        <v>32</v>
      </c>
      <c r="M12" s="350" t="s">
        <v>32</v>
      </c>
      <c r="N12" s="349" t="s">
        <v>32</v>
      </c>
      <c r="O12" s="349"/>
      <c r="P12" s="539" t="s">
        <v>32</v>
      </c>
      <c r="Q12" s="349"/>
      <c r="R12" s="349"/>
      <c r="S12" s="350" t="s">
        <v>32</v>
      </c>
      <c r="T12" s="350" t="s">
        <v>32</v>
      </c>
      <c r="U12" s="349" t="s">
        <v>32</v>
      </c>
      <c r="V12" s="349" t="s">
        <v>32</v>
      </c>
      <c r="W12" s="350" t="s">
        <v>32</v>
      </c>
      <c r="X12" s="350"/>
      <c r="Y12" s="350"/>
      <c r="Z12" s="349"/>
      <c r="AA12" s="541" t="s">
        <v>32</v>
      </c>
      <c r="AB12" s="541" t="s">
        <v>32</v>
      </c>
      <c r="AC12" s="400" t="s">
        <v>32</v>
      </c>
      <c r="AD12" s="556" t="s">
        <v>32</v>
      </c>
      <c r="AE12" s="350"/>
      <c r="AF12" s="350"/>
      <c r="AG12" s="352" t="s">
        <v>32</v>
      </c>
      <c r="AH12" s="182"/>
      <c r="AI12" s="182"/>
      <c r="AJ12" s="862">
        <v>160.33000000000001</v>
      </c>
    </row>
    <row r="13" spans="1:38" ht="22.35" customHeight="1">
      <c r="A13" s="863" t="s">
        <v>33</v>
      </c>
      <c r="B13" s="864"/>
      <c r="C13" s="864"/>
      <c r="D13" s="864"/>
      <c r="E13" s="864"/>
      <c r="F13" s="864"/>
      <c r="G13" s="864"/>
      <c r="H13" s="864"/>
      <c r="I13" s="864"/>
      <c r="J13" s="864"/>
      <c r="K13" s="864"/>
      <c r="L13" s="864"/>
      <c r="M13" s="864"/>
      <c r="N13" s="864"/>
      <c r="O13" s="864"/>
      <c r="P13" s="864"/>
      <c r="Q13" s="864"/>
      <c r="R13" s="864"/>
      <c r="S13" s="864"/>
      <c r="T13" s="864"/>
      <c r="U13" s="864"/>
      <c r="V13" s="864"/>
      <c r="W13" s="864"/>
      <c r="X13" s="864"/>
      <c r="Y13" s="864"/>
      <c r="Z13" s="864"/>
      <c r="AA13" s="864"/>
      <c r="AB13" s="864"/>
      <c r="AC13" s="864"/>
      <c r="AD13" s="864"/>
      <c r="AE13" s="864"/>
      <c r="AF13" s="864"/>
      <c r="AG13" s="865"/>
      <c r="AH13" s="180"/>
      <c r="AI13" s="180"/>
    </row>
    <row r="14" spans="1:38" ht="22.35" customHeight="1">
      <c r="A14" s="866">
        <v>8546</v>
      </c>
      <c r="B14" s="867" t="s">
        <v>34</v>
      </c>
      <c r="C14" s="868" t="s">
        <v>35</v>
      </c>
      <c r="D14" s="868" t="s">
        <v>35</v>
      </c>
      <c r="E14" s="868" t="s">
        <v>36</v>
      </c>
      <c r="F14" s="868" t="s">
        <v>36</v>
      </c>
      <c r="G14" s="868" t="s">
        <v>36</v>
      </c>
      <c r="H14" s="869" t="s">
        <v>36</v>
      </c>
      <c r="I14" s="869" t="s">
        <v>36</v>
      </c>
      <c r="J14" s="869"/>
      <c r="K14" s="870"/>
      <c r="L14" s="869">
        <v>4</v>
      </c>
      <c r="M14" s="871">
        <v>4</v>
      </c>
      <c r="N14" s="868">
        <v>4</v>
      </c>
      <c r="O14" s="868">
        <v>4</v>
      </c>
      <c r="P14" s="872">
        <v>4</v>
      </c>
      <c r="Q14" s="873" t="s">
        <v>37</v>
      </c>
      <c r="R14" s="874" t="s">
        <v>37</v>
      </c>
      <c r="S14" s="875" t="s">
        <v>36</v>
      </c>
      <c r="T14" s="872" t="s">
        <v>36</v>
      </c>
      <c r="U14" s="872" t="s">
        <v>36</v>
      </c>
      <c r="V14" s="869" t="s">
        <v>36</v>
      </c>
      <c r="W14" s="869" t="s">
        <v>36</v>
      </c>
      <c r="X14" s="869"/>
      <c r="Y14" s="869"/>
      <c r="Z14" s="869">
        <v>1</v>
      </c>
      <c r="AA14" s="869">
        <v>1</v>
      </c>
      <c r="AB14" s="869">
        <v>1</v>
      </c>
      <c r="AC14" s="869">
        <v>1</v>
      </c>
      <c r="AD14" s="872">
        <v>1</v>
      </c>
      <c r="AE14" s="869"/>
      <c r="AF14" s="869"/>
      <c r="AG14" s="876">
        <v>2</v>
      </c>
      <c r="AH14" s="182"/>
      <c r="AI14" s="182"/>
    </row>
    <row r="15" spans="1:38" ht="22.35" customHeight="1">
      <c r="A15" s="866">
        <v>8546</v>
      </c>
      <c r="B15" s="877" t="s">
        <v>38</v>
      </c>
      <c r="C15" s="870"/>
      <c r="D15" s="869"/>
      <c r="E15" s="869">
        <v>2</v>
      </c>
      <c r="F15" s="872">
        <v>2</v>
      </c>
      <c r="G15" s="872">
        <v>2</v>
      </c>
      <c r="H15" s="872">
        <v>2</v>
      </c>
      <c r="I15" s="869">
        <v>2</v>
      </c>
      <c r="J15" s="870" t="s">
        <v>35</v>
      </c>
      <c r="K15" s="872" t="s">
        <v>35</v>
      </c>
      <c r="L15" s="869" t="s">
        <v>36</v>
      </c>
      <c r="M15" s="869" t="s">
        <v>36</v>
      </c>
      <c r="N15" s="869" t="s">
        <v>36</v>
      </c>
      <c r="O15" s="869" t="s">
        <v>36</v>
      </c>
      <c r="P15" s="869" t="s">
        <v>36</v>
      </c>
      <c r="Q15" s="869"/>
      <c r="R15" s="869"/>
      <c r="S15" s="869">
        <v>4</v>
      </c>
      <c r="T15" s="869">
        <v>4</v>
      </c>
      <c r="U15" s="869">
        <v>4</v>
      </c>
      <c r="V15" s="869">
        <v>4</v>
      </c>
      <c r="W15" s="869">
        <v>4</v>
      </c>
      <c r="X15" s="869" t="s">
        <v>37</v>
      </c>
      <c r="Y15" s="869" t="s">
        <v>37</v>
      </c>
      <c r="Z15" s="869" t="s">
        <v>36</v>
      </c>
      <c r="AA15" s="869" t="s">
        <v>36</v>
      </c>
      <c r="AB15" s="869" t="s">
        <v>36</v>
      </c>
      <c r="AC15" s="869" t="s">
        <v>36</v>
      </c>
      <c r="AD15" s="869" t="s">
        <v>36</v>
      </c>
      <c r="AE15" s="869"/>
      <c r="AF15" s="869"/>
      <c r="AG15" s="876">
        <v>1</v>
      </c>
      <c r="AH15" s="182"/>
      <c r="AI15" s="182"/>
      <c r="AL15" t="s">
        <v>0</v>
      </c>
    </row>
    <row r="16" spans="1:38" ht="22.35" customHeight="1">
      <c r="A16" s="866">
        <v>8546</v>
      </c>
      <c r="B16" s="867" t="s">
        <v>39</v>
      </c>
      <c r="C16" s="878" t="s">
        <v>37</v>
      </c>
      <c r="D16" s="879" t="s">
        <v>37</v>
      </c>
      <c r="E16" s="879" t="s">
        <v>36</v>
      </c>
      <c r="F16" s="879" t="s">
        <v>36</v>
      </c>
      <c r="G16" s="879" t="s">
        <v>36</v>
      </c>
      <c r="H16" s="879" t="s">
        <v>36</v>
      </c>
      <c r="I16" s="879" t="s">
        <v>36</v>
      </c>
      <c r="J16" s="879"/>
      <c r="K16" s="879"/>
      <c r="L16" s="879">
        <v>1</v>
      </c>
      <c r="M16" s="879">
        <v>1</v>
      </c>
      <c r="N16" s="878">
        <v>1</v>
      </c>
      <c r="O16" s="878">
        <v>1</v>
      </c>
      <c r="P16" s="878">
        <v>1</v>
      </c>
      <c r="Q16" s="878"/>
      <c r="R16" s="878" t="s">
        <v>0</v>
      </c>
      <c r="S16" s="879">
        <v>2</v>
      </c>
      <c r="T16" s="879">
        <v>2</v>
      </c>
      <c r="U16" s="879">
        <v>2</v>
      </c>
      <c r="V16" s="879">
        <v>2</v>
      </c>
      <c r="W16" s="880">
        <v>2</v>
      </c>
      <c r="X16" s="879" t="s">
        <v>35</v>
      </c>
      <c r="Y16" s="878" t="s">
        <v>35</v>
      </c>
      <c r="Z16" s="878" t="s">
        <v>36</v>
      </c>
      <c r="AA16" s="878" t="s">
        <v>36</v>
      </c>
      <c r="AB16" s="878" t="s">
        <v>36</v>
      </c>
      <c r="AC16" s="878" t="s">
        <v>36</v>
      </c>
      <c r="AD16" s="879" t="s">
        <v>36</v>
      </c>
      <c r="AE16" s="879"/>
      <c r="AF16" s="879"/>
      <c r="AG16" s="881">
        <v>4</v>
      </c>
      <c r="AH16" s="182"/>
      <c r="AI16" s="182"/>
    </row>
    <row r="17" spans="1:41" ht="22.35" customHeight="1">
      <c r="A17" s="866">
        <v>8546</v>
      </c>
      <c r="B17" s="877" t="s">
        <v>40</v>
      </c>
      <c r="C17" s="869"/>
      <c r="D17" s="870"/>
      <c r="E17" s="869">
        <v>4</v>
      </c>
      <c r="F17" s="872">
        <v>4</v>
      </c>
      <c r="G17" s="869">
        <v>4</v>
      </c>
      <c r="H17" s="869">
        <v>4</v>
      </c>
      <c r="I17" s="869">
        <v>4</v>
      </c>
      <c r="J17" s="869" t="s">
        <v>37</v>
      </c>
      <c r="K17" s="869" t="s">
        <v>37</v>
      </c>
      <c r="L17" s="869" t="s">
        <v>36</v>
      </c>
      <c r="M17" s="868" t="s">
        <v>36</v>
      </c>
      <c r="N17" s="868" t="s">
        <v>36</v>
      </c>
      <c r="O17" s="868" t="s">
        <v>36</v>
      </c>
      <c r="P17" s="868" t="s">
        <v>36</v>
      </c>
      <c r="Q17" s="868"/>
      <c r="R17" s="868"/>
      <c r="S17" s="868">
        <v>1</v>
      </c>
      <c r="T17" s="869">
        <v>1</v>
      </c>
      <c r="U17" s="869">
        <v>1</v>
      </c>
      <c r="V17" s="869">
        <v>1</v>
      </c>
      <c r="W17" s="869">
        <v>1</v>
      </c>
      <c r="X17" s="870"/>
      <c r="Y17" s="869"/>
      <c r="Z17" s="869">
        <v>2</v>
      </c>
      <c r="AA17" s="882">
        <v>2</v>
      </c>
      <c r="AB17" s="882">
        <v>2</v>
      </c>
      <c r="AC17" s="882">
        <v>2</v>
      </c>
      <c r="AD17" s="882">
        <v>2</v>
      </c>
      <c r="AE17" s="882" t="s">
        <v>35</v>
      </c>
      <c r="AF17" s="882" t="s">
        <v>35</v>
      </c>
      <c r="AG17" s="876" t="s">
        <v>36</v>
      </c>
      <c r="AH17" s="182"/>
      <c r="AI17" s="182"/>
    </row>
    <row r="18" spans="1:41" ht="22.35" customHeight="1">
      <c r="A18" s="866">
        <v>8546</v>
      </c>
      <c r="B18" s="867" t="s">
        <v>41</v>
      </c>
      <c r="C18" s="869"/>
      <c r="D18" s="870"/>
      <c r="E18" s="869">
        <v>1</v>
      </c>
      <c r="F18" s="869">
        <v>1</v>
      </c>
      <c r="G18" s="869">
        <v>1</v>
      </c>
      <c r="H18" s="883">
        <v>1</v>
      </c>
      <c r="I18" s="883">
        <v>1</v>
      </c>
      <c r="J18" s="872"/>
      <c r="K18" s="872"/>
      <c r="L18" s="869">
        <v>2</v>
      </c>
      <c r="M18" s="872">
        <v>2</v>
      </c>
      <c r="N18" s="872">
        <v>2</v>
      </c>
      <c r="O18" s="869">
        <v>2</v>
      </c>
      <c r="P18" s="872">
        <v>2</v>
      </c>
      <c r="Q18" s="872" t="s">
        <v>35</v>
      </c>
      <c r="R18" s="872" t="s">
        <v>35</v>
      </c>
      <c r="S18" s="872" t="s">
        <v>36</v>
      </c>
      <c r="T18" s="872" t="s">
        <v>36</v>
      </c>
      <c r="U18" s="871" t="s">
        <v>36</v>
      </c>
      <c r="V18" s="871" t="s">
        <v>36</v>
      </c>
      <c r="W18" s="869" t="s">
        <v>36</v>
      </c>
      <c r="X18" s="869"/>
      <c r="Y18" s="869"/>
      <c r="Z18" s="869">
        <v>4</v>
      </c>
      <c r="AA18" s="869">
        <v>4</v>
      </c>
      <c r="AB18" s="869">
        <v>4</v>
      </c>
      <c r="AC18" s="884">
        <v>4</v>
      </c>
      <c r="AD18" s="869">
        <v>4</v>
      </c>
      <c r="AE18" s="869" t="s">
        <v>37</v>
      </c>
      <c r="AF18" s="869" t="s">
        <v>37</v>
      </c>
      <c r="AG18" s="876" t="s">
        <v>36</v>
      </c>
      <c r="AH18" s="182"/>
      <c r="AI18" s="182"/>
    </row>
    <row r="19" spans="1:41" ht="22.35" customHeight="1" thickBot="1">
      <c r="A19" s="885" t="s">
        <v>42</v>
      </c>
      <c r="B19" s="886"/>
      <c r="C19" s="887"/>
      <c r="D19" s="887"/>
      <c r="E19" s="887"/>
      <c r="F19" s="887"/>
      <c r="G19" s="887"/>
      <c r="H19" s="887"/>
      <c r="I19" s="887"/>
      <c r="J19" s="887"/>
      <c r="K19" s="887"/>
      <c r="L19" s="887"/>
      <c r="M19" s="887"/>
      <c r="N19" s="887"/>
      <c r="O19" s="887"/>
      <c r="P19" s="887"/>
      <c r="Q19" s="887"/>
      <c r="R19" s="887"/>
      <c r="S19" s="887"/>
      <c r="T19" s="887"/>
      <c r="U19" s="887"/>
      <c r="V19" s="887"/>
      <c r="W19" s="887"/>
      <c r="X19" s="887"/>
      <c r="Y19" s="887"/>
      <c r="Z19" s="887"/>
      <c r="AA19" s="887"/>
      <c r="AB19" s="887"/>
      <c r="AC19" s="887"/>
      <c r="AD19" s="887"/>
      <c r="AE19" s="887"/>
      <c r="AF19" s="887"/>
      <c r="AG19" s="888"/>
      <c r="AH19" s="180"/>
      <c r="AI19" s="180"/>
      <c r="AJ19" s="862" t="s">
        <v>30</v>
      </c>
      <c r="AK19" s="862" t="s">
        <v>43</v>
      </c>
      <c r="AL19" s="862" t="s">
        <v>44</v>
      </c>
      <c r="AM19" s="862" t="s">
        <v>45</v>
      </c>
      <c r="AN19" s="862" t="s">
        <v>46</v>
      </c>
      <c r="AO19" s="862" t="s">
        <v>47</v>
      </c>
    </row>
    <row r="20" spans="1:41" ht="22.35" customHeight="1">
      <c r="A20" s="353">
        <v>8500</v>
      </c>
      <c r="B20" s="354" t="s">
        <v>48</v>
      </c>
      <c r="C20" s="349"/>
      <c r="D20" s="349"/>
      <c r="E20" s="349" t="s">
        <v>32</v>
      </c>
      <c r="F20" s="349" t="s">
        <v>32</v>
      </c>
      <c r="G20" s="349" t="s">
        <v>32</v>
      </c>
      <c r="H20" s="349" t="s">
        <v>32</v>
      </c>
      <c r="I20" s="349" t="s">
        <v>32</v>
      </c>
      <c r="J20" s="349"/>
      <c r="K20" s="349"/>
      <c r="L20" s="349" t="s">
        <v>32</v>
      </c>
      <c r="M20" s="349" t="s">
        <v>32</v>
      </c>
      <c r="N20" s="349" t="s">
        <v>32</v>
      </c>
      <c r="O20" s="349"/>
      <c r="P20" s="349" t="s">
        <v>32</v>
      </c>
      <c r="Q20" s="349"/>
      <c r="R20" s="349"/>
      <c r="S20" s="349" t="s">
        <v>32</v>
      </c>
      <c r="T20" s="349" t="s">
        <v>32</v>
      </c>
      <c r="U20" s="349" t="s">
        <v>32</v>
      </c>
      <c r="V20" s="349" t="s">
        <v>32</v>
      </c>
      <c r="W20" s="349" t="s">
        <v>32</v>
      </c>
      <c r="X20" s="349"/>
      <c r="Y20" s="349"/>
      <c r="Z20" s="349"/>
      <c r="AA20" s="546" t="s">
        <v>32</v>
      </c>
      <c r="AB20" s="546" t="s">
        <v>32</v>
      </c>
      <c r="AC20" s="546" t="s">
        <v>32</v>
      </c>
      <c r="AD20" s="546" t="s">
        <v>32</v>
      </c>
      <c r="AE20" s="349"/>
      <c r="AF20" s="349"/>
      <c r="AG20" s="397" t="s">
        <v>32</v>
      </c>
      <c r="AH20" s="182"/>
      <c r="AI20" s="182"/>
      <c r="AJ20" s="808"/>
      <c r="AK20" s="808"/>
      <c r="AL20" s="808" t="str">
        <f>IF(AJ20="","",SUM(AJ20:AK20))</f>
        <v/>
      </c>
      <c r="AM20" s="889" t="str">
        <f>IF(AJ20="","",AL20-NormTid)</f>
        <v/>
      </c>
      <c r="AN20" s="889" t="str">
        <f>IF(AM20="","",AM20+AO20)</f>
        <v/>
      </c>
      <c r="AO20" s="889"/>
    </row>
    <row r="21" spans="1:41" ht="22.35" customHeight="1">
      <c r="A21" s="890">
        <v>8500</v>
      </c>
      <c r="B21" s="809" t="s">
        <v>49</v>
      </c>
      <c r="C21" s="891" t="s">
        <v>37</v>
      </c>
      <c r="D21" s="891" t="s">
        <v>37</v>
      </c>
      <c r="E21" s="891" t="s">
        <v>36</v>
      </c>
      <c r="F21" s="891" t="s">
        <v>36</v>
      </c>
      <c r="G21" s="891" t="s">
        <v>36</v>
      </c>
      <c r="H21" s="891" t="s">
        <v>36</v>
      </c>
      <c r="I21" s="891" t="s">
        <v>50</v>
      </c>
      <c r="J21" s="891"/>
      <c r="K21" s="891"/>
      <c r="L21" s="892">
        <v>1</v>
      </c>
      <c r="M21" s="891">
        <v>1</v>
      </c>
      <c r="N21" s="891">
        <v>1</v>
      </c>
      <c r="O21" s="893">
        <v>1</v>
      </c>
      <c r="P21" s="893">
        <v>1</v>
      </c>
      <c r="Q21" s="891"/>
      <c r="R21" s="891"/>
      <c r="S21" s="894" t="s">
        <v>32</v>
      </c>
      <c r="T21" s="894" t="s">
        <v>32</v>
      </c>
      <c r="U21" s="894" t="s">
        <v>32</v>
      </c>
      <c r="V21" s="891" t="s">
        <v>32</v>
      </c>
      <c r="W21" s="891" t="s">
        <v>50</v>
      </c>
      <c r="X21" s="891" t="s">
        <v>35</v>
      </c>
      <c r="Y21" s="892" t="s">
        <v>35</v>
      </c>
      <c r="Z21" s="892"/>
      <c r="AA21" s="891" t="s">
        <v>50</v>
      </c>
      <c r="AB21" s="891" t="s">
        <v>50</v>
      </c>
      <c r="AC21" s="891" t="s">
        <v>32</v>
      </c>
      <c r="AD21" s="891" t="s">
        <v>50</v>
      </c>
      <c r="AE21" s="891"/>
      <c r="AF21" s="891"/>
      <c r="AG21" s="807">
        <v>4</v>
      </c>
      <c r="AH21" s="182"/>
      <c r="AI21" s="182"/>
      <c r="AJ21" s="808">
        <v>178.5</v>
      </c>
      <c r="AK21" s="808">
        <v>4.75</v>
      </c>
      <c r="AL21" s="808">
        <f t="shared" ref="AL21:AL23" si="0">IF(AJ21="","",SUM(AJ21:AK21))</f>
        <v>183.25</v>
      </c>
      <c r="AM21" s="889">
        <f>IF(AJ21="","",AL21-NormTid)</f>
        <v>22.919999999999987</v>
      </c>
      <c r="AN21" s="889">
        <f t="shared" ref="AN21:AN23" si="1">IF(AM21="","",AM21+AO21)</f>
        <v>101.24999999999999</v>
      </c>
      <c r="AO21" s="889">
        <v>78.33</v>
      </c>
    </row>
    <row r="22" spans="1:41" ht="22.35" customHeight="1">
      <c r="A22" s="890">
        <v>8500</v>
      </c>
      <c r="B22" s="809" t="s">
        <v>51</v>
      </c>
      <c r="C22" s="891"/>
      <c r="D22" s="891"/>
      <c r="E22" s="891">
        <v>23</v>
      </c>
      <c r="F22" s="891" t="s">
        <v>36</v>
      </c>
      <c r="G22" s="891" t="s">
        <v>52</v>
      </c>
      <c r="H22" s="891">
        <v>1</v>
      </c>
      <c r="I22" s="891">
        <v>1</v>
      </c>
      <c r="J22" s="891"/>
      <c r="K22" s="891"/>
      <c r="L22" s="895" t="s">
        <v>32</v>
      </c>
      <c r="M22" s="896" t="s">
        <v>32</v>
      </c>
      <c r="N22" s="896" t="s">
        <v>36</v>
      </c>
      <c r="O22" s="897"/>
      <c r="P22" s="897" t="s">
        <v>50</v>
      </c>
      <c r="Q22" s="892" t="s">
        <v>37</v>
      </c>
      <c r="R22" s="897" t="s">
        <v>37</v>
      </c>
      <c r="S22" s="891">
        <v>2</v>
      </c>
      <c r="T22" s="891">
        <v>2</v>
      </c>
      <c r="U22" s="897">
        <v>2</v>
      </c>
      <c r="V22" s="897">
        <v>2</v>
      </c>
      <c r="W22" s="897">
        <v>2</v>
      </c>
      <c r="X22" s="891"/>
      <c r="Y22" s="897"/>
      <c r="Z22" s="891"/>
      <c r="AA22" s="891" t="s">
        <v>32</v>
      </c>
      <c r="AB22" s="891" t="s">
        <v>32</v>
      </c>
      <c r="AC22" s="891" t="s">
        <v>53</v>
      </c>
      <c r="AD22" s="891" t="s">
        <v>50</v>
      </c>
      <c r="AE22" s="891"/>
      <c r="AF22" s="891"/>
      <c r="AG22" s="807" t="s">
        <v>32</v>
      </c>
      <c r="AH22" s="182"/>
      <c r="AI22" s="182"/>
      <c r="AJ22" s="808">
        <v>170.75</v>
      </c>
      <c r="AK22" s="808">
        <v>6</v>
      </c>
      <c r="AL22" s="808">
        <f t="shared" si="0"/>
        <v>176.75</v>
      </c>
      <c r="AM22" s="889">
        <f>IF(AJ22="","",AL22-NormTid)</f>
        <v>16.419999999999987</v>
      </c>
      <c r="AN22" s="889">
        <f t="shared" si="1"/>
        <v>66.849999999999994</v>
      </c>
      <c r="AO22" s="889">
        <v>50.43</v>
      </c>
    </row>
    <row r="23" spans="1:41" ht="22.35" customHeight="1">
      <c r="A23" s="890"/>
      <c r="B23" s="898"/>
      <c r="C23" s="891"/>
      <c r="D23" s="892"/>
      <c r="E23" s="891" t="s">
        <v>32</v>
      </c>
      <c r="F23" s="891" t="s">
        <v>32</v>
      </c>
      <c r="G23" s="891" t="s">
        <v>32</v>
      </c>
      <c r="H23" s="891" t="s">
        <v>32</v>
      </c>
      <c r="I23" s="891" t="s">
        <v>32</v>
      </c>
      <c r="J23" s="891"/>
      <c r="K23" s="891"/>
      <c r="L23" s="891" t="s">
        <v>32</v>
      </c>
      <c r="M23" s="891" t="s">
        <v>32</v>
      </c>
      <c r="N23" s="891" t="s">
        <v>32</v>
      </c>
      <c r="O23" s="899"/>
      <c r="P23" s="891" t="s">
        <v>32</v>
      </c>
      <c r="Q23" s="891"/>
      <c r="R23" s="900"/>
      <c r="S23" s="900" t="s">
        <v>32</v>
      </c>
      <c r="T23" s="891" t="s">
        <v>32</v>
      </c>
      <c r="U23" s="897" t="s">
        <v>32</v>
      </c>
      <c r="V23" s="891" t="s">
        <v>32</v>
      </c>
      <c r="W23" s="891" t="s">
        <v>32</v>
      </c>
      <c r="X23" s="891"/>
      <c r="Y23" s="891"/>
      <c r="Z23" s="891"/>
      <c r="AA23" s="891" t="s">
        <v>32</v>
      </c>
      <c r="AB23" s="891" t="s">
        <v>32</v>
      </c>
      <c r="AC23" s="897" t="s">
        <v>32</v>
      </c>
      <c r="AD23" s="897" t="s">
        <v>32</v>
      </c>
      <c r="AE23" s="897"/>
      <c r="AF23" s="897"/>
      <c r="AG23" s="807" t="s">
        <v>32</v>
      </c>
      <c r="AJ23" s="808"/>
      <c r="AK23" s="808"/>
      <c r="AL23" s="808" t="str">
        <f t="shared" si="0"/>
        <v/>
      </c>
      <c r="AM23" s="889" t="str">
        <f>IF(AJ23="","",AL23-NormTid)</f>
        <v/>
      </c>
      <c r="AN23" s="889" t="str">
        <f t="shared" si="1"/>
        <v/>
      </c>
      <c r="AO23" s="889"/>
    </row>
    <row r="24" spans="1:41" ht="22.35" customHeight="1" thickBot="1">
      <c r="A24" s="788"/>
      <c r="B24" s="810" t="s">
        <v>54</v>
      </c>
      <c r="C24" s="891"/>
      <c r="D24" s="891"/>
      <c r="E24" s="891" t="s">
        <v>32</v>
      </c>
      <c r="F24" s="891" t="s">
        <v>32</v>
      </c>
      <c r="G24" s="891" t="s">
        <v>32</v>
      </c>
      <c r="H24" s="891" t="s">
        <v>32</v>
      </c>
      <c r="I24" s="891" t="s">
        <v>32</v>
      </c>
      <c r="J24" s="891"/>
      <c r="K24" s="891"/>
      <c r="L24" s="891" t="s">
        <v>32</v>
      </c>
      <c r="M24" s="891" t="s">
        <v>32</v>
      </c>
      <c r="N24" s="897" t="s">
        <v>32</v>
      </c>
      <c r="O24" s="897"/>
      <c r="P24" s="901" t="s">
        <v>0</v>
      </c>
      <c r="Q24" s="901"/>
      <c r="R24" s="901"/>
      <c r="S24" s="901" t="s">
        <v>32</v>
      </c>
      <c r="T24" s="901" t="s">
        <v>32</v>
      </c>
      <c r="U24" s="902" t="s">
        <v>32</v>
      </c>
      <c r="V24" s="901" t="s">
        <v>32</v>
      </c>
      <c r="W24" s="901" t="s">
        <v>32</v>
      </c>
      <c r="X24" s="901"/>
      <c r="Y24" s="901"/>
      <c r="Z24" s="901"/>
      <c r="AA24" s="901" t="s">
        <v>32</v>
      </c>
      <c r="AB24" s="901" t="s">
        <v>32</v>
      </c>
      <c r="AC24" s="901" t="s">
        <v>32</v>
      </c>
      <c r="AD24" s="901" t="s">
        <v>32</v>
      </c>
      <c r="AE24" s="901"/>
      <c r="AF24" s="901"/>
      <c r="AG24" s="806" t="s">
        <v>32</v>
      </c>
    </row>
    <row r="25" spans="1:41" ht="22.35" customHeight="1">
      <c r="A25" s="102"/>
      <c r="N25" s="891"/>
      <c r="Q25" s="903"/>
      <c r="R25" s="903"/>
      <c r="U25" s="808"/>
      <c r="X25" s="903"/>
      <c r="Y25" s="903"/>
      <c r="AG25" s="807"/>
    </row>
    <row r="26" spans="1:41" ht="22.35" customHeight="1">
      <c r="A26" s="102"/>
      <c r="N26" s="891"/>
      <c r="P26" s="555"/>
      <c r="U26" s="808"/>
      <c r="AG26" s="559"/>
    </row>
    <row r="27" spans="1:41" ht="22.35" customHeight="1">
      <c r="A27" s="102"/>
      <c r="N27" s="891"/>
      <c r="O27" s="891"/>
      <c r="P27" s="891"/>
    </row>
    <row r="28" spans="1:41" ht="22.35" customHeight="1">
      <c r="A28" s="102"/>
    </row>
    <row r="29" spans="1:41" ht="22.35" customHeight="1">
      <c r="A29" s="102"/>
    </row>
    <row r="30" spans="1:41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1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1" ht="22.35" customHeight="1">
      <c r="A32" s="904" t="s">
        <v>61</v>
      </c>
      <c r="B32" s="854"/>
      <c r="C32" s="854"/>
      <c r="D32" s="905" t="s">
        <v>62</v>
      </c>
      <c r="E32" s="906"/>
      <c r="F32" s="841"/>
      <c r="G32" s="841"/>
      <c r="H32" s="841"/>
      <c r="I32" s="841"/>
      <c r="J32" s="841"/>
      <c r="K32" s="841"/>
      <c r="L32" s="849"/>
      <c r="M32" s="907" t="s">
        <v>63</v>
      </c>
      <c r="N32" s="854"/>
      <c r="O32" s="908"/>
      <c r="P32" s="854"/>
      <c r="Q32" s="854"/>
      <c r="R32" s="854"/>
      <c r="S32" s="909"/>
      <c r="T32" s="905" t="s">
        <v>64</v>
      </c>
      <c r="U32" s="841"/>
      <c r="V32" s="906"/>
      <c r="W32" s="841"/>
      <c r="X32" s="841"/>
      <c r="Y32" s="841"/>
      <c r="Z32" s="849"/>
      <c r="AA32" s="162" t="s">
        <v>65</v>
      </c>
      <c r="AD32" s="100"/>
      <c r="AG32" s="103"/>
      <c r="AK32" s="1"/>
    </row>
    <row r="33" spans="1:38" ht="22.35" customHeight="1">
      <c r="A33" s="910" t="s">
        <v>66</v>
      </c>
      <c r="B33" s="841"/>
      <c r="C33" s="841"/>
      <c r="D33" s="911"/>
      <c r="E33" s="841"/>
      <c r="F33" s="841"/>
      <c r="G33" s="849"/>
      <c r="H33" s="856" t="s">
        <v>67</v>
      </c>
      <c r="I33" s="841"/>
      <c r="J33" s="841"/>
      <c r="K33" s="841"/>
      <c r="L33" s="841"/>
      <c r="M33" s="912"/>
      <c r="N33" s="841"/>
      <c r="O33" s="841"/>
      <c r="P33" s="841"/>
      <c r="Q33" s="841"/>
      <c r="R33" s="841"/>
      <c r="S33" s="841"/>
      <c r="T33" s="911"/>
      <c r="U33" s="161" t="s">
        <v>68</v>
      </c>
      <c r="AA33" s="908"/>
      <c r="AB33" s="854"/>
      <c r="AC33" s="854"/>
      <c r="AD33" s="854"/>
      <c r="AE33" s="854"/>
      <c r="AF33" s="854"/>
      <c r="AG33" s="913"/>
      <c r="AK33" s="64"/>
    </row>
    <row r="34" spans="1:38" ht="22.35" customHeight="1" thickBot="1">
      <c r="A34" s="914" t="s">
        <v>69</v>
      </c>
      <c r="B34" s="915"/>
      <c r="C34" s="915"/>
      <c r="D34" s="916"/>
      <c r="E34" s="915"/>
      <c r="F34" s="915"/>
      <c r="G34" s="917"/>
      <c r="H34" s="918" t="s">
        <v>70</v>
      </c>
      <c r="I34" s="917"/>
      <c r="J34" s="915"/>
      <c r="K34" s="915"/>
      <c r="L34" s="915"/>
      <c r="M34" s="919"/>
      <c r="N34" s="915"/>
      <c r="O34" s="915"/>
      <c r="P34" s="915"/>
      <c r="Q34" s="920"/>
      <c r="R34" s="920"/>
      <c r="S34" s="920"/>
      <c r="T34" s="916"/>
      <c r="U34" s="921" t="s">
        <v>71</v>
      </c>
      <c r="V34" s="915"/>
      <c r="W34" s="915"/>
      <c r="X34" s="915"/>
      <c r="Y34" s="915"/>
      <c r="Z34" s="915"/>
      <c r="AA34" s="915"/>
      <c r="AB34" s="915"/>
      <c r="AC34" s="915"/>
      <c r="AD34" s="915"/>
      <c r="AE34" s="915"/>
      <c r="AF34" s="915"/>
      <c r="AG34" s="922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923" t="s">
        <v>28</v>
      </c>
      <c r="B36" s="924" t="s">
        <v>29</v>
      </c>
      <c r="C36" s="859">
        <v>1</v>
      </c>
      <c r="D36" s="859">
        <v>2</v>
      </c>
      <c r="E36" s="860">
        <v>3</v>
      </c>
      <c r="F36" s="860">
        <v>4</v>
      </c>
      <c r="G36" s="860">
        <v>5</v>
      </c>
      <c r="H36" s="860">
        <v>6</v>
      </c>
      <c r="I36" s="860">
        <v>7</v>
      </c>
      <c r="J36" s="859">
        <v>8</v>
      </c>
      <c r="K36" s="859">
        <v>9</v>
      </c>
      <c r="L36" s="860">
        <v>10</v>
      </c>
      <c r="M36" s="860">
        <v>11</v>
      </c>
      <c r="N36" s="860">
        <v>12</v>
      </c>
      <c r="O36" s="859">
        <v>13</v>
      </c>
      <c r="P36" s="860">
        <v>14</v>
      </c>
      <c r="Q36" s="859">
        <v>15</v>
      </c>
      <c r="R36" s="859">
        <v>16</v>
      </c>
      <c r="S36" s="860">
        <v>17</v>
      </c>
      <c r="T36" s="860">
        <v>18</v>
      </c>
      <c r="U36" s="860">
        <v>19</v>
      </c>
      <c r="V36" s="860">
        <v>20</v>
      </c>
      <c r="W36" s="860">
        <v>21</v>
      </c>
      <c r="X36" s="859">
        <v>22</v>
      </c>
      <c r="Y36" s="859">
        <v>23</v>
      </c>
      <c r="Z36" s="859">
        <v>24</v>
      </c>
      <c r="AA36" s="860">
        <v>25</v>
      </c>
      <c r="AB36" s="860">
        <v>26</v>
      </c>
      <c r="AC36" s="860">
        <v>27</v>
      </c>
      <c r="AD36" s="860">
        <v>28</v>
      </c>
      <c r="AE36" s="859">
        <v>29</v>
      </c>
      <c r="AF36" s="859">
        <v>30</v>
      </c>
      <c r="AG36" s="861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/>
      <c r="D37" s="349"/>
      <c r="E37" s="361">
        <v>4</v>
      </c>
      <c r="F37" s="361">
        <v>4</v>
      </c>
      <c r="G37" s="361">
        <v>4</v>
      </c>
      <c r="H37" s="361">
        <v>4</v>
      </c>
      <c r="I37" s="361">
        <v>4</v>
      </c>
      <c r="J37" s="349"/>
      <c r="K37" s="361"/>
      <c r="L37" s="361">
        <v>3</v>
      </c>
      <c r="M37" s="361">
        <v>3</v>
      </c>
      <c r="N37" s="361">
        <v>3</v>
      </c>
      <c r="O37" s="349">
        <v>3</v>
      </c>
      <c r="P37" s="361">
        <v>3</v>
      </c>
      <c r="Q37" s="350"/>
      <c r="R37" s="349"/>
      <c r="S37" s="361">
        <v>11</v>
      </c>
      <c r="T37" s="361">
        <v>11</v>
      </c>
      <c r="U37" s="361">
        <v>11</v>
      </c>
      <c r="V37" s="361">
        <v>11</v>
      </c>
      <c r="W37" s="361">
        <v>11</v>
      </c>
      <c r="X37" s="350" t="s">
        <v>73</v>
      </c>
      <c r="Y37" s="350" t="s">
        <v>73</v>
      </c>
      <c r="Z37" s="361" t="s">
        <v>36</v>
      </c>
      <c r="AA37" s="361" t="s">
        <v>36</v>
      </c>
      <c r="AB37" s="350" t="s">
        <v>36</v>
      </c>
      <c r="AC37" s="350" t="s">
        <v>36</v>
      </c>
      <c r="AD37" s="350" t="s">
        <v>36</v>
      </c>
      <c r="AE37" s="361" t="s">
        <v>74</v>
      </c>
      <c r="AF37" s="361" t="s">
        <v>74</v>
      </c>
      <c r="AG37" s="362">
        <v>8</v>
      </c>
      <c r="AH37" s="181"/>
      <c r="AI37" s="182"/>
    </row>
    <row r="38" spans="1:38" ht="22.35" customHeight="1">
      <c r="A38" s="925">
        <v>6</v>
      </c>
      <c r="B38" s="810" t="s">
        <v>75</v>
      </c>
      <c r="C38" s="868"/>
      <c r="D38" s="868"/>
      <c r="E38" s="926" t="s">
        <v>36</v>
      </c>
      <c r="F38" s="926" t="s">
        <v>36</v>
      </c>
      <c r="G38" s="926" t="s">
        <v>36</v>
      </c>
      <c r="H38" s="926" t="s">
        <v>36</v>
      </c>
      <c r="I38" s="926" t="s">
        <v>36</v>
      </c>
      <c r="J38" s="926"/>
      <c r="K38" s="926"/>
      <c r="L38" s="926">
        <v>1</v>
      </c>
      <c r="M38" s="926">
        <v>1</v>
      </c>
      <c r="N38" s="926">
        <v>1</v>
      </c>
      <c r="O38" s="926">
        <v>1</v>
      </c>
      <c r="P38" s="926">
        <v>1</v>
      </c>
      <c r="Q38" s="926"/>
      <c r="R38" s="926"/>
      <c r="S38" s="926">
        <v>9</v>
      </c>
      <c r="T38" s="926">
        <v>9</v>
      </c>
      <c r="U38" s="926">
        <v>9</v>
      </c>
      <c r="V38" s="926">
        <v>9</v>
      </c>
      <c r="W38" s="926">
        <v>9</v>
      </c>
      <c r="X38" s="926" t="s">
        <v>76</v>
      </c>
      <c r="Y38" s="926" t="s">
        <v>77</v>
      </c>
      <c r="Z38" s="926" t="s">
        <v>36</v>
      </c>
      <c r="AA38" s="926" t="s">
        <v>36</v>
      </c>
      <c r="AB38" s="926" t="s">
        <v>36</v>
      </c>
      <c r="AC38" s="926" t="s">
        <v>36</v>
      </c>
      <c r="AD38" s="926" t="s">
        <v>36</v>
      </c>
      <c r="AE38" s="926" t="s">
        <v>78</v>
      </c>
      <c r="AF38" s="926" t="s">
        <v>74</v>
      </c>
      <c r="AG38" s="927">
        <v>6</v>
      </c>
      <c r="AH38" s="181"/>
      <c r="AI38" s="182"/>
    </row>
    <row r="39" spans="1:38" ht="22.35" customHeight="1" thickBot="1">
      <c r="A39" s="928">
        <v>11</v>
      </c>
      <c r="B39" s="929" t="s">
        <v>79</v>
      </c>
      <c r="C39" s="860"/>
      <c r="D39" s="930"/>
      <c r="E39" s="930" t="s">
        <v>36</v>
      </c>
      <c r="F39" s="930" t="s">
        <v>36</v>
      </c>
      <c r="G39" s="930" t="s">
        <v>36</v>
      </c>
      <c r="H39" s="930" t="s">
        <v>36</v>
      </c>
      <c r="I39" s="931" t="s">
        <v>36</v>
      </c>
      <c r="J39" s="931"/>
      <c r="K39" s="931"/>
      <c r="L39" s="931">
        <v>5</v>
      </c>
      <c r="M39" s="931">
        <v>5</v>
      </c>
      <c r="N39" s="931">
        <v>5</v>
      </c>
      <c r="O39" s="931"/>
      <c r="P39" s="930">
        <v>5</v>
      </c>
      <c r="Q39" s="860"/>
      <c r="R39" s="860"/>
      <c r="S39" s="930">
        <v>10</v>
      </c>
      <c r="T39" s="932">
        <v>10</v>
      </c>
      <c r="U39" s="932">
        <v>10</v>
      </c>
      <c r="V39" s="932">
        <v>10</v>
      </c>
      <c r="W39" s="932">
        <v>10</v>
      </c>
      <c r="X39" s="932" t="s">
        <v>77</v>
      </c>
      <c r="Y39" s="930" t="s">
        <v>77</v>
      </c>
      <c r="Z39" s="930" t="s">
        <v>36</v>
      </c>
      <c r="AA39" s="930" t="s">
        <v>36</v>
      </c>
      <c r="AB39" s="933" t="s">
        <v>36</v>
      </c>
      <c r="AC39" s="933" t="s">
        <v>36</v>
      </c>
      <c r="AD39" s="933" t="s">
        <v>36</v>
      </c>
      <c r="AE39" s="930" t="s">
        <v>80</v>
      </c>
      <c r="AF39" s="930" t="s">
        <v>80</v>
      </c>
      <c r="AG39" s="934">
        <v>7</v>
      </c>
      <c r="AH39" s="181"/>
      <c r="AI39" s="182"/>
    </row>
    <row r="40" spans="1:38" ht="22.35" customHeight="1">
      <c r="A40" s="359">
        <v>2</v>
      </c>
      <c r="B40" s="175" t="s">
        <v>81</v>
      </c>
      <c r="C40" s="349"/>
      <c r="D40" s="349"/>
      <c r="E40" s="349">
        <v>3</v>
      </c>
      <c r="F40" s="349">
        <v>3</v>
      </c>
      <c r="G40" s="349">
        <v>3</v>
      </c>
      <c r="H40" s="361">
        <v>3</v>
      </c>
      <c r="I40" s="361">
        <v>3</v>
      </c>
      <c r="J40" s="349"/>
      <c r="K40" s="349"/>
      <c r="L40" s="361">
        <v>11</v>
      </c>
      <c r="M40" s="361">
        <v>11</v>
      </c>
      <c r="N40" s="361">
        <v>11</v>
      </c>
      <c r="O40" s="350">
        <v>11</v>
      </c>
      <c r="P40" s="361">
        <v>11</v>
      </c>
      <c r="Q40" s="350" t="s">
        <v>73</v>
      </c>
      <c r="R40" s="350" t="s">
        <v>73</v>
      </c>
      <c r="S40" s="349" t="s">
        <v>36</v>
      </c>
      <c r="T40" s="350" t="s">
        <v>36</v>
      </c>
      <c r="U40" s="350" t="s">
        <v>36</v>
      </c>
      <c r="V40" s="350" t="s">
        <v>36</v>
      </c>
      <c r="W40" s="350" t="s">
        <v>36</v>
      </c>
      <c r="X40" s="350" t="s">
        <v>74</v>
      </c>
      <c r="Y40" s="361" t="s">
        <v>74</v>
      </c>
      <c r="Z40" s="361">
        <v>8</v>
      </c>
      <c r="AA40" s="361">
        <v>8</v>
      </c>
      <c r="AB40" s="361">
        <v>8</v>
      </c>
      <c r="AC40" s="350">
        <v>8</v>
      </c>
      <c r="AD40" s="350">
        <v>8</v>
      </c>
      <c r="AE40" s="361"/>
      <c r="AF40" s="361"/>
      <c r="AG40" s="362" t="s">
        <v>36</v>
      </c>
      <c r="AH40" s="181"/>
      <c r="AI40" s="182"/>
    </row>
    <row r="41" spans="1:38" ht="22.35" customHeight="1">
      <c r="A41" s="925">
        <v>7</v>
      </c>
      <c r="B41" s="877" t="s">
        <v>82</v>
      </c>
      <c r="C41" s="872"/>
      <c r="D41" s="872"/>
      <c r="E41" s="872" t="s">
        <v>32</v>
      </c>
      <c r="F41" s="872" t="s">
        <v>32</v>
      </c>
      <c r="G41" s="872" t="s">
        <v>32</v>
      </c>
      <c r="H41" s="872" t="s">
        <v>32</v>
      </c>
      <c r="I41" s="872" t="s">
        <v>32</v>
      </c>
      <c r="J41" s="935"/>
      <c r="K41" s="935"/>
      <c r="L41" s="872" t="s">
        <v>32</v>
      </c>
      <c r="M41" s="872" t="s">
        <v>32</v>
      </c>
      <c r="N41" s="872" t="s">
        <v>32</v>
      </c>
      <c r="O41" s="872" t="s">
        <v>32</v>
      </c>
      <c r="P41" s="872" t="s">
        <v>32</v>
      </c>
      <c r="Q41" s="872"/>
      <c r="R41" s="872"/>
      <c r="S41" s="872" t="s">
        <v>32</v>
      </c>
      <c r="T41" s="872" t="s">
        <v>32</v>
      </c>
      <c r="U41" s="872" t="s">
        <v>32</v>
      </c>
      <c r="V41" s="872" t="s">
        <v>32</v>
      </c>
      <c r="W41" s="872" t="s">
        <v>32</v>
      </c>
      <c r="X41" s="936"/>
      <c r="Y41" s="936"/>
      <c r="Z41" s="872" t="s">
        <v>32</v>
      </c>
      <c r="AA41" s="872" t="s">
        <v>32</v>
      </c>
      <c r="AB41" s="872" t="s">
        <v>32</v>
      </c>
      <c r="AC41" s="872" t="s">
        <v>32</v>
      </c>
      <c r="AD41" s="872" t="s">
        <v>32</v>
      </c>
      <c r="AE41" s="936"/>
      <c r="AF41" s="936"/>
      <c r="AG41" s="872" t="s">
        <v>32</v>
      </c>
      <c r="AH41" s="181"/>
      <c r="AI41" s="182"/>
    </row>
    <row r="42" spans="1:38" ht="22.35" customHeight="1" thickBot="1">
      <c r="A42" s="928">
        <v>12</v>
      </c>
      <c r="B42" s="937" t="s">
        <v>83</v>
      </c>
      <c r="C42" s="931"/>
      <c r="D42" s="931"/>
      <c r="E42" s="931">
        <v>5</v>
      </c>
      <c r="F42" s="931">
        <v>5</v>
      </c>
      <c r="G42" s="931">
        <v>5</v>
      </c>
      <c r="H42" s="931">
        <v>5</v>
      </c>
      <c r="I42" s="930">
        <v>5</v>
      </c>
      <c r="J42" s="930"/>
      <c r="K42" s="860"/>
      <c r="L42" s="930">
        <v>10</v>
      </c>
      <c r="M42" s="930">
        <v>10</v>
      </c>
      <c r="N42" s="938">
        <v>10</v>
      </c>
      <c r="O42" s="938">
        <v>10</v>
      </c>
      <c r="P42" s="938">
        <v>10</v>
      </c>
      <c r="Q42" s="938" t="s">
        <v>77</v>
      </c>
      <c r="R42" s="938" t="s">
        <v>77</v>
      </c>
      <c r="S42" s="939" t="s">
        <v>36</v>
      </c>
      <c r="T42" s="939" t="s">
        <v>36</v>
      </c>
      <c r="U42" s="939" t="s">
        <v>36</v>
      </c>
      <c r="V42" s="939" t="s">
        <v>36</v>
      </c>
      <c r="W42" s="939" t="s">
        <v>36</v>
      </c>
      <c r="X42" s="939" t="s">
        <v>80</v>
      </c>
      <c r="Y42" s="939" t="s">
        <v>80</v>
      </c>
      <c r="Z42" s="938">
        <v>7</v>
      </c>
      <c r="AA42" s="938">
        <v>7</v>
      </c>
      <c r="AB42" s="938">
        <v>7</v>
      </c>
      <c r="AC42" s="940">
        <v>7</v>
      </c>
      <c r="AD42" s="940">
        <v>7</v>
      </c>
      <c r="AE42" s="939"/>
      <c r="AF42" s="939"/>
      <c r="AG42" s="941">
        <v>4</v>
      </c>
      <c r="AH42" s="181"/>
      <c r="AI42" s="182"/>
    </row>
    <row r="43" spans="1:38" ht="22.35" customHeight="1">
      <c r="A43" s="359">
        <v>3</v>
      </c>
      <c r="B43" s="363" t="s">
        <v>84</v>
      </c>
      <c r="C43" s="349"/>
      <c r="D43" s="350"/>
      <c r="E43" s="361">
        <v>11</v>
      </c>
      <c r="F43" s="361">
        <v>11</v>
      </c>
      <c r="G43" s="361">
        <v>11</v>
      </c>
      <c r="H43" s="361">
        <v>11</v>
      </c>
      <c r="I43" s="361">
        <v>11</v>
      </c>
      <c r="J43" s="350" t="s">
        <v>73</v>
      </c>
      <c r="K43" s="350" t="s">
        <v>73</v>
      </c>
      <c r="L43" s="350" t="s">
        <v>36</v>
      </c>
      <c r="M43" s="350" t="s">
        <v>36</v>
      </c>
      <c r="N43" s="350" t="s">
        <v>36</v>
      </c>
      <c r="O43" s="350" t="s">
        <v>36</v>
      </c>
      <c r="P43" s="350" t="s">
        <v>36</v>
      </c>
      <c r="Q43" s="350" t="s">
        <v>74</v>
      </c>
      <c r="R43" s="361" t="s">
        <v>74</v>
      </c>
      <c r="S43" s="361">
        <v>8</v>
      </c>
      <c r="T43" s="361">
        <v>8</v>
      </c>
      <c r="U43" s="361">
        <v>8</v>
      </c>
      <c r="V43" s="350">
        <v>8</v>
      </c>
      <c r="W43" s="350">
        <v>8</v>
      </c>
      <c r="X43" s="349"/>
      <c r="Y43" s="361"/>
      <c r="Z43" s="361" t="s">
        <v>36</v>
      </c>
      <c r="AA43" s="361" t="s">
        <v>36</v>
      </c>
      <c r="AB43" s="361" t="s">
        <v>36</v>
      </c>
      <c r="AC43" s="364" t="s">
        <v>36</v>
      </c>
      <c r="AD43" s="361" t="s">
        <v>36</v>
      </c>
      <c r="AE43" s="361"/>
      <c r="AF43" s="361"/>
      <c r="AG43" s="548">
        <v>1</v>
      </c>
      <c r="AH43" s="181"/>
      <c r="AI43" s="182"/>
    </row>
    <row r="44" spans="1:38" ht="22.35" customHeight="1">
      <c r="A44" s="925">
        <v>8</v>
      </c>
      <c r="B44" s="877" t="s">
        <v>85</v>
      </c>
      <c r="C44" s="875"/>
      <c r="D44" s="875"/>
      <c r="E44" s="942">
        <v>9</v>
      </c>
      <c r="F44" s="942">
        <v>9</v>
      </c>
      <c r="G44" s="943">
        <v>9</v>
      </c>
      <c r="H44" s="943">
        <v>9</v>
      </c>
      <c r="I44" s="944">
        <v>9</v>
      </c>
      <c r="J44" s="945" t="s">
        <v>76</v>
      </c>
      <c r="K44" s="946" t="s">
        <v>77</v>
      </c>
      <c r="L44" s="868" t="s">
        <v>36</v>
      </c>
      <c r="M44" s="868" t="s">
        <v>36</v>
      </c>
      <c r="N44" s="872" t="s">
        <v>36</v>
      </c>
      <c r="O44" s="936" t="s">
        <v>36</v>
      </c>
      <c r="P44" s="936" t="s">
        <v>36</v>
      </c>
      <c r="Q44" s="936" t="s">
        <v>78</v>
      </c>
      <c r="R44" s="936" t="s">
        <v>74</v>
      </c>
      <c r="S44" s="936">
        <v>6</v>
      </c>
      <c r="T44" s="936">
        <v>6</v>
      </c>
      <c r="U44" s="936">
        <v>6</v>
      </c>
      <c r="V44" s="936">
        <v>6</v>
      </c>
      <c r="W44" s="936">
        <v>6</v>
      </c>
      <c r="X44" s="871"/>
      <c r="Y44" s="936"/>
      <c r="Z44" s="936" t="s">
        <v>36</v>
      </c>
      <c r="AA44" s="936" t="s">
        <v>36</v>
      </c>
      <c r="AB44" s="936" t="s">
        <v>36</v>
      </c>
      <c r="AC44" s="936" t="s">
        <v>36</v>
      </c>
      <c r="AD44" s="872" t="s">
        <v>36</v>
      </c>
      <c r="AE44" s="872"/>
      <c r="AF44" s="875"/>
      <c r="AG44" s="947">
        <v>5</v>
      </c>
      <c r="AH44" s="181"/>
      <c r="AI44" s="182"/>
    </row>
    <row r="45" spans="1:38" ht="22.35" customHeight="1" thickBot="1">
      <c r="A45" s="928">
        <v>13</v>
      </c>
      <c r="B45" s="929" t="s">
        <v>86</v>
      </c>
      <c r="C45" s="860"/>
      <c r="D45" s="860"/>
      <c r="E45" s="930">
        <v>10</v>
      </c>
      <c r="F45" s="930">
        <v>10</v>
      </c>
      <c r="G45" s="930">
        <v>10</v>
      </c>
      <c r="H45" s="930">
        <v>10</v>
      </c>
      <c r="I45" s="930">
        <v>10</v>
      </c>
      <c r="J45" s="860" t="s">
        <v>77</v>
      </c>
      <c r="K45" s="930" t="s">
        <v>77</v>
      </c>
      <c r="L45" s="933" t="s">
        <v>36</v>
      </c>
      <c r="M45" s="930" t="s">
        <v>36</v>
      </c>
      <c r="N45" s="933" t="s">
        <v>36</v>
      </c>
      <c r="O45" s="933" t="s">
        <v>36</v>
      </c>
      <c r="P45" s="933" t="s">
        <v>36</v>
      </c>
      <c r="Q45" s="930" t="s">
        <v>80</v>
      </c>
      <c r="R45" s="930" t="s">
        <v>80</v>
      </c>
      <c r="S45" s="930">
        <v>7</v>
      </c>
      <c r="T45" s="930">
        <v>7</v>
      </c>
      <c r="U45" s="930">
        <v>7</v>
      </c>
      <c r="V45" s="930">
        <v>7</v>
      </c>
      <c r="W45" s="930">
        <v>7</v>
      </c>
      <c r="X45" s="930"/>
      <c r="Y45" s="860"/>
      <c r="Z45" s="930">
        <v>4</v>
      </c>
      <c r="AA45" s="930">
        <v>4</v>
      </c>
      <c r="AB45" s="930">
        <v>4</v>
      </c>
      <c r="AC45" s="930">
        <v>4</v>
      </c>
      <c r="AD45" s="930">
        <v>4</v>
      </c>
      <c r="AE45" s="860"/>
      <c r="AF45" s="930"/>
      <c r="AG45" s="934">
        <v>3</v>
      </c>
      <c r="AH45" s="181"/>
      <c r="AI45" s="182"/>
    </row>
    <row r="46" spans="1:38" ht="22.35" customHeight="1">
      <c r="A46" s="359">
        <v>4</v>
      </c>
      <c r="B46" s="360" t="s">
        <v>87</v>
      </c>
      <c r="C46" s="361" t="s">
        <v>73</v>
      </c>
      <c r="D46" s="350" t="s">
        <v>73</v>
      </c>
      <c r="E46" s="361" t="s">
        <v>36</v>
      </c>
      <c r="F46" s="349" t="s">
        <v>36</v>
      </c>
      <c r="G46" s="349" t="s">
        <v>36</v>
      </c>
      <c r="H46" s="349" t="s">
        <v>36</v>
      </c>
      <c r="I46" s="349" t="s">
        <v>36</v>
      </c>
      <c r="J46" s="349" t="s">
        <v>74</v>
      </c>
      <c r="K46" s="349" t="s">
        <v>74</v>
      </c>
      <c r="L46" s="349">
        <v>8</v>
      </c>
      <c r="M46" s="349">
        <v>8</v>
      </c>
      <c r="N46" s="349">
        <v>8</v>
      </c>
      <c r="O46" s="349">
        <v>8</v>
      </c>
      <c r="P46" s="349">
        <v>8</v>
      </c>
      <c r="Q46" s="349"/>
      <c r="R46" s="349"/>
      <c r="S46" s="349" t="s">
        <v>36</v>
      </c>
      <c r="T46" s="361" t="s">
        <v>36</v>
      </c>
      <c r="U46" s="361" t="s">
        <v>36</v>
      </c>
      <c r="V46" s="364" t="s">
        <v>36</v>
      </c>
      <c r="W46" s="361" t="s">
        <v>36</v>
      </c>
      <c r="X46" s="361"/>
      <c r="Y46" s="349"/>
      <c r="Z46" s="361">
        <v>1</v>
      </c>
      <c r="AA46" s="361">
        <v>1</v>
      </c>
      <c r="AB46" s="361">
        <v>1</v>
      </c>
      <c r="AC46" s="361">
        <v>1</v>
      </c>
      <c r="AD46" s="361">
        <v>1</v>
      </c>
      <c r="AE46" s="350"/>
      <c r="AF46" s="361"/>
      <c r="AG46" s="362">
        <v>9</v>
      </c>
      <c r="AH46" s="181"/>
      <c r="AI46" s="182"/>
    </row>
    <row r="47" spans="1:38" ht="22.35" customHeight="1">
      <c r="A47" s="925">
        <v>9</v>
      </c>
      <c r="B47" s="877" t="s">
        <v>88</v>
      </c>
      <c r="C47" s="936" t="s">
        <v>76</v>
      </c>
      <c r="D47" s="936" t="s">
        <v>77</v>
      </c>
      <c r="E47" s="936" t="s">
        <v>36</v>
      </c>
      <c r="F47" s="936" t="s">
        <v>36</v>
      </c>
      <c r="G47" s="936" t="s">
        <v>36</v>
      </c>
      <c r="H47" s="936" t="s">
        <v>36</v>
      </c>
      <c r="I47" s="936" t="s">
        <v>36</v>
      </c>
      <c r="J47" s="936" t="s">
        <v>78</v>
      </c>
      <c r="K47" s="936" t="s">
        <v>74</v>
      </c>
      <c r="L47" s="936">
        <v>6</v>
      </c>
      <c r="M47" s="936">
        <v>6</v>
      </c>
      <c r="N47" s="936">
        <v>6</v>
      </c>
      <c r="O47" s="936">
        <v>6</v>
      </c>
      <c r="P47" s="936">
        <v>6</v>
      </c>
      <c r="Q47" s="871"/>
      <c r="R47" s="936"/>
      <c r="S47" s="936" t="s">
        <v>36</v>
      </c>
      <c r="T47" s="936" t="s">
        <v>36</v>
      </c>
      <c r="U47" s="936" t="s">
        <v>36</v>
      </c>
      <c r="V47" s="936" t="s">
        <v>36</v>
      </c>
      <c r="W47" s="936" t="s">
        <v>36</v>
      </c>
      <c r="X47" s="948"/>
      <c r="Y47" s="936"/>
      <c r="Z47" s="949"/>
      <c r="AA47" s="949">
        <v>5</v>
      </c>
      <c r="AB47" s="949">
        <v>5</v>
      </c>
      <c r="AC47" s="949">
        <v>5</v>
      </c>
      <c r="AD47" s="949">
        <v>5</v>
      </c>
      <c r="AE47" s="949"/>
      <c r="AF47" s="949"/>
      <c r="AG47" s="950">
        <v>10</v>
      </c>
      <c r="AH47" s="181"/>
      <c r="AI47" s="182"/>
    </row>
    <row r="48" spans="1:38" ht="22.35" customHeight="1" thickBot="1">
      <c r="A48" s="928">
        <v>14</v>
      </c>
      <c r="B48" s="929" t="s">
        <v>89</v>
      </c>
      <c r="C48" s="860" t="s">
        <v>77</v>
      </c>
      <c r="D48" s="930" t="s">
        <v>77</v>
      </c>
      <c r="E48" s="930" t="s">
        <v>36</v>
      </c>
      <c r="F48" s="930" t="s">
        <v>36</v>
      </c>
      <c r="G48" s="933" t="s">
        <v>36</v>
      </c>
      <c r="H48" s="933" t="s">
        <v>36</v>
      </c>
      <c r="I48" s="933" t="s">
        <v>36</v>
      </c>
      <c r="J48" s="930" t="s">
        <v>80</v>
      </c>
      <c r="K48" s="930" t="s">
        <v>80</v>
      </c>
      <c r="L48" s="930">
        <v>7</v>
      </c>
      <c r="M48" s="930">
        <v>7</v>
      </c>
      <c r="N48" s="930">
        <v>7</v>
      </c>
      <c r="O48" s="860">
        <v>7</v>
      </c>
      <c r="P48" s="930">
        <v>7</v>
      </c>
      <c r="Q48" s="930"/>
      <c r="R48" s="860"/>
      <c r="S48" s="930">
        <v>4</v>
      </c>
      <c r="T48" s="930">
        <v>4</v>
      </c>
      <c r="U48" s="930">
        <v>4</v>
      </c>
      <c r="V48" s="930">
        <v>4</v>
      </c>
      <c r="W48" s="930">
        <v>4</v>
      </c>
      <c r="X48" s="860"/>
      <c r="Y48" s="930"/>
      <c r="Z48" s="951">
        <v>3</v>
      </c>
      <c r="AA48" s="930">
        <v>3</v>
      </c>
      <c r="AB48" s="930">
        <v>3</v>
      </c>
      <c r="AC48" s="860">
        <v>3</v>
      </c>
      <c r="AD48" s="930">
        <v>3</v>
      </c>
      <c r="AE48" s="930"/>
      <c r="AF48" s="860"/>
      <c r="AG48" s="861">
        <v>11</v>
      </c>
      <c r="AH48" s="181"/>
      <c r="AI48" s="182"/>
    </row>
    <row r="49" spans="1:41" ht="22.35" customHeight="1">
      <c r="A49" s="359">
        <v>5</v>
      </c>
      <c r="B49" s="877" t="s">
        <v>90</v>
      </c>
      <c r="C49" s="527" t="s">
        <v>74</v>
      </c>
      <c r="D49" s="361" t="s">
        <v>74</v>
      </c>
      <c r="E49" s="361">
        <v>8</v>
      </c>
      <c r="F49" s="350">
        <v>8</v>
      </c>
      <c r="G49" s="350">
        <v>8</v>
      </c>
      <c r="H49" s="350">
        <v>8</v>
      </c>
      <c r="I49" s="350">
        <v>8</v>
      </c>
      <c r="J49" s="350"/>
      <c r="K49" s="361"/>
      <c r="L49" s="361" t="s">
        <v>36</v>
      </c>
      <c r="M49" s="361" t="s">
        <v>36</v>
      </c>
      <c r="N49" s="351" t="s">
        <v>36</v>
      </c>
      <c r="O49" s="349" t="s">
        <v>36</v>
      </c>
      <c r="P49" s="361" t="s">
        <v>36</v>
      </c>
      <c r="Q49" s="361"/>
      <c r="R49" s="349"/>
      <c r="S49" s="361">
        <v>1</v>
      </c>
      <c r="T49" s="361">
        <v>1</v>
      </c>
      <c r="U49" s="350">
        <v>1</v>
      </c>
      <c r="V49" s="350">
        <v>1</v>
      </c>
      <c r="W49" s="350">
        <v>1</v>
      </c>
      <c r="X49" s="350"/>
      <c r="Y49" s="351"/>
      <c r="Z49" s="350">
        <v>9</v>
      </c>
      <c r="AA49" s="350">
        <v>9</v>
      </c>
      <c r="AB49" s="350">
        <v>9</v>
      </c>
      <c r="AC49" s="350">
        <v>9</v>
      </c>
      <c r="AD49" s="361">
        <v>9</v>
      </c>
      <c r="AE49" s="361" t="s">
        <v>76</v>
      </c>
      <c r="AF49" s="349" t="s">
        <v>77</v>
      </c>
      <c r="AG49" s="352" t="s">
        <v>36</v>
      </c>
      <c r="AH49" s="181"/>
      <c r="AI49" s="182"/>
    </row>
    <row r="50" spans="1:41" ht="22.35" customHeight="1">
      <c r="A50" s="925">
        <v>10</v>
      </c>
      <c r="B50" s="877" t="s">
        <v>91</v>
      </c>
      <c r="C50" s="936" t="s">
        <v>78</v>
      </c>
      <c r="D50" s="936" t="s">
        <v>74</v>
      </c>
      <c r="E50" s="936">
        <v>6</v>
      </c>
      <c r="F50" s="872">
        <v>6</v>
      </c>
      <c r="G50" s="868">
        <v>6</v>
      </c>
      <c r="H50" s="868">
        <v>6</v>
      </c>
      <c r="I50" s="868">
        <v>6</v>
      </c>
      <c r="J50" s="868"/>
      <c r="K50" s="868"/>
      <c r="L50" s="868" t="s">
        <v>36</v>
      </c>
      <c r="M50" s="868" t="s">
        <v>36</v>
      </c>
      <c r="N50" s="868" t="s">
        <v>36</v>
      </c>
      <c r="O50" s="868" t="s">
        <v>36</v>
      </c>
      <c r="P50" s="868" t="s">
        <v>36</v>
      </c>
      <c r="Q50" s="868"/>
      <c r="R50" s="868"/>
      <c r="S50" s="868">
        <v>5</v>
      </c>
      <c r="T50" s="868">
        <v>5</v>
      </c>
      <c r="U50" s="868">
        <v>5</v>
      </c>
      <c r="V50" s="868">
        <v>5</v>
      </c>
      <c r="W50" s="872">
        <v>5</v>
      </c>
      <c r="X50" s="936"/>
      <c r="Y50" s="871"/>
      <c r="Z50" s="936">
        <v>10</v>
      </c>
      <c r="AA50" s="936">
        <v>10</v>
      </c>
      <c r="AB50" s="936">
        <v>10</v>
      </c>
      <c r="AC50" s="936">
        <v>10</v>
      </c>
      <c r="AD50" s="936">
        <v>10</v>
      </c>
      <c r="AE50" s="936" t="s">
        <v>77</v>
      </c>
      <c r="AF50" s="936" t="s">
        <v>77</v>
      </c>
      <c r="AG50" s="947" t="s">
        <v>36</v>
      </c>
      <c r="AH50" s="181"/>
      <c r="AI50" s="182"/>
    </row>
    <row r="51" spans="1:41" ht="22.35" customHeight="1" thickBot="1">
      <c r="A51" s="928">
        <v>15</v>
      </c>
      <c r="B51" s="929" t="s">
        <v>92</v>
      </c>
      <c r="C51" s="930" t="s">
        <v>80</v>
      </c>
      <c r="D51" s="930" t="s">
        <v>80</v>
      </c>
      <c r="E51" s="930">
        <v>7</v>
      </c>
      <c r="F51" s="933">
        <v>7</v>
      </c>
      <c r="G51" s="933">
        <v>7</v>
      </c>
      <c r="H51" s="933">
        <v>7</v>
      </c>
      <c r="I51" s="933">
        <v>7</v>
      </c>
      <c r="J51" s="933"/>
      <c r="K51" s="860"/>
      <c r="L51" s="930">
        <v>4</v>
      </c>
      <c r="M51" s="930">
        <v>4</v>
      </c>
      <c r="N51" s="930">
        <v>4</v>
      </c>
      <c r="O51" s="930">
        <v>4</v>
      </c>
      <c r="P51" s="930">
        <v>4</v>
      </c>
      <c r="Q51" s="860"/>
      <c r="R51" s="930"/>
      <c r="S51" s="930">
        <v>3</v>
      </c>
      <c r="T51" s="930">
        <v>3</v>
      </c>
      <c r="U51" s="930">
        <v>3</v>
      </c>
      <c r="V51" s="952">
        <v>3</v>
      </c>
      <c r="W51" s="930">
        <v>3</v>
      </c>
      <c r="X51" s="930"/>
      <c r="Y51" s="860"/>
      <c r="Z51" s="930">
        <v>11</v>
      </c>
      <c r="AA51" s="930">
        <v>11</v>
      </c>
      <c r="AB51" s="930">
        <v>11</v>
      </c>
      <c r="AC51" s="930">
        <v>11</v>
      </c>
      <c r="AD51" s="930">
        <v>11</v>
      </c>
      <c r="AE51" s="860" t="s">
        <v>73</v>
      </c>
      <c r="AF51" s="933" t="s">
        <v>73</v>
      </c>
      <c r="AG51" s="953" t="s">
        <v>36</v>
      </c>
      <c r="AH51" s="181"/>
      <c r="AI51" s="182"/>
    </row>
    <row r="52" spans="1:41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1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1" ht="22.35" customHeight="1">
      <c r="A54" s="954" t="s">
        <v>28</v>
      </c>
      <c r="B54" s="954"/>
      <c r="C54" s="948"/>
      <c r="D54" s="954" t="s">
        <v>94</v>
      </c>
      <c r="E54" s="955"/>
      <c r="F54" s="948"/>
      <c r="G54" s="954" t="s">
        <v>95</v>
      </c>
      <c r="H54" s="955"/>
      <c r="I54" s="948"/>
      <c r="J54" s="954" t="s">
        <v>96</v>
      </c>
      <c r="K54" s="955"/>
      <c r="L54" s="948"/>
      <c r="M54" s="954" t="s">
        <v>97</v>
      </c>
      <c r="N54" s="955"/>
      <c r="O54" s="948"/>
      <c r="P54" s="954" t="s">
        <v>98</v>
      </c>
      <c r="Q54" s="955"/>
      <c r="R54" s="956"/>
      <c r="S54" s="957" t="s">
        <v>99</v>
      </c>
      <c r="T54" s="955"/>
      <c r="U54" s="948"/>
      <c r="V54" s="954" t="s">
        <v>100</v>
      </c>
      <c r="W54" s="955"/>
      <c r="X54" s="958" t="s">
        <v>101</v>
      </c>
      <c r="Y54" s="955"/>
      <c r="Z54" s="955"/>
      <c r="AA54" s="959"/>
      <c r="AB54" s="843"/>
      <c r="AC54" s="843"/>
      <c r="AD54" s="843"/>
      <c r="AE54" s="843"/>
      <c r="AF54" s="843"/>
      <c r="AG54" s="844"/>
      <c r="AH54" s="1"/>
    </row>
    <row r="55" spans="1:41" ht="22.35" customHeight="1">
      <c r="A55" s="960"/>
      <c r="B55" s="961"/>
      <c r="C55" s="962"/>
      <c r="D55" s="963"/>
      <c r="E55" s="842"/>
      <c r="F55" s="962"/>
      <c r="G55" s="963"/>
      <c r="H55" s="842"/>
      <c r="I55" s="962"/>
      <c r="J55" s="963"/>
      <c r="K55" s="842"/>
      <c r="L55" s="962"/>
      <c r="M55" s="963"/>
      <c r="N55" s="842"/>
      <c r="O55" s="962"/>
      <c r="P55" s="963"/>
      <c r="Q55" s="842"/>
      <c r="R55" s="962"/>
      <c r="S55" s="963"/>
      <c r="T55" s="842"/>
      <c r="U55" s="962"/>
      <c r="V55" s="963"/>
      <c r="W55" s="842"/>
      <c r="X55" s="840"/>
      <c r="Y55" s="843"/>
      <c r="Z55" s="843"/>
      <c r="AA55" s="843"/>
      <c r="AB55" s="843"/>
      <c r="AC55" s="843"/>
      <c r="AD55" s="843"/>
      <c r="AE55" s="843"/>
      <c r="AF55" s="843"/>
      <c r="AG55" s="844"/>
      <c r="AH55" s="1"/>
    </row>
    <row r="56" spans="1:41" ht="22.35" customHeight="1">
      <c r="B56" s="866" t="s">
        <v>102</v>
      </c>
      <c r="C56" s="964" t="s">
        <v>103</v>
      </c>
      <c r="D56" s="965"/>
      <c r="E56" s="966"/>
      <c r="F56" s="964" t="s">
        <v>103</v>
      </c>
      <c r="G56" s="967"/>
      <c r="H56" s="966"/>
      <c r="I56" s="962" t="s">
        <v>103</v>
      </c>
      <c r="J56" s="963"/>
      <c r="K56" s="968"/>
      <c r="L56" s="962" t="s">
        <v>103</v>
      </c>
      <c r="M56" s="963"/>
      <c r="N56" s="968"/>
      <c r="O56" s="962" t="s">
        <v>104</v>
      </c>
      <c r="P56" s="963"/>
      <c r="Q56" s="842"/>
      <c r="R56" s="969" t="s">
        <v>0</v>
      </c>
      <c r="S56" s="963"/>
      <c r="T56" s="968"/>
      <c r="U56" s="963" t="s">
        <v>0</v>
      </c>
      <c r="V56" s="963"/>
      <c r="W56" s="842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1" ht="22.35" customHeight="1">
      <c r="A57" s="970"/>
      <c r="B57" s="961" t="s">
        <v>105</v>
      </c>
      <c r="C57" s="962" t="s">
        <v>106</v>
      </c>
      <c r="D57" s="963"/>
      <c r="E57" s="842"/>
      <c r="F57" s="962" t="s">
        <v>106</v>
      </c>
      <c r="G57" s="963"/>
      <c r="H57" s="968"/>
      <c r="I57" s="962" t="s">
        <v>106</v>
      </c>
      <c r="J57" s="963"/>
      <c r="K57" s="968"/>
      <c r="L57" s="962" t="s">
        <v>106</v>
      </c>
      <c r="M57" s="963"/>
      <c r="N57" s="968"/>
      <c r="O57" s="962" t="s">
        <v>106</v>
      </c>
      <c r="P57" s="963"/>
      <c r="Q57" s="842"/>
      <c r="R57" s="112"/>
      <c r="S57" s="113"/>
      <c r="T57" s="968"/>
      <c r="U57" s="963"/>
      <c r="V57" s="963"/>
      <c r="W57" s="842"/>
      <c r="X57" s="840"/>
      <c r="Y57" s="843"/>
      <c r="Z57" s="843"/>
      <c r="AA57" s="843"/>
      <c r="AB57" s="843"/>
      <c r="AC57" s="843"/>
      <c r="AD57" s="843"/>
      <c r="AE57" s="843"/>
      <c r="AF57" s="843"/>
      <c r="AG57" s="844"/>
      <c r="AH57" s="1"/>
    </row>
    <row r="58" spans="1:41" ht="22.35" customHeight="1">
      <c r="A58" s="954"/>
      <c r="B58" s="866"/>
      <c r="C58" s="971"/>
      <c r="D58" s="971"/>
      <c r="E58" s="972"/>
      <c r="F58" s="971"/>
      <c r="G58" s="971"/>
      <c r="H58" s="972"/>
      <c r="I58" s="971"/>
      <c r="J58" s="971"/>
      <c r="K58" s="972"/>
      <c r="L58" s="971"/>
      <c r="M58" s="971"/>
      <c r="N58" s="972"/>
      <c r="O58" s="971"/>
      <c r="P58" s="971"/>
      <c r="Q58" s="972"/>
      <c r="R58" s="971"/>
      <c r="S58" s="971"/>
      <c r="T58" s="972"/>
      <c r="U58" s="971"/>
      <c r="V58" s="971"/>
      <c r="W58" s="972"/>
      <c r="X58" s="840"/>
      <c r="Y58" s="843"/>
      <c r="Z58" s="843"/>
      <c r="AA58" s="843"/>
      <c r="AB58" s="843"/>
      <c r="AC58" s="843"/>
      <c r="AD58" s="843"/>
      <c r="AE58" s="843"/>
      <c r="AF58" s="843"/>
      <c r="AG58" s="844"/>
      <c r="AH58" s="1"/>
    </row>
    <row r="59" spans="1:41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  <c r="AJ59">
        <v>160.33000000000001</v>
      </c>
    </row>
    <row r="60" spans="1:41" ht="22.35" customHeight="1" thickBot="1">
      <c r="A60" s="973"/>
      <c r="B60" s="858" t="s">
        <v>29</v>
      </c>
      <c r="C60" s="859">
        <v>1</v>
      </c>
      <c r="D60" s="859">
        <v>2</v>
      </c>
      <c r="E60" s="860">
        <v>3</v>
      </c>
      <c r="F60" s="860">
        <v>4</v>
      </c>
      <c r="G60" s="860">
        <v>5</v>
      </c>
      <c r="H60" s="860">
        <v>6</v>
      </c>
      <c r="I60" s="860">
        <v>7</v>
      </c>
      <c r="J60" s="859">
        <v>8</v>
      </c>
      <c r="K60" s="859">
        <v>9</v>
      </c>
      <c r="L60" s="860">
        <v>10</v>
      </c>
      <c r="M60" s="860">
        <v>11</v>
      </c>
      <c r="N60" s="860">
        <v>12</v>
      </c>
      <c r="O60" s="859">
        <v>13</v>
      </c>
      <c r="P60" s="860">
        <v>14</v>
      </c>
      <c r="Q60" s="859">
        <v>15</v>
      </c>
      <c r="R60" s="859">
        <v>16</v>
      </c>
      <c r="S60" s="860">
        <v>17</v>
      </c>
      <c r="T60" s="860">
        <v>18</v>
      </c>
      <c r="U60" s="860">
        <v>19</v>
      </c>
      <c r="V60" s="860">
        <v>20</v>
      </c>
      <c r="W60" s="860">
        <v>21</v>
      </c>
      <c r="X60" s="859">
        <v>22</v>
      </c>
      <c r="Y60" s="859">
        <v>23</v>
      </c>
      <c r="Z60" s="859">
        <v>24</v>
      </c>
      <c r="AA60" s="860">
        <v>25</v>
      </c>
      <c r="AB60" s="860">
        <v>26</v>
      </c>
      <c r="AC60" s="860">
        <v>27</v>
      </c>
      <c r="AD60" s="860">
        <v>28</v>
      </c>
      <c r="AE60" s="859">
        <v>29</v>
      </c>
      <c r="AF60" s="859">
        <v>30</v>
      </c>
      <c r="AG60" s="861">
        <v>31</v>
      </c>
      <c r="AH60" s="1"/>
      <c r="AJ60" s="862" t="s">
        <v>30</v>
      </c>
      <c r="AK60" s="862" t="s">
        <v>43</v>
      </c>
      <c r="AL60" s="862" t="s">
        <v>44</v>
      </c>
      <c r="AM60" s="862" t="s">
        <v>45</v>
      </c>
      <c r="AN60" s="862" t="s">
        <v>46</v>
      </c>
      <c r="AO60" s="862" t="s">
        <v>47</v>
      </c>
    </row>
    <row r="61" spans="1:41" ht="22.35" customHeight="1">
      <c r="A61" s="303"/>
      <c r="B61" s="304" t="s">
        <v>107</v>
      </c>
      <c r="C61" s="305"/>
      <c r="D61" s="305"/>
      <c r="E61" s="305" t="s">
        <v>52</v>
      </c>
      <c r="F61" s="305">
        <v>23</v>
      </c>
      <c r="G61" s="305" t="s">
        <v>36</v>
      </c>
      <c r="H61" s="305" t="s">
        <v>32</v>
      </c>
      <c r="I61" s="305" t="s">
        <v>32</v>
      </c>
      <c r="J61" s="305"/>
      <c r="K61" s="305"/>
      <c r="L61" s="305" t="s">
        <v>108</v>
      </c>
      <c r="M61" s="305" t="s">
        <v>108</v>
      </c>
      <c r="N61" s="507" t="s">
        <v>108</v>
      </c>
      <c r="O61" s="507" t="s">
        <v>109</v>
      </c>
      <c r="P61" s="306" t="s">
        <v>108</v>
      </c>
      <c r="Q61" s="307" t="s">
        <v>109</v>
      </c>
      <c r="R61" s="305" t="s">
        <v>109</v>
      </c>
      <c r="S61" s="306" t="s">
        <v>36</v>
      </c>
      <c r="T61" s="307" t="s">
        <v>36</v>
      </c>
      <c r="U61" s="307" t="s">
        <v>36</v>
      </c>
      <c r="V61" s="305" t="s">
        <v>36</v>
      </c>
      <c r="W61" s="507" t="s">
        <v>36</v>
      </c>
      <c r="X61" s="305"/>
      <c r="Y61" s="507" t="s">
        <v>109</v>
      </c>
      <c r="Z61" s="305"/>
      <c r="AA61" s="305">
        <v>5</v>
      </c>
      <c r="AB61" s="305">
        <v>5</v>
      </c>
      <c r="AC61" s="305">
        <v>5</v>
      </c>
      <c r="AD61" s="305">
        <v>5</v>
      </c>
      <c r="AE61" s="305"/>
      <c r="AF61" s="305"/>
      <c r="AG61" s="974" t="s">
        <v>32</v>
      </c>
      <c r="AH61" s="1"/>
      <c r="AJ61" s="808">
        <v>155</v>
      </c>
      <c r="AK61" s="808">
        <v>8.5</v>
      </c>
      <c r="AL61" s="808">
        <f>IF(AJ61="","",SUM(AJ61:AK61))</f>
        <v>163.5</v>
      </c>
      <c r="AM61" s="889">
        <f t="shared" ref="AM61:AM74" si="2">IF(AJ61="","",AL61-NormTid)</f>
        <v>3.1699999999999875</v>
      </c>
      <c r="AN61" s="889">
        <f>IF(AM61="","",AM61+AO61)</f>
        <v>22.599999999999987</v>
      </c>
      <c r="AO61" s="808">
        <v>19.43</v>
      </c>
    </row>
    <row r="62" spans="1:41" ht="22.35" customHeight="1">
      <c r="A62" s="975"/>
      <c r="B62" s="797" t="s">
        <v>110</v>
      </c>
      <c r="C62" s="801" t="s">
        <v>109</v>
      </c>
      <c r="D62" s="801" t="s">
        <v>109</v>
      </c>
      <c r="E62" s="974" t="s">
        <v>36</v>
      </c>
      <c r="F62" s="974" t="s">
        <v>36</v>
      </c>
      <c r="G62" s="974" t="s">
        <v>36</v>
      </c>
      <c r="H62" s="974" t="s">
        <v>36</v>
      </c>
      <c r="I62" s="798" t="s">
        <v>36</v>
      </c>
      <c r="J62" s="974">
        <v>22</v>
      </c>
      <c r="K62" s="974">
        <v>22</v>
      </c>
      <c r="L62" s="974">
        <v>25</v>
      </c>
      <c r="M62" s="974">
        <v>25</v>
      </c>
      <c r="N62" s="974">
        <v>25</v>
      </c>
      <c r="O62" s="976"/>
      <c r="P62" s="977">
        <v>25</v>
      </c>
      <c r="Q62" s="978"/>
      <c r="R62" s="977"/>
      <c r="S62" s="891" t="s">
        <v>32</v>
      </c>
      <c r="T62" s="891" t="s">
        <v>32</v>
      </c>
      <c r="U62" s="891" t="s">
        <v>32</v>
      </c>
      <c r="V62" s="891" t="s">
        <v>32</v>
      </c>
      <c r="W62" s="891" t="s">
        <v>32</v>
      </c>
      <c r="X62" s="974"/>
      <c r="Y62" s="974" t="s">
        <v>111</v>
      </c>
      <c r="Z62" s="974"/>
      <c r="AA62" s="974">
        <v>7</v>
      </c>
      <c r="AB62" s="974">
        <v>7</v>
      </c>
      <c r="AC62" s="974">
        <v>7</v>
      </c>
      <c r="AD62" s="974">
        <v>7</v>
      </c>
      <c r="AE62" s="974" t="s">
        <v>111</v>
      </c>
      <c r="AF62" s="974"/>
      <c r="AG62" s="807">
        <v>1</v>
      </c>
      <c r="AH62" s="1"/>
      <c r="AJ62" s="808">
        <v>160.5</v>
      </c>
      <c r="AK62" s="808">
        <v>10</v>
      </c>
      <c r="AL62" s="808">
        <f t="shared" ref="AL62:AL74" si="3">IF(AJ62="","",SUM(AJ62:AK62))</f>
        <v>170.5</v>
      </c>
      <c r="AM62" s="889">
        <f t="shared" si="2"/>
        <v>10.169999999999987</v>
      </c>
      <c r="AN62" s="889">
        <f t="shared" ref="AN62:AN76" si="4">IF(AM62="","",AM62+AO62)</f>
        <v>27.589999999999989</v>
      </c>
      <c r="AO62" s="808">
        <v>17.420000000000002</v>
      </c>
    </row>
    <row r="63" spans="1:41" ht="22.35" customHeight="1">
      <c r="A63" s="975"/>
      <c r="B63" s="975" t="s">
        <v>112</v>
      </c>
      <c r="C63" s="790" t="s">
        <v>109</v>
      </c>
      <c r="D63" s="790" t="s">
        <v>109</v>
      </c>
      <c r="E63" s="799">
        <v>9</v>
      </c>
      <c r="F63" s="799">
        <v>9</v>
      </c>
      <c r="G63" s="799">
        <v>9</v>
      </c>
      <c r="H63" s="799">
        <v>9</v>
      </c>
      <c r="I63" s="799">
        <v>9</v>
      </c>
      <c r="J63" s="799" t="s">
        <v>76</v>
      </c>
      <c r="K63" s="799" t="s">
        <v>77</v>
      </c>
      <c r="L63" s="799" t="s">
        <v>36</v>
      </c>
      <c r="M63" s="799" t="s">
        <v>36</v>
      </c>
      <c r="N63" s="799" t="s">
        <v>36</v>
      </c>
      <c r="O63" s="557"/>
      <c r="P63" s="799" t="s">
        <v>113</v>
      </c>
      <c r="Q63" s="799"/>
      <c r="R63" s="799"/>
      <c r="S63" s="799">
        <v>25</v>
      </c>
      <c r="T63" s="799">
        <v>25</v>
      </c>
      <c r="U63" s="790">
        <v>25</v>
      </c>
      <c r="V63" s="790">
        <v>25</v>
      </c>
      <c r="W63" s="977">
        <v>25</v>
      </c>
      <c r="X63" s="974" t="s">
        <v>109</v>
      </c>
      <c r="Y63" s="977"/>
      <c r="Z63" s="891"/>
      <c r="AA63" s="891" t="s">
        <v>32</v>
      </c>
      <c r="AB63" s="891" t="s">
        <v>32</v>
      </c>
      <c r="AC63" s="891" t="s">
        <v>32</v>
      </c>
      <c r="AD63" s="891" t="s">
        <v>32</v>
      </c>
      <c r="AE63" s="977"/>
      <c r="AF63" s="977"/>
      <c r="AG63" s="807">
        <v>25</v>
      </c>
      <c r="AH63" s="1"/>
      <c r="AJ63" s="808">
        <v>161.5</v>
      </c>
      <c r="AK63" s="808">
        <v>11.75</v>
      </c>
      <c r="AL63" s="808">
        <f>IF(AJ63="","",SUM(AJ63:AK63))</f>
        <v>173.25</v>
      </c>
      <c r="AM63" s="889">
        <f>IF(AJ63="","",AL63-NormTid)</f>
        <v>12.919999999999987</v>
      </c>
      <c r="AN63" s="889">
        <f>IF(AM63="","",AM63+AO63)</f>
        <v>18.839999999999989</v>
      </c>
      <c r="AO63" s="808">
        <v>5.92</v>
      </c>
    </row>
    <row r="64" spans="1:41" ht="22.35" customHeight="1">
      <c r="A64" s="975"/>
      <c r="B64" s="975" t="s">
        <v>114</v>
      </c>
      <c r="C64" s="974" t="s">
        <v>74</v>
      </c>
      <c r="D64" s="974"/>
      <c r="E64" s="891" t="s">
        <v>32</v>
      </c>
      <c r="F64" s="891" t="s">
        <v>32</v>
      </c>
      <c r="G64" s="891" t="s">
        <v>32</v>
      </c>
      <c r="H64" s="891" t="s">
        <v>32</v>
      </c>
      <c r="I64" s="891" t="s">
        <v>32</v>
      </c>
      <c r="J64" s="974"/>
      <c r="K64" s="974"/>
      <c r="L64" s="974" t="s">
        <v>115</v>
      </c>
      <c r="M64" s="974" t="s">
        <v>115</v>
      </c>
      <c r="N64" s="977" t="s">
        <v>115</v>
      </c>
      <c r="O64" s="977"/>
      <c r="P64" s="977" t="s">
        <v>115</v>
      </c>
      <c r="Q64" s="977"/>
      <c r="R64" s="977"/>
      <c r="S64" s="977" t="s">
        <v>108</v>
      </c>
      <c r="T64" s="790" t="s">
        <v>108</v>
      </c>
      <c r="U64" s="808" t="s">
        <v>108</v>
      </c>
      <c r="V64" s="977" t="s">
        <v>108</v>
      </c>
      <c r="W64" s="977" t="s">
        <v>108</v>
      </c>
      <c r="X64" s="974"/>
      <c r="Y64" s="977"/>
      <c r="Z64" s="974" t="s">
        <v>109</v>
      </c>
      <c r="AA64" s="974" t="s">
        <v>116</v>
      </c>
      <c r="AB64" s="974" t="s">
        <v>116</v>
      </c>
      <c r="AC64" s="974" t="s">
        <v>116</v>
      </c>
      <c r="AD64" s="974" t="s">
        <v>116</v>
      </c>
      <c r="AE64" s="974" t="s">
        <v>109</v>
      </c>
      <c r="AF64" s="974" t="s">
        <v>109</v>
      </c>
      <c r="AG64" s="979" t="s">
        <v>36</v>
      </c>
      <c r="AH64" s="1"/>
      <c r="AJ64" s="808">
        <v>210</v>
      </c>
      <c r="AK64" s="808">
        <v>10.75</v>
      </c>
      <c r="AL64" s="808">
        <f t="shared" si="3"/>
        <v>220.75</v>
      </c>
      <c r="AM64" s="889">
        <f t="shared" si="2"/>
        <v>60.419999999999987</v>
      </c>
      <c r="AN64" s="889">
        <f t="shared" si="4"/>
        <v>74.839999999999989</v>
      </c>
      <c r="AO64" s="808">
        <v>14.42</v>
      </c>
    </row>
    <row r="65" spans="1:41" ht="22.35" customHeight="1">
      <c r="A65" s="975"/>
      <c r="B65" s="975" t="s">
        <v>117</v>
      </c>
      <c r="C65" s="974"/>
      <c r="D65" s="974"/>
      <c r="E65" s="974" t="s">
        <v>118</v>
      </c>
      <c r="F65" s="974" t="s">
        <v>118</v>
      </c>
      <c r="G65" s="974" t="s">
        <v>118</v>
      </c>
      <c r="H65" s="974" t="s">
        <v>118</v>
      </c>
      <c r="I65" s="974" t="s">
        <v>118</v>
      </c>
      <c r="J65" s="974"/>
      <c r="K65" s="974"/>
      <c r="L65" s="974" t="s">
        <v>50</v>
      </c>
      <c r="M65" s="974" t="s">
        <v>50</v>
      </c>
      <c r="N65" s="977" t="s">
        <v>50</v>
      </c>
      <c r="O65" s="977"/>
      <c r="P65" s="558" t="s">
        <v>50</v>
      </c>
      <c r="Q65" s="978"/>
      <c r="R65" s="977"/>
      <c r="S65" s="974" t="s">
        <v>115</v>
      </c>
      <c r="T65" s="974" t="s">
        <v>115</v>
      </c>
      <c r="U65" s="790" t="s">
        <v>115</v>
      </c>
      <c r="V65" s="977" t="s">
        <v>115</v>
      </c>
      <c r="W65" s="805" t="s">
        <v>115</v>
      </c>
      <c r="X65" s="557"/>
      <c r="Y65" s="789"/>
      <c r="Z65" s="974"/>
      <c r="AA65" s="974" t="s">
        <v>36</v>
      </c>
      <c r="AB65" s="974" t="s">
        <v>36</v>
      </c>
      <c r="AC65" s="974" t="s">
        <v>36</v>
      </c>
      <c r="AD65" s="974" t="s">
        <v>36</v>
      </c>
      <c r="AE65" s="974" t="s">
        <v>78</v>
      </c>
      <c r="AF65" s="974" t="s">
        <v>74</v>
      </c>
      <c r="AG65" s="807">
        <v>6</v>
      </c>
      <c r="AH65" s="1"/>
      <c r="AJ65" s="808">
        <v>146.75</v>
      </c>
      <c r="AK65" s="808">
        <v>2.5</v>
      </c>
      <c r="AL65" s="808">
        <f t="shared" si="3"/>
        <v>149.25</v>
      </c>
      <c r="AM65" s="889">
        <f>IF(AJ65="","",AL65-NormTid)</f>
        <v>-11.080000000000013</v>
      </c>
      <c r="AN65" s="889">
        <f t="shared" si="4"/>
        <v>-10.160000000000013</v>
      </c>
      <c r="AO65" s="808">
        <v>0.92</v>
      </c>
    </row>
    <row r="66" spans="1:41" ht="22.35" customHeight="1">
      <c r="A66" s="975"/>
      <c r="B66" s="975" t="s">
        <v>119</v>
      </c>
      <c r="C66" s="801"/>
      <c r="D66" s="801"/>
      <c r="E66" s="801" t="s">
        <v>32</v>
      </c>
      <c r="F66" s="801" t="s">
        <v>32</v>
      </c>
      <c r="G66" s="801" t="s">
        <v>32</v>
      </c>
      <c r="H66" s="801" t="s">
        <v>32</v>
      </c>
      <c r="I66" s="801" t="s">
        <v>32</v>
      </c>
      <c r="J66" s="801"/>
      <c r="K66" s="801"/>
      <c r="L66" s="801" t="s">
        <v>32</v>
      </c>
      <c r="M66" s="801" t="s">
        <v>32</v>
      </c>
      <c r="N66" s="801" t="s">
        <v>32</v>
      </c>
      <c r="O66" s="801"/>
      <c r="P66" s="801" t="s">
        <v>32</v>
      </c>
      <c r="Q66" s="801"/>
      <c r="R66" s="801"/>
      <c r="S66" s="801" t="s">
        <v>32</v>
      </c>
      <c r="T66" s="801" t="s">
        <v>32</v>
      </c>
      <c r="U66" s="801" t="s">
        <v>32</v>
      </c>
      <c r="V66" s="801" t="s">
        <v>32</v>
      </c>
      <c r="W66" s="801" t="s">
        <v>32</v>
      </c>
      <c r="X66" s="801"/>
      <c r="Y66" s="801"/>
      <c r="Z66" s="801"/>
      <c r="AA66" s="801" t="s">
        <v>32</v>
      </c>
      <c r="AB66" s="801" t="s">
        <v>32</v>
      </c>
      <c r="AC66" s="801" t="s">
        <v>32</v>
      </c>
      <c r="AD66" s="801" t="s">
        <v>32</v>
      </c>
      <c r="AE66" s="801"/>
      <c r="AF66" s="801"/>
      <c r="AG66" s="806" t="s">
        <v>32</v>
      </c>
      <c r="AH66" s="1"/>
      <c r="AJ66" s="808"/>
      <c r="AK66" s="808"/>
      <c r="AL66" s="808" t="str">
        <f t="shared" si="3"/>
        <v/>
      </c>
      <c r="AM66" s="889" t="str">
        <f t="shared" si="2"/>
        <v/>
      </c>
      <c r="AN66" s="889" t="str">
        <f t="shared" si="4"/>
        <v/>
      </c>
      <c r="AO66" s="808"/>
    </row>
    <row r="67" spans="1:41" ht="22.35" customHeight="1">
      <c r="A67" s="975"/>
      <c r="B67" s="975" t="s">
        <v>120</v>
      </c>
      <c r="C67" s="974"/>
      <c r="D67" s="974"/>
      <c r="E67" s="980" t="s">
        <v>32</v>
      </c>
      <c r="F67" s="980" t="s">
        <v>32</v>
      </c>
      <c r="G67" s="980" t="s">
        <v>32</v>
      </c>
      <c r="H67" s="980" t="s">
        <v>32</v>
      </c>
      <c r="I67" s="980" t="s">
        <v>32</v>
      </c>
      <c r="J67" s="980"/>
      <c r="K67" s="980"/>
      <c r="L67" s="980" t="s">
        <v>32</v>
      </c>
      <c r="M67" s="980" t="s">
        <v>32</v>
      </c>
      <c r="N67" s="980" t="s">
        <v>32</v>
      </c>
      <c r="O67" s="980"/>
      <c r="P67" s="980" t="s">
        <v>32</v>
      </c>
      <c r="Q67" s="980"/>
      <c r="R67" s="980"/>
      <c r="S67" s="980" t="s">
        <v>32</v>
      </c>
      <c r="T67" s="980" t="s">
        <v>32</v>
      </c>
      <c r="U67" s="980" t="s">
        <v>32</v>
      </c>
      <c r="V67" s="980" t="s">
        <v>32</v>
      </c>
      <c r="W67" s="980" t="s">
        <v>32</v>
      </c>
      <c r="X67" s="980"/>
      <c r="Y67" s="980"/>
      <c r="Z67" s="974"/>
      <c r="AA67" s="792" t="s">
        <v>121</v>
      </c>
      <c r="AB67" s="974" t="s">
        <v>122</v>
      </c>
      <c r="AC67" s="974" t="s">
        <v>122</v>
      </c>
      <c r="AD67" s="974" t="s">
        <v>122</v>
      </c>
      <c r="AE67" s="974"/>
      <c r="AF67" s="974"/>
      <c r="AG67" s="565" t="s">
        <v>122</v>
      </c>
      <c r="AH67" s="1"/>
      <c r="AJ67" s="808">
        <v>155.75</v>
      </c>
      <c r="AK67" s="808">
        <v>0</v>
      </c>
      <c r="AL67" s="808">
        <f t="shared" si="3"/>
        <v>155.75</v>
      </c>
      <c r="AM67" s="889">
        <f t="shared" si="2"/>
        <v>-4.5800000000000125</v>
      </c>
      <c r="AN67" s="889">
        <f t="shared" si="4"/>
        <v>-4.5800000000000125</v>
      </c>
      <c r="AO67" s="808"/>
    </row>
    <row r="68" spans="1:41" ht="22.35" customHeight="1">
      <c r="A68" s="802"/>
      <c r="B68" s="797" t="s">
        <v>123</v>
      </c>
      <c r="C68" s="791"/>
      <c r="D68" s="791"/>
      <c r="E68" s="791" t="s">
        <v>124</v>
      </c>
      <c r="F68" s="791" t="s">
        <v>115</v>
      </c>
      <c r="G68" s="891" t="s">
        <v>32</v>
      </c>
      <c r="H68" s="791" t="s">
        <v>125</v>
      </c>
      <c r="I68" s="974" t="s">
        <v>32</v>
      </c>
      <c r="J68" s="974"/>
      <c r="K68" s="790"/>
      <c r="L68" s="974" t="s">
        <v>126</v>
      </c>
      <c r="M68" s="974" t="s">
        <v>126</v>
      </c>
      <c r="N68" s="974" t="s">
        <v>126</v>
      </c>
      <c r="O68" s="974"/>
      <c r="P68" s="977" t="s">
        <v>126</v>
      </c>
      <c r="Q68" s="903" t="s">
        <v>32</v>
      </c>
      <c r="R68" s="903" t="s">
        <v>32</v>
      </c>
      <c r="S68" s="974" t="s">
        <v>36</v>
      </c>
      <c r="T68" s="974" t="s">
        <v>36</v>
      </c>
      <c r="U68" s="808" t="s">
        <v>32</v>
      </c>
      <c r="V68" s="977" t="s">
        <v>32</v>
      </c>
      <c r="W68" s="977" t="s">
        <v>127</v>
      </c>
      <c r="X68" s="557"/>
      <c r="Y68" s="977"/>
      <c r="Z68" s="980"/>
      <c r="AA68" s="980" t="s">
        <v>32</v>
      </c>
      <c r="AB68" s="980" t="s">
        <v>32</v>
      </c>
      <c r="AC68" s="980" t="s">
        <v>32</v>
      </c>
      <c r="AD68" s="980" t="s">
        <v>32</v>
      </c>
      <c r="AE68" s="980"/>
      <c r="AF68" s="980"/>
      <c r="AG68" s="981" t="s">
        <v>32</v>
      </c>
      <c r="AH68" s="1"/>
      <c r="AJ68" s="808">
        <v>147.75</v>
      </c>
      <c r="AK68" s="808">
        <v>2</v>
      </c>
      <c r="AL68" s="808">
        <f t="shared" si="3"/>
        <v>149.75</v>
      </c>
      <c r="AM68" s="889">
        <f t="shared" si="2"/>
        <v>-10.580000000000013</v>
      </c>
      <c r="AN68" s="889">
        <f t="shared" si="4"/>
        <v>19.589999999999989</v>
      </c>
      <c r="AO68" s="808">
        <v>30.17</v>
      </c>
    </row>
    <row r="69" spans="1:41" ht="22.35" customHeight="1">
      <c r="A69" s="975"/>
      <c r="B69" s="975" t="s">
        <v>128</v>
      </c>
      <c r="C69" s="800"/>
      <c r="D69" s="800"/>
      <c r="E69" s="800" t="s">
        <v>118</v>
      </c>
      <c r="F69" s="800" t="s">
        <v>118</v>
      </c>
      <c r="G69" s="792" t="s">
        <v>118</v>
      </c>
      <c r="H69" s="792" t="s">
        <v>118</v>
      </c>
      <c r="I69" s="792" t="s">
        <v>118</v>
      </c>
      <c r="J69" s="792"/>
      <c r="K69" s="792"/>
      <c r="L69" s="792" t="s">
        <v>118</v>
      </c>
      <c r="M69" s="792" t="s">
        <v>118</v>
      </c>
      <c r="N69" s="792" t="s">
        <v>118</v>
      </c>
      <c r="O69" s="792"/>
      <c r="P69" s="792" t="s">
        <v>118</v>
      </c>
      <c r="Q69" s="793"/>
      <c r="R69" s="793"/>
      <c r="S69" s="793" t="s">
        <v>118</v>
      </c>
      <c r="T69" s="793" t="s">
        <v>118</v>
      </c>
      <c r="U69" s="793" t="s">
        <v>118</v>
      </c>
      <c r="V69" s="793" t="s">
        <v>118</v>
      </c>
      <c r="W69" s="792" t="s">
        <v>118</v>
      </c>
      <c r="X69" s="792"/>
      <c r="Y69" s="792"/>
      <c r="Z69" s="792"/>
      <c r="AA69" s="792" t="s">
        <v>118</v>
      </c>
      <c r="AB69" s="792" t="s">
        <v>118</v>
      </c>
      <c r="AC69" s="792" t="s">
        <v>118</v>
      </c>
      <c r="AD69" s="792" t="s">
        <v>129</v>
      </c>
      <c r="AE69" s="974"/>
      <c r="AF69" s="974"/>
      <c r="AG69" s="807" t="s">
        <v>118</v>
      </c>
      <c r="AH69" s="1"/>
      <c r="AJ69" s="808">
        <v>155.5</v>
      </c>
      <c r="AK69" s="808">
        <v>0.5</v>
      </c>
      <c r="AL69" s="808">
        <f t="shared" si="3"/>
        <v>156</v>
      </c>
      <c r="AM69" s="889">
        <f t="shared" si="2"/>
        <v>-4.3300000000000125</v>
      </c>
      <c r="AN69" s="889">
        <f t="shared" si="4"/>
        <v>-4.9100000000000126</v>
      </c>
      <c r="AO69" s="808">
        <v>-0.57999999999999996</v>
      </c>
    </row>
    <row r="70" spans="1:41" ht="22.35" customHeight="1">
      <c r="A70" s="975"/>
      <c r="B70" s="975" t="s">
        <v>130</v>
      </c>
      <c r="C70" s="804"/>
      <c r="D70" s="974"/>
      <c r="E70" s="974">
        <v>79</v>
      </c>
      <c r="F70" s="974" t="s">
        <v>32</v>
      </c>
      <c r="G70" s="891" t="s">
        <v>32</v>
      </c>
      <c r="H70" s="974" t="s">
        <v>32</v>
      </c>
      <c r="I70" s="977" t="s">
        <v>32</v>
      </c>
      <c r="J70" s="977" t="s">
        <v>111</v>
      </c>
      <c r="K70" s="790"/>
      <c r="L70" s="977">
        <v>1</v>
      </c>
      <c r="M70" s="977" t="s">
        <v>50</v>
      </c>
      <c r="N70" s="896">
        <v>1</v>
      </c>
      <c r="O70" s="977">
        <v>1</v>
      </c>
      <c r="P70" s="977">
        <v>1</v>
      </c>
      <c r="Q70" s="803" t="s">
        <v>77</v>
      </c>
      <c r="R70" s="803" t="s">
        <v>77</v>
      </c>
      <c r="S70" s="977" t="s">
        <v>36</v>
      </c>
      <c r="T70" s="977" t="s">
        <v>32</v>
      </c>
      <c r="U70" s="903" t="s">
        <v>32</v>
      </c>
      <c r="V70" s="977" t="s">
        <v>36</v>
      </c>
      <c r="W70" s="977" t="s">
        <v>36</v>
      </c>
      <c r="X70" s="903" t="s">
        <v>32</v>
      </c>
      <c r="Y70" s="903" t="s">
        <v>32</v>
      </c>
      <c r="Z70" s="974"/>
      <c r="AA70" s="974" t="s">
        <v>122</v>
      </c>
      <c r="AB70" s="903" t="s">
        <v>32</v>
      </c>
      <c r="AC70" s="974" t="s">
        <v>32</v>
      </c>
      <c r="AD70" s="974" t="s">
        <v>32</v>
      </c>
      <c r="AE70" s="557"/>
      <c r="AF70" s="557"/>
      <c r="AG70" s="807">
        <v>4</v>
      </c>
      <c r="AH70" s="1"/>
      <c r="AJ70" s="808">
        <v>140.75</v>
      </c>
      <c r="AK70" s="808">
        <v>2.25</v>
      </c>
      <c r="AL70" s="808">
        <f t="shared" si="3"/>
        <v>143</v>
      </c>
      <c r="AM70" s="889">
        <f t="shared" si="2"/>
        <v>-17.330000000000013</v>
      </c>
      <c r="AN70" s="889">
        <f t="shared" si="4"/>
        <v>-0.9100000000000108</v>
      </c>
      <c r="AO70" s="808">
        <v>16.420000000000002</v>
      </c>
    </row>
    <row r="71" spans="1:41" ht="22.35" customHeight="1">
      <c r="A71" s="975"/>
      <c r="B71" s="975" t="s">
        <v>131</v>
      </c>
      <c r="C71" s="974"/>
      <c r="D71" s="974"/>
      <c r="E71" s="974" t="s">
        <v>122</v>
      </c>
      <c r="F71" s="974" t="s">
        <v>122</v>
      </c>
      <c r="G71" s="974" t="s">
        <v>122</v>
      </c>
      <c r="H71" s="974" t="s">
        <v>122</v>
      </c>
      <c r="I71" s="974" t="s">
        <v>122</v>
      </c>
      <c r="J71" s="974" t="s">
        <v>111</v>
      </c>
      <c r="K71" s="974" t="s">
        <v>111</v>
      </c>
      <c r="L71" s="974" t="s">
        <v>122</v>
      </c>
      <c r="M71" s="974" t="s">
        <v>122</v>
      </c>
      <c r="N71" s="974" t="s">
        <v>122</v>
      </c>
      <c r="O71" s="974"/>
      <c r="P71" s="974" t="s">
        <v>122</v>
      </c>
      <c r="Q71" s="974"/>
      <c r="R71" s="974"/>
      <c r="S71" s="974" t="s">
        <v>122</v>
      </c>
      <c r="T71" s="974" t="s">
        <v>122</v>
      </c>
      <c r="U71" s="974" t="s">
        <v>122</v>
      </c>
      <c r="V71" s="974" t="s">
        <v>122</v>
      </c>
      <c r="W71" s="974" t="s">
        <v>122</v>
      </c>
      <c r="X71" s="974">
        <v>89</v>
      </c>
      <c r="Y71" s="974"/>
      <c r="Z71" s="974"/>
      <c r="AA71" s="974" t="s">
        <v>52</v>
      </c>
      <c r="AB71" t="s">
        <v>32</v>
      </c>
      <c r="AC71" s="974" t="s">
        <v>118</v>
      </c>
      <c r="AD71" s="974" t="s">
        <v>118</v>
      </c>
      <c r="AE71" s="974"/>
      <c r="AF71" s="974"/>
      <c r="AG71" s="807" t="s">
        <v>132</v>
      </c>
      <c r="AH71" s="1"/>
      <c r="AJ71" s="808">
        <v>158.75</v>
      </c>
      <c r="AK71" s="808">
        <v>1</v>
      </c>
      <c r="AL71" s="808">
        <f t="shared" si="3"/>
        <v>159.75</v>
      </c>
      <c r="AM71" s="889">
        <f t="shared" si="2"/>
        <v>-0.58000000000001251</v>
      </c>
      <c r="AN71" s="889">
        <f t="shared" si="4"/>
        <v>18.099999999999987</v>
      </c>
      <c r="AO71" s="808">
        <v>18.68</v>
      </c>
    </row>
    <row r="72" spans="1:41" ht="22.35" customHeight="1">
      <c r="A72" s="975"/>
      <c r="B72" s="975" t="s">
        <v>133</v>
      </c>
      <c r="C72" s="974"/>
      <c r="D72" s="974"/>
      <c r="E72" s="974" t="s">
        <v>50</v>
      </c>
      <c r="F72" s="974" t="s">
        <v>50</v>
      </c>
      <c r="G72" s="974" t="s">
        <v>50</v>
      </c>
      <c r="H72" s="974" t="s">
        <v>50</v>
      </c>
      <c r="I72" s="974" t="s">
        <v>50</v>
      </c>
      <c r="J72" s="974"/>
      <c r="K72" s="974"/>
      <c r="L72" s="903" t="s">
        <v>32</v>
      </c>
      <c r="M72" s="903" t="s">
        <v>32</v>
      </c>
      <c r="N72" s="903" t="s">
        <v>32</v>
      </c>
      <c r="O72" s="974"/>
      <c r="P72" s="974" t="s">
        <v>124</v>
      </c>
      <c r="Q72" s="974"/>
      <c r="R72" s="974"/>
      <c r="S72" s="974" t="s">
        <v>50</v>
      </c>
      <c r="T72" s="974" t="s">
        <v>50</v>
      </c>
      <c r="U72" s="974" t="s">
        <v>50</v>
      </c>
      <c r="V72" s="974" t="s">
        <v>50</v>
      </c>
      <c r="W72" s="974" t="s">
        <v>50</v>
      </c>
      <c r="X72" s="974"/>
      <c r="Y72" s="977"/>
      <c r="Z72" s="974"/>
      <c r="AA72" s="974">
        <v>25</v>
      </c>
      <c r="AB72" s="974">
        <v>25</v>
      </c>
      <c r="AC72" s="974">
        <v>25</v>
      </c>
      <c r="AD72" s="974">
        <v>25</v>
      </c>
      <c r="AE72" s="974"/>
      <c r="AF72" s="974"/>
      <c r="AG72" s="807" t="s">
        <v>50</v>
      </c>
      <c r="AH72" s="1"/>
      <c r="AJ72" s="808">
        <v>150.5</v>
      </c>
      <c r="AK72" s="808">
        <v>2.75</v>
      </c>
      <c r="AL72" s="808">
        <f t="shared" si="3"/>
        <v>153.25</v>
      </c>
      <c r="AM72" s="889">
        <f t="shared" si="2"/>
        <v>-7.0800000000000125</v>
      </c>
      <c r="AN72" s="889">
        <f t="shared" si="4"/>
        <v>-6.4000000000000128</v>
      </c>
      <c r="AO72" s="808">
        <v>0.68</v>
      </c>
    </row>
    <row r="73" spans="1:41" ht="22.35" customHeight="1">
      <c r="A73" s="794"/>
      <c r="B73" s="802" t="s">
        <v>134</v>
      </c>
      <c r="C73" s="974"/>
      <c r="D73" s="974"/>
      <c r="E73" s="974">
        <v>25</v>
      </c>
      <c r="F73" s="974">
        <v>25</v>
      </c>
      <c r="G73" s="974">
        <v>25</v>
      </c>
      <c r="H73" s="974">
        <v>25</v>
      </c>
      <c r="I73" s="974">
        <v>25</v>
      </c>
      <c r="J73" s="974"/>
      <c r="K73" s="974"/>
      <c r="L73" s="974" t="s">
        <v>113</v>
      </c>
      <c r="M73" s="974" t="s">
        <v>113</v>
      </c>
      <c r="N73" s="982" t="s">
        <v>113</v>
      </c>
      <c r="O73" s="982"/>
      <c r="P73" s="974" t="s">
        <v>135</v>
      </c>
      <c r="Q73" s="974"/>
      <c r="R73" s="974"/>
      <c r="S73" s="974">
        <v>9</v>
      </c>
      <c r="T73" s="974">
        <v>9</v>
      </c>
      <c r="U73" s="982">
        <v>9</v>
      </c>
      <c r="V73" s="982">
        <v>9</v>
      </c>
      <c r="W73" s="974">
        <v>9</v>
      </c>
      <c r="X73" s="798" t="s">
        <v>76</v>
      </c>
      <c r="Y73" s="974" t="s">
        <v>77</v>
      </c>
      <c r="Z73" s="798" t="s">
        <v>36</v>
      </c>
      <c r="AA73" s="798" t="s">
        <v>36</v>
      </c>
      <c r="AB73" s="798" t="s">
        <v>36</v>
      </c>
      <c r="AC73" s="798" t="s">
        <v>36</v>
      </c>
      <c r="AD73" s="798" t="s">
        <v>36</v>
      </c>
      <c r="AE73" s="978"/>
      <c r="AF73" s="798"/>
      <c r="AG73" s="979" t="s">
        <v>136</v>
      </c>
      <c r="AH73" s="1"/>
      <c r="AJ73" s="808"/>
      <c r="AK73" s="808"/>
      <c r="AL73" s="808" t="str">
        <f t="shared" si="3"/>
        <v/>
      </c>
      <c r="AM73" s="889" t="str">
        <f t="shared" si="2"/>
        <v/>
      </c>
      <c r="AN73" s="889" t="str">
        <f t="shared" si="4"/>
        <v/>
      </c>
      <c r="AO73" s="808"/>
    </row>
    <row r="74" spans="1:41" ht="22.35" customHeight="1">
      <c r="A74" s="975"/>
      <c r="B74" s="975" t="s">
        <v>137</v>
      </c>
      <c r="C74" s="974"/>
      <c r="D74" s="974"/>
      <c r="E74" s="789" t="s">
        <v>32</v>
      </c>
      <c r="F74" s="891" t="s">
        <v>32</v>
      </c>
      <c r="G74" s="789" t="s">
        <v>32</v>
      </c>
      <c r="H74" s="789" t="s">
        <v>32</v>
      </c>
      <c r="I74" s="789" t="s">
        <v>32</v>
      </c>
      <c r="J74" s="974"/>
      <c r="K74" s="974"/>
      <c r="L74" s="789" t="s">
        <v>32</v>
      </c>
      <c r="M74" s="891" t="s">
        <v>32</v>
      </c>
      <c r="N74" s="789" t="s">
        <v>32</v>
      </c>
      <c r="O74" s="789"/>
      <c r="P74" s="789" t="s">
        <v>32</v>
      </c>
      <c r="Q74" s="974"/>
      <c r="R74" s="974"/>
      <c r="S74" s="789" t="s">
        <v>32</v>
      </c>
      <c r="T74" s="891" t="s">
        <v>32</v>
      </c>
      <c r="U74" s="789" t="s">
        <v>32</v>
      </c>
      <c r="V74" s="789" t="s">
        <v>32</v>
      </c>
      <c r="W74" s="789" t="s">
        <v>32</v>
      </c>
      <c r="X74" s="974"/>
      <c r="Y74" s="977"/>
      <c r="Z74" s="789"/>
      <c r="AA74" s="891" t="s">
        <v>32</v>
      </c>
      <c r="AB74" s="789" t="s">
        <v>32</v>
      </c>
      <c r="AC74" s="789" t="s">
        <v>32</v>
      </c>
      <c r="AD74" s="789" t="s">
        <v>32</v>
      </c>
      <c r="AE74" s="974"/>
      <c r="AF74" s="974"/>
      <c r="AG74" s="789" t="s">
        <v>32</v>
      </c>
      <c r="AH74" s="1"/>
      <c r="AJ74" s="808"/>
      <c r="AK74" s="808"/>
      <c r="AL74" s="808" t="str">
        <f t="shared" si="3"/>
        <v/>
      </c>
      <c r="AM74" s="889" t="str">
        <f t="shared" si="2"/>
        <v/>
      </c>
      <c r="AN74" s="889" t="str">
        <f t="shared" si="4"/>
        <v/>
      </c>
      <c r="AO74" s="808"/>
    </row>
    <row r="75" spans="1:41" ht="22.35" customHeight="1">
      <c r="AJ75" s="808"/>
      <c r="AK75" s="808"/>
      <c r="AL75" s="808" t="str">
        <f>IF(AJ75="","",SUM(AJ75:AK75))</f>
        <v/>
      </c>
      <c r="AM75" s="889" t="str">
        <f>IF(AJ75="","",AL75-NormTid)</f>
        <v/>
      </c>
      <c r="AN75" s="889" t="str">
        <f t="shared" si="4"/>
        <v/>
      </c>
      <c r="AO75" s="808"/>
    </row>
    <row r="76" spans="1:41" ht="22.35" customHeight="1">
      <c r="AJ76" s="808"/>
      <c r="AK76" s="808"/>
      <c r="AL76" s="808" t="str">
        <f>IF(AJ76="","",SUM(AJ76:AK76))</f>
        <v/>
      </c>
      <c r="AM76" s="889" t="str">
        <f>IF(AJ76="","",AL76-NormTid)</f>
        <v/>
      </c>
      <c r="AN76" s="889" t="str">
        <f t="shared" si="4"/>
        <v/>
      </c>
      <c r="AO76" s="808"/>
    </row>
    <row r="77" spans="1:41" ht="22.35" customHeight="1" thickBot="1">
      <c r="A77" s="983"/>
      <c r="B77" s="984" t="s">
        <v>138</v>
      </c>
      <c r="C77" s="985">
        <v>1</v>
      </c>
      <c r="D77" s="985">
        <v>2</v>
      </c>
      <c r="E77" s="986">
        <v>3</v>
      </c>
      <c r="F77" s="986">
        <v>4</v>
      </c>
      <c r="G77" s="986">
        <v>5</v>
      </c>
      <c r="H77" s="986">
        <v>6</v>
      </c>
      <c r="I77" s="986">
        <v>7</v>
      </c>
      <c r="J77" s="985">
        <v>8</v>
      </c>
      <c r="K77" s="985">
        <v>9</v>
      </c>
      <c r="L77" s="986">
        <v>10</v>
      </c>
      <c r="M77" s="986">
        <v>11</v>
      </c>
      <c r="N77" s="986">
        <v>12</v>
      </c>
      <c r="O77" s="985">
        <v>13</v>
      </c>
      <c r="P77" s="986">
        <v>14</v>
      </c>
      <c r="Q77" s="985">
        <v>15</v>
      </c>
      <c r="R77" s="985">
        <v>16</v>
      </c>
      <c r="S77" s="986">
        <v>17</v>
      </c>
      <c r="T77" s="986">
        <v>18</v>
      </c>
      <c r="U77" s="986">
        <v>19</v>
      </c>
      <c r="V77" s="986">
        <v>20</v>
      </c>
      <c r="W77" s="986">
        <v>21</v>
      </c>
      <c r="X77" s="985">
        <v>22</v>
      </c>
      <c r="Y77" s="985">
        <v>23</v>
      </c>
      <c r="Z77" s="985">
        <v>24</v>
      </c>
      <c r="AA77" s="986">
        <v>25</v>
      </c>
      <c r="AB77" s="986">
        <v>26</v>
      </c>
      <c r="AC77" s="986">
        <v>27</v>
      </c>
      <c r="AD77" s="986">
        <v>28</v>
      </c>
      <c r="AE77" s="985">
        <v>29</v>
      </c>
      <c r="AF77" s="985">
        <v>30</v>
      </c>
      <c r="AG77" s="987">
        <v>31</v>
      </c>
      <c r="AH77" s="1"/>
    </row>
    <row r="78" spans="1:41" ht="22.35" customHeight="1">
      <c r="A78" s="308"/>
      <c r="B78" s="308" t="s">
        <v>139</v>
      </c>
      <c r="C78" s="872"/>
      <c r="D78" s="872"/>
      <c r="E78" s="872">
        <v>1</v>
      </c>
      <c r="F78" s="872">
        <v>1</v>
      </c>
      <c r="G78" s="936">
        <v>1</v>
      </c>
      <c r="H78" s="936">
        <v>1</v>
      </c>
      <c r="I78" s="935">
        <v>1</v>
      </c>
      <c r="J78" s="935"/>
      <c r="K78" s="935"/>
      <c r="L78" s="935">
        <v>9</v>
      </c>
      <c r="M78" s="935">
        <v>9</v>
      </c>
      <c r="N78" s="935">
        <v>9</v>
      </c>
      <c r="O78" s="935">
        <v>9</v>
      </c>
      <c r="P78" s="872">
        <v>9</v>
      </c>
      <c r="Q78" s="872" t="s">
        <v>76</v>
      </c>
      <c r="R78" s="872" t="s">
        <v>77</v>
      </c>
      <c r="S78" s="872" t="s">
        <v>36</v>
      </c>
      <c r="T78" s="872" t="s">
        <v>36</v>
      </c>
      <c r="U78" s="988" t="s">
        <v>36</v>
      </c>
      <c r="V78" s="988" t="s">
        <v>36</v>
      </c>
      <c r="W78" s="988" t="s">
        <v>36</v>
      </c>
      <c r="X78" s="936" t="s">
        <v>78</v>
      </c>
      <c r="Y78" s="936" t="s">
        <v>74</v>
      </c>
      <c r="Z78" s="936">
        <v>6</v>
      </c>
      <c r="AA78" s="936">
        <v>6</v>
      </c>
      <c r="AB78" s="936">
        <v>6</v>
      </c>
      <c r="AC78" s="936">
        <v>6</v>
      </c>
      <c r="AD78" s="936">
        <v>6</v>
      </c>
      <c r="AE78" s="936"/>
      <c r="AF78" s="936"/>
      <c r="AG78" s="947" t="s">
        <v>36</v>
      </c>
      <c r="AH78" s="1"/>
    </row>
    <row r="79" spans="1:41" ht="22.35" customHeight="1">
      <c r="A79" s="797"/>
      <c r="B79" s="797" t="s">
        <v>140</v>
      </c>
      <c r="C79" s="989" t="s">
        <v>76</v>
      </c>
      <c r="D79" s="989" t="s">
        <v>77</v>
      </c>
      <c r="E79" s="989" t="s">
        <v>36</v>
      </c>
      <c r="F79" s="989" t="s">
        <v>36</v>
      </c>
      <c r="G79" s="989" t="s">
        <v>36</v>
      </c>
      <c r="H79" s="989" t="s">
        <v>36</v>
      </c>
      <c r="I79" s="989" t="s">
        <v>36</v>
      </c>
      <c r="J79" s="891"/>
      <c r="K79" s="899"/>
      <c r="L79" s="895" t="s">
        <v>116</v>
      </c>
      <c r="M79" s="990" t="s">
        <v>116</v>
      </c>
      <c r="N79" s="990" t="s">
        <v>116</v>
      </c>
      <c r="O79" s="990" t="s">
        <v>109</v>
      </c>
      <c r="P79" s="804" t="s">
        <v>116</v>
      </c>
      <c r="Q79" s="808"/>
      <c r="R79" s="808"/>
      <c r="S79" s="989" t="s">
        <v>126</v>
      </c>
      <c r="T79" s="989" t="s">
        <v>126</v>
      </c>
      <c r="U79" s="989" t="s">
        <v>126</v>
      </c>
      <c r="V79" s="989" t="s">
        <v>141</v>
      </c>
      <c r="W79" s="991" t="s">
        <v>141</v>
      </c>
      <c r="X79" s="896" t="s">
        <v>80</v>
      </c>
      <c r="Y79" s="976" t="s">
        <v>80</v>
      </c>
      <c r="Z79" s="798"/>
      <c r="AA79" s="989">
        <v>5</v>
      </c>
      <c r="AB79" s="989">
        <v>5</v>
      </c>
      <c r="AC79" s="989">
        <v>5</v>
      </c>
      <c r="AD79" s="896">
        <v>5</v>
      </c>
      <c r="AE79" s="896" t="s">
        <v>32</v>
      </c>
      <c r="AF79" s="891"/>
      <c r="AG79" s="992">
        <v>8</v>
      </c>
      <c r="AH79" s="1"/>
    </row>
    <row r="80" spans="1:41" ht="22.35" customHeight="1">
      <c r="A80" s="993"/>
      <c r="B80" s="797"/>
      <c r="C80" s="891"/>
      <c r="D80" s="891"/>
      <c r="E80" s="891"/>
      <c r="F80" s="891"/>
      <c r="G80" s="891"/>
      <c r="H80" s="891"/>
      <c r="I80" s="891"/>
      <c r="J80" s="891"/>
      <c r="K80" s="891"/>
      <c r="L80" s="891"/>
      <c r="M80" s="891"/>
      <c r="N80" s="891"/>
      <c r="O80" s="891"/>
      <c r="P80" s="891"/>
      <c r="Q80" s="891"/>
      <c r="R80" s="891"/>
      <c r="S80" s="891"/>
      <c r="T80" s="891"/>
      <c r="U80" s="891"/>
      <c r="V80" s="891"/>
      <c r="W80" s="891"/>
      <c r="X80" s="891"/>
      <c r="Y80" s="891"/>
      <c r="Z80" s="891"/>
      <c r="AA80" s="891"/>
      <c r="AB80" s="891"/>
      <c r="AC80" s="891"/>
      <c r="AD80" s="891"/>
      <c r="AE80" s="891"/>
      <c r="AF80" s="891"/>
      <c r="AG80" s="979"/>
      <c r="AH80" s="1"/>
    </row>
    <row r="81" spans="1:35" ht="22.35" customHeight="1" thickBot="1">
      <c r="A81" s="994"/>
      <c r="B81" s="995"/>
      <c r="C81" s="996"/>
      <c r="D81" s="997"/>
      <c r="E81" s="997"/>
      <c r="F81" s="997"/>
      <c r="G81" s="997"/>
      <c r="H81" s="997"/>
      <c r="I81" s="996"/>
      <c r="J81" s="996"/>
      <c r="K81" s="997"/>
      <c r="L81" s="997"/>
      <c r="M81" s="997"/>
      <c r="N81" s="997"/>
      <c r="O81" s="997"/>
      <c r="P81" s="998"/>
      <c r="Q81" s="998"/>
      <c r="R81" s="996"/>
      <c r="S81" s="998"/>
      <c r="T81" s="998"/>
      <c r="U81" s="998"/>
      <c r="V81" s="998"/>
      <c r="W81" s="998"/>
      <c r="X81" s="996"/>
      <c r="Y81" s="998"/>
      <c r="Z81" s="998"/>
      <c r="AA81" s="998"/>
      <c r="AB81" s="998"/>
      <c r="AC81" s="996"/>
      <c r="AD81" s="998"/>
      <c r="AE81" s="998"/>
      <c r="AF81" s="996"/>
      <c r="AG81" s="999"/>
      <c r="AH81" s="1"/>
    </row>
    <row r="82" spans="1:35" ht="22.35" customHeight="1" thickBot="1">
      <c r="A82" s="205"/>
      <c r="B82" s="206" t="s">
        <v>142</v>
      </c>
      <c r="C82" s="203"/>
      <c r="D82" s="207"/>
      <c r="E82" s="207"/>
      <c r="F82" s="207"/>
      <c r="G82" s="207"/>
      <c r="H82" s="207"/>
      <c r="I82" s="203"/>
      <c r="J82" s="203"/>
      <c r="K82" s="207"/>
      <c r="L82" s="207"/>
      <c r="M82" s="207"/>
      <c r="N82" s="207"/>
      <c r="O82" s="207"/>
      <c r="P82" s="203"/>
      <c r="Q82" s="203"/>
      <c r="R82" s="203"/>
      <c r="S82" s="208"/>
      <c r="T82" s="208"/>
      <c r="U82" s="208"/>
      <c r="V82" s="203"/>
      <c r="W82" s="203"/>
      <c r="X82" s="203"/>
      <c r="Y82" s="203"/>
      <c r="Z82" s="203"/>
      <c r="AA82" s="203"/>
      <c r="AB82" s="203"/>
      <c r="AC82" s="203"/>
      <c r="AD82" s="203"/>
      <c r="AE82" s="203"/>
      <c r="AF82" s="203"/>
      <c r="AG82" s="225"/>
      <c r="AH82" s="1"/>
    </row>
    <row r="83" spans="1:35" ht="22.35" customHeight="1" thickBot="1">
      <c r="A83" s="592"/>
      <c r="B83" s="508"/>
      <c r="C83" s="974"/>
      <c r="D83" s="974"/>
      <c r="E83" s="974" t="s">
        <v>32</v>
      </c>
      <c r="F83" s="974" t="s">
        <v>32</v>
      </c>
      <c r="G83" s="974" t="s">
        <v>32</v>
      </c>
      <c r="H83" s="974" t="s">
        <v>32</v>
      </c>
      <c r="I83" s="974" t="s">
        <v>32</v>
      </c>
      <c r="J83" s="974"/>
      <c r="K83" s="974"/>
      <c r="L83" s="974" t="s">
        <v>32</v>
      </c>
      <c r="M83" s="974" t="s">
        <v>32</v>
      </c>
      <c r="N83" s="974" t="s">
        <v>32</v>
      </c>
      <c r="O83" s="974"/>
      <c r="P83" s="974" t="s">
        <v>32</v>
      </c>
      <c r="Q83" s="974"/>
      <c r="R83" s="974"/>
      <c r="S83" s="974" t="s">
        <v>32</v>
      </c>
      <c r="T83" s="974" t="s">
        <v>32</v>
      </c>
      <c r="U83" s="974" t="s">
        <v>32</v>
      </c>
      <c r="V83" s="974" t="s">
        <v>32</v>
      </c>
      <c r="W83" s="974" t="s">
        <v>32</v>
      </c>
      <c r="X83" s="974"/>
      <c r="Y83" s="977"/>
      <c r="Z83" s="974"/>
      <c r="AA83" s="974" t="s">
        <v>32</v>
      </c>
      <c r="AB83" s="974" t="s">
        <v>32</v>
      </c>
      <c r="AC83" s="974" t="s">
        <v>32</v>
      </c>
      <c r="AD83" s="974" t="s">
        <v>32</v>
      </c>
      <c r="AE83" s="974"/>
      <c r="AF83" s="974"/>
      <c r="AG83" s="807" t="s">
        <v>32</v>
      </c>
      <c r="AH83" s="1"/>
    </row>
    <row r="84" spans="1:35" ht="22.35" customHeight="1">
      <c r="A84" s="64" t="s">
        <v>143</v>
      </c>
      <c r="AH84" s="1"/>
    </row>
    <row r="85" spans="1:35" ht="22.35" customHeight="1" thickBot="1">
      <c r="A85" s="1000"/>
      <c r="B85" s="924" t="s">
        <v>29</v>
      </c>
      <c r="C85" s="859">
        <v>1</v>
      </c>
      <c r="D85" s="859">
        <v>2</v>
      </c>
      <c r="E85" s="860">
        <v>3</v>
      </c>
      <c r="F85" s="860">
        <v>4</v>
      </c>
      <c r="G85" s="860">
        <v>5</v>
      </c>
      <c r="H85" s="860">
        <v>6</v>
      </c>
      <c r="I85" s="860">
        <v>7</v>
      </c>
      <c r="J85" s="859">
        <v>8</v>
      </c>
      <c r="K85" s="859">
        <v>9</v>
      </c>
      <c r="L85" s="860">
        <v>10</v>
      </c>
      <c r="M85" s="860">
        <v>11</v>
      </c>
      <c r="N85" s="860">
        <v>12</v>
      </c>
      <c r="O85" s="859">
        <v>13</v>
      </c>
      <c r="P85" s="860">
        <v>14</v>
      </c>
      <c r="Q85" s="859">
        <v>15</v>
      </c>
      <c r="R85" s="859">
        <v>16</v>
      </c>
      <c r="S85" s="860">
        <v>17</v>
      </c>
      <c r="T85" s="860">
        <v>18</v>
      </c>
      <c r="U85" s="860">
        <v>19</v>
      </c>
      <c r="V85" s="860">
        <v>20</v>
      </c>
      <c r="W85" s="860">
        <v>21</v>
      </c>
      <c r="X85" s="859">
        <v>22</v>
      </c>
      <c r="Y85" s="859">
        <v>23</v>
      </c>
      <c r="Z85" s="859">
        <v>24</v>
      </c>
      <c r="AA85" s="860">
        <v>25</v>
      </c>
      <c r="AB85" s="860">
        <v>26</v>
      </c>
      <c r="AC85" s="860">
        <v>27</v>
      </c>
      <c r="AD85" s="860">
        <v>28</v>
      </c>
      <c r="AE85" s="859">
        <v>29</v>
      </c>
      <c r="AF85" s="859">
        <v>30</v>
      </c>
      <c r="AG85" s="861">
        <v>31</v>
      </c>
      <c r="AH85" s="1"/>
    </row>
    <row r="86" spans="1:35" ht="22.35" customHeight="1">
      <c r="A86" s="365"/>
      <c r="B86" s="366" t="s">
        <v>144</v>
      </c>
      <c r="C86" s="349"/>
      <c r="D86" s="364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52"/>
      <c r="AH86" s="1"/>
    </row>
    <row r="87" spans="1:35" ht="22.35" customHeight="1">
      <c r="A87" s="1001">
        <v>2</v>
      </c>
      <c r="B87" s="877"/>
      <c r="C87" s="871"/>
      <c r="D87" s="871"/>
      <c r="E87" s="871"/>
      <c r="F87" s="868"/>
      <c r="G87" s="868"/>
      <c r="H87" s="868"/>
      <c r="I87" s="868"/>
      <c r="J87" s="868"/>
      <c r="K87" s="868"/>
      <c r="L87" s="868"/>
      <c r="M87" s="868"/>
      <c r="N87" s="868"/>
      <c r="O87" s="868"/>
      <c r="P87" s="868"/>
      <c r="Q87" s="868"/>
      <c r="R87" s="1002"/>
      <c r="S87" s="1002"/>
      <c r="T87" s="1002"/>
      <c r="U87" s="1002"/>
      <c r="V87" s="1002"/>
      <c r="W87" s="871"/>
      <c r="X87" s="871"/>
      <c r="Y87" s="1002"/>
      <c r="Z87" s="1002"/>
      <c r="AA87" s="1002"/>
      <c r="AB87" s="1002"/>
      <c r="AC87" s="1002"/>
      <c r="AD87" s="871"/>
      <c r="AE87" s="871"/>
      <c r="AF87" s="1002"/>
      <c r="AG87" s="1003"/>
      <c r="AH87" s="1"/>
    </row>
    <row r="88" spans="1:35" ht="22.35" customHeight="1">
      <c r="A88" s="1001">
        <v>3</v>
      </c>
      <c r="B88" s="877"/>
      <c r="C88" s="871"/>
      <c r="D88" s="871"/>
      <c r="E88" s="871"/>
      <c r="F88" s="871"/>
      <c r="G88" s="871"/>
      <c r="H88" s="871"/>
      <c r="I88" s="871"/>
      <c r="J88" s="871"/>
      <c r="K88" s="871"/>
      <c r="L88" s="871"/>
      <c r="M88" s="871"/>
      <c r="N88" s="871"/>
      <c r="O88" s="871"/>
      <c r="P88" s="871"/>
      <c r="Q88" s="871"/>
      <c r="R88" s="871"/>
      <c r="S88" s="871"/>
      <c r="T88" s="871"/>
      <c r="U88" s="871"/>
      <c r="V88" s="871"/>
      <c r="W88" s="871"/>
      <c r="X88" s="871"/>
      <c r="Y88" s="871"/>
      <c r="Z88" s="871"/>
      <c r="AA88" s="871"/>
      <c r="AB88" s="871"/>
      <c r="AC88" s="871"/>
      <c r="AD88" s="871"/>
      <c r="AE88" s="871"/>
      <c r="AF88" s="871"/>
      <c r="AG88" s="1004"/>
      <c r="AH88" s="1"/>
    </row>
    <row r="89" spans="1:35" ht="22.35" customHeight="1" thickBot="1">
      <c r="A89" s="973">
        <v>4</v>
      </c>
      <c r="B89" s="929"/>
      <c r="C89" s="1005"/>
      <c r="D89" s="1005"/>
      <c r="E89" s="1005"/>
      <c r="F89" s="1005"/>
      <c r="G89" s="1005"/>
      <c r="H89" s="1005"/>
      <c r="I89" s="1005"/>
      <c r="J89" s="1005"/>
      <c r="K89" s="1005"/>
      <c r="L89" s="1005"/>
      <c r="M89" s="1005"/>
      <c r="N89" s="1005"/>
      <c r="O89" s="1005"/>
      <c r="P89" s="1005"/>
      <c r="Q89" s="1005"/>
      <c r="R89" s="1005"/>
      <c r="S89" s="1005"/>
      <c r="T89" s="1005"/>
      <c r="U89" s="1005"/>
      <c r="V89" s="1005"/>
      <c r="W89" s="1005"/>
      <c r="X89" s="1005"/>
      <c r="Y89" s="1005"/>
      <c r="Z89" s="1005"/>
      <c r="AA89" s="1005"/>
      <c r="AB89" s="1005"/>
      <c r="AC89" s="1005"/>
      <c r="AD89" s="1005"/>
      <c r="AE89" s="1005"/>
      <c r="AF89" s="1005"/>
      <c r="AG89" s="861"/>
      <c r="AH89" s="1"/>
    </row>
    <row r="90" spans="1:35" ht="22.35" customHeight="1">
      <c r="A90" s="209"/>
      <c r="B90" s="21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  <c r="AA90" s="211"/>
      <c r="AB90" s="211"/>
      <c r="AC90" s="211"/>
      <c r="AD90" s="211"/>
      <c r="AE90" s="211"/>
      <c r="AF90" s="211"/>
      <c r="AG90" s="211"/>
      <c r="AH90" s="1"/>
    </row>
    <row r="91" spans="1:35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</row>
    <row r="92" spans="1:35" ht="22.35" customHeight="1" thickBot="1">
      <c r="A92" t="s">
        <v>145</v>
      </c>
    </row>
    <row r="93" spans="1:35" ht="22.35" customHeight="1" thickBot="1">
      <c r="B93" s="323" t="s">
        <v>146</v>
      </c>
      <c r="C93" s="252"/>
      <c r="D93" s="314" t="s">
        <v>94</v>
      </c>
      <c r="E93" s="314"/>
      <c r="F93" s="279"/>
      <c r="G93" s="252"/>
      <c r="H93" s="314" t="s">
        <v>95</v>
      </c>
      <c r="I93" s="314"/>
      <c r="J93" s="279"/>
      <c r="K93" s="252"/>
      <c r="L93" s="314" t="s">
        <v>96</v>
      </c>
      <c r="M93" s="314"/>
      <c r="N93" s="279"/>
      <c r="O93" s="252"/>
      <c r="P93" s="314" t="s">
        <v>97</v>
      </c>
      <c r="Q93" s="314"/>
      <c r="R93" s="279"/>
      <c r="S93" s="252"/>
      <c r="T93" s="314" t="s">
        <v>98</v>
      </c>
      <c r="U93" s="314"/>
      <c r="V93" s="279"/>
      <c r="W93" s="252"/>
      <c r="X93" s="314" t="s">
        <v>99</v>
      </c>
      <c r="Y93" s="314"/>
      <c r="Z93" s="279"/>
      <c r="AA93" s="252"/>
      <c r="AB93" s="314" t="s">
        <v>100</v>
      </c>
      <c r="AC93" s="314"/>
      <c r="AD93" s="314"/>
      <c r="AE93" s="314" t="s">
        <v>147</v>
      </c>
      <c r="AF93" s="314"/>
      <c r="AG93" s="314"/>
      <c r="AH93" s="314"/>
      <c r="AI93" s="267"/>
    </row>
    <row r="94" spans="1:35" ht="22.35" customHeight="1">
      <c r="B94" s="441" t="s">
        <v>148</v>
      </c>
      <c r="C94" s="368" t="s">
        <v>149</v>
      </c>
      <c r="D94" s="314"/>
      <c r="E94" s="357"/>
      <c r="F94" s="372"/>
      <c r="G94" s="368" t="s">
        <v>149</v>
      </c>
      <c r="H94" s="357"/>
      <c r="I94" s="357"/>
      <c r="J94" s="372"/>
      <c r="K94" s="252" t="s">
        <v>149</v>
      </c>
      <c r="L94" s="314"/>
      <c r="M94" s="314"/>
      <c r="N94" s="279"/>
      <c r="O94" s="252" t="s">
        <v>150</v>
      </c>
      <c r="P94" s="314"/>
      <c r="Q94" s="357"/>
      <c r="R94" s="372"/>
      <c r="S94" s="368" t="s">
        <v>151</v>
      </c>
      <c r="T94" s="357"/>
      <c r="U94" s="357"/>
      <c r="V94" s="357"/>
      <c r="W94" s="523"/>
      <c r="X94" s="524"/>
      <c r="Y94" s="524"/>
      <c r="Z94" s="525"/>
      <c r="AA94" s="357"/>
      <c r="AB94" s="357"/>
      <c r="AC94" s="357"/>
      <c r="AD94" s="357"/>
      <c r="AE94" s="368">
        <v>37</v>
      </c>
      <c r="AF94" s="314"/>
      <c r="AG94" s="357"/>
      <c r="AH94" s="357"/>
      <c r="AI94" s="358"/>
    </row>
    <row r="95" spans="1:35" ht="22.35" customHeight="1">
      <c r="B95" s="1006" t="s">
        <v>152</v>
      </c>
      <c r="C95" s="1007" t="s">
        <v>153</v>
      </c>
      <c r="D95" s="841"/>
      <c r="E95" s="841"/>
      <c r="F95" s="849"/>
      <c r="G95" s="1007" t="s">
        <v>154</v>
      </c>
      <c r="H95" s="841"/>
      <c r="I95" s="841"/>
      <c r="J95" s="849"/>
      <c r="K95" s="1007" t="s">
        <v>155</v>
      </c>
      <c r="L95" s="841" t="s">
        <v>156</v>
      </c>
      <c r="M95" s="841"/>
      <c r="N95" s="849"/>
      <c r="O95" s="1007" t="s">
        <v>155</v>
      </c>
      <c r="P95" s="841" t="s">
        <v>156</v>
      </c>
      <c r="Q95" s="841"/>
      <c r="R95" s="849"/>
      <c r="S95" s="1007" t="s">
        <v>154</v>
      </c>
      <c r="T95" s="841" t="s">
        <v>157</v>
      </c>
      <c r="U95" s="841"/>
      <c r="V95" s="849"/>
      <c r="W95" s="8" t="s">
        <v>109</v>
      </c>
      <c r="X95" s="14" t="s">
        <v>158</v>
      </c>
      <c r="Y95" s="14"/>
      <c r="Z95" s="14"/>
      <c r="AA95" s="1007" t="s">
        <v>109</v>
      </c>
      <c r="AB95" s="841" t="s">
        <v>158</v>
      </c>
      <c r="AC95" s="1007"/>
      <c r="AD95" s="1007"/>
      <c r="AE95" s="1007">
        <v>68</v>
      </c>
      <c r="AF95" s="841"/>
      <c r="AG95" s="841"/>
      <c r="AH95" s="841"/>
      <c r="AI95" s="850"/>
    </row>
    <row r="96" spans="1:35" ht="22.35" customHeight="1">
      <c r="B96" s="1006" t="s">
        <v>159</v>
      </c>
      <c r="C96" s="1008" t="s">
        <v>160</v>
      </c>
      <c r="D96" s="841"/>
      <c r="E96" s="841"/>
      <c r="F96" s="849"/>
      <c r="G96" s="841" t="s">
        <v>160</v>
      </c>
      <c r="H96" s="841"/>
      <c r="I96" s="841"/>
      <c r="J96" s="849"/>
      <c r="K96" s="841" t="s">
        <v>160</v>
      </c>
      <c r="L96" s="841"/>
      <c r="M96" s="841"/>
      <c r="N96" s="849"/>
      <c r="O96" s="841" t="s">
        <v>160</v>
      </c>
      <c r="P96" s="841"/>
      <c r="Q96" s="841"/>
      <c r="R96" s="849"/>
      <c r="S96" s="841" t="s">
        <v>160</v>
      </c>
      <c r="T96" s="841"/>
      <c r="U96" s="841"/>
      <c r="V96" s="849"/>
      <c r="W96" s="1007"/>
      <c r="X96" s="841"/>
      <c r="Y96" s="841"/>
      <c r="Z96" s="849"/>
      <c r="AA96" s="1007"/>
      <c r="AB96" s="841"/>
      <c r="AC96" s="841"/>
      <c r="AD96" s="841"/>
      <c r="AE96" s="1007">
        <v>0</v>
      </c>
      <c r="AF96" s="841"/>
      <c r="AG96" s="841"/>
      <c r="AH96" s="841"/>
      <c r="AI96" s="850"/>
    </row>
    <row r="97" spans="1:35" ht="22.35" customHeight="1" thickBot="1">
      <c r="B97" s="1009" t="s">
        <v>161</v>
      </c>
      <c r="C97" s="1010" t="s">
        <v>149</v>
      </c>
      <c r="D97" s="516"/>
      <c r="E97" s="915"/>
      <c r="F97" s="917"/>
      <c r="G97" s="1010" t="s">
        <v>149</v>
      </c>
      <c r="H97" s="516"/>
      <c r="I97" s="915"/>
      <c r="J97" s="917"/>
      <c r="K97" s="1010" t="s">
        <v>149</v>
      </c>
      <c r="L97" s="516"/>
      <c r="M97" s="915"/>
      <c r="N97" s="917"/>
      <c r="O97" s="1010" t="s">
        <v>150</v>
      </c>
      <c r="P97" s="915"/>
      <c r="Q97" s="915"/>
      <c r="R97" s="917"/>
      <c r="S97" s="1010" t="s">
        <v>151</v>
      </c>
      <c r="T97" s="915"/>
      <c r="U97" s="915"/>
      <c r="V97" s="915"/>
      <c r="W97" s="1011"/>
      <c r="X97" s="915"/>
      <c r="Y97" s="915"/>
      <c r="Z97" s="1012"/>
      <c r="AA97" s="915"/>
      <c r="AB97" s="915"/>
      <c r="AC97" s="915"/>
      <c r="AD97" s="915"/>
      <c r="AE97" s="1010">
        <v>37</v>
      </c>
      <c r="AF97" s="915"/>
      <c r="AG97" s="915"/>
      <c r="AH97" s="915"/>
      <c r="AI97" s="922"/>
    </row>
    <row r="98" spans="1:35" ht="22.35" customHeight="1">
      <c r="D98" s="14"/>
    </row>
    <row r="99" spans="1:35" ht="22.35" customHeight="1" thickBot="1">
      <c r="A99" s="956"/>
      <c r="B99" s="956" t="s">
        <v>29</v>
      </c>
      <c r="C99" s="859">
        <v>1</v>
      </c>
      <c r="D99" s="859">
        <v>2</v>
      </c>
      <c r="E99" s="860">
        <v>3</v>
      </c>
      <c r="F99" s="860">
        <v>4</v>
      </c>
      <c r="G99" s="860">
        <v>5</v>
      </c>
      <c r="H99" s="860">
        <v>6</v>
      </c>
      <c r="I99" s="860">
        <v>7</v>
      </c>
      <c r="J99" s="859">
        <v>8</v>
      </c>
      <c r="K99" s="859">
        <v>9</v>
      </c>
      <c r="L99" s="860">
        <v>10</v>
      </c>
      <c r="M99" s="860">
        <v>11</v>
      </c>
      <c r="N99" s="860">
        <v>12</v>
      </c>
      <c r="O99" s="859">
        <v>13</v>
      </c>
      <c r="P99" s="860">
        <v>14</v>
      </c>
      <c r="Q99" s="859">
        <v>15</v>
      </c>
      <c r="R99" s="859">
        <v>16</v>
      </c>
      <c r="S99" s="860">
        <v>17</v>
      </c>
      <c r="T99" s="860">
        <v>18</v>
      </c>
      <c r="U99" s="860">
        <v>19</v>
      </c>
      <c r="V99" s="860">
        <v>20</v>
      </c>
      <c r="W99" s="860">
        <v>21</v>
      </c>
      <c r="X99" s="859">
        <v>22</v>
      </c>
      <c r="Y99" s="859">
        <v>23</v>
      </c>
      <c r="Z99" s="859">
        <v>24</v>
      </c>
      <c r="AA99" s="860">
        <v>25</v>
      </c>
      <c r="AB99" s="860">
        <v>26</v>
      </c>
      <c r="AC99" s="860">
        <v>27</v>
      </c>
      <c r="AD99" s="860">
        <v>28</v>
      </c>
      <c r="AE99" s="859">
        <v>29</v>
      </c>
      <c r="AF99" s="859">
        <v>30</v>
      </c>
      <c r="AG99" s="861">
        <v>31</v>
      </c>
      <c r="AH99" s="176"/>
      <c r="AI99" s="177"/>
    </row>
    <row r="100" spans="1:35" ht="22.35" customHeight="1">
      <c r="A100" s="367">
        <v>1</v>
      </c>
      <c r="B100" s="526" t="s">
        <v>162</v>
      </c>
      <c r="C100" s="349" t="s">
        <v>109</v>
      </c>
      <c r="D100" s="349" t="s">
        <v>109</v>
      </c>
      <c r="E100" s="349" t="s">
        <v>36</v>
      </c>
      <c r="F100" s="349" t="s">
        <v>36</v>
      </c>
      <c r="G100" s="349" t="s">
        <v>36</v>
      </c>
      <c r="H100" s="349" t="s">
        <v>36</v>
      </c>
      <c r="I100" s="349" t="s">
        <v>36</v>
      </c>
      <c r="J100" s="349"/>
      <c r="K100" s="349"/>
      <c r="L100" s="349" t="s">
        <v>163</v>
      </c>
      <c r="M100" s="349" t="s">
        <v>163</v>
      </c>
      <c r="N100" s="349" t="s">
        <v>163</v>
      </c>
      <c r="O100" s="349" t="s">
        <v>163</v>
      </c>
      <c r="P100" s="511" t="s">
        <v>163</v>
      </c>
      <c r="Q100" s="349"/>
      <c r="R100" s="349"/>
      <c r="S100" s="349" t="s">
        <v>163</v>
      </c>
      <c r="T100" s="349" t="s">
        <v>163</v>
      </c>
      <c r="U100" s="349" t="s">
        <v>163</v>
      </c>
      <c r="V100" s="349" t="s">
        <v>163</v>
      </c>
      <c r="W100" s="349" t="s">
        <v>163</v>
      </c>
      <c r="X100" s="512"/>
      <c r="Y100" s="512"/>
      <c r="Z100" s="512" t="s">
        <v>108</v>
      </c>
      <c r="AA100" s="512" t="s">
        <v>108</v>
      </c>
      <c r="AB100" s="349" t="s">
        <v>108</v>
      </c>
      <c r="AC100" s="349" t="s">
        <v>108</v>
      </c>
      <c r="AD100" s="349" t="s">
        <v>108</v>
      </c>
      <c r="AE100" s="349" t="s">
        <v>109</v>
      </c>
      <c r="AF100" s="349" t="s">
        <v>109</v>
      </c>
      <c r="AG100" s="352" t="s">
        <v>36</v>
      </c>
      <c r="AH100" s="181"/>
      <c r="AI100" s="182"/>
    </row>
    <row r="101" spans="1:35" ht="22.35" customHeight="1">
      <c r="A101" s="1013">
        <v>2</v>
      </c>
      <c r="B101" s="1014" t="s">
        <v>164</v>
      </c>
      <c r="C101" s="1015"/>
      <c r="D101" s="1015"/>
      <c r="E101" s="1015" t="s">
        <v>108</v>
      </c>
      <c r="F101" s="1015" t="s">
        <v>108</v>
      </c>
      <c r="G101" s="1015" t="s">
        <v>108</v>
      </c>
      <c r="H101" s="1015" t="s">
        <v>108</v>
      </c>
      <c r="I101" s="891" t="s">
        <v>108</v>
      </c>
      <c r="J101" s="891" t="s">
        <v>109</v>
      </c>
      <c r="K101" s="891" t="s">
        <v>109</v>
      </c>
      <c r="L101" s="891" t="s">
        <v>36</v>
      </c>
      <c r="M101" s="891" t="s">
        <v>36</v>
      </c>
      <c r="N101" s="1016" t="s">
        <v>36</v>
      </c>
      <c r="O101" s="871" t="s">
        <v>36</v>
      </c>
      <c r="P101" s="871" t="s">
        <v>36</v>
      </c>
      <c r="Q101" s="871"/>
      <c r="R101" s="871"/>
      <c r="S101" s="871" t="s">
        <v>163</v>
      </c>
      <c r="T101" s="871" t="s">
        <v>163</v>
      </c>
      <c r="U101" s="871" t="s">
        <v>163</v>
      </c>
      <c r="V101" s="871" t="s">
        <v>163</v>
      </c>
      <c r="W101" s="871" t="s">
        <v>163</v>
      </c>
      <c r="X101" s="871"/>
      <c r="Y101" s="871"/>
      <c r="Z101" s="871" t="s">
        <v>163</v>
      </c>
      <c r="AA101" s="871" t="s">
        <v>163</v>
      </c>
      <c r="AB101" s="871" t="s">
        <v>163</v>
      </c>
      <c r="AC101" s="871" t="s">
        <v>163</v>
      </c>
      <c r="AD101" s="871" t="s">
        <v>163</v>
      </c>
      <c r="AE101" s="871"/>
      <c r="AF101" s="871"/>
      <c r="AG101" s="1017" t="s">
        <v>108</v>
      </c>
      <c r="AH101" s="181"/>
      <c r="AI101" s="182"/>
    </row>
    <row r="102" spans="1:35" ht="22.35" customHeight="1">
      <c r="A102" s="1013">
        <v>3</v>
      </c>
      <c r="B102" s="1014" t="s">
        <v>165</v>
      </c>
      <c r="C102" s="871"/>
      <c r="D102" s="1018"/>
      <c r="E102" s="875" t="s">
        <v>163</v>
      </c>
      <c r="F102" s="875" t="s">
        <v>163</v>
      </c>
      <c r="G102" s="875" t="s">
        <v>163</v>
      </c>
      <c r="H102" s="875" t="s">
        <v>163</v>
      </c>
      <c r="I102" s="875" t="s">
        <v>163</v>
      </c>
      <c r="J102" s="1015"/>
      <c r="K102" s="1015"/>
      <c r="L102" s="1019" t="s">
        <v>108</v>
      </c>
      <c r="M102" s="1019" t="s">
        <v>108</v>
      </c>
      <c r="N102" s="1020" t="s">
        <v>108</v>
      </c>
      <c r="O102" s="1020" t="s">
        <v>108</v>
      </c>
      <c r="P102" s="1020" t="s">
        <v>108</v>
      </c>
      <c r="Q102" s="1020" t="s">
        <v>109</v>
      </c>
      <c r="R102" s="1020" t="s">
        <v>166</v>
      </c>
      <c r="S102" s="871" t="s">
        <v>36</v>
      </c>
      <c r="T102" s="871" t="s">
        <v>36</v>
      </c>
      <c r="U102" s="871" t="s">
        <v>36</v>
      </c>
      <c r="V102" s="871" t="s">
        <v>36</v>
      </c>
      <c r="W102" s="1016" t="s">
        <v>115</v>
      </c>
      <c r="X102" s="871"/>
      <c r="Y102" s="871"/>
      <c r="Z102" s="875" t="s">
        <v>163</v>
      </c>
      <c r="AA102" s="875" t="s">
        <v>163</v>
      </c>
      <c r="AB102" s="875" t="s">
        <v>163</v>
      </c>
      <c r="AC102" s="875" t="s">
        <v>163</v>
      </c>
      <c r="AD102" s="875" t="s">
        <v>163</v>
      </c>
      <c r="AE102" s="871"/>
      <c r="AF102" s="871"/>
      <c r="AG102" s="1004" t="s">
        <v>163</v>
      </c>
      <c r="AH102" s="181"/>
      <c r="AI102" s="182"/>
    </row>
    <row r="103" spans="1:35" ht="22.35" customHeight="1" thickBot="1">
      <c r="A103" s="1021">
        <v>4</v>
      </c>
      <c r="B103" s="937" t="s">
        <v>162</v>
      </c>
      <c r="C103" s="1022"/>
      <c r="D103" s="1022"/>
      <c r="E103" s="1022" t="s">
        <v>163</v>
      </c>
      <c r="F103" s="1022" t="s">
        <v>163</v>
      </c>
      <c r="G103" s="1022" t="s">
        <v>163</v>
      </c>
      <c r="H103" s="1022" t="s">
        <v>163</v>
      </c>
      <c r="I103" s="1022" t="s">
        <v>163</v>
      </c>
      <c r="J103" s="1022"/>
      <c r="K103" s="1022"/>
      <c r="L103" s="1022" t="s">
        <v>163</v>
      </c>
      <c r="M103" s="1022" t="s">
        <v>163</v>
      </c>
      <c r="N103" s="1022" t="s">
        <v>163</v>
      </c>
      <c r="O103" s="1022" t="s">
        <v>163</v>
      </c>
      <c r="P103" s="1022" t="s">
        <v>163</v>
      </c>
      <c r="Q103" s="1022" t="s">
        <v>0</v>
      </c>
      <c r="R103" s="1022" t="s">
        <v>0</v>
      </c>
      <c r="S103" s="1022" t="s">
        <v>108</v>
      </c>
      <c r="T103" s="1022" t="s">
        <v>108</v>
      </c>
      <c r="U103" s="1022" t="s">
        <v>108</v>
      </c>
      <c r="V103" s="1022" t="s">
        <v>108</v>
      </c>
      <c r="W103" s="1022" t="s">
        <v>108</v>
      </c>
      <c r="X103" s="1022" t="s">
        <v>109</v>
      </c>
      <c r="Y103" s="1022" t="s">
        <v>109</v>
      </c>
      <c r="Z103" s="1022" t="s">
        <v>36</v>
      </c>
      <c r="AA103" s="860" t="s">
        <v>36</v>
      </c>
      <c r="AB103" s="860" t="s">
        <v>36</v>
      </c>
      <c r="AC103" s="860" t="s">
        <v>36</v>
      </c>
      <c r="AD103" s="860" t="s">
        <v>36</v>
      </c>
      <c r="AE103" s="860"/>
      <c r="AF103" s="1022"/>
      <c r="AG103" s="861" t="s">
        <v>163</v>
      </c>
      <c r="AH103" s="181"/>
      <c r="AI103" s="182"/>
    </row>
    <row r="104" spans="1:35" ht="22.35" customHeight="1" thickBot="1">
      <c r="A104" s="212"/>
      <c r="B104" s="200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  <c r="U104" s="21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13"/>
      <c r="AF104" s="213"/>
      <c r="AG104" s="214"/>
      <c r="AH104" s="215"/>
      <c r="AI104" s="182"/>
    </row>
    <row r="105" spans="1:35" ht="22.35" customHeight="1">
      <c r="A105" s="72"/>
      <c r="B105" s="248" t="s">
        <v>167</v>
      </c>
      <c r="C105" s="368"/>
      <c r="D105" s="369" t="s">
        <v>94</v>
      </c>
      <c r="E105" s="370"/>
      <c r="F105" s="368"/>
      <c r="G105" s="371" t="s">
        <v>95</v>
      </c>
      <c r="H105" s="372"/>
      <c r="I105" s="373"/>
      <c r="J105" s="371" t="s">
        <v>96</v>
      </c>
      <c r="K105" s="374"/>
      <c r="L105" s="373"/>
      <c r="M105" s="375" t="s">
        <v>97</v>
      </c>
      <c r="N105" s="374"/>
      <c r="O105" s="373"/>
      <c r="P105" s="371" t="s">
        <v>98</v>
      </c>
      <c r="Q105" s="376"/>
      <c r="R105" s="373"/>
      <c r="S105" s="371" t="s">
        <v>99</v>
      </c>
      <c r="T105" s="377" t="s">
        <v>168</v>
      </c>
      <c r="U105" s="373"/>
      <c r="V105" s="371" t="s">
        <v>100</v>
      </c>
      <c r="W105" s="376"/>
      <c r="X105" s="378" t="s">
        <v>147</v>
      </c>
      <c r="Y105" s="379"/>
      <c r="Z105" s="379"/>
      <c r="AA105" s="380"/>
      <c r="AB105" s="235" t="s">
        <v>101</v>
      </c>
      <c r="AC105" s="236"/>
      <c r="AD105" s="236"/>
      <c r="AE105" s="237"/>
      <c r="AF105" s="237"/>
      <c r="AG105" s="238"/>
      <c r="AH105" s="215"/>
      <c r="AI105" s="182"/>
    </row>
    <row r="106" spans="1:35" ht="22.35" customHeight="1">
      <c r="A106" s="72"/>
      <c r="B106" s="1023" t="s">
        <v>169</v>
      </c>
      <c r="C106" s="1024" t="s">
        <v>170</v>
      </c>
      <c r="D106" s="843"/>
      <c r="E106" s="844"/>
      <c r="F106" s="1024" t="s">
        <v>170</v>
      </c>
      <c r="G106" s="843"/>
      <c r="H106" s="844"/>
      <c r="I106" s="1024" t="s">
        <v>170</v>
      </c>
      <c r="J106" s="843"/>
      <c r="K106" s="844"/>
      <c r="L106" s="1024" t="s">
        <v>170</v>
      </c>
      <c r="M106" s="843"/>
      <c r="N106" s="844"/>
      <c r="O106" s="1024" t="s">
        <v>171</v>
      </c>
      <c r="P106" s="843"/>
      <c r="Q106" s="844"/>
      <c r="R106" s="1024"/>
      <c r="S106" s="843"/>
      <c r="T106" s="844"/>
      <c r="U106" s="1024"/>
      <c r="V106" s="843"/>
      <c r="W106" s="844"/>
      <c r="X106" s="1024"/>
      <c r="Y106" s="1025"/>
      <c r="Z106" s="1025"/>
      <c r="AA106" s="1025"/>
      <c r="AB106" s="840"/>
      <c r="AC106" s="1025"/>
      <c r="AD106" s="1025"/>
      <c r="AE106" s="1025"/>
      <c r="AF106" s="1025"/>
      <c r="AG106" s="1026"/>
      <c r="AH106" s="215"/>
      <c r="AI106" s="182"/>
    </row>
    <row r="107" spans="1:35" ht="22.35" customHeight="1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5"/>
      <c r="AI107" s="182"/>
    </row>
    <row r="108" spans="1:35" ht="22.35" customHeight="1" thickBot="1">
      <c r="A108" s="1000" t="s">
        <v>28</v>
      </c>
      <c r="B108" s="924" t="s">
        <v>29</v>
      </c>
      <c r="C108" s="859">
        <v>1</v>
      </c>
      <c r="D108" s="859">
        <v>2</v>
      </c>
      <c r="E108" s="860">
        <v>3</v>
      </c>
      <c r="F108" s="860">
        <v>4</v>
      </c>
      <c r="G108" s="860">
        <v>5</v>
      </c>
      <c r="H108" s="860">
        <v>6</v>
      </c>
      <c r="I108" s="860">
        <v>7</v>
      </c>
      <c r="J108" s="859">
        <v>8</v>
      </c>
      <c r="K108" s="859">
        <v>9</v>
      </c>
      <c r="L108" s="860">
        <v>10</v>
      </c>
      <c r="M108" s="860">
        <v>11</v>
      </c>
      <c r="N108" s="860">
        <v>12</v>
      </c>
      <c r="O108" s="859">
        <v>13</v>
      </c>
      <c r="P108" s="860">
        <v>14</v>
      </c>
      <c r="Q108" s="859">
        <v>15</v>
      </c>
      <c r="R108" s="859">
        <v>16</v>
      </c>
      <c r="S108" s="860">
        <v>17</v>
      </c>
      <c r="T108" s="860">
        <v>18</v>
      </c>
      <c r="U108" s="860">
        <v>19</v>
      </c>
      <c r="V108" s="860">
        <v>20</v>
      </c>
      <c r="W108" s="860">
        <v>21</v>
      </c>
      <c r="X108" s="859">
        <v>22</v>
      </c>
      <c r="Y108" s="859">
        <v>23</v>
      </c>
      <c r="Z108" s="859">
        <v>24</v>
      </c>
      <c r="AA108" s="860">
        <v>25</v>
      </c>
      <c r="AB108" s="860">
        <v>26</v>
      </c>
      <c r="AC108" s="860">
        <v>27</v>
      </c>
      <c r="AD108" s="860">
        <v>28</v>
      </c>
      <c r="AE108" s="859">
        <v>29</v>
      </c>
      <c r="AF108" s="859">
        <v>30</v>
      </c>
      <c r="AG108" s="861">
        <v>31</v>
      </c>
      <c r="AH108" s="215"/>
      <c r="AI108" s="182"/>
    </row>
    <row r="109" spans="1:35" ht="22.35" customHeight="1">
      <c r="A109" s="381">
        <v>8520</v>
      </c>
      <c r="B109" s="382" t="s">
        <v>172</v>
      </c>
      <c r="C109" s="349"/>
      <c r="D109" s="349"/>
      <c r="E109" s="349" t="s">
        <v>173</v>
      </c>
      <c r="F109" s="349" t="s">
        <v>173</v>
      </c>
      <c r="G109" s="349" t="s">
        <v>173</v>
      </c>
      <c r="H109" s="349" t="s">
        <v>173</v>
      </c>
      <c r="I109" s="349" t="s">
        <v>173</v>
      </c>
      <c r="J109" s="349"/>
      <c r="K109" s="349"/>
      <c r="L109" s="349" t="s">
        <v>173</v>
      </c>
      <c r="M109" s="349" t="s">
        <v>173</v>
      </c>
      <c r="N109" s="349" t="s">
        <v>173</v>
      </c>
      <c r="O109" s="349"/>
      <c r="P109" s="349" t="s">
        <v>173</v>
      </c>
      <c r="Q109" s="349"/>
      <c r="R109" s="349"/>
      <c r="S109" s="349" t="s">
        <v>173</v>
      </c>
      <c r="T109" s="349" t="s">
        <v>173</v>
      </c>
      <c r="U109" s="349" t="s">
        <v>173</v>
      </c>
      <c r="V109" s="349" t="s">
        <v>173</v>
      </c>
      <c r="W109" s="349" t="s">
        <v>173</v>
      </c>
      <c r="X109" s="349"/>
      <c r="Y109" s="349"/>
      <c r="Z109" s="349"/>
      <c r="AA109" s="349" t="s">
        <v>173</v>
      </c>
      <c r="AB109" s="349" t="s">
        <v>173</v>
      </c>
      <c r="AC109" s="349" t="s">
        <v>173</v>
      </c>
      <c r="AD109" s="349" t="s">
        <v>173</v>
      </c>
      <c r="AE109" s="349"/>
      <c r="AF109" s="349"/>
      <c r="AG109" s="349" t="s">
        <v>173</v>
      </c>
      <c r="AH109" s="215"/>
      <c r="AI109" s="182"/>
    </row>
    <row r="110" spans="1:35" ht="22.35" customHeight="1">
      <c r="A110" s="221"/>
      <c r="B110" s="22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5"/>
      <c r="AI110" s="182"/>
    </row>
    <row r="111" spans="1:35" ht="22.35" customHeight="1">
      <c r="AH111" s="107"/>
      <c r="AI111" s="107"/>
    </row>
    <row r="112" spans="1:35" ht="22.35" customHeight="1" thickBot="1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>
      <c r="A113" s="172"/>
      <c r="B113" s="248" t="s">
        <v>175</v>
      </c>
      <c r="C113" s="383"/>
      <c r="D113" s="384" t="s">
        <v>94</v>
      </c>
      <c r="E113" s="385"/>
      <c r="F113" s="386"/>
      <c r="G113" s="383"/>
      <c r="H113" s="384" t="s">
        <v>95</v>
      </c>
      <c r="I113" s="385"/>
      <c r="J113" s="386"/>
      <c r="K113" s="383"/>
      <c r="L113" s="384" t="s">
        <v>96</v>
      </c>
      <c r="M113" s="385"/>
      <c r="N113" s="386"/>
      <c r="O113" s="383"/>
      <c r="P113" s="384" t="s">
        <v>97</v>
      </c>
      <c r="Q113" s="385"/>
      <c r="R113" s="386"/>
      <c r="S113" s="383"/>
      <c r="T113" s="384" t="s">
        <v>98</v>
      </c>
      <c r="U113" s="385"/>
      <c r="V113" s="386"/>
      <c r="W113" s="383"/>
      <c r="X113" s="384" t="s">
        <v>99</v>
      </c>
      <c r="Y113" s="385"/>
      <c r="Z113" s="386"/>
      <c r="AA113" s="383"/>
      <c r="AB113" s="384" t="s">
        <v>100</v>
      </c>
      <c r="AC113" s="385"/>
      <c r="AD113" s="385"/>
      <c r="AE113" s="387" t="s">
        <v>101</v>
      </c>
      <c r="AF113" s="385"/>
      <c r="AG113" s="385"/>
      <c r="AH113" s="385"/>
      <c r="AI113" s="388"/>
    </row>
    <row r="114" spans="1:35" ht="22.35" customHeight="1">
      <c r="A114" s="172"/>
      <c r="B114" s="1027" t="s">
        <v>148</v>
      </c>
      <c r="C114" s="1028">
        <v>69</v>
      </c>
      <c r="D114" s="1029" t="s">
        <v>176</v>
      </c>
      <c r="E114" s="1029"/>
      <c r="F114" s="1030"/>
      <c r="G114" s="1028">
        <v>69</v>
      </c>
      <c r="H114" s="1029" t="s">
        <v>176</v>
      </c>
      <c r="I114" s="1029"/>
      <c r="J114" s="1030"/>
      <c r="K114" s="1028">
        <v>69</v>
      </c>
      <c r="L114" s="1029" t="s">
        <v>176</v>
      </c>
      <c r="M114" s="1029"/>
      <c r="N114" s="1030"/>
      <c r="O114" s="1028">
        <v>69</v>
      </c>
      <c r="P114" s="1029" t="s">
        <v>176</v>
      </c>
      <c r="Q114" s="1029"/>
      <c r="R114" s="1030"/>
      <c r="S114" s="1028">
        <v>69</v>
      </c>
      <c r="T114" s="1029" t="s">
        <v>176</v>
      </c>
      <c r="U114" s="1029"/>
      <c r="V114" s="1030"/>
      <c r="W114" s="1028"/>
      <c r="X114" s="1031"/>
      <c r="Y114" s="1031"/>
      <c r="Z114" s="1032"/>
      <c r="AA114" s="1028"/>
      <c r="AB114" s="1029"/>
      <c r="AC114" s="1029"/>
      <c r="AD114" s="963"/>
      <c r="AE114" s="1033">
        <v>35</v>
      </c>
      <c r="AF114" s="1029"/>
      <c r="AG114" s="1029"/>
      <c r="AH114" s="963"/>
      <c r="AI114" s="1034"/>
    </row>
    <row r="115" spans="1:35" ht="22.35" customHeight="1">
      <c r="A115" s="172"/>
      <c r="B115" s="1027" t="s">
        <v>152</v>
      </c>
      <c r="C115" s="1028">
        <v>79</v>
      </c>
      <c r="D115" s="1029" t="s">
        <v>177</v>
      </c>
      <c r="E115" s="1029"/>
      <c r="F115" s="1030"/>
      <c r="G115" s="1028">
        <v>79</v>
      </c>
      <c r="H115" s="1029" t="s">
        <v>177</v>
      </c>
      <c r="I115" s="1029"/>
      <c r="J115" s="1030"/>
      <c r="K115" s="1028">
        <v>79</v>
      </c>
      <c r="L115" s="1029" t="s">
        <v>177</v>
      </c>
      <c r="M115" s="1029"/>
      <c r="N115" s="1030"/>
      <c r="O115" s="1028">
        <v>79</v>
      </c>
      <c r="P115" s="1029" t="s">
        <v>177</v>
      </c>
      <c r="Q115" s="1029"/>
      <c r="R115" s="1030"/>
      <c r="S115" s="1028">
        <v>79</v>
      </c>
      <c r="T115" s="1029" t="s">
        <v>177</v>
      </c>
      <c r="U115" s="1029"/>
      <c r="V115" s="1030"/>
      <c r="W115" s="1028"/>
      <c r="X115" s="1029"/>
      <c r="Y115" s="1029"/>
      <c r="Z115" s="1030"/>
      <c r="AA115" s="1029"/>
      <c r="AB115" s="1029"/>
      <c r="AC115" s="1029"/>
      <c r="AD115" s="963"/>
      <c r="AE115" s="1033">
        <v>40</v>
      </c>
      <c r="AF115" s="1029"/>
      <c r="AG115" s="1029"/>
      <c r="AH115" s="963"/>
      <c r="AI115" s="1034"/>
    </row>
    <row r="116" spans="1:35" ht="22.35" customHeight="1">
      <c r="A116" s="172"/>
      <c r="B116" s="1027" t="s">
        <v>159</v>
      </c>
      <c r="C116" s="1028">
        <v>89</v>
      </c>
      <c r="D116" s="1029" t="s">
        <v>178</v>
      </c>
      <c r="E116" s="1029"/>
      <c r="F116" s="1030"/>
      <c r="G116" s="1028">
        <v>89</v>
      </c>
      <c r="H116" s="1029" t="s">
        <v>178</v>
      </c>
      <c r="I116" s="1029"/>
      <c r="J116" s="1030"/>
      <c r="K116" s="1028">
        <v>89</v>
      </c>
      <c r="L116" s="1029" t="s">
        <v>178</v>
      </c>
      <c r="M116" s="1029"/>
      <c r="N116" s="1030"/>
      <c r="O116" s="1028">
        <v>89</v>
      </c>
      <c r="P116" s="1029" t="s">
        <v>178</v>
      </c>
      <c r="Q116" s="1029"/>
      <c r="R116" s="1030"/>
      <c r="S116" s="1028">
        <v>89</v>
      </c>
      <c r="T116" s="1029" t="s">
        <v>179</v>
      </c>
      <c r="U116" s="1029"/>
      <c r="V116" s="1030"/>
      <c r="W116" s="1035"/>
      <c r="X116" s="1036" t="s">
        <v>180</v>
      </c>
      <c r="Y116" s="1036"/>
      <c r="Z116" s="1037"/>
      <c r="AA116" s="1035"/>
      <c r="AB116" s="1036"/>
      <c r="AC116" s="1036"/>
      <c r="AD116" s="965"/>
      <c r="AE116" s="1033">
        <v>44</v>
      </c>
      <c r="AF116" s="1029"/>
      <c r="AG116" s="1029"/>
      <c r="AH116" s="963"/>
      <c r="AI116" s="1034"/>
    </row>
    <row r="117" spans="1:35" ht="22.35" customHeight="1">
      <c r="A117" s="172"/>
      <c r="B117" s="38" t="s">
        <v>161</v>
      </c>
      <c r="C117" s="1035">
        <v>99</v>
      </c>
      <c r="D117" s="1036" t="s">
        <v>181</v>
      </c>
      <c r="E117" s="1036"/>
      <c r="F117" s="1037"/>
      <c r="G117" s="1035">
        <v>99</v>
      </c>
      <c r="H117" s="1036" t="s">
        <v>181</v>
      </c>
      <c r="I117" s="1036"/>
      <c r="J117" s="1037"/>
      <c r="K117" s="1035">
        <v>99</v>
      </c>
      <c r="L117" s="1036" t="s">
        <v>181</v>
      </c>
      <c r="M117" s="1036"/>
      <c r="N117" s="1037"/>
      <c r="O117" s="1035">
        <v>99</v>
      </c>
      <c r="P117" s="1036" t="s">
        <v>181</v>
      </c>
      <c r="Q117" s="1036"/>
      <c r="R117" s="1037"/>
      <c r="S117" s="1035">
        <v>99</v>
      </c>
      <c r="T117" s="1036" t="s">
        <v>160</v>
      </c>
      <c r="U117" s="1036"/>
      <c r="V117" s="965"/>
      <c r="W117" s="964"/>
      <c r="X117" s="965"/>
      <c r="Y117" s="1036"/>
      <c r="Z117" s="1037"/>
      <c r="AA117" s="964"/>
      <c r="AB117" s="965"/>
      <c r="AC117" s="1036"/>
      <c r="AD117" s="1037"/>
      <c r="AE117" s="1038">
        <v>28</v>
      </c>
      <c r="AF117" s="1036"/>
      <c r="AG117" s="1036"/>
      <c r="AH117" s="965"/>
      <c r="AI117" s="1039"/>
    </row>
    <row r="118" spans="1:35" ht="22.35" customHeight="1" thickBot="1">
      <c r="A118" s="172"/>
      <c r="B118" s="1040" t="s">
        <v>182</v>
      </c>
      <c r="C118" s="1041" t="s">
        <v>183</v>
      </c>
      <c r="D118" s="1042" t="s">
        <v>184</v>
      </c>
      <c r="E118" s="1043"/>
      <c r="F118" s="917"/>
      <c r="G118" s="1041" t="s">
        <v>183</v>
      </c>
      <c r="H118" s="1042" t="s">
        <v>184</v>
      </c>
      <c r="I118" s="915"/>
      <c r="J118" s="1043"/>
      <c r="K118" s="1041" t="s">
        <v>183</v>
      </c>
      <c r="L118" s="1042" t="s">
        <v>184</v>
      </c>
      <c r="M118" s="1043"/>
      <c r="N118" s="1044"/>
      <c r="O118" s="1041" t="s">
        <v>183</v>
      </c>
      <c r="P118" s="1042" t="s">
        <v>184</v>
      </c>
      <c r="Q118" s="1043"/>
      <c r="R118" s="1042"/>
      <c r="S118" s="1041" t="s">
        <v>183</v>
      </c>
      <c r="T118" s="919" t="s">
        <v>185</v>
      </c>
      <c r="U118" s="1042"/>
      <c r="V118" s="1044"/>
      <c r="W118" s="1043"/>
      <c r="X118" s="1042"/>
      <c r="Y118" s="1042"/>
      <c r="Z118" s="1042"/>
      <c r="AA118" s="1045"/>
      <c r="AB118" s="1046"/>
      <c r="AC118" s="1042"/>
      <c r="AD118" s="1047"/>
      <c r="AE118" s="1042"/>
      <c r="AF118" s="1042"/>
      <c r="AG118" s="1042"/>
      <c r="AH118" s="1048"/>
      <c r="AI118" s="1049"/>
    </row>
    <row r="119" spans="1:35" ht="22.35" customHeight="1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>
      <c r="A120" s="1000"/>
      <c r="B120" s="924" t="s">
        <v>29</v>
      </c>
      <c r="C120" s="859">
        <v>1</v>
      </c>
      <c r="D120" s="859">
        <v>2</v>
      </c>
      <c r="E120" s="860">
        <v>3</v>
      </c>
      <c r="F120" s="860">
        <v>4</v>
      </c>
      <c r="G120" s="860">
        <v>5</v>
      </c>
      <c r="H120" s="860">
        <v>6</v>
      </c>
      <c r="I120" s="860">
        <v>7</v>
      </c>
      <c r="J120" s="859">
        <v>8</v>
      </c>
      <c r="K120" s="859">
        <v>9</v>
      </c>
      <c r="L120" s="860">
        <v>10</v>
      </c>
      <c r="M120" s="860">
        <v>11</v>
      </c>
      <c r="N120" s="860">
        <v>12</v>
      </c>
      <c r="O120" s="859">
        <v>13</v>
      </c>
      <c r="P120" s="860">
        <v>14</v>
      </c>
      <c r="Q120" s="859">
        <v>15</v>
      </c>
      <c r="R120" s="859">
        <v>16</v>
      </c>
      <c r="S120" s="860">
        <v>17</v>
      </c>
      <c r="T120" s="860">
        <v>18</v>
      </c>
      <c r="U120" s="860">
        <v>19</v>
      </c>
      <c r="V120" s="860">
        <v>20</v>
      </c>
      <c r="W120" s="860">
        <v>21</v>
      </c>
      <c r="X120" s="859">
        <v>22</v>
      </c>
      <c r="Y120" s="859">
        <v>23</v>
      </c>
      <c r="Z120" s="859">
        <v>24</v>
      </c>
      <c r="AA120" s="860">
        <v>25</v>
      </c>
      <c r="AB120" s="860">
        <v>26</v>
      </c>
      <c r="AC120" s="860">
        <v>27</v>
      </c>
      <c r="AD120" s="860">
        <v>28</v>
      </c>
      <c r="AE120" s="859">
        <v>29</v>
      </c>
      <c r="AF120" s="859">
        <v>30</v>
      </c>
      <c r="AG120" s="861">
        <v>31</v>
      </c>
      <c r="AH120" s="176"/>
      <c r="AI120" s="177"/>
    </row>
    <row r="121" spans="1:35" ht="22.35" customHeight="1">
      <c r="A121" s="367">
        <v>1</v>
      </c>
      <c r="B121" s="389" t="s">
        <v>186</v>
      </c>
      <c r="C121" s="361"/>
      <c r="D121" s="361"/>
      <c r="E121" s="349">
        <v>89</v>
      </c>
      <c r="F121" s="552">
        <v>89</v>
      </c>
      <c r="G121" s="552" t="s">
        <v>187</v>
      </c>
      <c r="H121" s="400">
        <v>89</v>
      </c>
      <c r="I121" s="400">
        <v>89</v>
      </c>
      <c r="J121" s="400">
        <v>89</v>
      </c>
      <c r="K121" s="361"/>
      <c r="L121" s="350">
        <v>99</v>
      </c>
      <c r="M121" s="349">
        <v>99</v>
      </c>
      <c r="N121" s="361">
        <v>99</v>
      </c>
      <c r="O121" s="361"/>
      <c r="P121" s="361" t="s">
        <v>36</v>
      </c>
      <c r="Q121" s="361"/>
      <c r="R121" s="361"/>
      <c r="S121" s="349" t="s">
        <v>183</v>
      </c>
      <c r="T121" s="349" t="s">
        <v>183</v>
      </c>
      <c r="U121" s="361" t="s">
        <v>183</v>
      </c>
      <c r="V121" s="361" t="s">
        <v>183</v>
      </c>
      <c r="W121" s="361" t="s">
        <v>183</v>
      </c>
      <c r="X121" s="361"/>
      <c r="Y121" s="361"/>
      <c r="Z121" s="541"/>
      <c r="AA121" s="541">
        <v>69</v>
      </c>
      <c r="AB121" s="541">
        <v>69</v>
      </c>
      <c r="AC121" s="541">
        <v>69</v>
      </c>
      <c r="AD121" s="541">
        <v>69</v>
      </c>
      <c r="AE121" s="541"/>
      <c r="AF121" s="541"/>
      <c r="AG121" s="531">
        <v>79</v>
      </c>
      <c r="AH121" s="201"/>
      <c r="AI121" s="107"/>
    </row>
    <row r="122" spans="1:35" ht="22.35" customHeight="1">
      <c r="A122" s="1013">
        <v>2</v>
      </c>
      <c r="B122" s="1050" t="s">
        <v>188</v>
      </c>
      <c r="C122" s="872">
        <v>89</v>
      </c>
      <c r="D122" s="936"/>
      <c r="E122" s="871">
        <v>99</v>
      </c>
      <c r="F122" s="871">
        <v>99</v>
      </c>
      <c r="G122" s="936">
        <v>99</v>
      </c>
      <c r="H122" s="936">
        <v>99</v>
      </c>
      <c r="I122" s="936" t="s">
        <v>36</v>
      </c>
      <c r="J122" s="936"/>
      <c r="K122" s="936"/>
      <c r="L122" s="945" t="s">
        <v>183</v>
      </c>
      <c r="M122" s="945" t="s">
        <v>183</v>
      </c>
      <c r="N122" s="944" t="s">
        <v>183</v>
      </c>
      <c r="O122" s="944"/>
      <c r="P122" s="944" t="s">
        <v>183</v>
      </c>
      <c r="Q122" s="944"/>
      <c r="R122" s="943"/>
      <c r="S122" s="944">
        <v>69</v>
      </c>
      <c r="T122" s="945">
        <v>69</v>
      </c>
      <c r="U122" s="944">
        <v>69</v>
      </c>
      <c r="V122" s="944">
        <v>69</v>
      </c>
      <c r="W122" s="944">
        <v>69</v>
      </c>
      <c r="X122" s="936"/>
      <c r="Y122" s="936"/>
      <c r="Z122" s="871"/>
      <c r="AA122" s="871">
        <v>79</v>
      </c>
      <c r="AB122" s="872">
        <v>79</v>
      </c>
      <c r="AC122" s="936">
        <v>79</v>
      </c>
      <c r="AD122" s="872">
        <v>79</v>
      </c>
      <c r="AE122" s="935"/>
      <c r="AF122" s="935"/>
      <c r="AG122" s="1051">
        <v>89</v>
      </c>
      <c r="AH122" s="202"/>
      <c r="AI122" s="171"/>
    </row>
    <row r="123" spans="1:35" ht="22.35" customHeight="1">
      <c r="A123" s="1013">
        <v>3</v>
      </c>
      <c r="B123" s="1050" t="s">
        <v>189</v>
      </c>
      <c r="C123" s="1052"/>
      <c r="D123" s="1052"/>
      <c r="E123" s="1052" t="s">
        <v>183</v>
      </c>
      <c r="F123" s="1052" t="s">
        <v>183</v>
      </c>
      <c r="G123" s="1052" t="s">
        <v>183</v>
      </c>
      <c r="H123" s="1052" t="s">
        <v>183</v>
      </c>
      <c r="I123" s="1052" t="s">
        <v>183</v>
      </c>
      <c r="J123" s="1052"/>
      <c r="K123" s="1052"/>
      <c r="L123" s="1052">
        <v>69</v>
      </c>
      <c r="M123" s="1052">
        <v>69</v>
      </c>
      <c r="N123" s="1052">
        <v>69</v>
      </c>
      <c r="O123" s="1052"/>
      <c r="P123" s="1052">
        <v>69</v>
      </c>
      <c r="Q123" s="1052"/>
      <c r="R123" s="1052"/>
      <c r="S123" s="1053">
        <v>79</v>
      </c>
      <c r="T123" s="1053">
        <v>79</v>
      </c>
      <c r="U123" s="1052">
        <v>79</v>
      </c>
      <c r="V123" s="1052">
        <v>79</v>
      </c>
      <c r="W123" s="1052">
        <v>79</v>
      </c>
      <c r="X123" s="1052"/>
      <c r="Y123" s="1052"/>
      <c r="Z123" s="1052"/>
      <c r="AA123" s="1052">
        <v>89</v>
      </c>
      <c r="AB123" s="1052">
        <v>89</v>
      </c>
      <c r="AC123" s="1052">
        <v>89</v>
      </c>
      <c r="AD123" s="1052">
        <v>89</v>
      </c>
      <c r="AE123" s="1052">
        <v>89</v>
      </c>
      <c r="AF123" s="1052"/>
      <c r="AG123" s="1054">
        <v>99</v>
      </c>
      <c r="AH123" s="201"/>
      <c r="AI123" s="107"/>
    </row>
    <row r="124" spans="1:35" ht="22.35" customHeight="1">
      <c r="A124" s="1013">
        <v>4</v>
      </c>
      <c r="B124" s="1050" t="s">
        <v>137</v>
      </c>
      <c r="C124" s="871" t="s">
        <v>36</v>
      </c>
      <c r="D124" s="871"/>
      <c r="E124" s="871">
        <v>69</v>
      </c>
      <c r="F124" s="871">
        <v>69</v>
      </c>
      <c r="G124" s="871">
        <v>69</v>
      </c>
      <c r="H124" s="871">
        <v>69</v>
      </c>
      <c r="I124" s="871">
        <v>69</v>
      </c>
      <c r="J124" s="871"/>
      <c r="K124" s="871"/>
      <c r="L124" s="871">
        <v>79</v>
      </c>
      <c r="M124" s="871">
        <v>79</v>
      </c>
      <c r="N124" s="871">
        <v>79</v>
      </c>
      <c r="O124" s="871"/>
      <c r="P124" s="871">
        <v>79</v>
      </c>
      <c r="Q124" s="1002"/>
      <c r="R124" s="1002"/>
      <c r="S124" s="871">
        <v>89</v>
      </c>
      <c r="T124" s="871">
        <v>89</v>
      </c>
      <c r="U124" s="871">
        <v>89</v>
      </c>
      <c r="V124" s="871">
        <v>89</v>
      </c>
      <c r="W124" s="871">
        <v>89</v>
      </c>
      <c r="X124" s="871">
        <v>89</v>
      </c>
      <c r="Y124" s="1002"/>
      <c r="Z124" s="935"/>
      <c r="AA124" s="871">
        <v>99</v>
      </c>
      <c r="AB124" s="871">
        <v>99</v>
      </c>
      <c r="AC124" s="871">
        <v>99</v>
      </c>
      <c r="AD124" s="871" t="s">
        <v>36</v>
      </c>
      <c r="AE124" s="871"/>
      <c r="AF124" s="1002"/>
      <c r="AG124" s="1055" t="s">
        <v>183</v>
      </c>
      <c r="AH124" s="201"/>
      <c r="AI124" s="107"/>
    </row>
    <row r="125" spans="1:35" ht="22.35" customHeight="1" thickBot="1">
      <c r="A125" s="1021">
        <v>5</v>
      </c>
      <c r="B125" s="1056" t="s">
        <v>190</v>
      </c>
      <c r="C125" s="1005"/>
      <c r="D125" s="1005"/>
      <c r="E125" s="1057">
        <v>79</v>
      </c>
      <c r="F125" s="860">
        <v>79</v>
      </c>
      <c r="G125" s="930">
        <v>79</v>
      </c>
      <c r="H125" s="930">
        <v>79</v>
      </c>
      <c r="I125" s="930">
        <v>79</v>
      </c>
      <c r="J125" s="930"/>
      <c r="K125" s="930"/>
      <c r="L125" s="860">
        <v>89</v>
      </c>
      <c r="M125" s="860">
        <v>89</v>
      </c>
      <c r="N125" s="1005">
        <v>89</v>
      </c>
      <c r="O125" s="1005"/>
      <c r="P125" s="1005">
        <v>89</v>
      </c>
      <c r="Q125" s="1005">
        <v>89</v>
      </c>
      <c r="R125" s="1005"/>
      <c r="S125" s="860">
        <v>99</v>
      </c>
      <c r="T125" s="1058">
        <v>99</v>
      </c>
      <c r="U125" s="1005">
        <v>99</v>
      </c>
      <c r="V125" s="1005">
        <v>99</v>
      </c>
      <c r="W125" s="1005" t="s">
        <v>36</v>
      </c>
      <c r="X125" s="1005"/>
      <c r="Y125" s="1005"/>
      <c r="Z125" s="931"/>
      <c r="AA125" s="931" t="s">
        <v>183</v>
      </c>
      <c r="AB125" s="1005" t="s">
        <v>183</v>
      </c>
      <c r="AC125" s="1005" t="s">
        <v>183</v>
      </c>
      <c r="AD125" s="1005" t="s">
        <v>183</v>
      </c>
      <c r="AE125" s="1005"/>
      <c r="AF125" s="1005"/>
      <c r="AG125" s="1059">
        <v>69</v>
      </c>
      <c r="AH125" s="201"/>
      <c r="AI125" s="107"/>
    </row>
    <row r="126" spans="1:35" ht="22.35" customHeight="1">
      <c r="A126" s="212"/>
      <c r="B126" s="229"/>
      <c r="C126" s="230"/>
      <c r="D126" s="230"/>
      <c r="E126" s="230"/>
      <c r="F126" s="211"/>
      <c r="G126" s="228"/>
      <c r="H126" s="228"/>
      <c r="I126" s="228"/>
      <c r="J126" s="228"/>
      <c r="K126" s="228"/>
      <c r="L126" s="211"/>
      <c r="M126" s="211"/>
      <c r="N126" s="230"/>
      <c r="O126" s="230"/>
      <c r="P126" s="230"/>
      <c r="Q126" s="230"/>
      <c r="R126" s="230"/>
      <c r="S126" s="211"/>
      <c r="T126" s="231"/>
      <c r="U126" s="230"/>
      <c r="V126" s="230"/>
      <c r="W126" s="230"/>
      <c r="X126" s="230"/>
      <c r="Y126" s="230"/>
      <c r="Z126" s="232"/>
      <c r="AA126" s="232"/>
      <c r="AB126" s="230"/>
      <c r="AC126" s="230"/>
      <c r="AD126" s="230"/>
      <c r="AE126" s="230"/>
      <c r="AF126" s="230"/>
      <c r="AG126" s="232"/>
      <c r="AH126" s="201"/>
      <c r="AI126" s="107"/>
    </row>
    <row r="127" spans="1:35" ht="22.35" customHeight="1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>
      <c r="A129" s="172"/>
      <c r="B129" s="248" t="s">
        <v>175</v>
      </c>
      <c r="C129" s="383"/>
      <c r="D129" s="384" t="s">
        <v>94</v>
      </c>
      <c r="E129" s="385"/>
      <c r="F129" s="386"/>
      <c r="G129" s="383"/>
      <c r="H129" s="384" t="s">
        <v>95</v>
      </c>
      <c r="I129" s="385"/>
      <c r="J129" s="386"/>
      <c r="K129" s="383"/>
      <c r="L129" s="384" t="s">
        <v>96</v>
      </c>
      <c r="M129" s="385"/>
      <c r="N129" s="386"/>
      <c r="O129" s="383"/>
      <c r="P129" s="384" t="s">
        <v>97</v>
      </c>
      <c r="Q129" s="385"/>
      <c r="R129" s="386"/>
      <c r="S129" s="383"/>
      <c r="T129" s="384" t="s">
        <v>98</v>
      </c>
      <c r="U129" s="385"/>
      <c r="V129" s="386"/>
      <c r="W129" s="383"/>
      <c r="X129" s="384" t="s">
        <v>99</v>
      </c>
      <c r="Y129" s="385"/>
      <c r="Z129" s="386"/>
      <c r="AA129" s="383"/>
      <c r="AB129" s="384" t="s">
        <v>100</v>
      </c>
      <c r="AC129" s="385"/>
      <c r="AD129" s="385"/>
      <c r="AE129" s="387" t="s">
        <v>101</v>
      </c>
      <c r="AF129" s="385"/>
      <c r="AG129" s="385"/>
      <c r="AH129" s="385"/>
      <c r="AI129" s="388"/>
    </row>
    <row r="130" spans="1:35" ht="22.35" customHeight="1">
      <c r="A130" s="172"/>
      <c r="B130" s="1027" t="s">
        <v>192</v>
      </c>
      <c r="C130" s="962" t="s">
        <v>193</v>
      </c>
      <c r="D130" s="1029"/>
      <c r="E130" s="1029"/>
      <c r="F130" s="1030"/>
      <c r="G130" s="962" t="s">
        <v>193</v>
      </c>
      <c r="H130" s="1029"/>
      <c r="I130" s="1029"/>
      <c r="J130" s="1030"/>
      <c r="K130" s="962" t="s">
        <v>193</v>
      </c>
      <c r="L130" s="1029"/>
      <c r="M130" s="1029"/>
      <c r="N130" s="1030"/>
      <c r="O130" s="962" t="s">
        <v>193</v>
      </c>
      <c r="P130" s="1029"/>
      <c r="Q130" s="1029"/>
      <c r="R130" s="1030"/>
      <c r="S130" s="962" t="s">
        <v>193</v>
      </c>
      <c r="T130" s="1029"/>
      <c r="U130" s="1029"/>
      <c r="V130" s="1030"/>
      <c r="W130" s="962" t="s">
        <v>194</v>
      </c>
      <c r="X130" s="1031"/>
      <c r="Y130" s="1031"/>
      <c r="Z130" s="1032"/>
      <c r="AA130" s="962" t="s">
        <v>194</v>
      </c>
      <c r="AB130" s="1029"/>
      <c r="AC130" s="1029"/>
      <c r="AD130" s="963"/>
      <c r="AE130" s="1033">
        <v>69</v>
      </c>
      <c r="AF130" s="194"/>
      <c r="AG130" s="194"/>
      <c r="AH130" s="194"/>
      <c r="AI130" s="195"/>
    </row>
    <row r="131" spans="1:35" ht="22.35" customHeight="1">
      <c r="A131" s="172"/>
      <c r="B131" s="1027" t="s">
        <v>152</v>
      </c>
      <c r="C131" s="962" t="s">
        <v>160</v>
      </c>
      <c r="D131" s="1029"/>
      <c r="E131" s="1029"/>
      <c r="F131" s="1030"/>
      <c r="G131" s="962" t="s">
        <v>160</v>
      </c>
      <c r="H131" s="1029"/>
      <c r="I131" s="1029"/>
      <c r="J131" s="1030"/>
      <c r="K131" s="962" t="s">
        <v>160</v>
      </c>
      <c r="L131" s="1029"/>
      <c r="M131" s="1029"/>
      <c r="N131" s="1030"/>
      <c r="O131" s="962" t="s">
        <v>160</v>
      </c>
      <c r="P131" s="1029"/>
      <c r="Q131" s="1029"/>
      <c r="R131" s="1030"/>
      <c r="S131" s="962" t="s">
        <v>160</v>
      </c>
      <c r="T131" s="1029"/>
      <c r="U131" s="1029"/>
      <c r="V131" s="1030"/>
      <c r="W131" s="962" t="s">
        <v>160</v>
      </c>
      <c r="X131" s="1029"/>
      <c r="Y131" s="1029"/>
      <c r="Z131" s="1030"/>
      <c r="AA131" s="1029" t="s">
        <v>160</v>
      </c>
      <c r="AB131" s="1029"/>
      <c r="AC131" s="1029"/>
      <c r="AD131" s="963"/>
      <c r="AE131" s="1033">
        <v>0</v>
      </c>
      <c r="AF131" s="194"/>
      <c r="AG131" s="194"/>
      <c r="AH131" s="194"/>
      <c r="AI131" s="195"/>
    </row>
    <row r="132" spans="1:35" ht="22.35" customHeight="1">
      <c r="A132" s="172"/>
      <c r="B132" s="1027" t="s">
        <v>195</v>
      </c>
      <c r="C132" s="962" t="s">
        <v>193</v>
      </c>
      <c r="D132" s="1029"/>
      <c r="E132" s="1029"/>
      <c r="F132" s="1030"/>
      <c r="G132" s="962" t="s">
        <v>193</v>
      </c>
      <c r="H132" s="1029"/>
      <c r="I132" s="1029"/>
      <c r="J132" s="1030"/>
      <c r="K132" s="962" t="s">
        <v>193</v>
      </c>
      <c r="L132" s="1029"/>
      <c r="M132" s="1029"/>
      <c r="N132" s="1030"/>
      <c r="O132" s="962" t="s">
        <v>193</v>
      </c>
      <c r="P132" s="1029"/>
      <c r="Q132" s="1029"/>
      <c r="R132" s="1030"/>
      <c r="S132" s="962" t="s">
        <v>193</v>
      </c>
      <c r="T132" s="1029"/>
      <c r="U132" s="1029"/>
      <c r="V132" s="1030"/>
      <c r="W132" s="962" t="s">
        <v>194</v>
      </c>
      <c r="X132" s="1031"/>
      <c r="Y132" s="1031"/>
      <c r="Z132" s="1032"/>
      <c r="AA132" s="962" t="s">
        <v>194</v>
      </c>
      <c r="AB132" s="1029"/>
      <c r="AC132" s="1029"/>
      <c r="AD132" s="963"/>
      <c r="AE132" s="1033">
        <v>69</v>
      </c>
      <c r="AF132" s="1029"/>
      <c r="AG132" s="1029" t="s">
        <v>0</v>
      </c>
      <c r="AH132" s="963"/>
      <c r="AI132" s="1034"/>
    </row>
    <row r="133" spans="1:35" ht="22.35" customHeight="1">
      <c r="A133" s="172"/>
      <c r="B133" s="1027" t="s">
        <v>161</v>
      </c>
      <c r="C133" s="962" t="s">
        <v>160</v>
      </c>
      <c r="D133" s="1029"/>
      <c r="E133" s="1029"/>
      <c r="F133" s="1030"/>
      <c r="G133" s="962" t="s">
        <v>160</v>
      </c>
      <c r="H133" s="1029"/>
      <c r="I133" s="1029"/>
      <c r="J133" s="1030"/>
      <c r="K133" s="962" t="s">
        <v>160</v>
      </c>
      <c r="L133" s="1029"/>
      <c r="M133" s="1029"/>
      <c r="N133" s="1030"/>
      <c r="O133" s="962" t="s">
        <v>160</v>
      </c>
      <c r="P133" s="1029"/>
      <c r="Q133" s="1029"/>
      <c r="R133" s="1030"/>
      <c r="S133" s="962" t="s">
        <v>160</v>
      </c>
      <c r="T133" s="1029"/>
      <c r="U133" s="1029"/>
      <c r="V133" s="1030"/>
      <c r="W133" s="962" t="s">
        <v>160</v>
      </c>
      <c r="X133" s="1029"/>
      <c r="Y133" s="1029"/>
      <c r="Z133" s="1030"/>
      <c r="AA133" s="1029" t="s">
        <v>160</v>
      </c>
      <c r="AB133" s="1029"/>
      <c r="AC133" s="1029"/>
      <c r="AD133" s="963"/>
      <c r="AE133" s="1033">
        <v>0</v>
      </c>
      <c r="AF133" s="1029"/>
      <c r="AG133" s="1029"/>
      <c r="AH133" s="963"/>
      <c r="AI133" s="1034"/>
    </row>
    <row r="134" spans="1:35" ht="22.35" customHeight="1">
      <c r="A134" s="172"/>
      <c r="B134" s="1027" t="s">
        <v>196</v>
      </c>
      <c r="C134" s="962" t="s">
        <v>193</v>
      </c>
      <c r="D134" s="1029"/>
      <c r="E134" s="1029"/>
      <c r="F134" s="1030"/>
      <c r="G134" s="962" t="s">
        <v>193</v>
      </c>
      <c r="H134" s="1029"/>
      <c r="I134" s="1029"/>
      <c r="J134" s="1030"/>
      <c r="K134" s="962" t="s">
        <v>193</v>
      </c>
      <c r="L134" s="1029"/>
      <c r="M134" s="1029"/>
      <c r="N134" s="1030"/>
      <c r="O134" s="962" t="s">
        <v>193</v>
      </c>
      <c r="P134" s="1029"/>
      <c r="Q134" s="1029"/>
      <c r="R134" s="1030"/>
      <c r="S134" s="962" t="s">
        <v>193</v>
      </c>
      <c r="T134" s="1029"/>
      <c r="U134" s="1029"/>
      <c r="V134" s="1030"/>
      <c r="W134" s="962" t="s">
        <v>197</v>
      </c>
      <c r="X134" s="1036"/>
      <c r="Y134" s="1036"/>
      <c r="Z134" s="1037"/>
      <c r="AA134" s="962" t="s">
        <v>197</v>
      </c>
      <c r="AB134" s="1036"/>
      <c r="AC134" s="1036"/>
      <c r="AD134" s="965"/>
      <c r="AE134" s="1033">
        <v>66</v>
      </c>
      <c r="AF134" s="1029"/>
      <c r="AG134" s="1029"/>
      <c r="AH134" s="963"/>
      <c r="AI134" s="1034"/>
    </row>
    <row r="135" spans="1:35" ht="22.35" customHeight="1" thickBot="1">
      <c r="A135" s="172"/>
      <c r="B135" s="1027" t="s">
        <v>198</v>
      </c>
      <c r="C135" s="1060" t="s">
        <v>160</v>
      </c>
      <c r="D135" s="1061"/>
      <c r="E135" s="1061"/>
      <c r="F135" s="1062"/>
      <c r="G135" s="1060" t="s">
        <v>160</v>
      </c>
      <c r="H135" s="1061"/>
      <c r="I135" s="1061"/>
      <c r="J135" s="1062"/>
      <c r="K135" s="1060" t="s">
        <v>160</v>
      </c>
      <c r="L135" s="1061"/>
      <c r="M135" s="1061"/>
      <c r="N135" s="1062"/>
      <c r="O135" s="1060" t="s">
        <v>160</v>
      </c>
      <c r="P135" s="1061"/>
      <c r="Q135" s="1061"/>
      <c r="R135" s="1062"/>
      <c r="S135" s="1060" t="s">
        <v>160</v>
      </c>
      <c r="T135" s="1061"/>
      <c r="U135" s="1061"/>
      <c r="V135" s="1048"/>
      <c r="W135" s="1060" t="s">
        <v>160</v>
      </c>
      <c r="X135" s="1048"/>
      <c r="Y135" s="1061"/>
      <c r="Z135" s="1062"/>
      <c r="AA135" s="1060" t="s">
        <v>160</v>
      </c>
      <c r="AB135" s="1048"/>
      <c r="AC135" s="1061"/>
      <c r="AD135" s="1062"/>
      <c r="AE135" s="1063" t="s">
        <v>168</v>
      </c>
      <c r="AF135" s="1061"/>
      <c r="AG135" s="1061"/>
      <c r="AH135" s="1048"/>
      <c r="AI135" s="1049"/>
    </row>
    <row r="136" spans="1:35" ht="22.35" customHeight="1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>
      <c r="A137" s="1000"/>
      <c r="B137" s="858" t="s">
        <v>29</v>
      </c>
      <c r="C137" s="859">
        <v>1</v>
      </c>
      <c r="D137" s="859">
        <v>2</v>
      </c>
      <c r="E137" s="860">
        <v>3</v>
      </c>
      <c r="F137" s="860">
        <v>4</v>
      </c>
      <c r="G137" s="860">
        <v>5</v>
      </c>
      <c r="H137" s="860">
        <v>6</v>
      </c>
      <c r="I137" s="860">
        <v>7</v>
      </c>
      <c r="J137" s="859">
        <v>8</v>
      </c>
      <c r="K137" s="859">
        <v>9</v>
      </c>
      <c r="L137" s="860">
        <v>10</v>
      </c>
      <c r="M137" s="860">
        <v>11</v>
      </c>
      <c r="N137" s="860">
        <v>12</v>
      </c>
      <c r="O137" s="859">
        <v>13</v>
      </c>
      <c r="P137" s="860">
        <v>14</v>
      </c>
      <c r="Q137" s="859">
        <v>15</v>
      </c>
      <c r="R137" s="859">
        <v>16</v>
      </c>
      <c r="S137" s="860">
        <v>17</v>
      </c>
      <c r="T137" s="860">
        <v>18</v>
      </c>
      <c r="U137" s="860">
        <v>19</v>
      </c>
      <c r="V137" s="860">
        <v>20</v>
      </c>
      <c r="W137" s="860">
        <v>21</v>
      </c>
      <c r="X137" s="859">
        <v>22</v>
      </c>
      <c r="Y137" s="859">
        <v>23</v>
      </c>
      <c r="Z137" s="859">
        <v>24</v>
      </c>
      <c r="AA137" s="860">
        <v>25</v>
      </c>
      <c r="AB137" s="860">
        <v>26</v>
      </c>
      <c r="AC137" s="860">
        <v>27</v>
      </c>
      <c r="AD137" s="860">
        <v>28</v>
      </c>
      <c r="AE137" s="859">
        <v>29</v>
      </c>
      <c r="AF137" s="859">
        <v>30</v>
      </c>
      <c r="AG137" s="861">
        <v>31</v>
      </c>
      <c r="AH137" s="176"/>
      <c r="AI137" s="177"/>
    </row>
    <row r="138" spans="1:35" ht="22.35" customHeight="1">
      <c r="A138" s="317">
        <v>1</v>
      </c>
      <c r="B138" s="227" t="s">
        <v>199</v>
      </c>
      <c r="C138" s="309">
        <v>23</v>
      </c>
      <c r="D138" s="309">
        <v>23</v>
      </c>
      <c r="E138" s="309" t="s">
        <v>36</v>
      </c>
      <c r="F138" s="309" t="s">
        <v>36</v>
      </c>
      <c r="G138" s="312" t="s">
        <v>36</v>
      </c>
      <c r="H138" s="309" t="s">
        <v>36</v>
      </c>
      <c r="I138" s="310" t="s">
        <v>36</v>
      </c>
      <c r="J138" s="312"/>
      <c r="K138" s="309"/>
      <c r="L138" s="310">
        <v>21</v>
      </c>
      <c r="M138" s="312">
        <v>21</v>
      </c>
      <c r="N138" s="312">
        <v>21</v>
      </c>
      <c r="O138" s="309">
        <v>21</v>
      </c>
      <c r="P138" s="309">
        <v>21</v>
      </c>
      <c r="Q138" s="309">
        <v>21</v>
      </c>
      <c r="R138" s="309">
        <v>21</v>
      </c>
      <c r="S138" s="309" t="s">
        <v>36</v>
      </c>
      <c r="T138" s="309" t="s">
        <v>36</v>
      </c>
      <c r="U138" s="309" t="s">
        <v>36</v>
      </c>
      <c r="V138" s="309" t="s">
        <v>36</v>
      </c>
      <c r="W138" s="310" t="s">
        <v>36</v>
      </c>
      <c r="X138" s="309"/>
      <c r="Y138" s="309"/>
      <c r="Z138" s="310">
        <v>22</v>
      </c>
      <c r="AA138" s="309">
        <v>22</v>
      </c>
      <c r="AB138" s="309">
        <v>22</v>
      </c>
      <c r="AC138" s="309">
        <v>22</v>
      </c>
      <c r="AD138" s="309">
        <v>22</v>
      </c>
      <c r="AE138" s="309">
        <v>22</v>
      </c>
      <c r="AF138" s="309">
        <v>22</v>
      </c>
      <c r="AG138" s="311" t="s">
        <v>36</v>
      </c>
      <c r="AH138" s="107"/>
      <c r="AI138" s="107"/>
    </row>
    <row r="139" spans="1:35" ht="22.35" customHeight="1">
      <c r="A139" s="1064">
        <v>2</v>
      </c>
      <c r="B139" s="809" t="s">
        <v>200</v>
      </c>
      <c r="C139" s="891">
        <v>21</v>
      </c>
      <c r="D139" s="891">
        <v>21</v>
      </c>
      <c r="E139" s="891" t="s">
        <v>36</v>
      </c>
      <c r="F139" s="891" t="s">
        <v>36</v>
      </c>
      <c r="G139" s="891" t="s">
        <v>36</v>
      </c>
      <c r="H139" s="891" t="s">
        <v>36</v>
      </c>
      <c r="I139" s="798" t="s">
        <v>36</v>
      </c>
      <c r="J139" s="891"/>
      <c r="K139" s="891"/>
      <c r="L139" s="798">
        <v>22</v>
      </c>
      <c r="M139" s="892">
        <v>22</v>
      </c>
      <c r="N139" s="892">
        <v>22</v>
      </c>
      <c r="O139" s="892">
        <v>22</v>
      </c>
      <c r="P139" s="892">
        <v>22</v>
      </c>
      <c r="Q139" s="892">
        <v>22</v>
      </c>
      <c r="R139" s="892">
        <v>22</v>
      </c>
      <c r="S139" s="892" t="s">
        <v>36</v>
      </c>
      <c r="T139" s="892" t="s">
        <v>36</v>
      </c>
      <c r="U139" s="892" t="s">
        <v>36</v>
      </c>
      <c r="V139" s="892" t="s">
        <v>36</v>
      </c>
      <c r="W139" s="798" t="s">
        <v>36</v>
      </c>
      <c r="X139" s="891"/>
      <c r="Y139" s="891"/>
      <c r="Z139" s="798">
        <v>23</v>
      </c>
      <c r="AA139" s="892">
        <v>23</v>
      </c>
      <c r="AB139" s="892">
        <v>23</v>
      </c>
      <c r="AC139" s="892">
        <v>23</v>
      </c>
      <c r="AD139" s="892">
        <v>23</v>
      </c>
      <c r="AE139" s="892">
        <v>23</v>
      </c>
      <c r="AF139" s="892">
        <v>23</v>
      </c>
      <c r="AG139" s="807" t="s">
        <v>36</v>
      </c>
      <c r="AH139" s="107"/>
      <c r="AI139" s="107"/>
    </row>
    <row r="140" spans="1:35" ht="22.35" customHeight="1">
      <c r="A140" s="1064">
        <v>3</v>
      </c>
      <c r="B140" s="809" t="s">
        <v>201</v>
      </c>
      <c r="C140" s="891">
        <v>22</v>
      </c>
      <c r="D140" s="891">
        <v>22</v>
      </c>
      <c r="E140" s="891" t="s">
        <v>36</v>
      </c>
      <c r="F140" s="891" t="s">
        <v>36</v>
      </c>
      <c r="G140" s="892" t="s">
        <v>36</v>
      </c>
      <c r="H140" s="892" t="s">
        <v>36</v>
      </c>
      <c r="I140" s="897" t="s">
        <v>36</v>
      </c>
      <c r="J140" s="897"/>
      <c r="K140" s="897"/>
      <c r="L140" s="897">
        <v>23</v>
      </c>
      <c r="M140" s="897">
        <v>23</v>
      </c>
      <c r="N140" s="897">
        <v>23</v>
      </c>
      <c r="O140" s="897">
        <v>23</v>
      </c>
      <c r="P140" s="891">
        <v>23</v>
      </c>
      <c r="Q140" s="891">
        <v>23</v>
      </c>
      <c r="R140" s="900">
        <v>23</v>
      </c>
      <c r="S140" s="900" t="s">
        <v>36</v>
      </c>
      <c r="T140" s="891" t="s">
        <v>36</v>
      </c>
      <c r="U140" s="892" t="s">
        <v>36</v>
      </c>
      <c r="V140" s="892" t="s">
        <v>36</v>
      </c>
      <c r="W140" s="798" t="s">
        <v>36</v>
      </c>
      <c r="X140" s="891"/>
      <c r="Y140" s="891"/>
      <c r="Z140" s="798">
        <v>21</v>
      </c>
      <c r="AA140" s="891">
        <v>21</v>
      </c>
      <c r="AB140" s="891">
        <v>21</v>
      </c>
      <c r="AC140" s="891">
        <v>21</v>
      </c>
      <c r="AD140" s="891">
        <v>21</v>
      </c>
      <c r="AE140" s="891">
        <v>21</v>
      </c>
      <c r="AF140" s="891">
        <v>21</v>
      </c>
      <c r="AG140" s="807" t="s">
        <v>36</v>
      </c>
      <c r="AH140" s="107"/>
      <c r="AI140" s="107"/>
    </row>
    <row r="141" spans="1:35" ht="22.35" customHeight="1">
      <c r="A141" s="1064">
        <v>4</v>
      </c>
      <c r="B141" s="809" t="s">
        <v>202</v>
      </c>
      <c r="C141" s="891"/>
      <c r="D141" s="891"/>
      <c r="E141" s="1065">
        <v>23</v>
      </c>
      <c r="F141" s="1066">
        <v>23</v>
      </c>
      <c r="G141" s="891">
        <v>23</v>
      </c>
      <c r="H141" s="891">
        <v>23</v>
      </c>
      <c r="I141" s="891">
        <v>23</v>
      </c>
      <c r="J141" s="891">
        <v>23</v>
      </c>
      <c r="K141" s="891">
        <v>23</v>
      </c>
      <c r="L141" s="891" t="s">
        <v>36</v>
      </c>
      <c r="M141" s="891" t="s">
        <v>36</v>
      </c>
      <c r="N141" s="891" t="s">
        <v>36</v>
      </c>
      <c r="O141" s="1067" t="s">
        <v>36</v>
      </c>
      <c r="P141" s="897" t="s">
        <v>36</v>
      </c>
      <c r="Q141" s="897"/>
      <c r="R141" s="897"/>
      <c r="S141" s="897">
        <v>21</v>
      </c>
      <c r="T141" s="897">
        <v>21</v>
      </c>
      <c r="U141" s="897">
        <v>21</v>
      </c>
      <c r="V141" s="897">
        <v>21</v>
      </c>
      <c r="W141" s="891">
        <v>21</v>
      </c>
      <c r="X141" s="891">
        <v>21</v>
      </c>
      <c r="Y141" s="891">
        <v>21</v>
      </c>
      <c r="Z141" s="891" t="s">
        <v>36</v>
      </c>
      <c r="AA141" s="891" t="s">
        <v>36</v>
      </c>
      <c r="AB141" s="891" t="s">
        <v>36</v>
      </c>
      <c r="AC141" s="891" t="s">
        <v>36</v>
      </c>
      <c r="AD141" s="798" t="s">
        <v>36</v>
      </c>
      <c r="AE141" s="891"/>
      <c r="AF141" s="891"/>
      <c r="AG141" s="979">
        <v>22</v>
      </c>
      <c r="AH141" s="107"/>
      <c r="AI141" s="107"/>
    </row>
    <row r="142" spans="1:35" ht="22.35" customHeight="1">
      <c r="A142" s="1064">
        <v>5</v>
      </c>
      <c r="B142" s="809" t="s">
        <v>203</v>
      </c>
      <c r="C142" s="891"/>
      <c r="D142" s="891"/>
      <c r="E142" s="798">
        <v>21</v>
      </c>
      <c r="F142" s="892">
        <v>21</v>
      </c>
      <c r="G142" s="891">
        <v>21</v>
      </c>
      <c r="H142" s="891">
        <v>21</v>
      </c>
      <c r="I142" s="891">
        <v>21</v>
      </c>
      <c r="J142" s="891">
        <v>21</v>
      </c>
      <c r="K142" s="891">
        <v>21</v>
      </c>
      <c r="L142" s="891" t="s">
        <v>36</v>
      </c>
      <c r="M142" s="891" t="s">
        <v>36</v>
      </c>
      <c r="N142" s="891" t="s">
        <v>36</v>
      </c>
      <c r="O142" s="891" t="s">
        <v>36</v>
      </c>
      <c r="P142" s="798" t="s">
        <v>36</v>
      </c>
      <c r="Q142" s="891"/>
      <c r="R142" s="891"/>
      <c r="S142" s="798">
        <v>22</v>
      </c>
      <c r="T142" s="891">
        <v>22</v>
      </c>
      <c r="U142" s="891">
        <v>22</v>
      </c>
      <c r="V142" s="891">
        <v>22</v>
      </c>
      <c r="W142" s="891">
        <v>22</v>
      </c>
      <c r="X142" s="891">
        <v>22</v>
      </c>
      <c r="Y142" s="891">
        <v>22</v>
      </c>
      <c r="Z142" s="891" t="s">
        <v>36</v>
      </c>
      <c r="AA142" s="891" t="s">
        <v>36</v>
      </c>
      <c r="AB142" s="891" t="s">
        <v>36</v>
      </c>
      <c r="AC142" s="892" t="s">
        <v>36</v>
      </c>
      <c r="AD142" s="892" t="s">
        <v>36</v>
      </c>
      <c r="AE142" s="892"/>
      <c r="AF142" s="891"/>
      <c r="AG142" s="979">
        <v>23</v>
      </c>
      <c r="AH142" s="107"/>
      <c r="AI142" s="107"/>
    </row>
    <row r="143" spans="1:35" ht="22.35" customHeight="1" thickBot="1">
      <c r="A143" s="1068">
        <v>6</v>
      </c>
      <c r="B143" s="1069" t="s">
        <v>204</v>
      </c>
      <c r="C143" s="996"/>
      <c r="D143" s="996"/>
      <c r="E143" s="998">
        <v>22</v>
      </c>
      <c r="F143" s="996">
        <v>22</v>
      </c>
      <c r="G143" s="996">
        <v>22</v>
      </c>
      <c r="H143" s="1070">
        <v>22</v>
      </c>
      <c r="I143" s="1070">
        <v>22</v>
      </c>
      <c r="J143" s="1071">
        <v>22</v>
      </c>
      <c r="K143" s="1071">
        <v>22</v>
      </c>
      <c r="L143" s="1070" t="s">
        <v>36</v>
      </c>
      <c r="M143" s="1070" t="s">
        <v>36</v>
      </c>
      <c r="N143" s="1072" t="s">
        <v>36</v>
      </c>
      <c r="O143" s="1072" t="s">
        <v>36</v>
      </c>
      <c r="P143" s="998" t="s">
        <v>36</v>
      </c>
      <c r="Q143" s="996"/>
      <c r="R143" s="996"/>
      <c r="S143" s="998">
        <v>23</v>
      </c>
      <c r="T143" s="996">
        <v>23</v>
      </c>
      <c r="U143" s="996">
        <v>23</v>
      </c>
      <c r="V143" s="996">
        <v>23</v>
      </c>
      <c r="W143" s="996">
        <v>23</v>
      </c>
      <c r="X143" s="1073">
        <v>23</v>
      </c>
      <c r="Y143" s="1073">
        <v>23</v>
      </c>
      <c r="Z143" s="996" t="s">
        <v>36</v>
      </c>
      <c r="AA143" s="996" t="s">
        <v>36</v>
      </c>
      <c r="AB143" s="1072" t="s">
        <v>36</v>
      </c>
      <c r="AC143" s="1072" t="s">
        <v>36</v>
      </c>
      <c r="AD143" s="998" t="s">
        <v>36</v>
      </c>
      <c r="AE143" s="996"/>
      <c r="AF143" s="996"/>
      <c r="AG143" s="1074">
        <v>21</v>
      </c>
      <c r="AH143" s="107"/>
      <c r="AI143" s="107"/>
    </row>
    <row r="144" spans="1:35" ht="22.35" customHeight="1">
      <c r="A144" s="212"/>
      <c r="B144" s="210"/>
      <c r="C144" s="211"/>
      <c r="D144" s="211"/>
      <c r="E144" s="228"/>
      <c r="F144" s="211"/>
      <c r="G144" s="211"/>
      <c r="H144" s="233"/>
      <c r="I144" s="233"/>
      <c r="J144" s="233"/>
      <c r="K144" s="233"/>
      <c r="L144" s="233"/>
      <c r="M144" s="233"/>
      <c r="N144" s="202"/>
      <c r="O144" s="202"/>
      <c r="P144" s="228"/>
      <c r="Q144" s="211"/>
      <c r="R144" s="211"/>
      <c r="S144" s="228"/>
      <c r="T144" s="211"/>
      <c r="U144" s="211"/>
      <c r="V144" s="211"/>
      <c r="W144" s="211"/>
      <c r="X144" s="211"/>
      <c r="Y144" s="211"/>
      <c r="Z144" s="211"/>
      <c r="AA144" s="211"/>
      <c r="AB144" s="202"/>
      <c r="AC144" s="202"/>
      <c r="AD144" s="228"/>
      <c r="AE144" s="211"/>
      <c r="AF144" s="211"/>
      <c r="AG144" s="228"/>
      <c r="AH144" s="107"/>
      <c r="AI144" s="107"/>
    </row>
    <row r="145" spans="1:35" ht="22.35" customHeight="1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>
      <c r="A147" s="1"/>
      <c r="B147" s="248" t="s">
        <v>175</v>
      </c>
      <c r="C147" s="368"/>
      <c r="D147" s="384" t="s">
        <v>94</v>
      </c>
      <c r="E147" s="357"/>
      <c r="F147" s="372"/>
      <c r="G147" s="368"/>
      <c r="H147" s="384" t="s">
        <v>95</v>
      </c>
      <c r="I147" s="357"/>
      <c r="J147" s="372"/>
      <c r="K147" s="368"/>
      <c r="L147" s="384" t="s">
        <v>96</v>
      </c>
      <c r="M147" s="357"/>
      <c r="N147" s="372"/>
      <c r="O147" s="368"/>
      <c r="P147" s="384" t="s">
        <v>97</v>
      </c>
      <c r="Q147" s="357"/>
      <c r="R147" s="372"/>
      <c r="S147" s="368"/>
      <c r="T147" s="384" t="s">
        <v>98</v>
      </c>
      <c r="U147" s="357"/>
      <c r="V147" s="372"/>
      <c r="W147" s="368"/>
      <c r="X147" s="384" t="s">
        <v>99</v>
      </c>
      <c r="Y147" s="357"/>
      <c r="Z147" s="372"/>
      <c r="AA147" s="368"/>
      <c r="AB147" s="384" t="s">
        <v>100</v>
      </c>
      <c r="AC147" s="357"/>
      <c r="AD147" s="357"/>
      <c r="AE147" s="387" t="s">
        <v>101</v>
      </c>
      <c r="AF147" s="357"/>
      <c r="AG147" s="357"/>
      <c r="AH147" s="357"/>
      <c r="AI147" s="358"/>
    </row>
    <row r="148" spans="1:35" ht="22.35" customHeight="1">
      <c r="A148" s="1"/>
      <c r="B148" s="1027" t="s">
        <v>148</v>
      </c>
      <c r="C148" s="962" t="s">
        <v>176</v>
      </c>
      <c r="D148" s="841"/>
      <c r="E148" s="841"/>
      <c r="F148" s="1030"/>
      <c r="G148" s="962" t="s">
        <v>176</v>
      </c>
      <c r="H148" s="841"/>
      <c r="I148" s="841"/>
      <c r="J148" s="1030"/>
      <c r="K148" s="962" t="s">
        <v>176</v>
      </c>
      <c r="L148" s="841"/>
      <c r="M148" s="841"/>
      <c r="N148" s="1030"/>
      <c r="O148" s="962" t="s">
        <v>206</v>
      </c>
      <c r="P148" s="841"/>
      <c r="Q148" s="841"/>
      <c r="R148" s="1030"/>
      <c r="S148" s="962" t="s">
        <v>160</v>
      </c>
      <c r="T148" s="841"/>
      <c r="U148" s="841"/>
      <c r="V148" s="1030"/>
      <c r="W148" s="1075"/>
      <c r="X148" s="1076"/>
      <c r="Y148" s="1076"/>
      <c r="Z148" s="1032"/>
      <c r="AA148" s="1028"/>
      <c r="AB148" s="841"/>
      <c r="AC148" s="841"/>
      <c r="AD148" s="963"/>
      <c r="AE148" s="1033">
        <v>27</v>
      </c>
      <c r="AF148" s="841"/>
      <c r="AG148" s="841"/>
      <c r="AH148" s="963"/>
      <c r="AI148" s="850"/>
    </row>
    <row r="149" spans="1:35" ht="22.35" customHeight="1">
      <c r="A149" s="1"/>
      <c r="B149" s="1027" t="s">
        <v>152</v>
      </c>
      <c r="C149" s="962" t="s">
        <v>207</v>
      </c>
      <c r="D149" s="841"/>
      <c r="E149" s="841"/>
      <c r="F149" s="1030"/>
      <c r="G149" s="962" t="s">
        <v>207</v>
      </c>
      <c r="H149" s="841"/>
      <c r="I149" s="841"/>
      <c r="J149" s="1030"/>
      <c r="K149" s="962" t="s">
        <v>207</v>
      </c>
      <c r="L149" s="841"/>
      <c r="M149" s="841"/>
      <c r="N149" s="1030"/>
      <c r="O149" s="962" t="s">
        <v>207</v>
      </c>
      <c r="P149" s="841"/>
      <c r="Q149" s="841"/>
      <c r="R149" s="1030"/>
      <c r="S149" s="962" t="s">
        <v>176</v>
      </c>
      <c r="T149" s="841"/>
      <c r="U149" s="841"/>
      <c r="V149" s="1030"/>
      <c r="W149" s="962"/>
      <c r="X149" s="841"/>
      <c r="Y149" s="841"/>
      <c r="Z149" s="1030"/>
      <c r="AA149" s="841"/>
      <c r="AB149" s="841"/>
      <c r="AC149" s="841"/>
      <c r="AD149" s="963"/>
      <c r="AE149" s="1033">
        <v>39</v>
      </c>
      <c r="AF149" s="841"/>
      <c r="AG149" s="841"/>
      <c r="AH149" s="963"/>
      <c r="AI149" s="850"/>
    </row>
    <row r="150" spans="1:35" ht="22.35" customHeight="1">
      <c r="A150" s="1"/>
      <c r="B150" s="1027" t="s">
        <v>159</v>
      </c>
      <c r="C150" s="962" t="s">
        <v>207</v>
      </c>
      <c r="D150" s="841"/>
      <c r="E150" s="841"/>
      <c r="F150" s="1030"/>
      <c r="G150" s="962" t="s">
        <v>207</v>
      </c>
      <c r="H150" s="841"/>
      <c r="I150" s="841"/>
      <c r="J150" s="1030"/>
      <c r="K150" s="962" t="s">
        <v>207</v>
      </c>
      <c r="L150" s="841"/>
      <c r="M150" s="841"/>
      <c r="N150" s="1030"/>
      <c r="O150" s="962" t="s">
        <v>207</v>
      </c>
      <c r="P150" s="841"/>
      <c r="Q150" s="841"/>
      <c r="R150" s="1030"/>
      <c r="S150" s="962" t="s">
        <v>207</v>
      </c>
      <c r="T150" s="841"/>
      <c r="U150" s="841"/>
      <c r="V150" s="1030"/>
      <c r="W150" s="964" t="s">
        <v>208</v>
      </c>
      <c r="X150" s="854"/>
      <c r="Y150" s="854"/>
      <c r="Z150" s="1037"/>
      <c r="AA150" s="1035"/>
      <c r="AB150" s="854"/>
      <c r="AC150" s="854"/>
      <c r="AD150" s="965"/>
      <c r="AE150" s="1033">
        <v>45</v>
      </c>
      <c r="AF150" s="841"/>
      <c r="AG150" s="841"/>
      <c r="AH150" s="963"/>
      <c r="AI150" s="850"/>
    </row>
    <row r="151" spans="1:35" ht="22.35" customHeight="1" thickBot="1">
      <c r="A151" s="1"/>
      <c r="B151" s="454" t="s">
        <v>161</v>
      </c>
      <c r="C151" s="1060"/>
      <c r="D151" s="915"/>
      <c r="E151" s="915"/>
      <c r="F151" s="1062"/>
      <c r="G151" s="1060"/>
      <c r="H151" s="915"/>
      <c r="I151" s="915"/>
      <c r="J151" s="1062"/>
      <c r="K151" s="1060"/>
      <c r="L151" s="915"/>
      <c r="M151" s="915"/>
      <c r="N151" s="1062"/>
      <c r="O151" s="1060"/>
      <c r="P151" s="915"/>
      <c r="Q151" s="915"/>
      <c r="R151" s="1062"/>
      <c r="S151" s="1060"/>
      <c r="T151" s="915"/>
      <c r="U151" s="915"/>
      <c r="V151" s="1048"/>
      <c r="W151" s="1060"/>
      <c r="X151" s="1048"/>
      <c r="Y151" s="915"/>
      <c r="Z151" s="1062"/>
      <c r="AA151" s="1060"/>
      <c r="AB151" s="1048"/>
      <c r="AC151" s="915"/>
      <c r="AD151" s="1062"/>
      <c r="AE151" s="1077"/>
      <c r="AF151" s="915"/>
      <c r="AG151" s="915"/>
      <c r="AH151" s="1048"/>
      <c r="AI151" s="922"/>
    </row>
    <row r="152" spans="1:35" ht="22.35" customHeight="1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>
      <c r="A153" s="1000"/>
      <c r="B153" s="924" t="s">
        <v>29</v>
      </c>
      <c r="C153" s="859">
        <v>1</v>
      </c>
      <c r="D153" s="859">
        <v>2</v>
      </c>
      <c r="E153" s="860">
        <v>3</v>
      </c>
      <c r="F153" s="860">
        <v>4</v>
      </c>
      <c r="G153" s="860">
        <v>5</v>
      </c>
      <c r="H153" s="860">
        <v>6</v>
      </c>
      <c r="I153" s="860">
        <v>7</v>
      </c>
      <c r="J153" s="859">
        <v>8</v>
      </c>
      <c r="K153" s="859">
        <v>9</v>
      </c>
      <c r="L153" s="860">
        <v>10</v>
      </c>
      <c r="M153" s="860">
        <v>11</v>
      </c>
      <c r="N153" s="860">
        <v>12</v>
      </c>
      <c r="O153" s="859">
        <v>13</v>
      </c>
      <c r="P153" s="860">
        <v>14</v>
      </c>
      <c r="Q153" s="859">
        <v>15</v>
      </c>
      <c r="R153" s="859">
        <v>16</v>
      </c>
      <c r="S153" s="860">
        <v>17</v>
      </c>
      <c r="T153" s="860">
        <v>18</v>
      </c>
      <c r="U153" s="860">
        <v>19</v>
      </c>
      <c r="V153" s="860">
        <v>20</v>
      </c>
      <c r="W153" s="860">
        <v>21</v>
      </c>
      <c r="X153" s="859">
        <v>22</v>
      </c>
      <c r="Y153" s="859">
        <v>23</v>
      </c>
      <c r="Z153" s="859">
        <v>24</v>
      </c>
      <c r="AA153" s="860">
        <v>25</v>
      </c>
      <c r="AB153" s="860">
        <v>26</v>
      </c>
      <c r="AC153" s="860">
        <v>27</v>
      </c>
      <c r="AD153" s="860">
        <v>28</v>
      </c>
      <c r="AE153" s="859">
        <v>29</v>
      </c>
      <c r="AF153" s="859">
        <v>30</v>
      </c>
      <c r="AG153" s="861">
        <v>31</v>
      </c>
      <c r="AH153" s="176"/>
      <c r="AI153" s="177"/>
    </row>
    <row r="154" spans="1:35" ht="22.35" customHeight="1">
      <c r="A154" s="367">
        <v>1</v>
      </c>
      <c r="B154" s="390" t="s">
        <v>209</v>
      </c>
      <c r="C154" s="350"/>
      <c r="D154" s="349"/>
      <c r="E154" s="349" t="s">
        <v>32</v>
      </c>
      <c r="F154" s="349" t="s">
        <v>32</v>
      </c>
      <c r="G154" s="349" t="s">
        <v>32</v>
      </c>
      <c r="H154" s="349" t="s">
        <v>32</v>
      </c>
      <c r="I154" s="349" t="s">
        <v>32</v>
      </c>
      <c r="J154" s="349"/>
      <c r="K154" s="349"/>
      <c r="L154" s="349" t="s">
        <v>32</v>
      </c>
      <c r="M154" s="349" t="s">
        <v>32</v>
      </c>
      <c r="N154" s="349" t="s">
        <v>32</v>
      </c>
      <c r="O154" s="349"/>
      <c r="P154" s="530" t="s">
        <v>32</v>
      </c>
      <c r="Q154" s="349"/>
      <c r="R154" s="349"/>
      <c r="S154" s="349" t="s">
        <v>32</v>
      </c>
      <c r="T154" s="350" t="s">
        <v>32</v>
      </c>
      <c r="U154" s="349" t="s">
        <v>32</v>
      </c>
      <c r="V154" s="349" t="s">
        <v>32</v>
      </c>
      <c r="W154" s="350" t="s">
        <v>32</v>
      </c>
      <c r="X154" s="350"/>
      <c r="Y154" s="350"/>
      <c r="Z154" s="349"/>
      <c r="AA154" s="351" t="s">
        <v>32</v>
      </c>
      <c r="AB154" s="350" t="s">
        <v>32</v>
      </c>
      <c r="AC154" s="349" t="s">
        <v>32</v>
      </c>
      <c r="AD154" s="351" t="s">
        <v>32</v>
      </c>
      <c r="AE154" s="351"/>
      <c r="AF154" s="351"/>
      <c r="AG154" s="352" t="s">
        <v>32</v>
      </c>
      <c r="AH154" s="215"/>
      <c r="AI154" s="182"/>
    </row>
    <row r="155" spans="1:35" ht="22.35" customHeight="1">
      <c r="A155" s="1013">
        <v>2</v>
      </c>
      <c r="B155" s="1078" t="s">
        <v>210</v>
      </c>
      <c r="C155" s="871"/>
      <c r="D155" s="935"/>
      <c r="E155" s="871" t="s">
        <v>211</v>
      </c>
      <c r="F155" s="871" t="s">
        <v>211</v>
      </c>
      <c r="G155" s="871" t="s">
        <v>211</v>
      </c>
      <c r="H155" s="871" t="s">
        <v>211</v>
      </c>
      <c r="I155" s="871" t="s">
        <v>211</v>
      </c>
      <c r="J155" s="871"/>
      <c r="K155" s="871"/>
      <c r="L155" s="871" t="s">
        <v>212</v>
      </c>
      <c r="M155" s="871" t="s">
        <v>212</v>
      </c>
      <c r="N155" s="871" t="s">
        <v>212</v>
      </c>
      <c r="O155" s="871"/>
      <c r="P155" s="871" t="s">
        <v>212</v>
      </c>
      <c r="Q155" s="871" t="s">
        <v>212</v>
      </c>
      <c r="R155" s="871"/>
      <c r="S155" s="871" t="s">
        <v>213</v>
      </c>
      <c r="T155" s="871" t="s">
        <v>213</v>
      </c>
      <c r="U155" s="871" t="s">
        <v>213</v>
      </c>
      <c r="V155" s="871" t="s">
        <v>213</v>
      </c>
      <c r="W155" s="871" t="s">
        <v>36</v>
      </c>
      <c r="X155" s="871"/>
      <c r="Y155" s="936"/>
      <c r="Z155" s="871"/>
      <c r="AA155" s="871" t="s">
        <v>211</v>
      </c>
      <c r="AB155" s="871" t="s">
        <v>211</v>
      </c>
      <c r="AC155" s="871" t="s">
        <v>211</v>
      </c>
      <c r="AD155" s="871" t="s">
        <v>211</v>
      </c>
      <c r="AE155" s="871"/>
      <c r="AF155" s="871"/>
      <c r="AG155" s="807" t="s">
        <v>212</v>
      </c>
      <c r="AH155" s="215"/>
      <c r="AI155" s="182"/>
    </row>
    <row r="156" spans="1:35" ht="22.35" customHeight="1">
      <c r="A156" s="1013">
        <v>3</v>
      </c>
      <c r="B156" s="1079" t="s">
        <v>214</v>
      </c>
      <c r="C156" s="871"/>
      <c r="D156" s="871"/>
      <c r="E156" s="871" t="s">
        <v>212</v>
      </c>
      <c r="F156" s="871" t="s">
        <v>212</v>
      </c>
      <c r="G156" s="871" t="s">
        <v>212</v>
      </c>
      <c r="H156" s="871" t="s">
        <v>212</v>
      </c>
      <c r="I156" s="871" t="s">
        <v>212</v>
      </c>
      <c r="J156" s="871" t="s">
        <v>212</v>
      </c>
      <c r="K156" s="871"/>
      <c r="L156" s="871" t="s">
        <v>213</v>
      </c>
      <c r="M156" s="871" t="s">
        <v>213</v>
      </c>
      <c r="N156" s="871" t="s">
        <v>213</v>
      </c>
      <c r="O156" s="871"/>
      <c r="P156" s="871" t="s">
        <v>36</v>
      </c>
      <c r="Q156" s="871"/>
      <c r="R156" s="871"/>
      <c r="S156" s="871" t="s">
        <v>211</v>
      </c>
      <c r="T156" s="871" t="s">
        <v>211</v>
      </c>
      <c r="U156" s="871" t="s">
        <v>211</v>
      </c>
      <c r="V156" s="871" t="s">
        <v>211</v>
      </c>
      <c r="W156" s="871" t="s">
        <v>211</v>
      </c>
      <c r="X156" s="871"/>
      <c r="Y156" s="871"/>
      <c r="Z156" s="871"/>
      <c r="AA156" s="935" t="s">
        <v>212</v>
      </c>
      <c r="AB156" s="935" t="s">
        <v>212</v>
      </c>
      <c r="AC156" s="935" t="s">
        <v>212</v>
      </c>
      <c r="AD156" s="935" t="s">
        <v>212</v>
      </c>
      <c r="AE156" s="935" t="s">
        <v>212</v>
      </c>
      <c r="AF156" s="935"/>
      <c r="AG156" s="1004" t="s">
        <v>213</v>
      </c>
      <c r="AH156" s="215"/>
      <c r="AI156" s="182"/>
    </row>
    <row r="157" spans="1:35" ht="22.35" customHeight="1">
      <c r="A157" s="1013">
        <v>4</v>
      </c>
      <c r="B157" s="1079" t="s">
        <v>215</v>
      </c>
      <c r="C157" s="871"/>
      <c r="D157" s="871"/>
      <c r="E157" s="871" t="s">
        <v>32</v>
      </c>
      <c r="F157" s="871"/>
      <c r="G157" s="871" t="s">
        <v>32</v>
      </c>
      <c r="H157" s="871"/>
      <c r="I157" s="871" t="s">
        <v>32</v>
      </c>
      <c r="J157" s="871"/>
      <c r="K157" s="871"/>
      <c r="L157" s="871" t="s">
        <v>32</v>
      </c>
      <c r="M157" s="871"/>
      <c r="N157" s="871" t="s">
        <v>32</v>
      </c>
      <c r="O157" s="871"/>
      <c r="P157" s="871" t="s">
        <v>32</v>
      </c>
      <c r="Q157" s="868"/>
      <c r="R157" s="868"/>
      <c r="S157" s="868"/>
      <c r="T157" s="868"/>
      <c r="U157" s="868" t="s">
        <v>32</v>
      </c>
      <c r="V157" s="871"/>
      <c r="W157" s="871" t="s">
        <v>32</v>
      </c>
      <c r="X157" s="868" t="s">
        <v>32</v>
      </c>
      <c r="Y157" s="871"/>
      <c r="Z157" s="868" t="s">
        <v>32</v>
      </c>
      <c r="AA157" s="871"/>
      <c r="AB157" s="871" t="s">
        <v>32</v>
      </c>
      <c r="AC157" s="871"/>
      <c r="AD157" s="871" t="s">
        <v>32</v>
      </c>
      <c r="AE157" s="871"/>
      <c r="AF157" s="871"/>
      <c r="AG157" s="1004" t="s">
        <v>32</v>
      </c>
      <c r="AH157" s="215"/>
      <c r="AI157" s="182"/>
    </row>
    <row r="158" spans="1:35" ht="22.35" customHeight="1">
      <c r="A158" s="1013">
        <v>5</v>
      </c>
      <c r="B158" s="1079" t="s">
        <v>216</v>
      </c>
      <c r="C158" s="871"/>
      <c r="D158" s="871"/>
      <c r="E158" s="871"/>
      <c r="F158" s="871" t="s">
        <v>32</v>
      </c>
      <c r="G158" s="871"/>
      <c r="H158" s="871" t="s">
        <v>32</v>
      </c>
      <c r="I158" s="871"/>
      <c r="J158" s="871"/>
      <c r="K158" s="871"/>
      <c r="L158" s="871"/>
      <c r="M158" s="871" t="s">
        <v>32</v>
      </c>
      <c r="N158" s="871"/>
      <c r="O158" s="871"/>
      <c r="P158" s="871"/>
      <c r="Q158" s="871"/>
      <c r="R158" s="871"/>
      <c r="S158" s="871"/>
      <c r="T158" s="871" t="s">
        <v>32</v>
      </c>
      <c r="U158" s="871"/>
      <c r="V158" s="871" t="s">
        <v>32</v>
      </c>
      <c r="W158" s="871"/>
      <c r="X158" s="871"/>
      <c r="Y158" s="871"/>
      <c r="Z158" s="871"/>
      <c r="AA158" s="871" t="s">
        <v>32</v>
      </c>
      <c r="AB158" s="871"/>
      <c r="AC158" s="871" t="s">
        <v>32</v>
      </c>
      <c r="AD158" s="871"/>
      <c r="AE158" s="871"/>
      <c r="AF158" s="871"/>
      <c r="AG158" s="1004"/>
      <c r="AH158" s="215"/>
      <c r="AI158" s="182"/>
    </row>
    <row r="159" spans="1:35" ht="22.35" customHeight="1">
      <c r="A159" s="1013">
        <v>6</v>
      </c>
      <c r="B159" s="877" t="s">
        <v>217</v>
      </c>
      <c r="C159" s="871"/>
      <c r="D159" s="871"/>
      <c r="E159" s="871" t="s">
        <v>32</v>
      </c>
      <c r="F159" s="871" t="s">
        <v>32</v>
      </c>
      <c r="G159" s="871" t="s">
        <v>32</v>
      </c>
      <c r="H159" s="871" t="s">
        <v>32</v>
      </c>
      <c r="I159" s="871" t="s">
        <v>32</v>
      </c>
      <c r="J159" s="872"/>
      <c r="K159" s="871"/>
      <c r="L159" s="871" t="s">
        <v>32</v>
      </c>
      <c r="M159" s="871" t="s">
        <v>32</v>
      </c>
      <c r="N159" s="871" t="s">
        <v>32</v>
      </c>
      <c r="O159" s="871"/>
      <c r="P159" s="1080" t="s">
        <v>32</v>
      </c>
      <c r="Q159" s="871"/>
      <c r="R159" s="871"/>
      <c r="S159" s="1081" t="s">
        <v>32</v>
      </c>
      <c r="T159" s="868" t="s">
        <v>32</v>
      </c>
      <c r="U159" s="868" t="s">
        <v>32</v>
      </c>
      <c r="V159" s="868" t="s">
        <v>32</v>
      </c>
      <c r="W159" s="868" t="s">
        <v>32</v>
      </c>
      <c r="X159" s="868"/>
      <c r="Y159" s="871"/>
      <c r="Z159" s="871"/>
      <c r="AA159" s="871" t="s">
        <v>32</v>
      </c>
      <c r="AB159" s="871" t="s">
        <v>32</v>
      </c>
      <c r="AC159" s="871" t="s">
        <v>32</v>
      </c>
      <c r="AD159" s="871" t="s">
        <v>32</v>
      </c>
      <c r="AE159" s="871"/>
      <c r="AF159" s="871"/>
      <c r="AG159" s="1004" t="s">
        <v>32</v>
      </c>
      <c r="AH159" s="201"/>
      <c r="AI159" s="107"/>
    </row>
    <row r="160" spans="1:35" ht="22.35" customHeight="1" thickBot="1">
      <c r="A160" s="1021"/>
      <c r="B160" s="929"/>
      <c r="C160" s="860"/>
      <c r="D160" s="860"/>
      <c r="E160" s="860"/>
      <c r="F160" s="860"/>
      <c r="G160" s="860"/>
      <c r="H160" s="860"/>
      <c r="I160" s="860"/>
      <c r="J160" s="860"/>
      <c r="K160" s="860"/>
      <c r="L160" s="860"/>
      <c r="M160" s="860"/>
      <c r="N160" s="860"/>
      <c r="O160" s="860"/>
      <c r="P160" s="860"/>
      <c r="Q160" s="860"/>
      <c r="R160" s="860"/>
      <c r="S160" s="860"/>
      <c r="T160" s="860"/>
      <c r="U160" s="860"/>
      <c r="V160" s="860"/>
      <c r="W160" s="860"/>
      <c r="X160" s="860"/>
      <c r="Y160" s="860"/>
      <c r="Z160" s="860"/>
      <c r="AA160" s="860"/>
      <c r="AB160" s="860"/>
      <c r="AC160" s="860"/>
      <c r="AD160" s="860"/>
      <c r="AE160" s="860"/>
      <c r="AF160" s="860"/>
      <c r="AG160" s="861"/>
      <c r="AH160" s="107"/>
      <c r="AI160" s="107"/>
    </row>
    <row r="161" spans="1:36" ht="22.35" customHeight="1">
      <c r="A161" s="212"/>
      <c r="B161" s="210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 thickBot="1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>
      <c r="A164" s="109"/>
      <c r="B164" s="239" t="s">
        <v>220</v>
      </c>
      <c r="C164" s="240"/>
      <c r="D164" s="241" t="s">
        <v>94</v>
      </c>
      <c r="E164" s="242"/>
      <c r="F164" s="243"/>
      <c r="G164" s="244"/>
      <c r="H164" s="241" t="s">
        <v>95</v>
      </c>
      <c r="I164" s="242"/>
      <c r="J164" s="243"/>
      <c r="K164" s="244"/>
      <c r="L164" s="241" t="s">
        <v>96</v>
      </c>
      <c r="M164" s="242"/>
      <c r="N164" s="243"/>
      <c r="O164" s="244"/>
      <c r="P164" s="241" t="s">
        <v>97</v>
      </c>
      <c r="Q164" s="242"/>
      <c r="R164" s="243"/>
      <c r="S164" s="244"/>
      <c r="T164" s="241" t="s">
        <v>98</v>
      </c>
      <c r="U164" s="242"/>
      <c r="V164" s="243"/>
      <c r="W164" s="244"/>
      <c r="X164" s="241" t="s">
        <v>99</v>
      </c>
      <c r="Y164" s="242"/>
      <c r="Z164" s="243"/>
      <c r="AA164" s="244"/>
      <c r="AB164" s="241" t="s">
        <v>100</v>
      </c>
      <c r="AC164" s="242"/>
      <c r="AD164" s="242"/>
      <c r="AE164" s="245" t="s">
        <v>101</v>
      </c>
      <c r="AF164" s="242"/>
      <c r="AG164" s="242"/>
      <c r="AH164" s="242"/>
      <c r="AI164" s="246"/>
    </row>
    <row r="165" spans="1:36" ht="22.35" customHeight="1">
      <c r="A165" s="109"/>
      <c r="B165" s="1082" t="s">
        <v>221</v>
      </c>
      <c r="C165" s="1083" t="s">
        <v>113</v>
      </c>
      <c r="D165" s="1084" t="s">
        <v>222</v>
      </c>
      <c r="E165" s="1085"/>
      <c r="F165" s="795"/>
      <c r="G165" s="1086"/>
      <c r="H165" s="1084" t="s">
        <v>222</v>
      </c>
      <c r="I165" s="1085"/>
      <c r="J165" s="795"/>
      <c r="K165" s="1086"/>
      <c r="L165" s="1084" t="s">
        <v>222</v>
      </c>
      <c r="M165" s="1085"/>
      <c r="N165" s="795"/>
      <c r="O165" s="1086"/>
      <c r="P165" s="1084" t="s">
        <v>223</v>
      </c>
      <c r="Q165" s="1085"/>
      <c r="R165" s="795"/>
      <c r="S165" s="1086"/>
      <c r="T165" s="1084" t="s">
        <v>224</v>
      </c>
      <c r="U165" s="795"/>
      <c r="V165" s="795"/>
      <c r="W165" s="1087"/>
      <c r="X165" s="1088"/>
      <c r="Y165" s="1088"/>
      <c r="Z165" s="796"/>
      <c r="AA165" s="1087"/>
      <c r="AB165" s="1088"/>
      <c r="AC165" s="1088"/>
      <c r="AD165" s="1088"/>
      <c r="AE165" s="1087"/>
      <c r="AF165" s="1088"/>
      <c r="AG165" s="1088"/>
      <c r="AH165" s="1089"/>
      <c r="AI165" s="1090"/>
    </row>
    <row r="166" spans="1:36" ht="22.35" customHeight="1">
      <c r="A166" s="109"/>
      <c r="B166" s="1082" t="s">
        <v>221</v>
      </c>
      <c r="C166" s="1083" t="s">
        <v>118</v>
      </c>
      <c r="D166" s="1084" t="s">
        <v>222</v>
      </c>
      <c r="E166" s="1085"/>
      <c r="F166" s="795"/>
      <c r="G166" s="1086"/>
      <c r="H166" s="1084" t="s">
        <v>222</v>
      </c>
      <c r="I166" s="1085"/>
      <c r="J166" s="795"/>
      <c r="K166" s="1086"/>
      <c r="L166" s="1084" t="s">
        <v>222</v>
      </c>
      <c r="M166" s="1085"/>
      <c r="N166" s="795"/>
      <c r="O166" s="1086"/>
      <c r="P166" s="1084" t="s">
        <v>223</v>
      </c>
      <c r="Q166" s="1085"/>
      <c r="R166" s="795"/>
      <c r="S166" s="1086"/>
      <c r="T166" s="1084" t="s">
        <v>224</v>
      </c>
      <c r="U166" s="795"/>
      <c r="V166" s="795"/>
      <c r="W166" s="1087"/>
      <c r="X166" s="1088"/>
      <c r="Y166" s="1088"/>
      <c r="Z166" s="796"/>
      <c r="AA166" s="1087"/>
      <c r="AB166" s="1088"/>
      <c r="AC166" s="1088"/>
      <c r="AD166" s="1088"/>
      <c r="AE166" s="1087"/>
      <c r="AF166" s="1088"/>
      <c r="AG166" s="1088"/>
      <c r="AH166" s="1089"/>
      <c r="AI166" s="1090"/>
    </row>
    <row r="167" spans="1:36" ht="22.35" customHeight="1">
      <c r="A167" s="109"/>
      <c r="B167" s="1082" t="s">
        <v>225</v>
      </c>
      <c r="C167" s="1083" t="s">
        <v>126</v>
      </c>
      <c r="D167" s="1084" t="s">
        <v>222</v>
      </c>
      <c r="E167" s="1085"/>
      <c r="F167" s="795"/>
      <c r="G167" s="1086"/>
      <c r="H167" s="1084" t="s">
        <v>222</v>
      </c>
      <c r="I167" s="1085"/>
      <c r="J167" s="795"/>
      <c r="K167" s="1086"/>
      <c r="L167" s="1084" t="s">
        <v>222</v>
      </c>
      <c r="M167" s="1085"/>
      <c r="N167" s="795"/>
      <c r="O167" s="1086"/>
      <c r="P167" s="1084" t="s">
        <v>223</v>
      </c>
      <c r="Q167" s="1085"/>
      <c r="R167" s="795"/>
      <c r="S167" s="1086"/>
      <c r="T167" s="1084" t="s">
        <v>224</v>
      </c>
      <c r="U167" s="795"/>
      <c r="V167" s="795"/>
      <c r="W167" s="1087"/>
      <c r="X167" s="1088"/>
      <c r="Y167" s="1088"/>
      <c r="Z167" s="796"/>
      <c r="AA167" s="1087"/>
      <c r="AB167" s="1088"/>
      <c r="AC167" s="1088"/>
      <c r="AD167" s="1088"/>
      <c r="AE167" s="1087"/>
      <c r="AF167" s="1088"/>
      <c r="AG167" s="1088"/>
      <c r="AH167" s="1089"/>
      <c r="AI167" s="1090"/>
    </row>
    <row r="168" spans="1:36" ht="22.35" customHeight="1">
      <c r="A168" s="109"/>
      <c r="B168" s="1082" t="s">
        <v>226</v>
      </c>
      <c r="C168" s="1083" t="s">
        <v>50</v>
      </c>
      <c r="D168" s="1084" t="s">
        <v>227</v>
      </c>
      <c r="E168" s="1085"/>
      <c r="F168" s="795"/>
      <c r="G168" s="1086"/>
      <c r="H168" s="1084" t="s">
        <v>227</v>
      </c>
      <c r="I168" s="1085"/>
      <c r="J168" s="795"/>
      <c r="K168" s="1086"/>
      <c r="L168" s="1084" t="s">
        <v>228</v>
      </c>
      <c r="M168" s="1085"/>
      <c r="N168" s="795"/>
      <c r="O168" s="1086"/>
      <c r="P168" s="1084" t="s">
        <v>229</v>
      </c>
      <c r="Q168" s="1085"/>
      <c r="R168" s="795"/>
      <c r="S168" s="1086"/>
      <c r="T168" s="1084" t="s">
        <v>230</v>
      </c>
      <c r="U168" s="795"/>
      <c r="V168" s="795"/>
      <c r="W168" s="1087"/>
      <c r="X168" s="1088"/>
      <c r="Y168" s="1088"/>
      <c r="Z168" s="796"/>
      <c r="AA168" s="1087"/>
      <c r="AB168" s="1088"/>
      <c r="AC168" s="1088"/>
      <c r="AD168" s="1088"/>
      <c r="AE168" s="1087"/>
      <c r="AF168" s="1088"/>
      <c r="AG168" s="1088"/>
      <c r="AH168" s="1089"/>
      <c r="AI168" s="1090"/>
    </row>
    <row r="169" spans="1:36" ht="22.35" customHeight="1">
      <c r="A169" s="109"/>
      <c r="B169" s="1082" t="s">
        <v>231</v>
      </c>
      <c r="C169" s="1083" t="s">
        <v>115</v>
      </c>
      <c r="D169" s="1084" t="s">
        <v>232</v>
      </c>
      <c r="E169" s="1085"/>
      <c r="F169" s="795"/>
      <c r="G169" s="1086"/>
      <c r="H169" s="1084" t="s">
        <v>232</v>
      </c>
      <c r="I169" s="1085"/>
      <c r="J169" s="795"/>
      <c r="K169" s="1086"/>
      <c r="L169" s="1084" t="s">
        <v>233</v>
      </c>
      <c r="M169" s="1085"/>
      <c r="N169" s="795"/>
      <c r="O169" s="1086"/>
      <c r="P169" s="1084" t="s">
        <v>234</v>
      </c>
      <c r="Q169" s="1085"/>
      <c r="R169" s="795"/>
      <c r="S169" s="1086"/>
      <c r="T169" s="1084" t="s">
        <v>235</v>
      </c>
      <c r="U169" s="795"/>
      <c r="V169" s="795"/>
      <c r="W169" s="1087"/>
      <c r="X169" s="1088"/>
      <c r="Y169" s="1088"/>
      <c r="Z169" s="796"/>
      <c r="AA169" s="1087"/>
      <c r="AB169" s="1088"/>
      <c r="AC169" s="1088"/>
      <c r="AD169" s="1088"/>
      <c r="AE169" s="1087"/>
      <c r="AF169" s="1088"/>
      <c r="AG169" s="1088"/>
      <c r="AH169" s="1089"/>
      <c r="AI169" s="1090"/>
    </row>
    <row r="170" spans="1:36" ht="22.35" customHeight="1">
      <c r="A170" s="109"/>
      <c r="B170" s="1082" t="s">
        <v>236</v>
      </c>
      <c r="C170" s="1083" t="s">
        <v>132</v>
      </c>
      <c r="D170" s="1084" t="s">
        <v>222</v>
      </c>
      <c r="E170" s="1085"/>
      <c r="F170" s="795"/>
      <c r="G170" s="1086"/>
      <c r="H170" s="1084" t="s">
        <v>222</v>
      </c>
      <c r="I170" s="1085"/>
      <c r="J170" s="795"/>
      <c r="K170" s="1086"/>
      <c r="L170" s="1084" t="s">
        <v>222</v>
      </c>
      <c r="M170" s="1085"/>
      <c r="N170" s="795"/>
      <c r="O170" s="1086"/>
      <c r="P170" s="1084" t="s">
        <v>222</v>
      </c>
      <c r="Q170" s="1085"/>
      <c r="R170" s="795"/>
      <c r="S170" s="1086"/>
      <c r="T170" s="1084" t="s">
        <v>232</v>
      </c>
      <c r="U170" s="795"/>
      <c r="V170" s="795"/>
      <c r="W170" s="1087"/>
      <c r="X170" s="1088"/>
      <c r="Y170" s="1088"/>
      <c r="Z170" s="796"/>
      <c r="AA170" s="1087"/>
      <c r="AB170" s="1088"/>
      <c r="AC170" s="1088"/>
      <c r="AD170" s="1088"/>
      <c r="AE170" s="1087"/>
      <c r="AF170" s="1088"/>
      <c r="AG170" s="1088"/>
      <c r="AH170" s="1089"/>
      <c r="AI170" s="1090"/>
    </row>
    <row r="171" spans="1:36" ht="22.35" customHeight="1">
      <c r="A171" s="109"/>
      <c r="B171" s="1082" t="s">
        <v>237</v>
      </c>
      <c r="C171" s="1083" t="s">
        <v>135</v>
      </c>
      <c r="D171" s="1084" t="s">
        <v>222</v>
      </c>
      <c r="E171" s="1085"/>
      <c r="F171" s="795"/>
      <c r="G171" s="1086"/>
      <c r="H171" s="1084" t="s">
        <v>222</v>
      </c>
      <c r="I171" s="1085"/>
      <c r="J171" s="795"/>
      <c r="K171" s="1086"/>
      <c r="L171" s="1084" t="s">
        <v>222</v>
      </c>
      <c r="M171" s="1085"/>
      <c r="N171" s="795"/>
      <c r="O171" s="1086"/>
      <c r="P171" s="1084" t="s">
        <v>223</v>
      </c>
      <c r="Q171" s="1085"/>
      <c r="R171" s="795"/>
      <c r="S171" s="1086"/>
      <c r="T171" s="1084" t="s">
        <v>224</v>
      </c>
      <c r="U171" s="795"/>
      <c r="V171" s="795"/>
      <c r="W171" s="1087"/>
      <c r="X171" s="1088"/>
      <c r="Y171" s="1088"/>
      <c r="Z171" s="796"/>
      <c r="AA171" s="1087"/>
      <c r="AB171" s="1088"/>
      <c r="AC171" s="1088"/>
      <c r="AD171" s="1088"/>
      <c r="AE171" s="1087"/>
      <c r="AF171" s="1088"/>
      <c r="AG171" s="1088"/>
      <c r="AH171" s="1089"/>
      <c r="AI171" s="1090"/>
    </row>
    <row r="172" spans="1:36" ht="22.35" customHeight="1">
      <c r="A172" s="109"/>
      <c r="B172" s="1082" t="s">
        <v>237</v>
      </c>
      <c r="C172" s="1083" t="s">
        <v>52</v>
      </c>
      <c r="D172" s="1084" t="s">
        <v>222</v>
      </c>
      <c r="E172" s="1085"/>
      <c r="F172" s="795"/>
      <c r="G172" s="1086"/>
      <c r="H172" s="1084" t="s">
        <v>222</v>
      </c>
      <c r="I172" s="1085"/>
      <c r="J172" s="795"/>
      <c r="K172" s="1086"/>
      <c r="L172" s="1084" t="s">
        <v>222</v>
      </c>
      <c r="M172" s="1085"/>
      <c r="N172" s="795"/>
      <c r="O172" s="1086"/>
      <c r="P172" s="1084" t="s">
        <v>223</v>
      </c>
      <c r="Q172" s="1085"/>
      <c r="R172" s="795"/>
      <c r="S172" s="1086"/>
      <c r="T172" s="1084" t="s">
        <v>224</v>
      </c>
      <c r="U172" s="795"/>
      <c r="V172" s="795"/>
      <c r="W172" s="1087"/>
      <c r="X172" s="1088"/>
      <c r="Y172" s="1088"/>
      <c r="Z172" s="796"/>
      <c r="AA172" s="1087"/>
      <c r="AB172" s="1088"/>
      <c r="AC172" s="1088"/>
      <c r="AD172" s="1088"/>
      <c r="AE172" s="1087"/>
      <c r="AF172" s="1088"/>
      <c r="AG172" s="1088"/>
      <c r="AH172" s="1089"/>
      <c r="AI172" s="1090"/>
    </row>
    <row r="173" spans="1:36" ht="22.35" customHeight="1">
      <c r="A173" s="109"/>
      <c r="B173" s="1082" t="s">
        <v>238</v>
      </c>
      <c r="C173" s="1083" t="s">
        <v>141</v>
      </c>
      <c r="D173" s="1084" t="s">
        <v>222</v>
      </c>
      <c r="E173" s="1085"/>
      <c r="F173" s="795"/>
      <c r="G173" s="1086"/>
      <c r="H173" s="1084" t="s">
        <v>222</v>
      </c>
      <c r="I173" s="1085"/>
      <c r="J173" s="795"/>
      <c r="K173" s="1086"/>
      <c r="L173" s="1084" t="s">
        <v>222</v>
      </c>
      <c r="M173" s="1085"/>
      <c r="N173" s="795"/>
      <c r="O173" s="1086"/>
      <c r="P173" s="1084" t="s">
        <v>239</v>
      </c>
      <c r="Q173" s="1085"/>
      <c r="R173" s="795"/>
      <c r="S173" s="1086"/>
      <c r="T173" s="1084" t="s">
        <v>235</v>
      </c>
      <c r="U173" s="795"/>
      <c r="V173" s="795"/>
      <c r="W173" s="1087"/>
      <c r="X173" s="1088"/>
      <c r="Y173" s="1088"/>
      <c r="Z173" s="796"/>
      <c r="AA173" s="1087"/>
      <c r="AB173" s="1088"/>
      <c r="AC173" s="1088"/>
      <c r="AD173" s="1088"/>
      <c r="AE173" s="1087"/>
      <c r="AF173" s="1088"/>
      <c r="AG173" s="1088"/>
      <c r="AH173" s="1089"/>
      <c r="AI173" s="1090"/>
    </row>
    <row r="174" spans="1:36" ht="22.35" customHeight="1">
      <c r="A174" s="109"/>
      <c r="B174" s="1091" t="s">
        <v>240</v>
      </c>
      <c r="C174" s="1092" t="s">
        <v>124</v>
      </c>
      <c r="D174" s="1093" t="s">
        <v>222</v>
      </c>
      <c r="E174" s="1094"/>
      <c r="F174" s="1095"/>
      <c r="G174" s="1096"/>
      <c r="H174" s="1093" t="s">
        <v>222</v>
      </c>
      <c r="I174" s="1094"/>
      <c r="J174" s="1095"/>
      <c r="K174" s="1096"/>
      <c r="L174" s="1093" t="s">
        <v>222</v>
      </c>
      <c r="M174" s="1094"/>
      <c r="N174" s="1095"/>
      <c r="O174" s="1096"/>
      <c r="P174" s="1093" t="s">
        <v>223</v>
      </c>
      <c r="Q174" s="1094"/>
      <c r="R174" s="1095"/>
      <c r="S174" s="1096"/>
      <c r="T174" s="1093" t="s">
        <v>224</v>
      </c>
      <c r="U174" s="1095"/>
      <c r="V174" s="198"/>
      <c r="W174" s="1097"/>
      <c r="X174" s="197"/>
      <c r="Y174" s="197"/>
      <c r="Z174" s="198"/>
      <c r="AA174" s="1097"/>
      <c r="AB174" s="197"/>
      <c r="AC174" s="197"/>
      <c r="AD174" s="197"/>
      <c r="AE174" s="1097"/>
      <c r="AF174" s="197"/>
      <c r="AG174" s="197"/>
      <c r="AH174" s="199"/>
      <c r="AI174" s="673"/>
      <c r="AJ174" s="200"/>
    </row>
    <row r="175" spans="1:36" ht="22.35" customHeight="1">
      <c r="A175" s="109"/>
      <c r="B175" s="1082" t="s">
        <v>241</v>
      </c>
      <c r="C175" s="1083" t="s">
        <v>242</v>
      </c>
      <c r="D175" s="1084" t="s">
        <v>222</v>
      </c>
      <c r="E175" s="1085"/>
      <c r="F175" s="795"/>
      <c r="G175" s="1086"/>
      <c r="H175" s="1084" t="s">
        <v>222</v>
      </c>
      <c r="I175" s="1085"/>
      <c r="J175" s="795"/>
      <c r="K175" s="1086"/>
      <c r="L175" s="1084" t="s">
        <v>222</v>
      </c>
      <c r="M175" s="1085"/>
      <c r="N175" s="795"/>
      <c r="O175" s="1086"/>
      <c r="P175" s="1084" t="s">
        <v>223</v>
      </c>
      <c r="Q175" s="1085"/>
      <c r="R175" s="795"/>
      <c r="S175" s="1086"/>
      <c r="T175" s="1084" t="s">
        <v>224</v>
      </c>
      <c r="U175" s="795"/>
      <c r="V175" s="1085"/>
      <c r="W175" s="1087"/>
      <c r="X175" s="1088"/>
      <c r="Y175" s="1088"/>
      <c r="Z175" s="1088"/>
      <c r="AA175" s="1087"/>
      <c r="AB175" s="1088"/>
      <c r="AC175" s="1088"/>
      <c r="AD175" s="1088"/>
      <c r="AE175" s="1087"/>
      <c r="AF175" s="1088"/>
      <c r="AG175" s="1088"/>
      <c r="AH175" s="1089"/>
      <c r="AI175" s="1090"/>
      <c r="AJ175" s="200"/>
    </row>
    <row r="176" spans="1:36" ht="22.35" customHeight="1">
      <c r="A176" s="109"/>
      <c r="B176" s="1082" t="s">
        <v>243</v>
      </c>
      <c r="C176" s="1083" t="s">
        <v>122</v>
      </c>
      <c r="D176" s="1084" t="s">
        <v>244</v>
      </c>
      <c r="E176" s="1085"/>
      <c r="F176" s="795"/>
      <c r="G176" s="1086"/>
      <c r="H176" s="1084" t="s">
        <v>244</v>
      </c>
      <c r="I176" s="1085"/>
      <c r="J176" s="795"/>
      <c r="K176" s="1086"/>
      <c r="L176" s="1084" t="s">
        <v>244</v>
      </c>
      <c r="M176" s="1085"/>
      <c r="N176" s="1085"/>
      <c r="O176" s="1086"/>
      <c r="P176" s="1084" t="s">
        <v>244</v>
      </c>
      <c r="Q176" s="1085"/>
      <c r="R176" s="1085"/>
      <c r="S176" s="1086"/>
      <c r="T176" s="1084" t="s">
        <v>235</v>
      </c>
      <c r="U176" s="795"/>
      <c r="V176" s="1085"/>
      <c r="W176" s="1098"/>
      <c r="X176" s="1088"/>
      <c r="Y176" s="1088"/>
      <c r="Z176" s="1088"/>
      <c r="AA176" s="1087"/>
      <c r="AB176" s="1088"/>
      <c r="AC176" s="1088"/>
      <c r="AD176" s="1088"/>
      <c r="AE176" s="1087"/>
      <c r="AF176" s="1088"/>
      <c r="AG176" s="1088"/>
      <c r="AH176" s="1089"/>
      <c r="AI176" s="1090"/>
      <c r="AJ176" s="200"/>
    </row>
    <row r="177" spans="1:36" ht="22.35" customHeight="1">
      <c r="A177" s="109"/>
      <c r="B177" s="1082" t="s">
        <v>245</v>
      </c>
      <c r="C177" s="1083" t="s">
        <v>246</v>
      </c>
      <c r="D177" s="1084" t="s">
        <v>244</v>
      </c>
      <c r="E177" s="1085"/>
      <c r="F177" s="795"/>
      <c r="G177" s="1086"/>
      <c r="H177" s="1084" t="s">
        <v>244</v>
      </c>
      <c r="I177" s="1085"/>
      <c r="J177" s="795"/>
      <c r="K177" s="1086"/>
      <c r="L177" s="1084" t="s">
        <v>244</v>
      </c>
      <c r="M177" s="1085"/>
      <c r="N177" s="1085"/>
      <c r="O177" s="1086"/>
      <c r="P177" s="1084" t="s">
        <v>244</v>
      </c>
      <c r="Q177" s="1085"/>
      <c r="R177" s="1085"/>
      <c r="S177" s="1086"/>
      <c r="T177" s="1084" t="s">
        <v>235</v>
      </c>
      <c r="U177" s="795"/>
      <c r="V177" s="1085"/>
      <c r="W177" s="1098"/>
      <c r="X177" s="1088"/>
      <c r="Y177" s="1088"/>
      <c r="Z177" s="796"/>
      <c r="AA177" s="1099"/>
      <c r="AB177" s="1088"/>
      <c r="AC177" s="1088"/>
      <c r="AD177" s="1088"/>
      <c r="AE177" s="1087"/>
      <c r="AF177" s="1088"/>
      <c r="AG177" s="1088"/>
      <c r="AH177" s="1089"/>
      <c r="AI177" s="1090"/>
      <c r="AJ177" s="200"/>
    </row>
    <row r="178" spans="1:36" ht="22.35" customHeight="1" thickBot="1">
      <c r="A178" s="109"/>
      <c r="B178" s="1100" t="s">
        <v>247</v>
      </c>
      <c r="C178" s="1101" t="s">
        <v>127</v>
      </c>
      <c r="D178" s="1102" t="s">
        <v>244</v>
      </c>
      <c r="E178" s="1103"/>
      <c r="F178" s="1104"/>
      <c r="G178" s="1105"/>
      <c r="H178" s="1102" t="s">
        <v>244</v>
      </c>
      <c r="I178" s="1103"/>
      <c r="J178" s="1104"/>
      <c r="K178" s="1105"/>
      <c r="L178" s="1102" t="s">
        <v>244</v>
      </c>
      <c r="M178" s="1103"/>
      <c r="N178" s="1103"/>
      <c r="O178" s="1105"/>
      <c r="P178" s="1102" t="s">
        <v>244</v>
      </c>
      <c r="Q178" s="1103"/>
      <c r="R178" s="1103"/>
      <c r="S178" s="1105"/>
      <c r="T178" s="1102" t="s">
        <v>235</v>
      </c>
      <c r="U178" s="1104"/>
      <c r="V178" s="1103"/>
      <c r="W178" s="1106"/>
      <c r="X178" s="1107"/>
      <c r="Y178" s="1107"/>
      <c r="Z178" s="1108"/>
      <c r="AA178" s="1109"/>
      <c r="AB178" s="1107"/>
      <c r="AC178" s="1107"/>
      <c r="AD178" s="1107"/>
      <c r="AE178" s="1110"/>
      <c r="AF178" s="1107"/>
      <c r="AG178" s="1107"/>
      <c r="AH178" s="1111"/>
      <c r="AI178" s="1112"/>
      <c r="AJ178" s="200"/>
    </row>
    <row r="179" spans="1:36" ht="22.35" customHeight="1">
      <c r="A179" s="109"/>
      <c r="B179" s="218"/>
      <c r="C179" s="219"/>
      <c r="D179" s="220"/>
      <c r="E179" s="221"/>
      <c r="F179" s="221"/>
      <c r="G179" s="222"/>
      <c r="H179" s="220"/>
      <c r="I179" s="221"/>
      <c r="J179" s="221"/>
      <c r="K179" s="222"/>
      <c r="L179" s="220"/>
      <c r="M179" s="221"/>
      <c r="N179" s="221"/>
      <c r="O179" s="222"/>
      <c r="P179" s="210"/>
      <c r="Q179" s="221"/>
      <c r="R179" s="221"/>
      <c r="S179" s="222"/>
      <c r="T179" s="210"/>
      <c r="U179" s="221"/>
      <c r="V179" s="221"/>
      <c r="W179" s="221"/>
      <c r="X179" s="221"/>
      <c r="Y179" s="221"/>
      <c r="Z179" s="221"/>
      <c r="AA179" s="222"/>
      <c r="AB179" s="221"/>
      <c r="AC179" s="221"/>
      <c r="AD179" s="221"/>
      <c r="AE179" s="222"/>
      <c r="AF179" s="221"/>
      <c r="AG179" s="221"/>
      <c r="AH179" s="201"/>
      <c r="AI179" s="201"/>
      <c r="AJ179" s="200"/>
    </row>
    <row r="180" spans="1:36" ht="22.35" customHeight="1" thickBot="1">
      <c r="A180" s="148"/>
      <c r="B180" s="1113" t="s">
        <v>29</v>
      </c>
      <c r="C180" s="859">
        <v>1</v>
      </c>
      <c r="D180" s="859">
        <v>2</v>
      </c>
      <c r="E180" s="860">
        <v>3</v>
      </c>
      <c r="F180" s="860">
        <v>4</v>
      </c>
      <c r="G180" s="860">
        <v>5</v>
      </c>
      <c r="H180" s="860">
        <v>6</v>
      </c>
      <c r="I180" s="860">
        <v>7</v>
      </c>
      <c r="J180" s="859">
        <v>8</v>
      </c>
      <c r="K180" s="859">
        <v>9</v>
      </c>
      <c r="L180" s="860">
        <v>10</v>
      </c>
      <c r="M180" s="860">
        <v>11</v>
      </c>
      <c r="N180" s="860">
        <v>12</v>
      </c>
      <c r="O180" s="859">
        <v>13</v>
      </c>
      <c r="P180" s="860">
        <v>14</v>
      </c>
      <c r="Q180" s="859">
        <v>15</v>
      </c>
      <c r="R180" s="859">
        <v>16</v>
      </c>
      <c r="S180" s="860">
        <v>17</v>
      </c>
      <c r="T180" s="860">
        <v>18</v>
      </c>
      <c r="U180" s="860">
        <v>19</v>
      </c>
      <c r="V180" s="860">
        <v>20</v>
      </c>
      <c r="W180" s="860">
        <v>21</v>
      </c>
      <c r="X180" s="859">
        <v>22</v>
      </c>
      <c r="Y180" s="859">
        <v>23</v>
      </c>
      <c r="Z180" s="859">
        <v>24</v>
      </c>
      <c r="AA180" s="860">
        <v>25</v>
      </c>
      <c r="AB180" s="860">
        <v>26</v>
      </c>
      <c r="AC180" s="860">
        <v>27</v>
      </c>
      <c r="AD180" s="860">
        <v>28</v>
      </c>
      <c r="AE180" s="859">
        <v>29</v>
      </c>
      <c r="AF180" s="859">
        <v>30</v>
      </c>
      <c r="AG180" s="861">
        <v>31</v>
      </c>
      <c r="AH180" s="183"/>
      <c r="AI180" s="177"/>
    </row>
    <row r="181" spans="1:36" ht="22.35" customHeight="1">
      <c r="A181" s="109"/>
      <c r="B181" s="318" t="s">
        <v>248</v>
      </c>
      <c r="C181" s="514"/>
      <c r="D181" s="514"/>
      <c r="E181" s="514" t="s">
        <v>113</v>
      </c>
      <c r="F181" s="514" t="s">
        <v>113</v>
      </c>
      <c r="G181" s="514" t="s">
        <v>113</v>
      </c>
      <c r="H181" s="514" t="s">
        <v>113</v>
      </c>
      <c r="I181" s="514" t="s">
        <v>113</v>
      </c>
      <c r="J181" s="514"/>
      <c r="K181" s="514"/>
      <c r="L181" s="514" t="s">
        <v>113</v>
      </c>
      <c r="M181" s="514" t="s">
        <v>113</v>
      </c>
      <c r="N181" s="514" t="s">
        <v>113</v>
      </c>
      <c r="O181" s="514"/>
      <c r="P181" s="514" t="s">
        <v>113</v>
      </c>
      <c r="Q181" s="514"/>
      <c r="R181" s="514"/>
      <c r="S181" s="514" t="s">
        <v>113</v>
      </c>
      <c r="T181" s="514" t="s">
        <v>113</v>
      </c>
      <c r="U181" s="514" t="s">
        <v>113</v>
      </c>
      <c r="V181" s="514" t="s">
        <v>113</v>
      </c>
      <c r="W181" s="514" t="s">
        <v>113</v>
      </c>
      <c r="X181" s="514"/>
      <c r="Y181" s="514"/>
      <c r="Z181" s="514"/>
      <c r="AA181" s="514" t="s">
        <v>113</v>
      </c>
      <c r="AB181" s="514" t="s">
        <v>113</v>
      </c>
      <c r="AC181" s="514" t="s">
        <v>113</v>
      </c>
      <c r="AD181" s="514" t="s">
        <v>113</v>
      </c>
      <c r="AE181" s="514"/>
      <c r="AF181" s="514"/>
      <c r="AG181" s="514" t="s">
        <v>113</v>
      </c>
      <c r="AH181" s="182"/>
      <c r="AI181" s="182"/>
    </row>
    <row r="182" spans="1:36" ht="22.35" customHeight="1">
      <c r="A182" s="109"/>
      <c r="B182" s="1114" t="s">
        <v>249</v>
      </c>
      <c r="C182" s="1115"/>
      <c r="D182" s="1115"/>
      <c r="E182" s="1115" t="s">
        <v>113</v>
      </c>
      <c r="F182" s="1115" t="s">
        <v>113</v>
      </c>
      <c r="G182" s="1115" t="s">
        <v>113</v>
      </c>
      <c r="H182" s="1115" t="s">
        <v>113</v>
      </c>
      <c r="I182" s="1115" t="s">
        <v>113</v>
      </c>
      <c r="J182" s="1115"/>
      <c r="K182" s="1115"/>
      <c r="L182" s="1116" t="s">
        <v>113</v>
      </c>
      <c r="M182" s="1116" t="s">
        <v>113</v>
      </c>
      <c r="N182" s="1116" t="s">
        <v>113</v>
      </c>
      <c r="O182" s="1116"/>
      <c r="P182" s="1116" t="s">
        <v>113</v>
      </c>
      <c r="Q182" s="1116"/>
      <c r="R182" s="1116"/>
      <c r="S182" s="1116" t="s">
        <v>113</v>
      </c>
      <c r="T182" s="1116" t="s">
        <v>113</v>
      </c>
      <c r="U182" s="1116" t="s">
        <v>113</v>
      </c>
      <c r="V182" s="1116" t="s">
        <v>113</v>
      </c>
      <c r="W182" s="1116" t="s">
        <v>113</v>
      </c>
      <c r="X182" s="1116"/>
      <c r="Y182" s="1116"/>
      <c r="Z182" s="1116"/>
      <c r="AA182" s="1115" t="s">
        <v>113</v>
      </c>
      <c r="AB182" s="1115" t="s">
        <v>113</v>
      </c>
      <c r="AC182" s="1115" t="s">
        <v>113</v>
      </c>
      <c r="AD182" s="1115" t="s">
        <v>113</v>
      </c>
      <c r="AE182" s="1115"/>
      <c r="AF182" s="1115"/>
      <c r="AG182" s="1115" t="s">
        <v>113</v>
      </c>
      <c r="AH182" s="182"/>
      <c r="AI182" s="182"/>
    </row>
    <row r="183" spans="1:36" ht="22.35" customHeight="1">
      <c r="A183" s="109"/>
      <c r="B183" s="1114" t="s">
        <v>250</v>
      </c>
      <c r="C183" s="1117"/>
      <c r="D183" s="1117"/>
      <c r="E183" s="1117" t="s">
        <v>118</v>
      </c>
      <c r="F183" s="1117" t="s">
        <v>118</v>
      </c>
      <c r="G183" s="1117" t="s">
        <v>118</v>
      </c>
      <c r="H183" s="1117" t="s">
        <v>118</v>
      </c>
      <c r="I183" s="1117" t="s">
        <v>118</v>
      </c>
      <c r="J183" s="1117"/>
      <c r="K183" s="1117"/>
      <c r="L183" s="1117" t="s">
        <v>118</v>
      </c>
      <c r="M183" s="1117" t="s">
        <v>118</v>
      </c>
      <c r="N183" s="1117" t="s">
        <v>118</v>
      </c>
      <c r="O183" s="1117"/>
      <c r="P183" s="1117" t="s">
        <v>118</v>
      </c>
      <c r="Q183" s="1117"/>
      <c r="R183" s="1117"/>
      <c r="S183" s="1117" t="s">
        <v>118</v>
      </c>
      <c r="T183" s="1117" t="s">
        <v>118</v>
      </c>
      <c r="U183" s="1117" t="s">
        <v>118</v>
      </c>
      <c r="V183" s="1117" t="s">
        <v>118</v>
      </c>
      <c r="W183" s="1117" t="s">
        <v>118</v>
      </c>
      <c r="X183" s="1117"/>
      <c r="Y183" s="1117"/>
      <c r="Z183" s="1117"/>
      <c r="AA183" s="1117" t="s">
        <v>118</v>
      </c>
      <c r="AB183" s="1117" t="s">
        <v>118</v>
      </c>
      <c r="AC183" s="1117" t="s">
        <v>118</v>
      </c>
      <c r="AD183" s="1117" t="s">
        <v>118</v>
      </c>
      <c r="AE183" s="1117"/>
      <c r="AF183" s="1117"/>
      <c r="AG183" s="1117" t="s">
        <v>118</v>
      </c>
      <c r="AH183" s="182"/>
      <c r="AI183" s="182"/>
    </row>
    <row r="184" spans="1:36" ht="22.35" customHeight="1">
      <c r="A184" s="109"/>
      <c r="B184" s="1114" t="s">
        <v>251</v>
      </c>
      <c r="C184" s="1115"/>
      <c r="D184" s="1115"/>
      <c r="E184" s="1115" t="s">
        <v>126</v>
      </c>
      <c r="F184" s="1115" t="s">
        <v>126</v>
      </c>
      <c r="G184" s="1115" t="s">
        <v>126</v>
      </c>
      <c r="H184" s="1115" t="s">
        <v>126</v>
      </c>
      <c r="I184" s="1115" t="s">
        <v>126</v>
      </c>
      <c r="J184" s="1115"/>
      <c r="K184" s="1115"/>
      <c r="L184" s="1118" t="s">
        <v>126</v>
      </c>
      <c r="M184" s="1118" t="s">
        <v>126</v>
      </c>
      <c r="N184" s="1118" t="s">
        <v>126</v>
      </c>
      <c r="O184" s="1118"/>
      <c r="P184" s="1118" t="s">
        <v>126</v>
      </c>
      <c r="Q184" s="1115"/>
      <c r="R184" s="1115"/>
      <c r="S184" s="1115" t="s">
        <v>126</v>
      </c>
      <c r="T184" s="1115" t="s">
        <v>126</v>
      </c>
      <c r="U184" s="1119" t="s">
        <v>126</v>
      </c>
      <c r="V184" s="1115" t="s">
        <v>126</v>
      </c>
      <c r="W184" s="1115" t="s">
        <v>126</v>
      </c>
      <c r="X184" s="1115"/>
      <c r="Y184" s="1115"/>
      <c r="Z184" s="1115"/>
      <c r="AA184" s="1115" t="s">
        <v>126</v>
      </c>
      <c r="AB184" s="1115" t="s">
        <v>126</v>
      </c>
      <c r="AC184" s="1115" t="s">
        <v>126</v>
      </c>
      <c r="AD184" s="1115" t="s">
        <v>126</v>
      </c>
      <c r="AE184" s="1115"/>
      <c r="AF184" s="1115"/>
      <c r="AG184" s="1115" t="s">
        <v>126</v>
      </c>
      <c r="AH184" s="182"/>
      <c r="AI184" s="182"/>
    </row>
    <row r="185" spans="1:36" ht="22.35" customHeight="1">
      <c r="A185" s="109"/>
      <c r="B185" s="810" t="s">
        <v>252</v>
      </c>
      <c r="C185" s="1115"/>
      <c r="D185" s="1115"/>
      <c r="E185" s="1115" t="s">
        <v>50</v>
      </c>
      <c r="F185" s="1115" t="s">
        <v>50</v>
      </c>
      <c r="G185" s="1115" t="s">
        <v>50</v>
      </c>
      <c r="H185" s="1115" t="s">
        <v>50</v>
      </c>
      <c r="I185" s="1115" t="s">
        <v>50</v>
      </c>
      <c r="J185" s="1115"/>
      <c r="K185" s="1115"/>
      <c r="L185" s="1115" t="s">
        <v>50</v>
      </c>
      <c r="M185" s="1118" t="s">
        <v>50</v>
      </c>
      <c r="N185" s="1115" t="s">
        <v>50</v>
      </c>
      <c r="O185" s="1115"/>
      <c r="P185" s="1115" t="s">
        <v>50</v>
      </c>
      <c r="Q185" s="1115"/>
      <c r="R185" s="1115"/>
      <c r="S185" s="1115" t="s">
        <v>50</v>
      </c>
      <c r="T185" s="1115" t="s">
        <v>50</v>
      </c>
      <c r="U185" s="1115" t="s">
        <v>50</v>
      </c>
      <c r="V185" s="1115" t="s">
        <v>50</v>
      </c>
      <c r="W185" s="1115" t="s">
        <v>50</v>
      </c>
      <c r="X185" s="1115"/>
      <c r="Y185" s="1115"/>
      <c r="Z185" s="1115"/>
      <c r="AA185" s="1115" t="s">
        <v>50</v>
      </c>
      <c r="AB185" s="1115" t="s">
        <v>50</v>
      </c>
      <c r="AC185" s="1115" t="s">
        <v>50</v>
      </c>
      <c r="AD185" s="1115" t="s">
        <v>50</v>
      </c>
      <c r="AE185" s="1115"/>
      <c r="AF185" s="1115"/>
      <c r="AG185" s="1115" t="s">
        <v>50</v>
      </c>
      <c r="AH185" s="182"/>
      <c r="AI185" s="182"/>
    </row>
    <row r="186" spans="1:36" ht="22.35" customHeight="1">
      <c r="A186" s="109"/>
      <c r="B186" s="975"/>
      <c r="C186" s="1115"/>
      <c r="D186" s="1115"/>
      <c r="E186" s="1115" t="s">
        <v>115</v>
      </c>
      <c r="F186" s="1115" t="s">
        <v>115</v>
      </c>
      <c r="G186" s="1115" t="s">
        <v>115</v>
      </c>
      <c r="H186" s="1115" t="s">
        <v>115</v>
      </c>
      <c r="I186" s="1115" t="s">
        <v>115</v>
      </c>
      <c r="J186" s="1115"/>
      <c r="K186" s="1115"/>
      <c r="L186" s="1115" t="s">
        <v>115</v>
      </c>
      <c r="M186" s="1115" t="s">
        <v>115</v>
      </c>
      <c r="N186" s="1115" t="s">
        <v>115</v>
      </c>
      <c r="O186" s="1115"/>
      <c r="P186" s="1115" t="s">
        <v>115</v>
      </c>
      <c r="Q186" s="1115"/>
      <c r="R186" s="1115"/>
      <c r="S186" s="1115" t="s">
        <v>115</v>
      </c>
      <c r="T186" s="1115" t="s">
        <v>115</v>
      </c>
      <c r="U186" s="1115" t="s">
        <v>115</v>
      </c>
      <c r="V186" s="1115" t="s">
        <v>115</v>
      </c>
      <c r="W186" s="1115" t="s">
        <v>115</v>
      </c>
      <c r="X186" s="1115"/>
      <c r="Y186" s="1115"/>
      <c r="Z186" s="1115"/>
      <c r="AA186" s="1115" t="s">
        <v>115</v>
      </c>
      <c r="AB186" s="1115" t="s">
        <v>115</v>
      </c>
      <c r="AC186" s="1115" t="s">
        <v>115</v>
      </c>
      <c r="AD186" s="1115" t="s">
        <v>115</v>
      </c>
      <c r="AE186" s="1115"/>
      <c r="AF186" s="1115"/>
      <c r="AG186" s="1115" t="s">
        <v>115</v>
      </c>
      <c r="AH186" s="182"/>
      <c r="AI186" s="182"/>
    </row>
    <row r="187" spans="1:36" ht="22.35" customHeight="1">
      <c r="A187" s="109"/>
      <c r="B187" s="1114" t="s">
        <v>253</v>
      </c>
      <c r="C187" s="1120"/>
      <c r="D187" s="1120"/>
      <c r="E187" s="1120" t="s">
        <v>132</v>
      </c>
      <c r="F187" s="1120" t="s">
        <v>132</v>
      </c>
      <c r="G187" s="1120" t="s">
        <v>132</v>
      </c>
      <c r="H187" s="1120" t="s">
        <v>132</v>
      </c>
      <c r="I187" s="1120" t="s">
        <v>132</v>
      </c>
      <c r="J187" s="1120"/>
      <c r="K187" s="1120"/>
      <c r="L187" s="1120" t="s">
        <v>132</v>
      </c>
      <c r="M187" s="1120" t="s">
        <v>132</v>
      </c>
      <c r="N187" s="1120" t="s">
        <v>132</v>
      </c>
      <c r="O187" s="1120"/>
      <c r="P187" s="1120" t="s">
        <v>132</v>
      </c>
      <c r="Q187" s="1120"/>
      <c r="R187" s="1120"/>
      <c r="S187" s="1120" t="s">
        <v>132</v>
      </c>
      <c r="T187" s="1120" t="s">
        <v>132</v>
      </c>
      <c r="U187" s="1120" t="s">
        <v>132</v>
      </c>
      <c r="V187" s="1120" t="s">
        <v>132</v>
      </c>
      <c r="W187" s="1120" t="s">
        <v>132</v>
      </c>
      <c r="X187" s="1120"/>
      <c r="Y187" s="1120"/>
      <c r="Z187" s="1116"/>
      <c r="AA187" s="1116" t="s">
        <v>132</v>
      </c>
      <c r="AB187" s="1116" t="s">
        <v>132</v>
      </c>
      <c r="AC187" s="1116" t="s">
        <v>132</v>
      </c>
      <c r="AD187" s="1116" t="s">
        <v>132</v>
      </c>
      <c r="AE187" s="1116"/>
      <c r="AF187" s="1116"/>
      <c r="AG187" s="1116" t="s">
        <v>132</v>
      </c>
      <c r="AH187" s="182"/>
      <c r="AI187" s="182"/>
    </row>
    <row r="188" spans="1:36" ht="22.35" customHeight="1">
      <c r="A188" s="109"/>
      <c r="B188" s="797" t="s">
        <v>254</v>
      </c>
      <c r="C188" s="1115"/>
      <c r="D188" s="1115"/>
      <c r="E188" s="1115" t="s">
        <v>135</v>
      </c>
      <c r="F188" s="1119" t="s">
        <v>135</v>
      </c>
      <c r="G188" s="1115" t="s">
        <v>135</v>
      </c>
      <c r="H188" s="1115" t="s">
        <v>135</v>
      </c>
      <c r="I188" s="1115" t="s">
        <v>135</v>
      </c>
      <c r="J188" s="1115"/>
      <c r="K188" s="1115"/>
      <c r="L188" s="1121" t="s">
        <v>135</v>
      </c>
      <c r="M188" s="1115" t="s">
        <v>135</v>
      </c>
      <c r="N188" s="1115" t="s">
        <v>135</v>
      </c>
      <c r="O188" s="1115"/>
      <c r="P188" s="1118" t="s">
        <v>135</v>
      </c>
      <c r="Q188" s="1115"/>
      <c r="R188" s="1115"/>
      <c r="S188" s="1115" t="s">
        <v>135</v>
      </c>
      <c r="T188" s="1115" t="s">
        <v>135</v>
      </c>
      <c r="U188" s="1115" t="s">
        <v>135</v>
      </c>
      <c r="V188" s="1115" t="s">
        <v>135</v>
      </c>
      <c r="W188" s="1115" t="s">
        <v>135</v>
      </c>
      <c r="X188" s="1115"/>
      <c r="Y188" s="1115"/>
      <c r="Z188" s="1115"/>
      <c r="AA188" s="1115" t="s">
        <v>135</v>
      </c>
      <c r="AB188" s="1115" t="s">
        <v>135</v>
      </c>
      <c r="AC188" s="1122" t="s">
        <v>135</v>
      </c>
      <c r="AD188" s="1122" t="s">
        <v>135</v>
      </c>
      <c r="AE188" s="1122"/>
      <c r="AF188" s="1122"/>
      <c r="AG188" s="1122" t="s">
        <v>135</v>
      </c>
      <c r="AH188" s="182"/>
      <c r="AI188" s="182"/>
    </row>
    <row r="189" spans="1:36" ht="22.35" customHeight="1">
      <c r="A189" s="109"/>
      <c r="B189" s="1114" t="s">
        <v>255</v>
      </c>
      <c r="C189" s="522"/>
      <c r="D189" s="522"/>
      <c r="E189" s="551" t="s">
        <v>52</v>
      </c>
      <c r="F189" s="522" t="s">
        <v>52</v>
      </c>
      <c r="G189" s="553" t="s">
        <v>256</v>
      </c>
      <c r="H189" s="554" t="s">
        <v>52</v>
      </c>
      <c r="I189" s="554" t="s">
        <v>52</v>
      </c>
      <c r="J189" s="522"/>
      <c r="K189" s="522"/>
      <c r="L189" s="522" t="s">
        <v>52</v>
      </c>
      <c r="M189" s="522" t="s">
        <v>52</v>
      </c>
      <c r="N189" s="522" t="s">
        <v>52</v>
      </c>
      <c r="O189" s="522"/>
      <c r="P189" s="522" t="s">
        <v>52</v>
      </c>
      <c r="Q189" s="522"/>
      <c r="R189" s="522"/>
      <c r="S189" s="522" t="s">
        <v>52</v>
      </c>
      <c r="T189" s="522" t="s">
        <v>52</v>
      </c>
      <c r="U189" s="522" t="s">
        <v>52</v>
      </c>
      <c r="V189" s="522" t="s">
        <v>52</v>
      </c>
      <c r="W189" s="522" t="s">
        <v>52</v>
      </c>
      <c r="X189" s="522"/>
      <c r="Y189" s="522"/>
      <c r="Z189" s="522"/>
      <c r="AA189" s="560" t="s">
        <v>52</v>
      </c>
      <c r="AB189" s="522" t="s">
        <v>52</v>
      </c>
      <c r="AC189" s="522" t="s">
        <v>52</v>
      </c>
      <c r="AD189" s="522" t="s">
        <v>52</v>
      </c>
      <c r="AE189" s="522"/>
      <c r="AF189" s="522"/>
      <c r="AG189" s="522" t="s">
        <v>52</v>
      </c>
      <c r="AH189" s="182"/>
      <c r="AI189" s="182"/>
    </row>
    <row r="190" spans="1:36" ht="22.35" customHeight="1">
      <c r="A190" s="109"/>
      <c r="B190" s="1114" t="s">
        <v>257</v>
      </c>
      <c r="C190" s="798"/>
      <c r="D190" s="798"/>
      <c r="E190" s="798" t="s">
        <v>141</v>
      </c>
      <c r="F190" s="798" t="s">
        <v>141</v>
      </c>
      <c r="G190" s="798" t="s">
        <v>141</v>
      </c>
      <c r="H190" s="798" t="s">
        <v>141</v>
      </c>
      <c r="I190" s="798" t="s">
        <v>141</v>
      </c>
      <c r="J190" s="798"/>
      <c r="K190" s="798"/>
      <c r="L190" s="1123" t="s">
        <v>141</v>
      </c>
      <c r="M190" s="1123" t="s">
        <v>141</v>
      </c>
      <c r="N190" s="1123" t="s">
        <v>258</v>
      </c>
      <c r="O190" s="798"/>
      <c r="P190" s="808" t="s">
        <v>141</v>
      </c>
      <c r="Q190" s="798"/>
      <c r="R190" s="798"/>
      <c r="S190" s="798" t="s">
        <v>141</v>
      </c>
      <c r="T190" s="798" t="s">
        <v>141</v>
      </c>
      <c r="U190" s="798" t="s">
        <v>141</v>
      </c>
      <c r="V190" s="798" t="s">
        <v>141</v>
      </c>
      <c r="W190" s="798" t="s">
        <v>141</v>
      </c>
      <c r="X190" s="798"/>
      <c r="Y190" s="798"/>
      <c r="Z190" s="798"/>
      <c r="AA190" s="798" t="s">
        <v>141</v>
      </c>
      <c r="AB190" s="798" t="s">
        <v>141</v>
      </c>
      <c r="AC190" s="798" t="s">
        <v>141</v>
      </c>
      <c r="AD190" s="798" t="s">
        <v>141</v>
      </c>
      <c r="AE190" s="798"/>
      <c r="AF190" s="798"/>
      <c r="AG190" s="798" t="s">
        <v>141</v>
      </c>
      <c r="AH190" s="182"/>
      <c r="AI190" s="182"/>
    </row>
    <row r="191" spans="1:36" ht="22.35" customHeight="1">
      <c r="A191" s="109"/>
      <c r="B191" s="797" t="s">
        <v>259</v>
      </c>
      <c r="C191" s="798"/>
      <c r="D191" s="798"/>
      <c r="E191" s="1124" t="s">
        <v>124</v>
      </c>
      <c r="F191" s="798" t="s">
        <v>124</v>
      </c>
      <c r="G191" s="798" t="s">
        <v>124</v>
      </c>
      <c r="H191" s="798" t="s">
        <v>124</v>
      </c>
      <c r="I191" s="798" t="s">
        <v>124</v>
      </c>
      <c r="J191" s="798"/>
      <c r="K191" s="798"/>
      <c r="L191" s="798" t="s">
        <v>124</v>
      </c>
      <c r="M191" s="1123" t="s">
        <v>124</v>
      </c>
      <c r="N191" s="1123" t="s">
        <v>260</v>
      </c>
      <c r="O191" s="798"/>
      <c r="P191" s="1125" t="s">
        <v>124</v>
      </c>
      <c r="Q191" s="798"/>
      <c r="R191" s="798"/>
      <c r="S191" s="798" t="s">
        <v>124</v>
      </c>
      <c r="T191" s="798" t="s">
        <v>124</v>
      </c>
      <c r="U191" s="798" t="s">
        <v>124</v>
      </c>
      <c r="V191" s="798" t="s">
        <v>124</v>
      </c>
      <c r="W191" s="798" t="s">
        <v>124</v>
      </c>
      <c r="X191" s="798"/>
      <c r="Y191" s="798"/>
      <c r="Z191" s="798"/>
      <c r="AA191" s="798" t="s">
        <v>124</v>
      </c>
      <c r="AB191" s="798" t="s">
        <v>124</v>
      </c>
      <c r="AC191" s="798" t="s">
        <v>124</v>
      </c>
      <c r="AD191" s="798" t="s">
        <v>124</v>
      </c>
      <c r="AE191" s="798"/>
      <c r="AF191" s="798"/>
      <c r="AG191" s="798" t="s">
        <v>124</v>
      </c>
      <c r="AH191" s="182"/>
      <c r="AI191" s="182"/>
    </row>
    <row r="192" spans="1:36" ht="22.35" customHeight="1">
      <c r="A192" s="109"/>
      <c r="B192" s="1114" t="s">
        <v>261</v>
      </c>
      <c r="C192" s="798"/>
      <c r="D192" s="798"/>
      <c r="E192" s="798" t="s">
        <v>242</v>
      </c>
      <c r="F192" s="798" t="s">
        <v>242</v>
      </c>
      <c r="G192" s="798" t="s">
        <v>242</v>
      </c>
      <c r="H192" s="798" t="s">
        <v>242</v>
      </c>
      <c r="I192" s="798" t="s">
        <v>242</v>
      </c>
      <c r="J192" s="798"/>
      <c r="K192" s="798"/>
      <c r="L192" s="798" t="s">
        <v>242</v>
      </c>
      <c r="M192" s="798" t="s">
        <v>242</v>
      </c>
      <c r="N192" s="798" t="s">
        <v>242</v>
      </c>
      <c r="O192" s="798"/>
      <c r="P192" s="798" t="s">
        <v>242</v>
      </c>
      <c r="Q192" s="798"/>
      <c r="R192" s="798"/>
      <c r="S192" s="798" t="s">
        <v>242</v>
      </c>
      <c r="T192" s="798" t="s">
        <v>242</v>
      </c>
      <c r="U192" s="798" t="s">
        <v>242</v>
      </c>
      <c r="V192" s="798" t="s">
        <v>242</v>
      </c>
      <c r="W192" s="798" t="s">
        <v>242</v>
      </c>
      <c r="X192" s="798"/>
      <c r="Y192" s="798"/>
      <c r="Z192" s="798"/>
      <c r="AA192" s="798" t="s">
        <v>242</v>
      </c>
      <c r="AB192" s="798" t="s">
        <v>242</v>
      </c>
      <c r="AC192" s="798" t="s">
        <v>242</v>
      </c>
      <c r="AD192" s="798" t="s">
        <v>242</v>
      </c>
      <c r="AE192" s="798"/>
      <c r="AF192" s="798"/>
      <c r="AG192" s="798" t="s">
        <v>242</v>
      </c>
      <c r="AH192" s="182"/>
      <c r="AI192" s="182"/>
    </row>
    <row r="193" spans="1:35" ht="22.35" customHeight="1">
      <c r="A193" s="109"/>
      <c r="B193" s="797"/>
      <c r="C193" s="798"/>
      <c r="D193" s="798"/>
      <c r="E193" s="798" t="s">
        <v>122</v>
      </c>
      <c r="F193" s="798" t="s">
        <v>122</v>
      </c>
      <c r="G193" s="798" t="s">
        <v>122</v>
      </c>
      <c r="H193" s="798" t="s">
        <v>122</v>
      </c>
      <c r="I193" s="798" t="s">
        <v>122</v>
      </c>
      <c r="J193" s="798"/>
      <c r="K193" s="798"/>
      <c r="L193" s="798" t="s">
        <v>122</v>
      </c>
      <c r="M193" s="798" t="s">
        <v>122</v>
      </c>
      <c r="N193" s="798" t="s">
        <v>122</v>
      </c>
      <c r="O193" s="798"/>
      <c r="P193" s="798" t="s">
        <v>122</v>
      </c>
      <c r="Q193" s="798"/>
      <c r="R193" s="798"/>
      <c r="S193" s="798" t="s">
        <v>122</v>
      </c>
      <c r="T193" s="798" t="s">
        <v>122</v>
      </c>
      <c r="U193" s="798" t="s">
        <v>122</v>
      </c>
      <c r="V193" s="798" t="s">
        <v>122</v>
      </c>
      <c r="W193" s="798" t="s">
        <v>122</v>
      </c>
      <c r="X193" s="798"/>
      <c r="Y193" s="798"/>
      <c r="Z193" s="798"/>
      <c r="AA193" s="798" t="s">
        <v>122</v>
      </c>
      <c r="AB193" s="798" t="s">
        <v>122</v>
      </c>
      <c r="AC193" s="798" t="s">
        <v>122</v>
      </c>
      <c r="AD193" s="798" t="s">
        <v>122</v>
      </c>
      <c r="AE193" s="798"/>
      <c r="AF193" s="798"/>
      <c r="AG193" s="798" t="s">
        <v>122</v>
      </c>
      <c r="AH193" s="182"/>
      <c r="AI193" s="182"/>
    </row>
    <row r="194" spans="1:35" ht="22.35" customHeight="1">
      <c r="A194" s="109"/>
      <c r="B194" s="797" t="s">
        <v>262</v>
      </c>
      <c r="C194" s="798"/>
      <c r="D194" s="798"/>
      <c r="E194" s="798" t="s">
        <v>246</v>
      </c>
      <c r="F194" s="798" t="s">
        <v>246</v>
      </c>
      <c r="G194" s="798" t="s">
        <v>246</v>
      </c>
      <c r="H194" s="798" t="s">
        <v>246</v>
      </c>
      <c r="I194" s="798" t="s">
        <v>246</v>
      </c>
      <c r="J194" s="798"/>
      <c r="K194" s="798"/>
      <c r="L194" s="798" t="s">
        <v>246</v>
      </c>
      <c r="M194" s="798" t="s">
        <v>246</v>
      </c>
      <c r="N194" s="798" t="s">
        <v>246</v>
      </c>
      <c r="O194" s="798"/>
      <c r="P194" s="798" t="s">
        <v>246</v>
      </c>
      <c r="Q194" s="798"/>
      <c r="R194" s="798"/>
      <c r="S194" s="798" t="s">
        <v>246</v>
      </c>
      <c r="T194" s="798" t="s">
        <v>246</v>
      </c>
      <c r="U194" s="798" t="s">
        <v>246</v>
      </c>
      <c r="V194" s="798" t="s">
        <v>246</v>
      </c>
      <c r="W194" s="798" t="s">
        <v>246</v>
      </c>
      <c r="X194" s="798"/>
      <c r="Y194" s="798"/>
      <c r="Z194" s="798"/>
      <c r="AA194" s="798" t="s">
        <v>246</v>
      </c>
      <c r="AB194" s="798" t="s">
        <v>246</v>
      </c>
      <c r="AC194" s="798" t="s">
        <v>246</v>
      </c>
      <c r="AD194" s="798" t="s">
        <v>246</v>
      </c>
      <c r="AE194" s="798"/>
      <c r="AF194" s="798"/>
      <c r="AG194" s="798" t="s">
        <v>246</v>
      </c>
      <c r="AH194" s="107"/>
      <c r="AI194" s="107"/>
    </row>
    <row r="195" spans="1:35" ht="21" customHeight="1" thickBot="1">
      <c r="A195" s="148"/>
      <c r="B195" s="995" t="s">
        <v>263</v>
      </c>
      <c r="C195" s="998"/>
      <c r="D195" s="998"/>
      <c r="E195" s="998" t="s">
        <v>127</v>
      </c>
      <c r="F195" s="998" t="s">
        <v>127</v>
      </c>
      <c r="G195" s="998" t="s">
        <v>127</v>
      </c>
      <c r="H195" s="998" t="s">
        <v>127</v>
      </c>
      <c r="I195" s="998" t="s">
        <v>127</v>
      </c>
      <c r="J195" s="998"/>
      <c r="K195" s="998"/>
      <c r="L195" s="1126" t="s">
        <v>127</v>
      </c>
      <c r="M195" s="1127" t="s">
        <v>264</v>
      </c>
      <c r="N195" s="998" t="s">
        <v>127</v>
      </c>
      <c r="O195" s="998"/>
      <c r="P195" s="998" t="s">
        <v>127</v>
      </c>
      <c r="Q195" s="998"/>
      <c r="R195" s="998"/>
      <c r="S195" s="998" t="s">
        <v>127</v>
      </c>
      <c r="T195" s="998" t="s">
        <v>127</v>
      </c>
      <c r="U195" s="1128" t="s">
        <v>127</v>
      </c>
      <c r="V195" s="1128" t="s">
        <v>127</v>
      </c>
      <c r="W195" s="1128" t="s">
        <v>127</v>
      </c>
      <c r="X195" s="998"/>
      <c r="Y195" s="998"/>
      <c r="Z195" s="998"/>
      <c r="AA195" s="1129" t="s">
        <v>127</v>
      </c>
      <c r="AB195" s="1129" t="s">
        <v>264</v>
      </c>
      <c r="AC195" s="1126" t="s">
        <v>127</v>
      </c>
      <c r="AD195" s="1126" t="s">
        <v>127</v>
      </c>
      <c r="AE195" s="998"/>
      <c r="AF195" s="998"/>
      <c r="AG195" s="998" t="s">
        <v>127</v>
      </c>
      <c r="AH195" s="115"/>
    </row>
    <row r="196" spans="1:35" ht="21" customHeight="1">
      <c r="A196" s="148"/>
      <c r="B196" s="229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  <c r="U196" s="228"/>
      <c r="V196" s="228"/>
      <c r="W196" s="228"/>
      <c r="X196" s="228"/>
      <c r="Y196" s="228"/>
      <c r="Z196" s="228"/>
      <c r="AA196" s="228"/>
      <c r="AB196" s="228"/>
      <c r="AC196" s="228"/>
      <c r="AD196" s="228"/>
      <c r="AE196" s="228"/>
      <c r="AF196" s="228"/>
      <c r="AG196" s="228"/>
      <c r="AH196" s="115"/>
    </row>
    <row r="197" spans="1:35" ht="22.35" customHeight="1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>
      <c r="A198" s="1" t="s">
        <v>265</v>
      </c>
      <c r="B198" s="59"/>
    </row>
    <row r="199" spans="1:35" ht="22.35" customHeight="1">
      <c r="A199" s="1"/>
      <c r="B199" s="1130" t="s">
        <v>266</v>
      </c>
      <c r="C199" s="391" t="s">
        <v>94</v>
      </c>
      <c r="D199" s="391"/>
      <c r="E199" s="391"/>
      <c r="F199" s="391"/>
      <c r="G199" s="392" t="s">
        <v>95</v>
      </c>
      <c r="H199" s="391"/>
      <c r="I199" s="391"/>
      <c r="J199" s="391"/>
      <c r="K199" s="392" t="s">
        <v>96</v>
      </c>
      <c r="L199" s="391"/>
      <c r="M199" s="391"/>
      <c r="N199" s="391"/>
      <c r="O199" s="392" t="s">
        <v>97</v>
      </c>
      <c r="P199" s="391"/>
      <c r="Q199" s="391"/>
      <c r="R199" s="391"/>
      <c r="S199" s="392" t="s">
        <v>98</v>
      </c>
      <c r="T199" s="391"/>
      <c r="U199" s="391"/>
      <c r="V199" s="391"/>
      <c r="W199" s="393" t="s">
        <v>99</v>
      </c>
      <c r="X199" s="357"/>
      <c r="Y199" s="391"/>
      <c r="Z199" s="394"/>
      <c r="AA199" s="393" t="s">
        <v>100</v>
      </c>
      <c r="AB199" s="357"/>
      <c r="AC199" s="391"/>
      <c r="AD199" s="394"/>
      <c r="AE199" s="395" t="s">
        <v>101</v>
      </c>
      <c r="AF199" s="391"/>
      <c r="AG199" s="391"/>
      <c r="AH199" s="391"/>
      <c r="AI199" s="358"/>
    </row>
    <row r="200" spans="1:35" ht="22.35" customHeight="1">
      <c r="A200" s="1"/>
      <c r="B200" s="1131">
        <v>3701</v>
      </c>
      <c r="C200" s="110" t="s">
        <v>267</v>
      </c>
      <c r="D200" s="110"/>
      <c r="E200" s="110"/>
      <c r="F200" s="110"/>
      <c r="G200" s="742" t="s">
        <v>268</v>
      </c>
      <c r="H200" s="110"/>
      <c r="I200" s="110"/>
      <c r="J200" s="110"/>
      <c r="K200" s="742" t="s">
        <v>268</v>
      </c>
      <c r="L200" s="110"/>
      <c r="M200" s="110"/>
      <c r="N200" s="110"/>
      <c r="O200" s="742" t="s">
        <v>268</v>
      </c>
      <c r="P200" s="110"/>
      <c r="Q200" s="110"/>
      <c r="R200" s="110"/>
      <c r="S200" s="742" t="s">
        <v>269</v>
      </c>
      <c r="T200" s="110"/>
      <c r="U200" s="110"/>
      <c r="V200" s="110"/>
      <c r="W200" s="1132"/>
      <c r="X200" s="1133"/>
      <c r="Y200" s="912"/>
      <c r="Z200" s="1134"/>
      <c r="AA200" s="1132"/>
      <c r="AB200" s="1133"/>
      <c r="AC200" s="912"/>
      <c r="AD200" s="1134"/>
      <c r="AE200" s="1028"/>
      <c r="AF200" s="912"/>
      <c r="AG200" s="912"/>
      <c r="AH200" s="912"/>
      <c r="AI200" s="850"/>
    </row>
    <row r="201" spans="1:35" ht="22.35" customHeight="1">
      <c r="B201" s="1130">
        <v>3700</v>
      </c>
      <c r="C201" s="912" t="s">
        <v>170</v>
      </c>
      <c r="D201" s="912"/>
      <c r="E201" s="912"/>
      <c r="F201" s="912"/>
      <c r="G201" s="1135" t="s">
        <v>170</v>
      </c>
      <c r="H201" s="912"/>
      <c r="I201" s="912"/>
      <c r="J201" s="912"/>
      <c r="K201" s="1135" t="s">
        <v>170</v>
      </c>
      <c r="L201" s="912"/>
      <c r="M201" s="912"/>
      <c r="N201" s="912"/>
      <c r="O201" s="1135" t="s">
        <v>170</v>
      </c>
      <c r="P201" s="912"/>
      <c r="Q201" s="912"/>
      <c r="R201" s="912"/>
      <c r="S201" s="1135" t="s">
        <v>171</v>
      </c>
      <c r="T201" s="912"/>
      <c r="U201" s="912"/>
      <c r="V201" s="912"/>
      <c r="W201" s="912"/>
      <c r="X201" s="1135"/>
      <c r="Y201" s="912"/>
      <c r="Z201" s="1030"/>
      <c r="AA201" s="1028"/>
      <c r="AB201" s="912"/>
      <c r="AC201" s="912"/>
      <c r="AD201" s="963"/>
      <c r="AE201" s="1136"/>
      <c r="AF201" s="912"/>
      <c r="AG201" s="912"/>
      <c r="AH201" s="963"/>
      <c r="AI201" s="850"/>
    </row>
    <row r="202" spans="1:35" ht="22.35" customHeight="1">
      <c r="A202" s="1"/>
      <c r="B202" s="1130">
        <v>8514</v>
      </c>
      <c r="C202" s="912" t="s">
        <v>268</v>
      </c>
      <c r="D202" s="912"/>
      <c r="E202" s="912"/>
      <c r="F202" s="912"/>
      <c r="G202" s="1135" t="s">
        <v>268</v>
      </c>
      <c r="H202" s="912"/>
      <c r="I202" s="912"/>
      <c r="J202" s="912"/>
      <c r="K202" s="1135" t="s">
        <v>268</v>
      </c>
      <c r="L202" s="912"/>
      <c r="M202" s="912"/>
      <c r="N202" s="912"/>
      <c r="O202" s="1135" t="s">
        <v>268</v>
      </c>
      <c r="P202" s="912"/>
      <c r="Q202" s="912"/>
      <c r="R202" s="912"/>
      <c r="S202" s="1135" t="s">
        <v>270</v>
      </c>
      <c r="T202" s="912"/>
      <c r="U202" s="912"/>
      <c r="V202" s="912"/>
      <c r="W202" s="912"/>
      <c r="X202" s="1135"/>
      <c r="Y202" s="912"/>
      <c r="Z202" s="1030"/>
      <c r="AA202" s="962"/>
      <c r="AB202" s="912"/>
      <c r="AC202" s="912"/>
      <c r="AD202" s="963"/>
      <c r="AE202" s="962"/>
      <c r="AF202" s="912"/>
      <c r="AG202" s="912"/>
      <c r="AH202" s="963"/>
      <c r="AI202" s="850"/>
    </row>
    <row r="203" spans="1:35" ht="22.35" customHeight="1">
      <c r="A203" s="1"/>
      <c r="B203" s="1130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>
      <c r="A204" s="1"/>
      <c r="B204" s="1130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>
      <c r="A205" s="1"/>
      <c r="B205" s="1137" t="s">
        <v>273</v>
      </c>
      <c r="C205" s="919" t="s">
        <v>274</v>
      </c>
      <c r="D205" s="919"/>
      <c r="E205" s="919"/>
      <c r="F205" s="919"/>
      <c r="G205" s="1138" t="s">
        <v>274</v>
      </c>
      <c r="H205" s="919"/>
      <c r="I205" s="919"/>
      <c r="J205" s="919"/>
      <c r="K205" s="1139" t="s">
        <v>274</v>
      </c>
      <c r="L205" s="919"/>
      <c r="M205" s="919"/>
      <c r="N205" s="919"/>
      <c r="O205" s="1138" t="s">
        <v>274</v>
      </c>
      <c r="P205" s="919"/>
      <c r="Q205" s="919"/>
      <c r="R205" s="919"/>
      <c r="S205" s="1138" t="s">
        <v>275</v>
      </c>
      <c r="T205" s="919"/>
      <c r="U205" s="919"/>
      <c r="V205" s="919"/>
      <c r="W205" s="919"/>
      <c r="X205" s="1138"/>
      <c r="Y205" s="919"/>
      <c r="Z205" s="1062"/>
      <c r="AA205" s="1041"/>
      <c r="AB205" s="919"/>
      <c r="AC205" s="919"/>
      <c r="AD205" s="1048"/>
      <c r="AE205" s="1140"/>
      <c r="AF205" s="919"/>
      <c r="AG205" s="919"/>
      <c r="AH205" s="1048"/>
      <c r="AI205" s="922"/>
    </row>
    <row r="206" spans="1:35" ht="22.35" customHeight="1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>
      <c r="A208" s="1000"/>
      <c r="B208" s="924" t="s">
        <v>29</v>
      </c>
      <c r="C208" s="859">
        <v>1</v>
      </c>
      <c r="D208" s="859">
        <v>2</v>
      </c>
      <c r="E208" s="860">
        <v>3</v>
      </c>
      <c r="F208" s="860">
        <v>4</v>
      </c>
      <c r="G208" s="860">
        <v>5</v>
      </c>
      <c r="H208" s="860">
        <v>6</v>
      </c>
      <c r="I208" s="860">
        <v>7</v>
      </c>
      <c r="J208" s="859">
        <v>8</v>
      </c>
      <c r="K208" s="859">
        <v>9</v>
      </c>
      <c r="L208" s="860">
        <v>10</v>
      </c>
      <c r="M208" s="860">
        <v>11</v>
      </c>
      <c r="N208" s="860">
        <v>12</v>
      </c>
      <c r="O208" s="859">
        <v>13</v>
      </c>
      <c r="P208" s="860">
        <v>14</v>
      </c>
      <c r="Q208" s="859">
        <v>15</v>
      </c>
      <c r="R208" s="859">
        <v>16</v>
      </c>
      <c r="S208" s="860">
        <v>17</v>
      </c>
      <c r="T208" s="860">
        <v>18</v>
      </c>
      <c r="U208" s="860">
        <v>19</v>
      </c>
      <c r="V208" s="860">
        <v>20</v>
      </c>
      <c r="W208" s="860">
        <v>21</v>
      </c>
      <c r="X208" s="859">
        <v>22</v>
      </c>
      <c r="Y208" s="859">
        <v>23</v>
      </c>
      <c r="Z208" s="859">
        <v>24</v>
      </c>
      <c r="AA208" s="860">
        <v>25</v>
      </c>
      <c r="AB208" s="860">
        <v>26</v>
      </c>
      <c r="AC208" s="860">
        <v>27</v>
      </c>
      <c r="AD208" s="860">
        <v>28</v>
      </c>
      <c r="AE208" s="859">
        <v>29</v>
      </c>
      <c r="AF208" s="859">
        <v>30</v>
      </c>
      <c r="AG208" s="861">
        <v>31</v>
      </c>
      <c r="AH208" s="176"/>
      <c r="AI208" s="177"/>
    </row>
    <row r="209" spans="1:35" ht="22.35" customHeight="1">
      <c r="A209" s="249"/>
      <c r="B209" s="540" t="s">
        <v>277</v>
      </c>
      <c r="C209" s="891"/>
      <c r="D209" s="891"/>
      <c r="E209" s="891" t="s">
        <v>32</v>
      </c>
      <c r="F209" s="891" t="s">
        <v>32</v>
      </c>
      <c r="G209" s="891" t="s">
        <v>32</v>
      </c>
      <c r="H209" s="891" t="s">
        <v>32</v>
      </c>
      <c r="I209" s="891" t="s">
        <v>32</v>
      </c>
      <c r="J209" s="891"/>
      <c r="K209" s="891"/>
      <c r="L209" s="891" t="s">
        <v>32</v>
      </c>
      <c r="M209" s="891" t="s">
        <v>32</v>
      </c>
      <c r="N209" s="897" t="s">
        <v>32</v>
      </c>
      <c r="O209" s="897"/>
      <c r="P209" s="897" t="s">
        <v>32</v>
      </c>
      <c r="Q209" s="892"/>
      <c r="R209" s="897"/>
      <c r="S209" s="897" t="s">
        <v>32</v>
      </c>
      <c r="T209" s="891" t="s">
        <v>32</v>
      </c>
      <c r="U209" s="901" t="s">
        <v>32</v>
      </c>
      <c r="V209" s="901" t="s">
        <v>32</v>
      </c>
      <c r="W209" s="901" t="s">
        <v>278</v>
      </c>
      <c r="X209" s="891"/>
      <c r="Y209" s="897"/>
      <c r="Z209" s="891"/>
      <c r="AA209" s="891" t="s">
        <v>32</v>
      </c>
      <c r="AB209" s="891" t="s">
        <v>32</v>
      </c>
      <c r="AC209" s="891" t="s">
        <v>32</v>
      </c>
      <c r="AD209" s="891" t="s">
        <v>32</v>
      </c>
      <c r="AE209" s="891"/>
      <c r="AF209" s="891"/>
      <c r="AG209" s="234" t="s">
        <v>32</v>
      </c>
      <c r="AH209" s="176"/>
      <c r="AI209" s="177"/>
    </row>
    <row r="210" spans="1:35" ht="22.35" customHeight="1">
      <c r="A210" s="1141"/>
      <c r="B210" s="1142" t="s">
        <v>279</v>
      </c>
      <c r="C210" s="891"/>
      <c r="D210" s="891"/>
      <c r="E210" s="891" t="s">
        <v>32</v>
      </c>
      <c r="F210" s="891" t="s">
        <v>32</v>
      </c>
      <c r="G210" s="891" t="s">
        <v>32</v>
      </c>
      <c r="H210" s="891" t="s">
        <v>32</v>
      </c>
      <c r="I210" s="891" t="s">
        <v>32</v>
      </c>
      <c r="J210" s="891"/>
      <c r="K210" s="891"/>
      <c r="L210" s="891" t="s">
        <v>32</v>
      </c>
      <c r="M210" s="891" t="s">
        <v>32</v>
      </c>
      <c r="N210" s="897" t="s">
        <v>32</v>
      </c>
      <c r="O210" s="897"/>
      <c r="P210" s="897" t="s">
        <v>32</v>
      </c>
      <c r="Q210" s="892"/>
      <c r="R210" s="897"/>
      <c r="S210" s="891" t="s">
        <v>32</v>
      </c>
      <c r="T210" s="891" t="s">
        <v>32</v>
      </c>
      <c r="U210" s="897" t="s">
        <v>32</v>
      </c>
      <c r="V210" s="897" t="s">
        <v>32</v>
      </c>
      <c r="W210" s="897" t="s">
        <v>32</v>
      </c>
      <c r="X210" s="891"/>
      <c r="Y210" s="897"/>
      <c r="Z210" s="891"/>
      <c r="AA210" s="891" t="s">
        <v>32</v>
      </c>
      <c r="AB210" s="891" t="s">
        <v>32</v>
      </c>
      <c r="AC210" s="891" t="s">
        <v>32</v>
      </c>
      <c r="AD210" s="892" t="s">
        <v>32</v>
      </c>
      <c r="AE210" s="892"/>
      <c r="AF210" s="892"/>
      <c r="AG210" s="1143" t="s">
        <v>32</v>
      </c>
      <c r="AH210" s="176"/>
      <c r="AI210" s="177"/>
    </row>
    <row r="211" spans="1:35" ht="22.35" customHeight="1">
      <c r="A211" s="1144">
        <v>8514</v>
      </c>
      <c r="B211" s="1145" t="s">
        <v>280</v>
      </c>
      <c r="C211" s="891"/>
      <c r="D211" s="891"/>
      <c r="E211" s="891" t="s">
        <v>32</v>
      </c>
      <c r="F211" s="891" t="s">
        <v>32</v>
      </c>
      <c r="G211" s="891" t="s">
        <v>32</v>
      </c>
      <c r="H211" s="891" t="s">
        <v>32</v>
      </c>
      <c r="I211" s="891" t="s">
        <v>32</v>
      </c>
      <c r="J211" s="891"/>
      <c r="K211" s="891"/>
      <c r="L211" s="891" t="s">
        <v>32</v>
      </c>
      <c r="M211" s="891" t="s">
        <v>32</v>
      </c>
      <c r="N211" s="897" t="s">
        <v>32</v>
      </c>
      <c r="O211" s="897"/>
      <c r="P211" s="897" t="s">
        <v>32</v>
      </c>
      <c r="Q211" s="892"/>
      <c r="R211" s="897"/>
      <c r="S211" s="891" t="s">
        <v>32</v>
      </c>
      <c r="T211" s="891" t="s">
        <v>32</v>
      </c>
      <c r="U211" s="897" t="s">
        <v>32</v>
      </c>
      <c r="V211" s="897" t="s">
        <v>32</v>
      </c>
      <c r="W211" s="1146" t="s">
        <v>32</v>
      </c>
      <c r="X211" s="897"/>
      <c r="Y211" s="897"/>
      <c r="Z211" s="891"/>
      <c r="AA211" s="891" t="s">
        <v>32</v>
      </c>
      <c r="AB211" s="891" t="s">
        <v>32</v>
      </c>
      <c r="AC211" s="891" t="s">
        <v>32</v>
      </c>
      <c r="AD211" s="892" t="s">
        <v>32</v>
      </c>
      <c r="AE211" s="892"/>
      <c r="AF211" s="892"/>
      <c r="AG211" s="1143" t="s">
        <v>32</v>
      </c>
      <c r="AH211" s="181"/>
      <c r="AI211" s="182"/>
    </row>
    <row r="212" spans="1:35" ht="21" customHeight="1">
      <c r="A212" s="1144">
        <v>3701</v>
      </c>
      <c r="B212" s="1147" t="s">
        <v>281</v>
      </c>
      <c r="C212" s="891"/>
      <c r="D212" s="891"/>
      <c r="E212" s="891" t="s">
        <v>32</v>
      </c>
      <c r="F212" s="891" t="s">
        <v>32</v>
      </c>
      <c r="G212" s="891" t="s">
        <v>32</v>
      </c>
      <c r="H212" s="891" t="s">
        <v>32</v>
      </c>
      <c r="I212" s="891" t="s">
        <v>32</v>
      </c>
      <c r="J212" s="891"/>
      <c r="K212" s="891"/>
      <c r="L212" s="891" t="s">
        <v>32</v>
      </c>
      <c r="M212" s="891" t="s">
        <v>32</v>
      </c>
      <c r="N212" s="897" t="s">
        <v>32</v>
      </c>
      <c r="O212" s="897"/>
      <c r="P212" s="897" t="s">
        <v>32</v>
      </c>
      <c r="Q212" s="892"/>
      <c r="R212" s="897"/>
      <c r="S212" s="891" t="s">
        <v>32</v>
      </c>
      <c r="T212" s="891" t="s">
        <v>32</v>
      </c>
      <c r="U212" s="897" t="s">
        <v>32</v>
      </c>
      <c r="V212" s="897" t="s">
        <v>32</v>
      </c>
      <c r="W212" s="897" t="s">
        <v>32</v>
      </c>
      <c r="X212" s="891"/>
      <c r="Y212" s="897"/>
      <c r="Z212" s="891"/>
      <c r="AA212" s="891" t="s">
        <v>32</v>
      </c>
      <c r="AB212" s="891" t="s">
        <v>32</v>
      </c>
      <c r="AC212" s="891" t="s">
        <v>32</v>
      </c>
      <c r="AD212" s="897" t="s">
        <v>32</v>
      </c>
      <c r="AE212" s="897"/>
      <c r="AF212" s="897"/>
      <c r="AG212" s="1143" t="s">
        <v>32</v>
      </c>
      <c r="AH212" s="181"/>
      <c r="AI212" s="182"/>
    </row>
    <row r="213" spans="1:35" ht="21" customHeight="1">
      <c r="A213" s="1144">
        <v>3701</v>
      </c>
      <c r="B213" s="810" t="s">
        <v>282</v>
      </c>
      <c r="C213" s="891"/>
      <c r="D213" s="891"/>
      <c r="E213" s="891" t="s">
        <v>32</v>
      </c>
      <c r="F213" s="891" t="s">
        <v>32</v>
      </c>
      <c r="G213" s="891" t="s">
        <v>32</v>
      </c>
      <c r="H213" s="891" t="s">
        <v>32</v>
      </c>
      <c r="I213" s="891" t="s">
        <v>32</v>
      </c>
      <c r="J213" s="891"/>
      <c r="K213" s="891"/>
      <c r="L213" s="891" t="s">
        <v>32</v>
      </c>
      <c r="M213" s="891" t="s">
        <v>32</v>
      </c>
      <c r="N213" s="897" t="s">
        <v>32</v>
      </c>
      <c r="O213" s="897"/>
      <c r="P213" s="1146" t="s">
        <v>32</v>
      </c>
      <c r="Q213" s="892"/>
      <c r="R213" s="897"/>
      <c r="S213" s="891" t="s">
        <v>32</v>
      </c>
      <c r="T213" s="891" t="s">
        <v>32</v>
      </c>
      <c r="U213" s="897" t="s">
        <v>32</v>
      </c>
      <c r="V213" s="1146" t="s">
        <v>32</v>
      </c>
      <c r="W213" s="897" t="s">
        <v>32</v>
      </c>
      <c r="X213" s="897"/>
      <c r="Y213" s="897"/>
      <c r="Z213" s="891"/>
      <c r="AA213" s="891" t="s">
        <v>32</v>
      </c>
      <c r="AB213" s="891" t="s">
        <v>32</v>
      </c>
      <c r="AC213" s="891" t="s">
        <v>32</v>
      </c>
      <c r="AD213" s="1146" t="s">
        <v>32</v>
      </c>
      <c r="AE213" s="897"/>
      <c r="AF213" s="897"/>
      <c r="AG213" s="1143" t="s">
        <v>32</v>
      </c>
      <c r="AH213" s="181"/>
      <c r="AI213" s="182"/>
    </row>
    <row r="214" spans="1:35" ht="21" customHeight="1">
      <c r="A214" s="1144">
        <v>3701</v>
      </c>
      <c r="B214" s="810" t="s">
        <v>283</v>
      </c>
      <c r="C214" s="891"/>
      <c r="D214" s="891"/>
      <c r="E214" s="891" t="s">
        <v>32</v>
      </c>
      <c r="F214" s="891" t="s">
        <v>32</v>
      </c>
      <c r="G214" s="891" t="s">
        <v>32</v>
      </c>
      <c r="H214" s="891" t="s">
        <v>32</v>
      </c>
      <c r="I214" s="891" t="s">
        <v>32</v>
      </c>
      <c r="J214" s="891"/>
      <c r="K214" s="891"/>
      <c r="L214" s="1148" t="s">
        <v>32</v>
      </c>
      <c r="M214" s="891" t="s">
        <v>32</v>
      </c>
      <c r="N214" s="897" t="s">
        <v>32</v>
      </c>
      <c r="O214" s="897"/>
      <c r="P214" s="897" t="s">
        <v>32</v>
      </c>
      <c r="Q214" s="892"/>
      <c r="R214" s="897"/>
      <c r="S214" s="891" t="s">
        <v>32</v>
      </c>
      <c r="T214" s="891" t="s">
        <v>32</v>
      </c>
      <c r="U214" s="897" t="s">
        <v>32</v>
      </c>
      <c r="V214" s="897" t="s">
        <v>32</v>
      </c>
      <c r="W214" s="897" t="s">
        <v>32</v>
      </c>
      <c r="X214" s="891"/>
      <c r="Y214" s="900"/>
      <c r="Z214" s="891"/>
      <c r="AA214" s="891" t="s">
        <v>32</v>
      </c>
      <c r="AB214" s="891" t="s">
        <v>32</v>
      </c>
      <c r="AC214" s="891" t="s">
        <v>32</v>
      </c>
      <c r="AD214" s="900" t="s">
        <v>32</v>
      </c>
      <c r="AE214" s="892"/>
      <c r="AF214" s="892"/>
      <c r="AG214" s="1143" t="s">
        <v>32</v>
      </c>
      <c r="AH214" s="181"/>
      <c r="AI214" s="182"/>
    </row>
    <row r="215" spans="1:35" ht="21" customHeight="1">
      <c r="A215" s="1144">
        <v>3701</v>
      </c>
      <c r="B215" s="1147" t="s">
        <v>284</v>
      </c>
      <c r="C215" s="891"/>
      <c r="D215" s="891"/>
      <c r="E215" s="891" t="s">
        <v>32</v>
      </c>
      <c r="F215" s="891" t="s">
        <v>32</v>
      </c>
      <c r="G215" s="891" t="s">
        <v>32</v>
      </c>
      <c r="H215" s="891" t="s">
        <v>32</v>
      </c>
      <c r="I215" s="891" t="s">
        <v>32</v>
      </c>
      <c r="J215" s="891"/>
      <c r="K215" s="891"/>
      <c r="L215" s="891" t="s">
        <v>32</v>
      </c>
      <c r="M215" s="891" t="s">
        <v>32</v>
      </c>
      <c r="N215" s="897" t="s">
        <v>32</v>
      </c>
      <c r="O215" s="897"/>
      <c r="P215" s="897" t="s">
        <v>32</v>
      </c>
      <c r="Q215" s="892"/>
      <c r="R215" s="897"/>
      <c r="S215" s="891" t="s">
        <v>32</v>
      </c>
      <c r="T215" s="891" t="s">
        <v>32</v>
      </c>
      <c r="U215" s="897" t="s">
        <v>32</v>
      </c>
      <c r="V215" s="897" t="s">
        <v>32</v>
      </c>
      <c r="W215" s="897" t="s">
        <v>32</v>
      </c>
      <c r="X215" s="891"/>
      <c r="Y215" s="897"/>
      <c r="Z215" s="891"/>
      <c r="AA215" s="891" t="s">
        <v>32</v>
      </c>
      <c r="AB215" s="891" t="s">
        <v>32</v>
      </c>
      <c r="AC215" s="891" t="s">
        <v>32</v>
      </c>
      <c r="AD215" s="892" t="s">
        <v>32</v>
      </c>
      <c r="AE215" s="892"/>
      <c r="AF215" s="892"/>
      <c r="AG215" s="1143" t="s">
        <v>32</v>
      </c>
      <c r="AH215" s="181"/>
      <c r="AI215" s="182"/>
    </row>
    <row r="216" spans="1:35" ht="22.35" customHeight="1">
      <c r="A216" s="1144">
        <v>3701</v>
      </c>
      <c r="B216" s="810" t="s">
        <v>285</v>
      </c>
      <c r="C216" s="891"/>
      <c r="D216" s="891"/>
      <c r="E216" s="901" t="s">
        <v>32</v>
      </c>
      <c r="F216" s="901" t="s">
        <v>32</v>
      </c>
      <c r="G216" s="901" t="s">
        <v>32</v>
      </c>
      <c r="H216" s="901" t="s">
        <v>32</v>
      </c>
      <c r="I216" s="901" t="s">
        <v>278</v>
      </c>
      <c r="J216" s="891"/>
      <c r="K216" s="891"/>
      <c r="L216" s="891" t="s">
        <v>32</v>
      </c>
      <c r="M216" s="891" t="s">
        <v>32</v>
      </c>
      <c r="N216" s="897" t="s">
        <v>32</v>
      </c>
      <c r="O216" s="897"/>
      <c r="P216" s="1148" t="s">
        <v>32</v>
      </c>
      <c r="Q216" s="892"/>
      <c r="R216" s="897"/>
      <c r="S216" s="891" t="s">
        <v>32</v>
      </c>
      <c r="T216" s="891" t="s">
        <v>32</v>
      </c>
      <c r="U216" s="897" t="s">
        <v>32</v>
      </c>
      <c r="V216" s="897" t="s">
        <v>32</v>
      </c>
      <c r="W216" s="897" t="s">
        <v>32</v>
      </c>
      <c r="X216" s="891"/>
      <c r="Y216" s="897"/>
      <c r="Z216" s="891"/>
      <c r="AA216" s="891" t="s">
        <v>32</v>
      </c>
      <c r="AB216" s="891" t="s">
        <v>32</v>
      </c>
      <c r="AC216" s="891" t="s">
        <v>32</v>
      </c>
      <c r="AD216" s="897" t="s">
        <v>32</v>
      </c>
      <c r="AE216" s="897"/>
      <c r="AF216" s="897"/>
      <c r="AG216" s="1143" t="s">
        <v>32</v>
      </c>
      <c r="AH216" s="181"/>
      <c r="AI216" s="182"/>
    </row>
    <row r="217" spans="1:35" ht="22.35" customHeight="1">
      <c r="A217" s="1144">
        <v>3701</v>
      </c>
      <c r="B217" s="810" t="s">
        <v>286</v>
      </c>
      <c r="C217" s="891"/>
      <c r="D217" s="891"/>
      <c r="E217" s="891" t="s">
        <v>32</v>
      </c>
      <c r="F217" s="891" t="s">
        <v>32</v>
      </c>
      <c r="G217" s="891" t="s">
        <v>32</v>
      </c>
      <c r="H217" s="891" t="s">
        <v>32</v>
      </c>
      <c r="I217" s="891" t="s">
        <v>32</v>
      </c>
      <c r="J217" s="891"/>
      <c r="K217" s="891"/>
      <c r="L217" s="891" t="s">
        <v>32</v>
      </c>
      <c r="M217" s="891" t="s">
        <v>32</v>
      </c>
      <c r="N217" s="897" t="s">
        <v>32</v>
      </c>
      <c r="O217" s="897"/>
      <c r="P217" s="1149" t="s">
        <v>32</v>
      </c>
      <c r="Q217" s="892"/>
      <c r="R217" s="897"/>
      <c r="S217" s="1149" t="s">
        <v>32</v>
      </c>
      <c r="T217" s="891" t="s">
        <v>32</v>
      </c>
      <c r="U217" s="897" t="s">
        <v>32</v>
      </c>
      <c r="V217" s="897" t="s">
        <v>32</v>
      </c>
      <c r="W217" s="897" t="s">
        <v>32</v>
      </c>
      <c r="X217" s="891"/>
      <c r="Y217" s="897"/>
      <c r="Z217" s="891"/>
      <c r="AA217" s="891" t="s">
        <v>32</v>
      </c>
      <c r="AB217" s="891" t="s">
        <v>32</v>
      </c>
      <c r="AC217" s="891" t="s">
        <v>32</v>
      </c>
      <c r="AD217" s="897" t="s">
        <v>32</v>
      </c>
      <c r="AE217" s="897"/>
      <c r="AF217" s="897"/>
      <c r="AG217" s="1143" t="s">
        <v>32</v>
      </c>
      <c r="AH217" s="181"/>
      <c r="AI217" s="182"/>
    </row>
    <row r="218" spans="1:35" ht="22.35" customHeight="1">
      <c r="A218" s="1144">
        <v>3701</v>
      </c>
      <c r="B218" s="810" t="s">
        <v>287</v>
      </c>
      <c r="C218" s="891"/>
      <c r="D218" s="891"/>
      <c r="E218" s="891" t="s">
        <v>32</v>
      </c>
      <c r="F218" s="891" t="s">
        <v>32</v>
      </c>
      <c r="G218" s="891" t="s">
        <v>32</v>
      </c>
      <c r="H218" s="891" t="s">
        <v>32</v>
      </c>
      <c r="I218" s="891" t="s">
        <v>32</v>
      </c>
      <c r="J218" s="891"/>
      <c r="K218" s="891"/>
      <c r="L218" s="891" t="s">
        <v>32</v>
      </c>
      <c r="M218" s="891" t="s">
        <v>32</v>
      </c>
      <c r="N218" s="897" t="s">
        <v>32</v>
      </c>
      <c r="O218" s="897"/>
      <c r="P218" s="897" t="s">
        <v>32</v>
      </c>
      <c r="Q218" s="892"/>
      <c r="R218" s="897"/>
      <c r="S218" s="891" t="s">
        <v>32</v>
      </c>
      <c r="T218" s="891" t="s">
        <v>32</v>
      </c>
      <c r="U218" s="897" t="s">
        <v>32</v>
      </c>
      <c r="V218" s="897" t="s">
        <v>32</v>
      </c>
      <c r="W218" s="897" t="s">
        <v>32</v>
      </c>
      <c r="X218" s="891"/>
      <c r="Y218" s="897"/>
      <c r="Z218" s="891"/>
      <c r="AA218" s="891" t="s">
        <v>32</v>
      </c>
      <c r="AB218" s="891" t="s">
        <v>32</v>
      </c>
      <c r="AC218" s="891" t="s">
        <v>32</v>
      </c>
      <c r="AD218" s="897" t="s">
        <v>32</v>
      </c>
      <c r="AE218" s="897"/>
      <c r="AF218" s="897"/>
      <c r="AG218" s="1143" t="s">
        <v>32</v>
      </c>
      <c r="AH218" s="181"/>
      <c r="AI218" s="182"/>
    </row>
    <row r="219" spans="1:35" ht="22.35" customHeight="1">
      <c r="A219" s="1150">
        <v>3701</v>
      </c>
      <c r="B219" s="810" t="s">
        <v>288</v>
      </c>
      <c r="C219" s="891"/>
      <c r="D219" s="891"/>
      <c r="E219" s="891" t="s">
        <v>32</v>
      </c>
      <c r="F219" s="891" t="s">
        <v>32</v>
      </c>
      <c r="G219" s="891" t="s">
        <v>32</v>
      </c>
      <c r="H219" s="891" t="s">
        <v>32</v>
      </c>
      <c r="I219" s="891" t="s">
        <v>32</v>
      </c>
      <c r="J219" s="891"/>
      <c r="K219" s="891"/>
      <c r="L219" s="891" t="s">
        <v>32</v>
      </c>
      <c r="M219" s="891" t="s">
        <v>32</v>
      </c>
      <c r="N219" s="897" t="s">
        <v>32</v>
      </c>
      <c r="O219" s="897"/>
      <c r="P219" s="897" t="s">
        <v>32</v>
      </c>
      <c r="Q219" s="892"/>
      <c r="R219" s="897"/>
      <c r="S219" s="891" t="s">
        <v>32</v>
      </c>
      <c r="T219" s="891" t="s">
        <v>32</v>
      </c>
      <c r="U219" s="897" t="s">
        <v>32</v>
      </c>
      <c r="V219" s="897" t="s">
        <v>32</v>
      </c>
      <c r="W219" s="897" t="s">
        <v>32</v>
      </c>
      <c r="X219" s="891"/>
      <c r="Y219" s="897"/>
      <c r="Z219" s="891"/>
      <c r="AA219" s="891" t="s">
        <v>32</v>
      </c>
      <c r="AB219" s="891" t="s">
        <v>32</v>
      </c>
      <c r="AC219" s="891" t="s">
        <v>32</v>
      </c>
      <c r="AD219" s="897" t="s">
        <v>32</v>
      </c>
      <c r="AE219" s="897"/>
      <c r="AF219" s="897"/>
      <c r="AG219" s="1143" t="s">
        <v>32</v>
      </c>
      <c r="AH219" s="181"/>
      <c r="AI219" s="182"/>
    </row>
    <row r="220" spans="1:35" ht="22.35" customHeight="1">
      <c r="A220" s="1144">
        <v>3701</v>
      </c>
      <c r="B220" s="810" t="s">
        <v>289</v>
      </c>
      <c r="C220" s="891"/>
      <c r="D220" s="891"/>
      <c r="E220" s="891" t="s">
        <v>32</v>
      </c>
      <c r="F220" s="891" t="s">
        <v>32</v>
      </c>
      <c r="G220" s="891" t="s">
        <v>32</v>
      </c>
      <c r="H220" s="891" t="s">
        <v>32</v>
      </c>
      <c r="I220" s="891" t="s">
        <v>32</v>
      </c>
      <c r="J220" s="891"/>
      <c r="K220" s="891"/>
      <c r="L220" s="891" t="s">
        <v>32</v>
      </c>
      <c r="M220" s="891" t="s">
        <v>32</v>
      </c>
      <c r="N220" s="897" t="s">
        <v>32</v>
      </c>
      <c r="O220" s="897"/>
      <c r="P220" s="897" t="s">
        <v>32</v>
      </c>
      <c r="Q220" s="892"/>
      <c r="R220" s="897"/>
      <c r="S220" s="891" t="s">
        <v>32</v>
      </c>
      <c r="T220" s="891" t="s">
        <v>32</v>
      </c>
      <c r="U220" s="897" t="s">
        <v>32</v>
      </c>
      <c r="V220" s="897" t="s">
        <v>32</v>
      </c>
      <c r="W220" s="897" t="s">
        <v>32</v>
      </c>
      <c r="X220" s="891"/>
      <c r="Y220" s="897"/>
      <c r="Z220" s="891"/>
      <c r="AA220" s="891" t="s">
        <v>32</v>
      </c>
      <c r="AB220" s="891" t="s">
        <v>32</v>
      </c>
      <c r="AC220" s="891" t="s">
        <v>32</v>
      </c>
      <c r="AD220" s="897" t="s">
        <v>32</v>
      </c>
      <c r="AE220" s="897"/>
      <c r="AF220" s="897"/>
      <c r="AG220" s="1151" t="s">
        <v>32</v>
      </c>
      <c r="AH220" s="181"/>
      <c r="AI220" s="182"/>
    </row>
    <row r="221" spans="1:35" ht="22.35" customHeight="1">
      <c r="A221" s="1144">
        <v>3701</v>
      </c>
      <c r="B221" s="810" t="s">
        <v>290</v>
      </c>
      <c r="C221" s="891"/>
      <c r="D221" s="891"/>
      <c r="E221" s="891" t="s">
        <v>32</v>
      </c>
      <c r="F221" s="891" t="s">
        <v>32</v>
      </c>
      <c r="G221" s="891" t="s">
        <v>32</v>
      </c>
      <c r="H221" s="891" t="s">
        <v>32</v>
      </c>
      <c r="I221" s="891" t="s">
        <v>32</v>
      </c>
      <c r="J221" s="891"/>
      <c r="K221" s="891"/>
      <c r="L221" s="891" t="s">
        <v>32</v>
      </c>
      <c r="M221" s="891" t="s">
        <v>32</v>
      </c>
      <c r="N221" s="897" t="s">
        <v>32</v>
      </c>
      <c r="O221" s="897"/>
      <c r="P221" s="897" t="s">
        <v>32</v>
      </c>
      <c r="Q221" s="892"/>
      <c r="R221" s="897"/>
      <c r="S221" s="891" t="s">
        <v>32</v>
      </c>
      <c r="T221" s="891" t="s">
        <v>32</v>
      </c>
      <c r="U221" s="897" t="s">
        <v>32</v>
      </c>
      <c r="V221" s="897" t="s">
        <v>32</v>
      </c>
      <c r="W221" s="897" t="s">
        <v>32</v>
      </c>
      <c r="X221" s="891"/>
      <c r="Y221" s="897"/>
      <c r="Z221" s="891"/>
      <c r="AA221" s="891" t="s">
        <v>32</v>
      </c>
      <c r="AB221" s="891" t="s">
        <v>32</v>
      </c>
      <c r="AC221" s="891" t="s">
        <v>32</v>
      </c>
      <c r="AD221" s="897" t="s">
        <v>32</v>
      </c>
      <c r="AE221" s="897"/>
      <c r="AF221" s="897"/>
      <c r="AG221" s="1152" t="s">
        <v>32</v>
      </c>
      <c r="AH221" s="181"/>
      <c r="AI221" s="182"/>
    </row>
    <row r="222" spans="1:35" ht="22.35" customHeight="1">
      <c r="A222" s="1144"/>
      <c r="B222" s="810" t="s">
        <v>291</v>
      </c>
      <c r="C222" s="891"/>
      <c r="D222" s="891"/>
      <c r="E222" s="891" t="s">
        <v>32</v>
      </c>
      <c r="F222" s="891" t="s">
        <v>32</v>
      </c>
      <c r="G222" s="891" t="s">
        <v>32</v>
      </c>
      <c r="H222" s="891" t="s">
        <v>32</v>
      </c>
      <c r="I222" s="891" t="s">
        <v>32</v>
      </c>
      <c r="J222" s="891"/>
      <c r="K222" s="891"/>
      <c r="L222" s="891" t="s">
        <v>32</v>
      </c>
      <c r="M222" s="891" t="s">
        <v>32</v>
      </c>
      <c r="N222" s="897" t="s">
        <v>32</v>
      </c>
      <c r="O222" s="897"/>
      <c r="P222" s="1148" t="s">
        <v>32</v>
      </c>
      <c r="Q222" s="892"/>
      <c r="R222" s="897"/>
      <c r="S222" s="891" t="s">
        <v>32</v>
      </c>
      <c r="T222" s="891" t="s">
        <v>32</v>
      </c>
      <c r="U222" s="897" t="s">
        <v>32</v>
      </c>
      <c r="V222" s="901" t="s">
        <v>278</v>
      </c>
      <c r="W222" s="808" t="s">
        <v>32</v>
      </c>
      <c r="X222" s="891"/>
      <c r="Y222" s="897"/>
      <c r="Z222" s="891"/>
      <c r="AA222" s="891" t="s">
        <v>32</v>
      </c>
      <c r="AB222" s="891" t="s">
        <v>32</v>
      </c>
      <c r="AC222" s="891" t="s">
        <v>32</v>
      </c>
      <c r="AD222" s="897" t="s">
        <v>32</v>
      </c>
      <c r="AE222" s="897"/>
      <c r="AF222" s="897"/>
      <c r="AG222" s="1143" t="s">
        <v>32</v>
      </c>
      <c r="AH222" s="181"/>
      <c r="AI222" s="182"/>
    </row>
    <row r="223" spans="1:35" ht="22.35" customHeight="1">
      <c r="A223" s="1144"/>
      <c r="B223" s="810" t="s">
        <v>292</v>
      </c>
      <c r="C223" s="891"/>
      <c r="D223" s="891"/>
      <c r="E223" s="891" t="s">
        <v>32</v>
      </c>
      <c r="F223" s="891" t="s">
        <v>32</v>
      </c>
      <c r="G223" s="891" t="s">
        <v>32</v>
      </c>
      <c r="H223" s="891" t="s">
        <v>32</v>
      </c>
      <c r="I223" s="891" t="s">
        <v>32</v>
      </c>
      <c r="J223" s="891"/>
      <c r="K223" s="891"/>
      <c r="L223" s="891" t="s">
        <v>32</v>
      </c>
      <c r="M223" s="891" t="s">
        <v>32</v>
      </c>
      <c r="N223" s="897" t="s">
        <v>32</v>
      </c>
      <c r="O223" s="897"/>
      <c r="P223" s="897" t="s">
        <v>32</v>
      </c>
      <c r="Q223" s="892"/>
      <c r="R223" s="897"/>
      <c r="S223" s="891" t="s">
        <v>32</v>
      </c>
      <c r="T223" s="891" t="s">
        <v>32</v>
      </c>
      <c r="U223" s="897" t="s">
        <v>32</v>
      </c>
      <c r="V223" s="897" t="s">
        <v>32</v>
      </c>
      <c r="W223" s="897" t="s">
        <v>32</v>
      </c>
      <c r="X223" s="891"/>
      <c r="Y223" s="897"/>
      <c r="Z223" s="891"/>
      <c r="AA223" s="891" t="s">
        <v>32</v>
      </c>
      <c r="AB223" s="891" t="s">
        <v>32</v>
      </c>
      <c r="AC223" s="891" t="s">
        <v>32</v>
      </c>
      <c r="AD223" s="891" t="s">
        <v>32</v>
      </c>
      <c r="AE223" s="900"/>
      <c r="AF223" s="891"/>
      <c r="AG223" s="1143" t="s">
        <v>32</v>
      </c>
      <c r="AH223" s="181"/>
      <c r="AI223" s="182"/>
    </row>
    <row r="224" spans="1:35" ht="22.35" customHeight="1">
      <c r="A224" s="1144"/>
      <c r="B224" s="1147" t="s">
        <v>293</v>
      </c>
      <c r="C224" s="891"/>
      <c r="D224" s="891"/>
      <c r="E224" s="891" t="s">
        <v>32</v>
      </c>
      <c r="F224" s="891" t="s">
        <v>32</v>
      </c>
      <c r="G224" s="891" t="s">
        <v>32</v>
      </c>
      <c r="H224" s="891" t="s">
        <v>32</v>
      </c>
      <c r="I224" s="891" t="s">
        <v>32</v>
      </c>
      <c r="J224" s="891"/>
      <c r="K224" s="891"/>
      <c r="L224" s="891" t="s">
        <v>32</v>
      </c>
      <c r="M224" s="891" t="s">
        <v>32</v>
      </c>
      <c r="N224" s="897" t="s">
        <v>32</v>
      </c>
      <c r="O224" s="897"/>
      <c r="P224" s="897" t="s">
        <v>32</v>
      </c>
      <c r="Q224" s="892"/>
      <c r="R224" s="897"/>
      <c r="S224" s="891" t="s">
        <v>32</v>
      </c>
      <c r="T224" s="891" t="s">
        <v>32</v>
      </c>
      <c r="U224" s="897" t="s">
        <v>32</v>
      </c>
      <c r="V224" s="897" t="s">
        <v>32</v>
      </c>
      <c r="W224" s="897" t="s">
        <v>32</v>
      </c>
      <c r="X224" s="891"/>
      <c r="Y224" s="897"/>
      <c r="Z224" s="891"/>
      <c r="AA224" s="891" t="s">
        <v>32</v>
      </c>
      <c r="AB224" s="891" t="s">
        <v>32</v>
      </c>
      <c r="AC224" s="891" t="s">
        <v>32</v>
      </c>
      <c r="AD224" s="891" t="s">
        <v>32</v>
      </c>
      <c r="AE224" s="891"/>
      <c r="AF224" s="891"/>
      <c r="AG224" s="1143" t="s">
        <v>32</v>
      </c>
      <c r="AH224" s="181"/>
      <c r="AI224" s="182"/>
    </row>
    <row r="225" spans="1:35" ht="22.35" customHeight="1">
      <c r="A225" s="1144"/>
      <c r="B225" s="810" t="s">
        <v>294</v>
      </c>
      <c r="C225" s="1153"/>
      <c r="D225" s="1153"/>
      <c r="E225" s="1153" t="s">
        <v>32</v>
      </c>
      <c r="F225" s="1153" t="s">
        <v>32</v>
      </c>
      <c r="G225" s="1153" t="s">
        <v>32</v>
      </c>
      <c r="H225" s="1153" t="s">
        <v>32</v>
      </c>
      <c r="I225" s="1153" t="s">
        <v>32</v>
      </c>
      <c r="J225" s="1153"/>
      <c r="K225" s="1153"/>
      <c r="L225" s="1153" t="s">
        <v>32</v>
      </c>
      <c r="M225" s="1153" t="s">
        <v>32</v>
      </c>
      <c r="N225" s="1153" t="s">
        <v>32</v>
      </c>
      <c r="O225" s="1153"/>
      <c r="P225" s="1153" t="s">
        <v>32</v>
      </c>
      <c r="Q225" s="1153"/>
      <c r="R225" s="1153"/>
      <c r="S225" s="1153" t="s">
        <v>32</v>
      </c>
      <c r="T225" s="1153" t="s">
        <v>32</v>
      </c>
      <c r="U225" s="1153" t="s">
        <v>32</v>
      </c>
      <c r="V225" s="1153" t="s">
        <v>32</v>
      </c>
      <c r="W225" s="1153" t="s">
        <v>32</v>
      </c>
      <c r="X225" s="1153"/>
      <c r="Y225" s="1153"/>
      <c r="Z225" s="1153"/>
      <c r="AA225" s="1153" t="s">
        <v>32</v>
      </c>
      <c r="AB225" s="1153" t="s">
        <v>32</v>
      </c>
      <c r="AC225" s="1153" t="s">
        <v>32</v>
      </c>
      <c r="AD225" s="1153" t="s">
        <v>32</v>
      </c>
      <c r="AE225" s="1153"/>
      <c r="AF225" s="1153"/>
      <c r="AG225" s="1154" t="s">
        <v>32</v>
      </c>
      <c r="AH225" s="545"/>
      <c r="AI225" s="182"/>
    </row>
    <row r="226" spans="1:35" ht="22.35" customHeight="1">
      <c r="A226" s="1144"/>
      <c r="B226" s="810" t="s">
        <v>295</v>
      </c>
      <c r="C226" s="891"/>
      <c r="D226" s="891"/>
      <c r="E226" s="891" t="s">
        <v>32</v>
      </c>
      <c r="F226" s="891" t="s">
        <v>32</v>
      </c>
      <c r="G226" s="891" t="s">
        <v>32</v>
      </c>
      <c r="H226" s="891" t="s">
        <v>32</v>
      </c>
      <c r="I226" s="891" t="s">
        <v>32</v>
      </c>
      <c r="J226" s="891"/>
      <c r="K226" s="891"/>
      <c r="L226" s="891" t="s">
        <v>32</v>
      </c>
      <c r="M226" s="891" t="s">
        <v>32</v>
      </c>
      <c r="N226" s="897" t="s">
        <v>32</v>
      </c>
      <c r="O226" s="897"/>
      <c r="P226" s="897" t="s">
        <v>32</v>
      </c>
      <c r="Q226" s="892"/>
      <c r="R226" s="897"/>
      <c r="S226" s="891" t="s">
        <v>32</v>
      </c>
      <c r="T226" s="891" t="s">
        <v>32</v>
      </c>
      <c r="U226" s="897" t="s">
        <v>32</v>
      </c>
      <c r="V226" s="897" t="s">
        <v>32</v>
      </c>
      <c r="W226" s="897" t="s">
        <v>32</v>
      </c>
      <c r="X226" s="891"/>
      <c r="Y226" s="897"/>
      <c r="Z226" s="891"/>
      <c r="AA226" s="891" t="s">
        <v>32</v>
      </c>
      <c r="AB226" s="891" t="s">
        <v>32</v>
      </c>
      <c r="AC226" s="891" t="s">
        <v>32</v>
      </c>
      <c r="AD226" s="891" t="s">
        <v>32</v>
      </c>
      <c r="AE226" s="891"/>
      <c r="AF226" s="897"/>
      <c r="AG226" s="1151" t="s">
        <v>32</v>
      </c>
      <c r="AH226" s="181"/>
      <c r="AI226" s="182"/>
    </row>
    <row r="227" spans="1:35" ht="22.35" customHeight="1">
      <c r="A227" s="1144"/>
      <c r="B227" s="810" t="s">
        <v>296</v>
      </c>
      <c r="C227" s="1155"/>
      <c r="D227" s="1155"/>
      <c r="E227" s="1155" t="s">
        <v>32</v>
      </c>
      <c r="F227" s="1155" t="s">
        <v>32</v>
      </c>
      <c r="G227" s="1155" t="s">
        <v>32</v>
      </c>
      <c r="H227" s="1155" t="s">
        <v>32</v>
      </c>
      <c r="I227" s="1155" t="s">
        <v>278</v>
      </c>
      <c r="J227" s="891"/>
      <c r="K227" s="891"/>
      <c r="L227" s="891" t="s">
        <v>32</v>
      </c>
      <c r="M227" s="891" t="s">
        <v>32</v>
      </c>
      <c r="N227" s="897" t="s">
        <v>32</v>
      </c>
      <c r="O227" s="897"/>
      <c r="P227" s="1148" t="s">
        <v>32</v>
      </c>
      <c r="Q227" s="892"/>
      <c r="R227" s="897"/>
      <c r="S227" s="891" t="s">
        <v>32</v>
      </c>
      <c r="T227" s="891" t="s">
        <v>32</v>
      </c>
      <c r="U227" s="897" t="s">
        <v>32</v>
      </c>
      <c r="V227" s="897" t="s">
        <v>32</v>
      </c>
      <c r="W227" s="897" t="s">
        <v>32</v>
      </c>
      <c r="X227" s="891"/>
      <c r="Y227" s="897"/>
      <c r="Z227" s="891"/>
      <c r="AA227" s="891" t="s">
        <v>32</v>
      </c>
      <c r="AB227" s="891" t="s">
        <v>32</v>
      </c>
      <c r="AC227" s="891" t="s">
        <v>32</v>
      </c>
      <c r="AD227" s="897" t="s">
        <v>32</v>
      </c>
      <c r="AE227" s="897"/>
      <c r="AF227" s="897"/>
      <c r="AG227" s="1143" t="s">
        <v>32</v>
      </c>
      <c r="AH227" s="178"/>
      <c r="AI227" s="107"/>
    </row>
    <row r="228" spans="1:35" ht="22.35" customHeight="1">
      <c r="A228" s="1144"/>
      <c r="B228" s="810" t="s">
        <v>297</v>
      </c>
      <c r="C228" s="891"/>
      <c r="D228" s="891"/>
      <c r="E228" s="891" t="s">
        <v>32</v>
      </c>
      <c r="F228" s="891" t="s">
        <v>32</v>
      </c>
      <c r="G228" s="891" t="s">
        <v>32</v>
      </c>
      <c r="H228" s="891" t="s">
        <v>32</v>
      </c>
      <c r="I228" s="891" t="s">
        <v>32</v>
      </c>
      <c r="J228" s="891"/>
      <c r="K228" s="891"/>
      <c r="L228" s="891" t="s">
        <v>32</v>
      </c>
      <c r="M228" s="891" t="s">
        <v>32</v>
      </c>
      <c r="N228" s="897" t="s">
        <v>32</v>
      </c>
      <c r="O228" s="897"/>
      <c r="P228" s="897" t="s">
        <v>32</v>
      </c>
      <c r="Q228" s="892"/>
      <c r="R228" s="897"/>
      <c r="S228" s="891" t="s">
        <v>32</v>
      </c>
      <c r="T228" s="891" t="s">
        <v>32</v>
      </c>
      <c r="U228" s="897" t="s">
        <v>32</v>
      </c>
      <c r="V228" s="897" t="s">
        <v>32</v>
      </c>
      <c r="W228" s="897" t="s">
        <v>32</v>
      </c>
      <c r="X228" s="891"/>
      <c r="Y228" s="897"/>
      <c r="Z228" s="891"/>
      <c r="AA228" s="891" t="s">
        <v>32</v>
      </c>
      <c r="AB228" s="891" t="s">
        <v>32</v>
      </c>
      <c r="AC228" s="901" t="s">
        <v>278</v>
      </c>
      <c r="AD228" s="808" t="s">
        <v>32</v>
      </c>
      <c r="AE228" s="808"/>
      <c r="AF228" s="808"/>
      <c r="AG228" s="1156" t="s">
        <v>32</v>
      </c>
      <c r="AH228" s="178"/>
      <c r="AI228" s="107"/>
    </row>
    <row r="229" spans="1:35" ht="22.35" customHeight="1">
      <c r="A229" s="808"/>
      <c r="B229" s="1157"/>
      <c r="C229" s="891"/>
      <c r="D229" s="891"/>
      <c r="E229" s="891"/>
      <c r="F229" s="891"/>
      <c r="G229" s="891"/>
      <c r="H229" s="891"/>
      <c r="I229" s="891"/>
      <c r="J229" s="891"/>
      <c r="K229" s="891"/>
      <c r="L229" s="891"/>
      <c r="M229" s="891"/>
      <c r="N229" s="891"/>
      <c r="O229" s="891"/>
      <c r="P229" s="891"/>
      <c r="Q229" s="891"/>
      <c r="R229" s="891"/>
      <c r="S229" s="891"/>
      <c r="T229" s="891"/>
      <c r="U229" s="891"/>
      <c r="V229" s="891"/>
      <c r="W229" s="891"/>
      <c r="X229" s="891"/>
      <c r="Y229" s="891"/>
      <c r="Z229" s="891"/>
      <c r="AA229" s="891"/>
      <c r="AB229" s="891"/>
      <c r="AC229" s="891"/>
      <c r="AD229" s="891"/>
      <c r="AE229" s="891"/>
      <c r="AF229" s="891"/>
      <c r="AG229" s="1143"/>
      <c r="AH229" s="178"/>
      <c r="AI229" s="107"/>
    </row>
    <row r="230" spans="1:35" ht="22.35" customHeight="1">
      <c r="A230" s="808"/>
      <c r="B230" s="810"/>
      <c r="C230" s="891"/>
      <c r="D230" s="891"/>
      <c r="E230" s="891"/>
      <c r="F230" s="891"/>
      <c r="G230" s="891"/>
      <c r="H230" s="891"/>
      <c r="I230" s="891"/>
      <c r="J230" s="891"/>
      <c r="K230" s="891"/>
      <c r="L230" s="891"/>
      <c r="M230" s="891"/>
      <c r="N230" s="897"/>
      <c r="O230" s="897"/>
      <c r="P230" s="897"/>
      <c r="Q230" s="892"/>
      <c r="R230" s="897"/>
      <c r="S230" s="891"/>
      <c r="T230" s="891"/>
      <c r="U230" s="897"/>
      <c r="V230" s="897"/>
      <c r="W230" s="897"/>
      <c r="X230" s="891"/>
      <c r="Y230" s="897"/>
      <c r="Z230" s="891"/>
      <c r="AA230" s="891"/>
      <c r="AB230" s="891"/>
      <c r="AC230" s="891"/>
      <c r="AD230" s="891"/>
      <c r="AE230" s="891"/>
      <c r="AF230" s="891"/>
      <c r="AG230" s="1158"/>
      <c r="AH230" s="178"/>
      <c r="AI230" s="107"/>
    </row>
    <row r="231" spans="1:35" ht="22.35" customHeight="1">
      <c r="A231" s="808"/>
      <c r="B231" s="808"/>
      <c r="C231" s="891"/>
      <c r="D231" s="891"/>
      <c r="E231" s="891"/>
      <c r="F231" s="891"/>
      <c r="G231" s="891"/>
      <c r="H231" s="891"/>
      <c r="I231" s="891"/>
      <c r="J231" s="891"/>
      <c r="K231" s="891"/>
      <c r="L231" s="891"/>
      <c r="M231" s="891"/>
      <c r="N231" s="891"/>
      <c r="O231" s="891"/>
      <c r="P231" s="891"/>
      <c r="Q231" s="891"/>
      <c r="R231" s="891"/>
      <c r="S231" s="891"/>
      <c r="T231" s="891"/>
      <c r="U231" s="891"/>
      <c r="V231" s="891"/>
      <c r="W231" s="891"/>
      <c r="X231" s="891"/>
      <c r="Y231" s="891"/>
      <c r="Z231" s="891"/>
      <c r="AA231" s="891"/>
      <c r="AB231" s="891"/>
      <c r="AC231" s="891"/>
      <c r="AD231" s="891"/>
      <c r="AE231" s="891"/>
      <c r="AF231" s="891"/>
      <c r="AG231" s="1143"/>
      <c r="AH231" s="178"/>
      <c r="AI231" s="107"/>
    </row>
    <row r="232" spans="1:35" ht="22.35" customHeight="1">
      <c r="A232" s="808"/>
      <c r="B232" s="808"/>
      <c r="C232" s="891"/>
      <c r="D232" s="891"/>
      <c r="E232" s="891"/>
      <c r="F232" s="891"/>
      <c r="G232" s="891"/>
      <c r="H232" s="1159"/>
      <c r="I232" s="891"/>
      <c r="J232" s="891"/>
      <c r="K232" s="891"/>
      <c r="L232" s="891"/>
      <c r="M232" s="891"/>
      <c r="N232" s="891"/>
      <c r="O232" s="891"/>
      <c r="P232" s="891"/>
      <c r="Q232" s="891"/>
      <c r="R232" s="891"/>
      <c r="S232" s="891"/>
      <c r="T232" s="891"/>
      <c r="U232" s="891"/>
      <c r="V232" s="891"/>
      <c r="W232" s="891"/>
      <c r="X232" s="891"/>
      <c r="Y232" s="891"/>
      <c r="Z232" s="891"/>
      <c r="AA232" s="891"/>
      <c r="AB232" s="891"/>
      <c r="AC232" s="891"/>
      <c r="AD232" s="891"/>
      <c r="AE232" s="891"/>
      <c r="AF232" s="891"/>
      <c r="AG232" s="1158"/>
      <c r="AH232" s="178"/>
      <c r="AI232" s="107"/>
    </row>
    <row r="233" spans="1:35" ht="22.35" customHeight="1">
      <c r="A233" s="1144"/>
      <c r="B233" s="1160"/>
      <c r="C233" s="891"/>
      <c r="D233" s="891"/>
      <c r="E233" s="891"/>
      <c r="F233" s="891"/>
      <c r="G233" s="891"/>
      <c r="H233" s="891"/>
      <c r="I233" s="891"/>
      <c r="J233" s="891"/>
      <c r="K233" s="891"/>
      <c r="L233" s="891"/>
      <c r="M233" s="891"/>
      <c r="N233" s="891"/>
      <c r="O233" s="891"/>
      <c r="P233" s="891"/>
      <c r="Q233" s="891"/>
      <c r="R233" s="891"/>
      <c r="S233" s="891"/>
      <c r="T233" s="891"/>
      <c r="U233" s="891"/>
      <c r="V233" s="891"/>
      <c r="W233" s="891"/>
      <c r="X233" s="891"/>
      <c r="Y233" s="891"/>
      <c r="Z233" s="891"/>
      <c r="AA233" s="891"/>
      <c r="AB233" s="891"/>
      <c r="AC233" s="891"/>
      <c r="AD233" s="891"/>
      <c r="AE233" s="891"/>
      <c r="AF233" s="891"/>
      <c r="AG233" s="1158"/>
      <c r="AH233" s="178"/>
      <c r="AI233" s="107"/>
    </row>
    <row r="234" spans="1:35" ht="22.35" customHeight="1">
      <c r="A234" s="1144"/>
      <c r="B234" s="1161"/>
      <c r="C234" s="891"/>
      <c r="D234" s="891"/>
      <c r="E234" s="891"/>
      <c r="F234" s="891"/>
      <c r="G234" s="891"/>
      <c r="H234" s="891"/>
      <c r="I234" s="891"/>
      <c r="J234" s="891"/>
      <c r="K234" s="891"/>
      <c r="L234" s="891"/>
      <c r="M234" s="891"/>
      <c r="N234" s="891"/>
      <c r="O234" s="891"/>
      <c r="P234" s="891"/>
      <c r="Q234" s="891"/>
      <c r="R234" s="891"/>
      <c r="S234" s="891"/>
      <c r="T234" s="891"/>
      <c r="U234" s="891"/>
      <c r="V234" s="891"/>
      <c r="W234" s="891"/>
      <c r="X234" s="891"/>
      <c r="Y234" s="891"/>
      <c r="Z234" s="891"/>
      <c r="AA234" s="891"/>
      <c r="AB234" s="891"/>
      <c r="AC234" s="891"/>
      <c r="AD234" s="891"/>
      <c r="AE234" s="891"/>
      <c r="AF234" s="891"/>
      <c r="AG234" s="1158"/>
      <c r="AH234" s="178"/>
      <c r="AI234" s="107"/>
    </row>
    <row r="235" spans="1:35" ht="22.35" customHeight="1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>
      <c r="A239" s="161" t="s">
        <v>298</v>
      </c>
    </row>
    <row r="240" spans="1:35" ht="21" customHeight="1">
      <c r="B240" s="396" t="s">
        <v>266</v>
      </c>
      <c r="C240" s="368"/>
      <c r="D240" s="384" t="s">
        <v>94</v>
      </c>
      <c r="E240" s="357"/>
      <c r="F240" s="372"/>
      <c r="G240" s="368"/>
      <c r="H240" s="384" t="s">
        <v>95</v>
      </c>
      <c r="I240" s="357"/>
      <c r="J240" s="372"/>
      <c r="K240" s="368"/>
      <c r="L240" s="384" t="s">
        <v>96</v>
      </c>
      <c r="M240" s="357"/>
      <c r="N240" s="372"/>
      <c r="O240" s="368"/>
      <c r="P240" s="384" t="s">
        <v>97</v>
      </c>
      <c r="Q240" s="357"/>
      <c r="R240" s="372"/>
      <c r="S240" s="368"/>
      <c r="T240" s="384" t="s">
        <v>98</v>
      </c>
      <c r="U240" s="357"/>
      <c r="V240" s="372"/>
      <c r="W240" s="368"/>
      <c r="X240" s="384" t="s">
        <v>99</v>
      </c>
      <c r="Y240" s="357"/>
      <c r="Z240" s="372"/>
      <c r="AA240" s="368"/>
      <c r="AB240" s="384" t="s">
        <v>100</v>
      </c>
      <c r="AC240" s="357"/>
      <c r="AD240" s="357"/>
      <c r="AE240" s="387" t="s">
        <v>101</v>
      </c>
      <c r="AF240" s="357"/>
      <c r="AG240" s="357"/>
      <c r="AH240" s="357"/>
      <c r="AI240" s="358"/>
    </row>
    <row r="241" spans="1:35" ht="21" customHeight="1">
      <c r="B241" s="3"/>
      <c r="C241" s="537" t="s">
        <v>299</v>
      </c>
      <c r="D241" s="117"/>
      <c r="E241" s="533"/>
      <c r="F241" s="534"/>
      <c r="G241" s="537" t="s">
        <v>299</v>
      </c>
      <c r="H241" s="117"/>
      <c r="I241" s="533"/>
      <c r="J241" s="534"/>
      <c r="K241" s="537" t="s">
        <v>299</v>
      </c>
      <c r="L241" s="117"/>
      <c r="M241" s="533"/>
      <c r="N241" s="534"/>
      <c r="O241" s="537" t="s">
        <v>299</v>
      </c>
      <c r="P241" s="532"/>
      <c r="Q241" s="533"/>
      <c r="R241" s="534"/>
      <c r="S241" s="538" t="s">
        <v>300</v>
      </c>
      <c r="T241" s="117"/>
      <c r="U241" s="533"/>
      <c r="V241" s="534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>
      <c r="A242" s="110"/>
      <c r="B242" s="1162"/>
      <c r="C242" s="1163" t="s">
        <v>178</v>
      </c>
      <c r="D242" s="1164"/>
      <c r="E242" s="533"/>
      <c r="F242" s="534"/>
      <c r="G242" s="1163" t="s">
        <v>178</v>
      </c>
      <c r="H242" s="117"/>
      <c r="I242" s="533"/>
      <c r="J242" s="534"/>
      <c r="K242" s="1163" t="s">
        <v>178</v>
      </c>
      <c r="L242" s="117"/>
      <c r="M242" s="533"/>
      <c r="N242" s="534"/>
      <c r="O242" s="1163" t="s">
        <v>178</v>
      </c>
      <c r="P242" s="117"/>
      <c r="Q242" s="533"/>
      <c r="R242" s="534"/>
      <c r="S242" s="537" t="s">
        <v>301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B243" s="1162"/>
      <c r="C243" s="1163" t="s">
        <v>181</v>
      </c>
      <c r="D243" s="1164"/>
      <c r="E243" s="533"/>
      <c r="F243" s="534"/>
      <c r="G243" s="1163" t="s">
        <v>181</v>
      </c>
      <c r="H243" s="117"/>
      <c r="I243" s="533"/>
      <c r="J243" s="534"/>
      <c r="K243" s="1163" t="s">
        <v>181</v>
      </c>
      <c r="L243" s="117"/>
      <c r="M243" s="533"/>
      <c r="N243" s="534"/>
      <c r="O243" s="1163" t="s">
        <v>181</v>
      </c>
      <c r="P243" s="117"/>
      <c r="Q243" s="533"/>
      <c r="R243" s="534"/>
      <c r="S243" s="1163" t="s">
        <v>176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1162"/>
      <c r="C244" s="962"/>
      <c r="D244" s="963"/>
      <c r="E244" s="165"/>
      <c r="F244" s="167"/>
      <c r="G244" s="962"/>
      <c r="H244" s="963"/>
      <c r="I244" s="165"/>
      <c r="J244" s="167"/>
      <c r="K244" s="962"/>
      <c r="L244" s="963"/>
      <c r="M244" s="165"/>
      <c r="N244" s="167"/>
      <c r="O244" s="962"/>
      <c r="P244" s="963"/>
      <c r="Q244" s="165"/>
      <c r="R244" s="167"/>
      <c r="S244" s="962"/>
      <c r="T244" s="963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1162"/>
      <c r="C245" s="1165"/>
      <c r="D245" s="963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1162" t="s">
        <v>148</v>
      </c>
      <c r="C246" s="1165" t="s">
        <v>302</v>
      </c>
      <c r="D246" s="1164"/>
      <c r="E246" s="533"/>
      <c r="F246" s="534"/>
      <c r="G246" s="1165" t="s">
        <v>302</v>
      </c>
      <c r="H246" s="1164"/>
      <c r="I246" s="533"/>
      <c r="J246" s="534"/>
      <c r="K246" s="1165" t="s">
        <v>302</v>
      </c>
      <c r="L246" s="1164"/>
      <c r="M246" s="533"/>
      <c r="N246" s="534"/>
      <c r="O246" s="1165" t="s">
        <v>302</v>
      </c>
      <c r="P246" s="1164"/>
      <c r="Q246" s="533"/>
      <c r="R246" s="534"/>
      <c r="S246" s="117" t="s">
        <v>303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1162" t="s">
        <v>152</v>
      </c>
      <c r="C247" s="1165" t="s">
        <v>304</v>
      </c>
      <c r="D247" s="1164"/>
      <c r="E247" s="533"/>
      <c r="F247" s="534"/>
      <c r="G247" s="1165" t="s">
        <v>304</v>
      </c>
      <c r="H247" s="1164"/>
      <c r="I247" s="533"/>
      <c r="J247" s="534"/>
      <c r="K247" s="1165" t="s">
        <v>304</v>
      </c>
      <c r="L247" s="1164"/>
      <c r="M247" s="533"/>
      <c r="N247" s="534"/>
      <c r="O247" s="1165" t="s">
        <v>304</v>
      </c>
      <c r="P247" s="1164"/>
      <c r="Q247" s="533"/>
      <c r="R247" s="534"/>
      <c r="S247" s="117" t="s">
        <v>305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>
      <c r="B248" s="1166" t="s">
        <v>159</v>
      </c>
      <c r="C248" s="1167" t="s">
        <v>306</v>
      </c>
      <c r="D248" s="1168"/>
      <c r="E248" s="535"/>
      <c r="F248" s="536"/>
      <c r="G248" s="1167" t="s">
        <v>306</v>
      </c>
      <c r="H248" s="1168"/>
      <c r="I248" s="535"/>
      <c r="J248" s="536"/>
      <c r="K248" s="1167" t="s">
        <v>306</v>
      </c>
      <c r="L248" s="1168"/>
      <c r="M248" s="535"/>
      <c r="N248" s="536"/>
      <c r="O248" s="1167" t="s">
        <v>306</v>
      </c>
      <c r="P248" s="1168"/>
      <c r="Q248" s="535"/>
      <c r="R248" s="536"/>
      <c r="S248" s="456" t="s">
        <v>307</v>
      </c>
      <c r="T248" s="456"/>
      <c r="U248" s="535"/>
      <c r="V248" s="536"/>
      <c r="W248" s="517"/>
      <c r="X248" s="456"/>
      <c r="Y248" s="518"/>
      <c r="Z248" s="519"/>
      <c r="AA248" s="520"/>
      <c r="AB248" s="456"/>
      <c r="AC248" s="518"/>
      <c r="AD248" s="518"/>
      <c r="AE248" s="521"/>
      <c r="AF248" s="518"/>
      <c r="AG248" s="516"/>
      <c r="AH248" s="516"/>
      <c r="AI248" s="453"/>
    </row>
    <row r="249" spans="1:35" ht="21" customHeight="1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>
      <c r="A250" s="123" t="s">
        <v>308</v>
      </c>
    </row>
    <row r="251" spans="1:35" ht="21" customHeight="1" thickBot="1">
      <c r="A251" s="1000"/>
      <c r="B251" s="858" t="s">
        <v>29</v>
      </c>
      <c r="C251" s="859">
        <v>1</v>
      </c>
      <c r="D251" s="859">
        <v>2</v>
      </c>
      <c r="E251" s="860">
        <v>3</v>
      </c>
      <c r="F251" s="860">
        <v>4</v>
      </c>
      <c r="G251" s="860">
        <v>5</v>
      </c>
      <c r="H251" s="860">
        <v>6</v>
      </c>
      <c r="I251" s="860">
        <v>7</v>
      </c>
      <c r="J251" s="859">
        <v>8</v>
      </c>
      <c r="K251" s="859">
        <v>9</v>
      </c>
      <c r="L251" s="860">
        <v>10</v>
      </c>
      <c r="M251" s="860">
        <v>11</v>
      </c>
      <c r="N251" s="860">
        <v>12</v>
      </c>
      <c r="O251" s="859">
        <v>13</v>
      </c>
      <c r="P251" s="860">
        <v>14</v>
      </c>
      <c r="Q251" s="859">
        <v>15</v>
      </c>
      <c r="R251" s="859">
        <v>16</v>
      </c>
      <c r="S251" s="860">
        <v>17</v>
      </c>
      <c r="T251" s="860">
        <v>18</v>
      </c>
      <c r="U251" s="860">
        <v>19</v>
      </c>
      <c r="V251" s="860">
        <v>20</v>
      </c>
      <c r="W251" s="860">
        <v>21</v>
      </c>
      <c r="X251" s="859">
        <v>22</v>
      </c>
      <c r="Y251" s="859">
        <v>23</v>
      </c>
      <c r="Z251" s="859">
        <v>24</v>
      </c>
      <c r="AA251" s="860">
        <v>25</v>
      </c>
      <c r="AB251" s="860">
        <v>26</v>
      </c>
      <c r="AC251" s="860">
        <v>27</v>
      </c>
      <c r="AD251" s="860">
        <v>28</v>
      </c>
      <c r="AE251" s="859">
        <v>29</v>
      </c>
      <c r="AF251" s="859">
        <v>30</v>
      </c>
      <c r="AG251" s="861">
        <v>31</v>
      </c>
      <c r="AH251" s="176"/>
      <c r="AI251" s="177"/>
    </row>
    <row r="252" spans="1:35" ht="21" customHeight="1">
      <c r="A252" s="1169">
        <v>3702</v>
      </c>
      <c r="B252" s="175" t="s">
        <v>309</v>
      </c>
      <c r="C252" s="891"/>
      <c r="D252" s="891"/>
      <c r="E252" s="891" t="s">
        <v>32</v>
      </c>
      <c r="F252" s="891" t="s">
        <v>32</v>
      </c>
      <c r="G252" s="891" t="s">
        <v>32</v>
      </c>
      <c r="H252" s="891" t="s">
        <v>32</v>
      </c>
      <c r="I252" s="891" t="s">
        <v>32</v>
      </c>
      <c r="J252" s="891"/>
      <c r="K252" s="891"/>
      <c r="L252" s="891" t="s">
        <v>32</v>
      </c>
      <c r="M252" s="891" t="s">
        <v>32</v>
      </c>
      <c r="N252" s="891" t="s">
        <v>32</v>
      </c>
      <c r="O252" s="891"/>
      <c r="P252" s="891" t="s">
        <v>32</v>
      </c>
      <c r="Q252" s="891"/>
      <c r="R252" s="891"/>
      <c r="S252" s="891" t="s">
        <v>32</v>
      </c>
      <c r="T252" s="891" t="s">
        <v>32</v>
      </c>
      <c r="U252" s="891" t="s">
        <v>32</v>
      </c>
      <c r="V252" s="891" t="s">
        <v>32</v>
      </c>
      <c r="W252" s="891" t="s">
        <v>32</v>
      </c>
      <c r="X252" s="891"/>
      <c r="Y252" s="891"/>
      <c r="Z252" s="891"/>
      <c r="AA252" s="891" t="s">
        <v>32</v>
      </c>
      <c r="AB252" s="891" t="s">
        <v>32</v>
      </c>
      <c r="AC252" s="891" t="s">
        <v>32</v>
      </c>
      <c r="AD252" s="1170" t="s">
        <v>32</v>
      </c>
      <c r="AE252" s="891"/>
      <c r="AF252" s="891"/>
      <c r="AG252" s="901" t="s">
        <v>32</v>
      </c>
      <c r="AH252" s="181"/>
      <c r="AI252" s="182"/>
    </row>
    <row r="253" spans="1:35" ht="21" customHeight="1">
      <c r="A253" s="866"/>
      <c r="B253" s="1171" t="s">
        <v>310</v>
      </c>
      <c r="C253" s="891"/>
      <c r="D253" s="891"/>
      <c r="E253" s="891" t="s">
        <v>32</v>
      </c>
      <c r="F253" s="891" t="s">
        <v>32</v>
      </c>
      <c r="G253" s="891" t="s">
        <v>32</v>
      </c>
      <c r="H253" s="891" t="s">
        <v>32</v>
      </c>
      <c r="I253" s="891" t="s">
        <v>32</v>
      </c>
      <c r="J253" s="891"/>
      <c r="K253" s="891"/>
      <c r="L253" s="891" t="s">
        <v>32</v>
      </c>
      <c r="M253" s="891" t="s">
        <v>32</v>
      </c>
      <c r="N253" s="897" t="s">
        <v>32</v>
      </c>
      <c r="O253" s="897"/>
      <c r="P253" s="897" t="s">
        <v>32</v>
      </c>
      <c r="Q253" s="892"/>
      <c r="R253" s="897"/>
      <c r="S253" s="891" t="s">
        <v>32</v>
      </c>
      <c r="T253" s="891" t="s">
        <v>32</v>
      </c>
      <c r="U253" s="897" t="s">
        <v>32</v>
      </c>
      <c r="V253" s="897" t="s">
        <v>32</v>
      </c>
      <c r="W253" s="897" t="s">
        <v>32</v>
      </c>
      <c r="X253" s="891"/>
      <c r="Y253" s="897"/>
      <c r="Z253" s="891"/>
      <c r="AA253" s="891" t="s">
        <v>32</v>
      </c>
      <c r="AB253" s="891" t="s">
        <v>32</v>
      </c>
      <c r="AC253" s="891" t="s">
        <v>32</v>
      </c>
      <c r="AD253" s="891" t="s">
        <v>32</v>
      </c>
      <c r="AE253" s="891"/>
      <c r="AF253" s="891"/>
      <c r="AG253" s="891" t="s">
        <v>32</v>
      </c>
      <c r="AH253" s="181"/>
      <c r="AI253" s="182"/>
    </row>
    <row r="254" spans="1:35" ht="21" customHeight="1">
      <c r="A254" s="1172"/>
      <c r="B254" s="1171" t="s">
        <v>311</v>
      </c>
      <c r="C254" s="891"/>
      <c r="D254" s="891"/>
      <c r="E254" s="891" t="s">
        <v>32</v>
      </c>
      <c r="F254" s="891" t="s">
        <v>32</v>
      </c>
      <c r="G254" s="891" t="s">
        <v>32</v>
      </c>
      <c r="H254" s="891" t="s">
        <v>32</v>
      </c>
      <c r="I254" s="891" t="s">
        <v>32</v>
      </c>
      <c r="J254" s="891"/>
      <c r="K254" s="891"/>
      <c r="L254" s="891" t="s">
        <v>32</v>
      </c>
      <c r="M254" s="891" t="s">
        <v>32</v>
      </c>
      <c r="N254" s="897" t="s">
        <v>32</v>
      </c>
      <c r="O254" s="897"/>
      <c r="P254" s="897" t="s">
        <v>32</v>
      </c>
      <c r="Q254" s="892"/>
      <c r="R254" s="897"/>
      <c r="S254" s="901" t="s">
        <v>32</v>
      </c>
      <c r="T254" s="901" t="s">
        <v>278</v>
      </c>
      <c r="U254" s="1149" t="s">
        <v>32</v>
      </c>
      <c r="V254" s="1149" t="s">
        <v>32</v>
      </c>
      <c r="W254" s="1149" t="s">
        <v>32</v>
      </c>
      <c r="X254" s="808"/>
      <c r="Y254" s="808"/>
      <c r="Z254" s="808"/>
      <c r="AA254" s="1149" t="s">
        <v>32</v>
      </c>
      <c r="AB254" s="1149" t="s">
        <v>32</v>
      </c>
      <c r="AC254" s="808" t="s">
        <v>32</v>
      </c>
      <c r="AD254" s="808" t="s">
        <v>32</v>
      </c>
      <c r="AE254" s="892"/>
      <c r="AF254" s="897"/>
      <c r="AG254" s="891" t="s">
        <v>32</v>
      </c>
      <c r="AH254" s="181"/>
      <c r="AI254" s="182"/>
    </row>
    <row r="255" spans="1:35" ht="21" customHeight="1" thickBot="1">
      <c r="A255" s="1173"/>
      <c r="B255" s="1174"/>
      <c r="C255" s="860"/>
      <c r="D255" s="860"/>
      <c r="E255" s="860"/>
      <c r="F255" s="860"/>
      <c r="G255" s="860"/>
      <c r="H255" s="860"/>
      <c r="I255" s="860"/>
      <c r="J255" s="860"/>
      <c r="K255" s="860"/>
      <c r="L255" s="860"/>
      <c r="M255" s="860"/>
      <c r="N255" s="860"/>
      <c r="O255" s="860"/>
      <c r="P255" s="860"/>
      <c r="Q255" s="860"/>
      <c r="R255" s="860"/>
      <c r="S255" s="860"/>
      <c r="T255" s="860"/>
      <c r="U255" s="860"/>
      <c r="V255" s="860"/>
      <c r="W255" s="860"/>
      <c r="X255" s="860"/>
      <c r="Y255" s="860"/>
      <c r="Z255" s="860"/>
      <c r="AA255" s="860"/>
      <c r="AB255" s="860"/>
      <c r="AC255" s="860"/>
      <c r="AD255" s="860"/>
      <c r="AE255" s="860"/>
      <c r="AF255" s="860"/>
      <c r="AG255" s="860"/>
      <c r="AH255" s="181"/>
      <c r="AI255" s="182"/>
    </row>
    <row r="256" spans="1:35" ht="21" customHeight="1">
      <c r="A256" s="226"/>
      <c r="B256" s="743" t="s">
        <v>312</v>
      </c>
      <c r="C256" s="744"/>
      <c r="D256" s="744"/>
      <c r="E256" s="744"/>
      <c r="F256" s="744"/>
      <c r="G256" s="744"/>
      <c r="H256" s="744"/>
      <c r="I256" s="744"/>
      <c r="J256" s="744"/>
      <c r="K256" s="744"/>
      <c r="L256" s="744"/>
      <c r="M256" s="744"/>
      <c r="N256" s="744"/>
      <c r="O256" s="744"/>
      <c r="P256" s="744"/>
      <c r="Q256" s="744"/>
      <c r="R256" s="744"/>
      <c r="S256" s="744"/>
      <c r="T256" s="744"/>
      <c r="U256" s="744"/>
      <c r="V256" s="744"/>
      <c r="W256" s="744"/>
      <c r="X256" s="744"/>
      <c r="Y256" s="744"/>
      <c r="Z256" s="744"/>
      <c r="AA256" s="744"/>
      <c r="AB256" s="744"/>
      <c r="AC256" s="744"/>
      <c r="AD256" s="744"/>
      <c r="AE256" s="744"/>
      <c r="AF256" s="744"/>
      <c r="AG256" s="744"/>
      <c r="AH256" s="179"/>
      <c r="AI256" s="180"/>
    </row>
    <row r="257" spans="1:35" ht="21" customHeight="1">
      <c r="A257" s="1169">
        <v>3702</v>
      </c>
      <c r="B257" s="1175" t="s">
        <v>313</v>
      </c>
      <c r="C257" s="936"/>
      <c r="D257" s="936"/>
      <c r="E257" s="936" t="s">
        <v>314</v>
      </c>
      <c r="F257" s="936" t="s">
        <v>314</v>
      </c>
      <c r="G257" s="936" t="s">
        <v>314</v>
      </c>
      <c r="H257" s="1176" t="s">
        <v>314</v>
      </c>
      <c r="I257" s="1176" t="s">
        <v>314</v>
      </c>
      <c r="J257" s="1176"/>
      <c r="K257" s="1176" t="s">
        <v>315</v>
      </c>
      <c r="L257" s="936" t="s">
        <v>314</v>
      </c>
      <c r="M257" s="936" t="s">
        <v>314</v>
      </c>
      <c r="N257" s="936" t="s">
        <v>314</v>
      </c>
      <c r="O257" s="936"/>
      <c r="P257" s="936" t="s">
        <v>314</v>
      </c>
      <c r="Q257" s="936"/>
      <c r="R257" s="936"/>
      <c r="S257" s="936" t="s">
        <v>314</v>
      </c>
      <c r="T257" s="936" t="s">
        <v>314</v>
      </c>
      <c r="U257" s="936" t="s">
        <v>314</v>
      </c>
      <c r="V257" s="936" t="s">
        <v>314</v>
      </c>
      <c r="W257" s="936" t="s">
        <v>314</v>
      </c>
      <c r="X257" s="936"/>
      <c r="Y257" s="936"/>
      <c r="Z257" s="936"/>
      <c r="AA257" s="936" t="s">
        <v>314</v>
      </c>
      <c r="AB257" s="936" t="s">
        <v>314</v>
      </c>
      <c r="AC257" s="936" t="s">
        <v>314</v>
      </c>
      <c r="AD257" s="936" t="s">
        <v>314</v>
      </c>
      <c r="AE257" s="936"/>
      <c r="AF257" s="936"/>
      <c r="AG257" s="936" t="s">
        <v>314</v>
      </c>
      <c r="AH257" s="181"/>
      <c r="AI257" s="182"/>
    </row>
    <row r="258" spans="1:35" ht="21" customHeight="1">
      <c r="A258" s="1169"/>
      <c r="B258" s="1132" t="s">
        <v>316</v>
      </c>
      <c r="C258" s="936"/>
      <c r="D258" s="936"/>
      <c r="E258" s="936" t="s">
        <v>317</v>
      </c>
      <c r="F258" s="936" t="s">
        <v>317</v>
      </c>
      <c r="G258" s="936" t="s">
        <v>317</v>
      </c>
      <c r="H258" s="936" t="s">
        <v>317</v>
      </c>
      <c r="I258" s="936" t="s">
        <v>317</v>
      </c>
      <c r="J258" s="936"/>
      <c r="K258" s="936"/>
      <c r="L258" s="936" t="s">
        <v>317</v>
      </c>
      <c r="M258" s="936" t="s">
        <v>317</v>
      </c>
      <c r="N258" s="936" t="s">
        <v>317</v>
      </c>
      <c r="O258" s="936"/>
      <c r="P258" s="949" t="s">
        <v>317</v>
      </c>
      <c r="Q258" s="936"/>
      <c r="R258" s="936"/>
      <c r="S258" s="936" t="s">
        <v>317</v>
      </c>
      <c r="T258" s="936" t="s">
        <v>317</v>
      </c>
      <c r="U258" s="936" t="s">
        <v>317</v>
      </c>
      <c r="V258" s="936" t="s">
        <v>317</v>
      </c>
      <c r="W258" s="936" t="s">
        <v>317</v>
      </c>
      <c r="X258" s="936"/>
      <c r="Y258" s="936"/>
      <c r="Z258" s="936"/>
      <c r="AA258" s="936" t="s">
        <v>317</v>
      </c>
      <c r="AB258" s="936" t="s">
        <v>317</v>
      </c>
      <c r="AC258" s="936" t="s">
        <v>317</v>
      </c>
      <c r="AD258" s="936" t="s">
        <v>317</v>
      </c>
      <c r="AE258" s="936"/>
      <c r="AF258" s="936"/>
      <c r="AG258" s="936" t="s">
        <v>317</v>
      </c>
      <c r="AH258" s="181"/>
      <c r="AI258" s="182"/>
    </row>
    <row r="259" spans="1:35" ht="21" customHeight="1" thickBot="1">
      <c r="A259" s="1177"/>
      <c r="B259" s="1178" t="s">
        <v>318</v>
      </c>
      <c r="C259" s="930"/>
      <c r="D259" s="930"/>
      <c r="E259" s="930" t="s">
        <v>319</v>
      </c>
      <c r="F259" s="930" t="s">
        <v>319</v>
      </c>
      <c r="G259" s="930" t="s">
        <v>319</v>
      </c>
      <c r="H259" s="1179" t="s">
        <v>319</v>
      </c>
      <c r="I259" s="1179" t="s">
        <v>319</v>
      </c>
      <c r="J259" s="1179"/>
      <c r="K259" s="1179"/>
      <c r="L259" s="930" t="s">
        <v>319</v>
      </c>
      <c r="M259" s="930" t="s">
        <v>319</v>
      </c>
      <c r="N259" s="930" t="s">
        <v>319</v>
      </c>
      <c r="O259" s="930"/>
      <c r="P259" s="930" t="s">
        <v>319</v>
      </c>
      <c r="Q259" s="930"/>
      <c r="R259" s="930"/>
      <c r="S259" s="930" t="s">
        <v>319</v>
      </c>
      <c r="T259" s="930" t="s">
        <v>319</v>
      </c>
      <c r="U259" s="930" t="s">
        <v>319</v>
      </c>
      <c r="V259" s="930" t="s">
        <v>319</v>
      </c>
      <c r="W259" s="930" t="s">
        <v>319</v>
      </c>
      <c r="X259" s="930"/>
      <c r="Y259" s="930"/>
      <c r="Z259" s="930"/>
      <c r="AA259" s="930" t="s">
        <v>319</v>
      </c>
      <c r="AB259" s="930" t="s">
        <v>319</v>
      </c>
      <c r="AC259" s="930" t="s">
        <v>319</v>
      </c>
      <c r="AD259" s="930" t="s">
        <v>319</v>
      </c>
      <c r="AE259" s="930"/>
      <c r="AF259" s="930"/>
      <c r="AG259" s="930" t="s">
        <v>319</v>
      </c>
      <c r="AH259" s="181"/>
      <c r="AI259" s="182"/>
    </row>
    <row r="260" spans="1:35" ht="21" customHeight="1"/>
    <row r="261" spans="1:35" ht="24" customHeight="1"/>
    <row r="262" spans="1:35" ht="25.5" customHeight="1" thickBot="1">
      <c r="A262" s="161" t="s">
        <v>320</v>
      </c>
    </row>
    <row r="263" spans="1:35" ht="21" customHeight="1">
      <c r="A263" s="1"/>
      <c r="B263" s="396" t="s">
        <v>266</v>
      </c>
      <c r="C263" s="368"/>
      <c r="D263" s="384" t="s">
        <v>94</v>
      </c>
      <c r="E263" s="357"/>
      <c r="F263" s="372"/>
      <c r="G263" s="368"/>
      <c r="H263" s="384" t="s">
        <v>95</v>
      </c>
      <c r="I263" s="357"/>
      <c r="J263" s="372"/>
      <c r="K263" s="368"/>
      <c r="L263" s="384" t="s">
        <v>96</v>
      </c>
      <c r="M263" s="357"/>
      <c r="N263" s="372"/>
      <c r="O263" s="368"/>
      <c r="P263" s="384" t="s">
        <v>97</v>
      </c>
      <c r="Q263" s="357"/>
      <c r="R263" s="372"/>
      <c r="S263" s="368"/>
      <c r="T263" s="384" t="s">
        <v>98</v>
      </c>
      <c r="U263" s="357"/>
      <c r="V263" s="372"/>
      <c r="W263" s="368"/>
      <c r="X263" s="384" t="s">
        <v>99</v>
      </c>
      <c r="Y263" s="357"/>
      <c r="Z263" s="372"/>
      <c r="AA263" s="368"/>
      <c r="AB263" s="384" t="s">
        <v>100</v>
      </c>
      <c r="AC263" s="357"/>
      <c r="AD263" s="357"/>
      <c r="AE263" s="387" t="s">
        <v>101</v>
      </c>
      <c r="AF263" s="357"/>
      <c r="AG263" s="357"/>
      <c r="AH263" s="357"/>
      <c r="AI263" s="358"/>
    </row>
    <row r="264" spans="1:35" ht="21" customHeight="1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>
      <c r="A265" s="110"/>
      <c r="B265" s="1162"/>
      <c r="C265" s="962"/>
      <c r="D265" s="841"/>
      <c r="E265" s="841"/>
      <c r="F265" s="1030"/>
      <c r="G265" s="962"/>
      <c r="H265" s="841"/>
      <c r="I265" s="841"/>
      <c r="J265" s="1030"/>
      <c r="K265" s="962"/>
      <c r="L265" s="841"/>
      <c r="M265" s="841"/>
      <c r="N265" s="1030"/>
      <c r="O265" s="962"/>
      <c r="P265" s="841"/>
      <c r="Q265" s="841"/>
      <c r="R265" s="1030"/>
      <c r="S265" s="962"/>
      <c r="T265" s="841"/>
      <c r="U265" s="841"/>
      <c r="V265" s="1030"/>
      <c r="W265" s="962"/>
      <c r="X265" s="841"/>
      <c r="Y265" s="841"/>
      <c r="Z265" s="1030"/>
      <c r="AA265" s="1028"/>
      <c r="AB265" s="841"/>
      <c r="AC265" s="841"/>
      <c r="AD265" s="963"/>
      <c r="AE265" s="1180"/>
      <c r="AF265" s="841"/>
      <c r="AG265" s="841"/>
      <c r="AH265" s="963"/>
      <c r="AI265" s="850"/>
    </row>
    <row r="266" spans="1:35" ht="21" customHeight="1" thickBot="1">
      <c r="A266" s="1"/>
      <c r="B266" s="1040"/>
      <c r="C266" s="1041"/>
      <c r="D266" s="915"/>
      <c r="E266" s="915"/>
      <c r="F266" s="1062"/>
      <c r="G266" s="1041"/>
      <c r="H266" s="915"/>
      <c r="I266" s="915"/>
      <c r="J266" s="1062"/>
      <c r="K266" s="1041"/>
      <c r="L266" s="915"/>
      <c r="M266" s="915"/>
      <c r="N266" s="1062"/>
      <c r="O266" s="1041"/>
      <c r="P266" s="915"/>
      <c r="Q266" s="915"/>
      <c r="R266" s="1062"/>
      <c r="S266" s="1041"/>
      <c r="T266" s="915"/>
      <c r="U266" s="915"/>
      <c r="V266" s="1062"/>
      <c r="W266" s="1060"/>
      <c r="X266" s="915"/>
      <c r="Y266" s="915"/>
      <c r="Z266" s="1062"/>
      <c r="AA266" s="1060"/>
      <c r="AB266" s="915"/>
      <c r="AC266" s="915"/>
      <c r="AD266" s="1048"/>
      <c r="AE266" s="1060"/>
      <c r="AF266" s="915"/>
      <c r="AG266" s="915"/>
      <c r="AH266" s="1048"/>
      <c r="AI266" s="922"/>
    </row>
    <row r="267" spans="1:35" ht="21" customHeight="1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>
      <c r="A269" s="1181" t="s">
        <v>28</v>
      </c>
      <c r="B269" s="1182" t="s">
        <v>29</v>
      </c>
      <c r="C269" s="859">
        <v>1</v>
      </c>
      <c r="D269" s="859">
        <v>2</v>
      </c>
      <c r="E269" s="860">
        <v>3</v>
      </c>
      <c r="F269" s="860">
        <v>4</v>
      </c>
      <c r="G269" s="860">
        <v>5</v>
      </c>
      <c r="H269" s="860">
        <v>6</v>
      </c>
      <c r="I269" s="860">
        <v>7</v>
      </c>
      <c r="J269" s="859">
        <v>8</v>
      </c>
      <c r="K269" s="859">
        <v>9</v>
      </c>
      <c r="L269" s="860">
        <v>10</v>
      </c>
      <c r="M269" s="860">
        <v>11</v>
      </c>
      <c r="N269" s="860">
        <v>12</v>
      </c>
      <c r="O269" s="859">
        <v>13</v>
      </c>
      <c r="P269" s="860">
        <v>14</v>
      </c>
      <c r="Q269" s="859">
        <v>15</v>
      </c>
      <c r="R269" s="859">
        <v>16</v>
      </c>
      <c r="S269" s="860">
        <v>17</v>
      </c>
      <c r="T269" s="860">
        <v>18</v>
      </c>
      <c r="U269" s="860">
        <v>19</v>
      </c>
      <c r="V269" s="860">
        <v>20</v>
      </c>
      <c r="W269" s="860">
        <v>21</v>
      </c>
      <c r="X269" s="859">
        <v>22</v>
      </c>
      <c r="Y269" s="859">
        <v>23</v>
      </c>
      <c r="Z269" s="859">
        <v>24</v>
      </c>
      <c r="AA269" s="860">
        <v>25</v>
      </c>
      <c r="AB269" s="860">
        <v>26</v>
      </c>
      <c r="AC269" s="860">
        <v>27</v>
      </c>
      <c r="AD269" s="860">
        <v>28</v>
      </c>
      <c r="AE269" s="859">
        <v>29</v>
      </c>
      <c r="AF269" s="859">
        <v>30</v>
      </c>
      <c r="AG269" s="861">
        <v>31</v>
      </c>
      <c r="AH269" s="186"/>
      <c r="AI269" s="177"/>
    </row>
    <row r="270" spans="1:35" ht="21" customHeight="1">
      <c r="A270" s="88"/>
      <c r="B270" s="157" t="s">
        <v>322</v>
      </c>
      <c r="C270" s="899"/>
      <c r="D270" s="899"/>
      <c r="E270" s="899" t="s">
        <v>32</v>
      </c>
      <c r="F270" s="899" t="s">
        <v>32</v>
      </c>
      <c r="G270" s="891" t="s">
        <v>32</v>
      </c>
      <c r="H270" s="891" t="s">
        <v>32</v>
      </c>
      <c r="I270" s="891" t="s">
        <v>32</v>
      </c>
      <c r="J270" s="891"/>
      <c r="K270" s="891"/>
      <c r="L270" s="891" t="s">
        <v>32</v>
      </c>
      <c r="M270" s="891" t="s">
        <v>32</v>
      </c>
      <c r="N270" s="897" t="s">
        <v>32</v>
      </c>
      <c r="O270" s="897"/>
      <c r="P270" s="897" t="s">
        <v>32</v>
      </c>
      <c r="Q270" s="892"/>
      <c r="R270" s="897"/>
      <c r="S270" s="891" t="s">
        <v>32</v>
      </c>
      <c r="T270" s="891" t="s">
        <v>32</v>
      </c>
      <c r="U270" s="897" t="s">
        <v>32</v>
      </c>
      <c r="V270" s="897" t="s">
        <v>32</v>
      </c>
      <c r="W270" s="897" t="s">
        <v>32</v>
      </c>
      <c r="X270" s="891"/>
      <c r="Y270" s="897"/>
      <c r="Z270" s="891"/>
      <c r="AA270" s="891" t="s">
        <v>32</v>
      </c>
      <c r="AB270" s="891" t="s">
        <v>32</v>
      </c>
      <c r="AC270" s="891" t="s">
        <v>32</v>
      </c>
      <c r="AD270" s="891" t="s">
        <v>32</v>
      </c>
      <c r="AE270" s="891"/>
      <c r="AF270" s="891"/>
      <c r="AG270" s="891" t="s">
        <v>32</v>
      </c>
      <c r="AH270" s="187"/>
      <c r="AI270" s="184"/>
    </row>
    <row r="271" spans="1:35" ht="21" customHeight="1">
      <c r="A271" s="1183"/>
      <c r="B271" s="1184" t="s">
        <v>323</v>
      </c>
      <c r="C271" s="891"/>
      <c r="D271" s="891"/>
      <c r="E271" s="891" t="s">
        <v>32</v>
      </c>
      <c r="F271" s="891" t="s">
        <v>32</v>
      </c>
      <c r="G271" s="891" t="s">
        <v>32</v>
      </c>
      <c r="H271" s="891" t="s">
        <v>32</v>
      </c>
      <c r="I271" s="891" t="s">
        <v>32</v>
      </c>
      <c r="J271" s="891"/>
      <c r="K271" s="891"/>
      <c r="L271" s="891" t="s">
        <v>32</v>
      </c>
      <c r="M271" s="891" t="s">
        <v>32</v>
      </c>
      <c r="N271" s="897" t="s">
        <v>32</v>
      </c>
      <c r="O271" s="897"/>
      <c r="P271" s="1148" t="s">
        <v>32</v>
      </c>
      <c r="Q271" s="892"/>
      <c r="R271" s="897"/>
      <c r="S271" s="891" t="s">
        <v>32</v>
      </c>
      <c r="T271" s="891" t="s">
        <v>32</v>
      </c>
      <c r="U271" s="897" t="s">
        <v>32</v>
      </c>
      <c r="V271" s="897" t="s">
        <v>32</v>
      </c>
      <c r="W271" s="897" t="s">
        <v>32</v>
      </c>
      <c r="X271" s="891"/>
      <c r="Y271" s="897"/>
      <c r="Z271" s="891"/>
      <c r="AA271" s="891" t="s">
        <v>32</v>
      </c>
      <c r="AB271" s="891" t="s">
        <v>32</v>
      </c>
      <c r="AC271" s="891" t="s">
        <v>32</v>
      </c>
      <c r="AD271" s="891" t="s">
        <v>32</v>
      </c>
      <c r="AE271" s="892"/>
      <c r="AF271" s="892"/>
      <c r="AG271" s="891" t="s">
        <v>32</v>
      </c>
      <c r="AH271" s="187"/>
      <c r="AI271" s="184"/>
    </row>
    <row r="272" spans="1:35" ht="21" customHeight="1">
      <c r="A272" s="1169"/>
      <c r="B272" s="1184" t="s">
        <v>324</v>
      </c>
      <c r="C272" s="899"/>
      <c r="D272" s="899"/>
      <c r="E272" s="899" t="s">
        <v>32</v>
      </c>
      <c r="F272" s="899" t="s">
        <v>32</v>
      </c>
      <c r="G272" s="891" t="s">
        <v>32</v>
      </c>
      <c r="H272" s="891" t="s">
        <v>32</v>
      </c>
      <c r="I272" s="891" t="s">
        <v>32</v>
      </c>
      <c r="J272" s="891"/>
      <c r="K272" s="891"/>
      <c r="L272" s="891" t="s">
        <v>32</v>
      </c>
      <c r="M272" s="891" t="s">
        <v>32</v>
      </c>
      <c r="N272" s="1149" t="s">
        <v>32</v>
      </c>
      <c r="O272" s="897"/>
      <c r="P272" s="1149" t="s">
        <v>32</v>
      </c>
      <c r="Q272" s="892"/>
      <c r="R272" s="897"/>
      <c r="S272" s="891" t="s">
        <v>32</v>
      </c>
      <c r="T272" s="891" t="s">
        <v>32</v>
      </c>
      <c r="U272" s="897" t="s">
        <v>32</v>
      </c>
      <c r="V272" s="897" t="s">
        <v>32</v>
      </c>
      <c r="W272" s="897" t="s">
        <v>32</v>
      </c>
      <c r="X272" s="891"/>
      <c r="Y272" s="897"/>
      <c r="Z272" s="891"/>
      <c r="AA272" s="891" t="s">
        <v>32</v>
      </c>
      <c r="AB272" s="891" t="s">
        <v>32</v>
      </c>
      <c r="AC272" s="891" t="s">
        <v>32</v>
      </c>
      <c r="AD272" s="891" t="s">
        <v>32</v>
      </c>
      <c r="AE272" s="891"/>
      <c r="AF272" s="891"/>
      <c r="AG272" s="891" t="s">
        <v>32</v>
      </c>
      <c r="AH272" s="187"/>
      <c r="AI272" s="184"/>
    </row>
    <row r="273" spans="1:35" ht="21" customHeight="1">
      <c r="A273" s="1169"/>
      <c r="B273" s="1184" t="s">
        <v>325</v>
      </c>
      <c r="C273" s="891"/>
      <c r="D273" s="891"/>
      <c r="E273" s="891" t="s">
        <v>32</v>
      </c>
      <c r="F273" s="891" t="s">
        <v>32</v>
      </c>
      <c r="G273" s="891" t="s">
        <v>32</v>
      </c>
      <c r="H273" s="891" t="s">
        <v>32</v>
      </c>
      <c r="I273" s="891" t="s">
        <v>32</v>
      </c>
      <c r="J273" s="891"/>
      <c r="K273" s="891"/>
      <c r="L273" s="891" t="s">
        <v>32</v>
      </c>
      <c r="M273" s="891" t="s">
        <v>32</v>
      </c>
      <c r="N273" s="897" t="s">
        <v>32</v>
      </c>
      <c r="O273" s="897"/>
      <c r="P273" s="1148" t="s">
        <v>32</v>
      </c>
      <c r="Q273" s="892"/>
      <c r="R273" s="897"/>
      <c r="S273" s="891" t="s">
        <v>32</v>
      </c>
      <c r="T273" s="891" t="s">
        <v>32</v>
      </c>
      <c r="U273" s="897" t="s">
        <v>32</v>
      </c>
      <c r="V273" s="897" t="s">
        <v>32</v>
      </c>
      <c r="W273" s="897" t="s">
        <v>32</v>
      </c>
      <c r="X273" s="891"/>
      <c r="Y273" s="897"/>
      <c r="Z273" s="891"/>
      <c r="AA273" s="891" t="s">
        <v>32</v>
      </c>
      <c r="AB273" s="891" t="s">
        <v>32</v>
      </c>
      <c r="AC273" s="891" t="s">
        <v>32</v>
      </c>
      <c r="AD273" s="891" t="s">
        <v>32</v>
      </c>
      <c r="AE273" s="892"/>
      <c r="AF273" s="892"/>
      <c r="AG273" s="891" t="s">
        <v>32</v>
      </c>
      <c r="AH273" s="187"/>
      <c r="AI273" s="184"/>
    </row>
    <row r="274" spans="1:35" ht="21" customHeight="1">
      <c r="A274" s="1169"/>
      <c r="B274" s="1184" t="s">
        <v>326</v>
      </c>
      <c r="C274" s="899"/>
      <c r="D274" s="899"/>
      <c r="E274" s="899" t="s">
        <v>32</v>
      </c>
      <c r="F274" s="899" t="s">
        <v>32</v>
      </c>
      <c r="G274" s="891" t="s">
        <v>32</v>
      </c>
      <c r="H274" s="891" t="s">
        <v>32</v>
      </c>
      <c r="I274" s="891" t="s">
        <v>32</v>
      </c>
      <c r="J274" s="891"/>
      <c r="K274" s="891"/>
      <c r="L274" s="891" t="s">
        <v>32</v>
      </c>
      <c r="M274" s="891" t="s">
        <v>32</v>
      </c>
      <c r="N274" s="1146" t="s">
        <v>32</v>
      </c>
      <c r="O274" s="897"/>
      <c r="P274" s="1148" t="s">
        <v>32</v>
      </c>
      <c r="Q274" s="892"/>
      <c r="R274" s="897"/>
      <c r="S274" s="891" t="s">
        <v>32</v>
      </c>
      <c r="T274" s="891" t="s">
        <v>32</v>
      </c>
      <c r="U274" s="897" t="s">
        <v>32</v>
      </c>
      <c r="V274" s="897" t="s">
        <v>32</v>
      </c>
      <c r="W274" s="1148" t="s">
        <v>32</v>
      </c>
      <c r="X274" s="891"/>
      <c r="Y274" s="897"/>
      <c r="Z274" s="891"/>
      <c r="AA274" s="891" t="s">
        <v>32</v>
      </c>
      <c r="AB274" s="891" t="s">
        <v>32</v>
      </c>
      <c r="AC274" s="1146" t="s">
        <v>32</v>
      </c>
      <c r="AD274" s="1148" t="s">
        <v>32</v>
      </c>
      <c r="AE274" s="891"/>
      <c r="AF274" s="891"/>
      <c r="AG274" s="891" t="s">
        <v>32</v>
      </c>
      <c r="AH274" s="187"/>
      <c r="AI274" s="184"/>
    </row>
    <row r="275" spans="1:35" ht="21" customHeight="1">
      <c r="A275" s="1169"/>
      <c r="B275" s="1184" t="s">
        <v>327</v>
      </c>
      <c r="C275" s="891"/>
      <c r="D275" s="891"/>
      <c r="E275" s="891" t="s">
        <v>32</v>
      </c>
      <c r="F275" s="891" t="s">
        <v>32</v>
      </c>
      <c r="G275" s="891" t="s">
        <v>32</v>
      </c>
      <c r="H275" s="891" t="s">
        <v>32</v>
      </c>
      <c r="I275" s="891" t="s">
        <v>32</v>
      </c>
      <c r="J275" s="891"/>
      <c r="K275" s="891"/>
      <c r="L275" s="1148" t="s">
        <v>32</v>
      </c>
      <c r="M275" s="1148" t="s">
        <v>32</v>
      </c>
      <c r="N275" s="1148" t="s">
        <v>32</v>
      </c>
      <c r="O275" s="1148"/>
      <c r="P275" s="1148" t="s">
        <v>32</v>
      </c>
      <c r="Q275" s="892"/>
      <c r="R275" s="897"/>
      <c r="S275" s="891" t="s">
        <v>32</v>
      </c>
      <c r="T275" s="891" t="s">
        <v>32</v>
      </c>
      <c r="U275" s="897" t="s">
        <v>32</v>
      </c>
      <c r="V275" s="897" t="s">
        <v>32</v>
      </c>
      <c r="W275" s="897" t="s">
        <v>32</v>
      </c>
      <c r="X275" s="891"/>
      <c r="Y275" s="897"/>
      <c r="Z275" s="891"/>
      <c r="AA275" s="891" t="s">
        <v>32</v>
      </c>
      <c r="AB275" s="891" t="s">
        <v>32</v>
      </c>
      <c r="AC275" s="891" t="s">
        <v>32</v>
      </c>
      <c r="AD275" s="891" t="s">
        <v>32</v>
      </c>
      <c r="AE275" s="892"/>
      <c r="AF275" s="892"/>
      <c r="AG275" s="891" t="s">
        <v>32</v>
      </c>
      <c r="AH275" s="187"/>
      <c r="AI275" s="184"/>
    </row>
    <row r="276" spans="1:35" ht="21" customHeight="1">
      <c r="A276" s="1169"/>
      <c r="B276" s="1184" t="s">
        <v>328</v>
      </c>
      <c r="C276" s="899"/>
      <c r="D276" s="899"/>
      <c r="E276" s="899" t="s">
        <v>32</v>
      </c>
      <c r="F276" s="899" t="s">
        <v>32</v>
      </c>
      <c r="G276" s="891" t="s">
        <v>32</v>
      </c>
      <c r="H276" s="891" t="s">
        <v>32</v>
      </c>
      <c r="I276" s="1148" t="s">
        <v>32</v>
      </c>
      <c r="J276" s="891"/>
      <c r="K276" s="891"/>
      <c r="L276" s="891" t="s">
        <v>32</v>
      </c>
      <c r="M276" s="891" t="s">
        <v>32</v>
      </c>
      <c r="N276" s="897" t="s">
        <v>32</v>
      </c>
      <c r="O276" s="897"/>
      <c r="P276" s="1148" t="s">
        <v>32</v>
      </c>
      <c r="Q276" s="892"/>
      <c r="R276" s="897"/>
      <c r="S276" s="891" t="s">
        <v>32</v>
      </c>
      <c r="T276" s="891" t="s">
        <v>32</v>
      </c>
      <c r="U276" s="897" t="s">
        <v>32</v>
      </c>
      <c r="V276" s="897" t="s">
        <v>32</v>
      </c>
      <c r="W276" s="897" t="s">
        <v>32</v>
      </c>
      <c r="X276" s="891"/>
      <c r="Y276" s="897"/>
      <c r="Z276" s="891"/>
      <c r="AA276" s="891" t="s">
        <v>32</v>
      </c>
      <c r="AB276" s="891" t="s">
        <v>32</v>
      </c>
      <c r="AC276" s="891" t="s">
        <v>32</v>
      </c>
      <c r="AD276" s="891" t="s">
        <v>32</v>
      </c>
      <c r="AE276" s="891"/>
      <c r="AF276" s="891"/>
      <c r="AG276" s="891" t="s">
        <v>32</v>
      </c>
      <c r="AH276" s="187"/>
      <c r="AI276" s="184"/>
    </row>
    <row r="277" spans="1:35" ht="21" customHeight="1">
      <c r="A277" s="1169"/>
      <c r="B277" s="1184" t="s">
        <v>329</v>
      </c>
      <c r="C277" s="891"/>
      <c r="D277" s="891"/>
      <c r="E277" s="1148" t="s">
        <v>32</v>
      </c>
      <c r="F277" s="1148" t="s">
        <v>32</v>
      </c>
      <c r="G277" s="1148" t="s">
        <v>32</v>
      </c>
      <c r="H277" s="1148" t="s">
        <v>32</v>
      </c>
      <c r="I277" s="1148" t="s">
        <v>32</v>
      </c>
      <c r="J277" s="891"/>
      <c r="K277" s="891"/>
      <c r="L277" s="891" t="s">
        <v>32</v>
      </c>
      <c r="M277" s="891" t="s">
        <v>32</v>
      </c>
      <c r="N277" s="897" t="s">
        <v>32</v>
      </c>
      <c r="O277" s="897"/>
      <c r="P277" s="1148" t="s">
        <v>32</v>
      </c>
      <c r="Q277" s="892"/>
      <c r="R277" s="897"/>
      <c r="S277" s="1149" t="s">
        <v>32</v>
      </c>
      <c r="T277" s="891" t="s">
        <v>32</v>
      </c>
      <c r="U277" s="897" t="s">
        <v>32</v>
      </c>
      <c r="V277" s="897" t="s">
        <v>32</v>
      </c>
      <c r="W277" s="897" t="s">
        <v>32</v>
      </c>
      <c r="X277" s="891"/>
      <c r="Y277" s="897"/>
      <c r="Z277" s="891"/>
      <c r="AA277" s="891" t="s">
        <v>32</v>
      </c>
      <c r="AB277" s="891" t="s">
        <v>32</v>
      </c>
      <c r="AC277" s="891" t="s">
        <v>32</v>
      </c>
      <c r="AD277" s="891" t="s">
        <v>32</v>
      </c>
      <c r="AE277" s="892"/>
      <c r="AF277" s="892"/>
      <c r="AG277" s="891" t="s">
        <v>32</v>
      </c>
      <c r="AH277" s="187"/>
      <c r="AI277" s="184"/>
    </row>
    <row r="278" spans="1:35" ht="21" customHeight="1">
      <c r="A278" s="1169"/>
      <c r="B278" s="1185" t="s">
        <v>330</v>
      </c>
      <c r="C278" s="899"/>
      <c r="D278" s="899"/>
      <c r="E278" s="899" t="s">
        <v>32</v>
      </c>
      <c r="F278" s="899" t="s">
        <v>32</v>
      </c>
      <c r="G278" s="891" t="s">
        <v>32</v>
      </c>
      <c r="H278" s="891" t="s">
        <v>32</v>
      </c>
      <c r="I278" s="891" t="s">
        <v>32</v>
      </c>
      <c r="J278" s="891"/>
      <c r="K278" s="891"/>
      <c r="L278" s="891" t="s">
        <v>32</v>
      </c>
      <c r="M278" s="891" t="s">
        <v>32</v>
      </c>
      <c r="N278" s="897" t="s">
        <v>32</v>
      </c>
      <c r="O278" s="897"/>
      <c r="P278" s="1148" t="s">
        <v>32</v>
      </c>
      <c r="Q278" s="892"/>
      <c r="R278" s="897"/>
      <c r="S278" s="891" t="s">
        <v>32</v>
      </c>
      <c r="T278" s="891" t="s">
        <v>32</v>
      </c>
      <c r="U278" s="897" t="s">
        <v>32</v>
      </c>
      <c r="V278" s="897" t="s">
        <v>32</v>
      </c>
      <c r="W278" s="1148" t="s">
        <v>32</v>
      </c>
      <c r="X278" s="891"/>
      <c r="Y278" s="897"/>
      <c r="Z278" s="891"/>
      <c r="AA278" s="891" t="s">
        <v>32</v>
      </c>
      <c r="AB278" s="891" t="s">
        <v>32</v>
      </c>
      <c r="AC278" s="891" t="s">
        <v>32</v>
      </c>
      <c r="AD278" s="891" t="s">
        <v>32</v>
      </c>
      <c r="AE278" s="891"/>
      <c r="AF278" s="891"/>
      <c r="AG278" s="891" t="s">
        <v>32</v>
      </c>
      <c r="AH278" s="187"/>
      <c r="AI278" s="184"/>
    </row>
    <row r="279" spans="1:35" ht="21" customHeight="1">
      <c r="A279" s="1169"/>
      <c r="B279" s="1186" t="s">
        <v>331</v>
      </c>
      <c r="C279" s="891"/>
      <c r="D279" s="891"/>
      <c r="E279" s="891" t="s">
        <v>32</v>
      </c>
      <c r="F279" s="891" t="s">
        <v>32</v>
      </c>
      <c r="G279" s="891" t="s">
        <v>32</v>
      </c>
      <c r="H279" s="891" t="s">
        <v>32</v>
      </c>
      <c r="I279" s="891" t="s">
        <v>32</v>
      </c>
      <c r="J279" s="891"/>
      <c r="K279" s="891"/>
      <c r="L279" s="891" t="s">
        <v>32</v>
      </c>
      <c r="M279" s="891" t="s">
        <v>32</v>
      </c>
      <c r="N279" s="897" t="s">
        <v>32</v>
      </c>
      <c r="O279" s="897"/>
      <c r="P279" s="1149" t="s">
        <v>32</v>
      </c>
      <c r="Q279" s="892"/>
      <c r="R279" s="897"/>
      <c r="S279" s="891" t="s">
        <v>32</v>
      </c>
      <c r="T279" s="891" t="s">
        <v>32</v>
      </c>
      <c r="U279" s="897" t="s">
        <v>32</v>
      </c>
      <c r="V279" s="897" t="s">
        <v>32</v>
      </c>
      <c r="W279" s="897" t="s">
        <v>32</v>
      </c>
      <c r="X279" s="891"/>
      <c r="Y279" s="897"/>
      <c r="Z279" s="891"/>
      <c r="AA279" s="891" t="s">
        <v>32</v>
      </c>
      <c r="AB279" s="891" t="s">
        <v>32</v>
      </c>
      <c r="AC279" s="891" t="s">
        <v>32</v>
      </c>
      <c r="AD279" s="891" t="s">
        <v>32</v>
      </c>
      <c r="AE279" s="892"/>
      <c r="AF279" s="892"/>
      <c r="AG279" s="891" t="s">
        <v>32</v>
      </c>
      <c r="AH279" s="187"/>
      <c r="AI279" s="184"/>
    </row>
    <row r="280" spans="1:35" ht="21" customHeight="1">
      <c r="A280" s="1169"/>
      <c r="B280" s="810" t="s">
        <v>332</v>
      </c>
      <c r="C280" s="899"/>
      <c r="D280" s="899"/>
      <c r="E280" s="899" t="s">
        <v>32</v>
      </c>
      <c r="F280" s="899" t="s">
        <v>32</v>
      </c>
      <c r="G280" s="891" t="s">
        <v>32</v>
      </c>
      <c r="H280" s="891" t="s">
        <v>32</v>
      </c>
      <c r="I280" s="891" t="s">
        <v>32</v>
      </c>
      <c r="J280" s="891"/>
      <c r="K280" s="891"/>
      <c r="L280" s="891" t="s">
        <v>32</v>
      </c>
      <c r="M280" s="891" t="s">
        <v>32</v>
      </c>
      <c r="N280" s="897" t="s">
        <v>32</v>
      </c>
      <c r="O280" s="897"/>
      <c r="P280" s="1148" t="s">
        <v>32</v>
      </c>
      <c r="Q280" s="892"/>
      <c r="R280" s="897"/>
      <c r="S280" s="891" t="s">
        <v>32</v>
      </c>
      <c r="T280" s="891" t="s">
        <v>32</v>
      </c>
      <c r="U280" s="897" t="s">
        <v>32</v>
      </c>
      <c r="V280" s="897" t="s">
        <v>32</v>
      </c>
      <c r="W280" s="897" t="s">
        <v>32</v>
      </c>
      <c r="X280" s="891"/>
      <c r="Y280" s="897"/>
      <c r="Z280" s="891"/>
      <c r="AA280" s="891" t="s">
        <v>32</v>
      </c>
      <c r="AB280" s="891" t="s">
        <v>32</v>
      </c>
      <c r="AC280" s="891" t="s">
        <v>32</v>
      </c>
      <c r="AD280" s="891" t="s">
        <v>32</v>
      </c>
      <c r="AE280" s="891"/>
      <c r="AF280" s="891"/>
      <c r="AG280" s="891" t="s">
        <v>32</v>
      </c>
      <c r="AH280" s="187"/>
      <c r="AI280" s="184"/>
    </row>
    <row r="281" spans="1:35" ht="21" customHeight="1">
      <c r="A281" s="1169"/>
      <c r="B281" s="1186"/>
      <c r="C281" s="891"/>
      <c r="D281" s="1187"/>
      <c r="E281" s="891"/>
      <c r="F281" s="891"/>
      <c r="G281" s="891"/>
      <c r="H281" s="891"/>
      <c r="I281" s="891"/>
      <c r="J281" s="891"/>
      <c r="K281" s="891"/>
      <c r="L281" s="891"/>
      <c r="M281" s="891"/>
      <c r="N281" s="891"/>
      <c r="O281" s="891"/>
      <c r="P281" s="891"/>
      <c r="Q281" s="891"/>
      <c r="R281" s="891"/>
      <c r="S281" s="891"/>
      <c r="T281" s="891"/>
      <c r="U281" s="891"/>
      <c r="V281" s="891"/>
      <c r="W281" s="891"/>
      <c r="X281" s="891"/>
      <c r="Y281" s="891"/>
      <c r="Z281" s="891"/>
      <c r="AA281" s="891"/>
      <c r="AB281" s="891"/>
      <c r="AC281" s="891"/>
      <c r="AD281" s="891"/>
      <c r="AE281" s="891"/>
      <c r="AF281" s="891"/>
      <c r="AG281" s="936"/>
      <c r="AH281" s="187"/>
      <c r="AI281" s="184"/>
    </row>
    <row r="282" spans="1:35" ht="21" customHeight="1">
      <c r="A282" s="956"/>
      <c r="B282" s="1186"/>
      <c r="C282" s="936"/>
      <c r="D282" s="936"/>
      <c r="E282" s="936"/>
      <c r="F282" s="936"/>
      <c r="G282" s="936"/>
      <c r="H282" s="936"/>
      <c r="I282" s="936"/>
      <c r="J282" s="936"/>
      <c r="K282" s="936"/>
      <c r="L282" s="936"/>
      <c r="M282" s="936"/>
      <c r="N282" s="871"/>
      <c r="O282" s="871"/>
      <c r="P282" s="936"/>
      <c r="Q282" s="936"/>
      <c r="R282" s="936"/>
      <c r="S282" s="936"/>
      <c r="T282" s="936"/>
      <c r="U282" s="936"/>
      <c r="V282" s="936"/>
      <c r="W282" s="936"/>
      <c r="X282" s="936"/>
      <c r="Y282" s="936"/>
      <c r="Z282" s="936"/>
      <c r="AA282" s="936"/>
      <c r="AB282" s="871"/>
      <c r="AC282" s="871"/>
      <c r="AD282" s="936"/>
      <c r="AE282" s="936"/>
      <c r="AF282" s="936"/>
      <c r="AG282" s="936"/>
      <c r="AH282" s="187"/>
      <c r="AI282" s="185"/>
    </row>
    <row r="283" spans="1:35" ht="21" customHeight="1" thickBot="1">
      <c r="A283" s="1126"/>
      <c r="B283" s="1188"/>
      <c r="C283" s="1189"/>
      <c r="D283" s="1190"/>
      <c r="E283" s="1190"/>
      <c r="F283" s="1190"/>
      <c r="G283" s="1190"/>
      <c r="H283" s="1190"/>
      <c r="I283" s="1190"/>
      <c r="J283" s="1190"/>
      <c r="K283" s="1190"/>
      <c r="L283" s="1190"/>
      <c r="M283" s="1190"/>
      <c r="N283" s="1191"/>
      <c r="O283" s="1191"/>
      <c r="P283" s="1190"/>
      <c r="Q283" s="1190"/>
      <c r="R283" s="1190"/>
      <c r="S283" s="1190"/>
      <c r="T283" s="1190"/>
      <c r="U283" s="1190"/>
      <c r="V283" s="1190"/>
      <c r="W283" s="1190"/>
      <c r="X283" s="1190"/>
      <c r="Y283" s="1190"/>
      <c r="Z283" s="1190"/>
      <c r="AA283" s="1190"/>
      <c r="AB283" s="1191"/>
      <c r="AC283" s="1191"/>
      <c r="AD283" s="1190"/>
      <c r="AE283" s="1190"/>
      <c r="AF283" s="1190"/>
      <c r="AG283" s="1190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379BE-E082-45FD-BF28-B8986FAEC002}">
  <sheetPr codeName="Ark72"/>
  <dimension ref="A1:AN283"/>
  <sheetViews>
    <sheetView zoomScale="90" zoomScaleNormal="90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P18" sqref="P18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1192" t="s">
        <v>2</v>
      </c>
      <c r="C2" s="1193" t="s">
        <v>3</v>
      </c>
      <c r="D2" s="1194"/>
      <c r="E2" s="1195" t="s">
        <v>4</v>
      </c>
      <c r="F2" s="1196"/>
      <c r="G2" s="1197"/>
      <c r="H2" s="1197"/>
      <c r="I2" s="1197"/>
      <c r="J2" s="1197"/>
      <c r="K2" s="1198"/>
      <c r="L2" s="1199" t="s">
        <v>5</v>
      </c>
      <c r="M2" s="1200"/>
      <c r="N2" s="1201"/>
      <c r="O2" s="1202" t="s">
        <v>6</v>
      </c>
      <c r="P2" s="1203"/>
      <c r="Q2" s="1204"/>
      <c r="R2" s="1205"/>
      <c r="S2" s="1206" t="s">
        <v>7</v>
      </c>
      <c r="T2" s="1207"/>
      <c r="U2" s="1208"/>
      <c r="V2" s="1207"/>
      <c r="W2" s="1209" t="s">
        <v>8</v>
      </c>
      <c r="X2" s="1210"/>
      <c r="Y2" s="1211"/>
      <c r="Z2" s="163" t="s">
        <v>9</v>
      </c>
      <c r="AA2" s="1212"/>
      <c r="AB2" s="1213"/>
      <c r="AC2" s="1214"/>
      <c r="AD2" s="1215" t="s">
        <v>10</v>
      </c>
      <c r="AE2" s="1216"/>
      <c r="AF2" s="1216"/>
      <c r="AG2" s="1217"/>
    </row>
    <row r="3" spans="1:38" ht="13.35" customHeight="1">
      <c r="A3" s="1"/>
      <c r="B3" s="1218" t="s">
        <v>11</v>
      </c>
      <c r="C3" s="1219" t="s">
        <v>12</v>
      </c>
      <c r="D3" s="1220"/>
      <c r="E3" s="91"/>
      <c r="F3" s="92"/>
      <c r="G3" s="92"/>
      <c r="H3" s="164" t="s">
        <v>13</v>
      </c>
      <c r="I3" s="93"/>
      <c r="J3" s="93"/>
      <c r="K3" s="94"/>
      <c r="L3" s="1221" t="s">
        <v>14</v>
      </c>
      <c r="M3" s="1222"/>
      <c r="N3" s="1223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222"/>
      <c r="AA3" s="1222"/>
      <c r="AB3" s="1224"/>
      <c r="AC3" s="1225"/>
      <c r="AD3" s="1226" t="s">
        <v>17</v>
      </c>
      <c r="AE3" s="1227"/>
      <c r="AF3" s="1227"/>
      <c r="AG3" s="1228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1229" t="s">
        <v>20</v>
      </c>
      <c r="B6" s="1222"/>
      <c r="C6" s="1230"/>
      <c r="D6" s="1229" t="s">
        <v>21</v>
      </c>
      <c r="E6" s="1222"/>
      <c r="F6" s="1222"/>
      <c r="G6" s="1222"/>
      <c r="H6" s="1231"/>
      <c r="I6" s="1222"/>
      <c r="J6" s="1222"/>
      <c r="K6" s="1222"/>
      <c r="L6" s="1232" t="s">
        <v>22</v>
      </c>
      <c r="M6" s="1222"/>
      <c r="N6" s="1222"/>
      <c r="O6" s="1222"/>
      <c r="P6" s="1222"/>
      <c r="Q6" s="1222"/>
      <c r="R6" s="1222"/>
      <c r="S6" s="1230"/>
      <c r="T6" s="1233"/>
      <c r="U6" s="1222"/>
      <c r="V6" s="1222"/>
      <c r="W6" s="1222"/>
      <c r="X6" s="1222"/>
      <c r="Y6" s="1222"/>
      <c r="Z6" s="1222"/>
      <c r="AA6" s="1230"/>
      <c r="AB6" s="1234"/>
      <c r="AC6" s="1235"/>
      <c r="AD6" s="1235"/>
      <c r="AE6" s="1235"/>
      <c r="AF6" s="1235"/>
      <c r="AG6" s="1236"/>
    </row>
    <row r="7" spans="1:38" ht="22.35" customHeight="1">
      <c r="A7" s="1229" t="s">
        <v>23</v>
      </c>
      <c r="B7" s="1222"/>
      <c r="C7" s="1222"/>
      <c r="D7" s="1222"/>
      <c r="E7" s="1222"/>
      <c r="F7" s="1222"/>
      <c r="G7" s="1222"/>
      <c r="H7" s="1222"/>
      <c r="I7" s="1222"/>
      <c r="J7" s="1222"/>
      <c r="K7" s="1230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222"/>
      <c r="V7" s="1222"/>
      <c r="W7" s="1222"/>
      <c r="X7" s="1222"/>
      <c r="Y7" s="1222"/>
      <c r="Z7" s="1222"/>
      <c r="AA7" s="1222"/>
      <c r="AB7" s="1237"/>
      <c r="AC7" s="1222"/>
      <c r="AD7" s="1222"/>
      <c r="AE7" s="1222"/>
      <c r="AF7" s="1222"/>
      <c r="AG7" s="1230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1238" t="s">
        <v>28</v>
      </c>
      <c r="B11" s="1239" t="s">
        <v>29</v>
      </c>
      <c r="C11" s="1240">
        <v>1</v>
      </c>
      <c r="D11" s="1240">
        <v>2</v>
      </c>
      <c r="E11" s="1240">
        <v>3</v>
      </c>
      <c r="F11" s="1240">
        <v>4</v>
      </c>
      <c r="G11" s="1241">
        <v>5</v>
      </c>
      <c r="H11" s="1241">
        <v>6</v>
      </c>
      <c r="I11" s="1240">
        <v>7</v>
      </c>
      <c r="J11" s="1240">
        <v>8</v>
      </c>
      <c r="K11" s="1240">
        <v>9</v>
      </c>
      <c r="L11" s="1240">
        <v>10</v>
      </c>
      <c r="M11" s="1240">
        <v>11</v>
      </c>
      <c r="N11" s="1241">
        <v>12</v>
      </c>
      <c r="O11" s="1241">
        <v>13</v>
      </c>
      <c r="P11" s="1240">
        <v>14</v>
      </c>
      <c r="Q11" s="1240">
        <v>15</v>
      </c>
      <c r="R11" s="1240">
        <v>16</v>
      </c>
      <c r="S11" s="1240">
        <v>17</v>
      </c>
      <c r="T11" s="1240">
        <v>18</v>
      </c>
      <c r="U11" s="1241">
        <v>19</v>
      </c>
      <c r="V11" s="1241">
        <v>20</v>
      </c>
      <c r="W11" s="1240">
        <v>21</v>
      </c>
      <c r="X11" s="1240">
        <v>22</v>
      </c>
      <c r="Y11" s="1240">
        <v>23</v>
      </c>
      <c r="Z11" s="1240">
        <v>24</v>
      </c>
      <c r="AA11" s="1240">
        <v>25</v>
      </c>
      <c r="AB11" s="1241">
        <v>26</v>
      </c>
      <c r="AC11" s="1241">
        <v>27</v>
      </c>
      <c r="AD11" s="1240">
        <v>28</v>
      </c>
      <c r="AE11" s="1240">
        <v>29</v>
      </c>
      <c r="AF11" s="1240">
        <v>30</v>
      </c>
      <c r="AG11" s="1242"/>
      <c r="AH11" s="176"/>
      <c r="AI11" s="177"/>
      <c r="AJ11" s="1243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349" t="s">
        <v>32</v>
      </c>
      <c r="E12" s="349" t="s">
        <v>32</v>
      </c>
      <c r="F12" s="349" t="s">
        <v>32</v>
      </c>
      <c r="G12" s="349"/>
      <c r="H12" s="349"/>
      <c r="I12" s="349" t="s">
        <v>32</v>
      </c>
      <c r="J12" s="349" t="s">
        <v>32</v>
      </c>
      <c r="K12" s="349" t="s">
        <v>32</v>
      </c>
      <c r="L12" s="349" t="s">
        <v>32</v>
      </c>
      <c r="M12" s="349" t="s">
        <v>32</v>
      </c>
      <c r="N12" s="349"/>
      <c r="O12" s="349"/>
      <c r="P12" s="349" t="s">
        <v>32</v>
      </c>
      <c r="Q12" s="349" t="s">
        <v>32</v>
      </c>
      <c r="R12" s="349" t="s">
        <v>32</v>
      </c>
      <c r="S12" s="350" t="s">
        <v>32</v>
      </c>
      <c r="T12" s="350" t="s">
        <v>32</v>
      </c>
      <c r="U12" s="349"/>
      <c r="V12" s="349"/>
      <c r="W12" s="350" t="s">
        <v>32</v>
      </c>
      <c r="X12" s="350" t="s">
        <v>32</v>
      </c>
      <c r="Y12" s="350" t="s">
        <v>32</v>
      </c>
      <c r="Z12" s="350" t="s">
        <v>32</v>
      </c>
      <c r="AA12" s="350" t="s">
        <v>32</v>
      </c>
      <c r="AB12" s="349"/>
      <c r="AC12" s="349"/>
      <c r="AD12" s="541" t="s">
        <v>32</v>
      </c>
      <c r="AE12" s="541" t="s">
        <v>32</v>
      </c>
      <c r="AF12" s="541" t="s">
        <v>32</v>
      </c>
      <c r="AG12" s="352"/>
      <c r="AH12" s="182"/>
      <c r="AI12" s="182"/>
      <c r="AJ12" s="1243">
        <v>160.33000000000001</v>
      </c>
    </row>
    <row r="13" spans="1:38" ht="22.35" customHeight="1">
      <c r="A13" s="1244" t="s">
        <v>33</v>
      </c>
      <c r="B13" s="1245"/>
      <c r="C13" s="1245"/>
      <c r="D13" s="1245"/>
      <c r="E13" s="1245"/>
      <c r="F13" s="1245"/>
      <c r="G13" s="1245"/>
      <c r="H13" s="1245"/>
      <c r="I13" s="1245"/>
      <c r="J13" s="1245"/>
      <c r="K13" s="1245"/>
      <c r="L13" s="1245"/>
      <c r="M13" s="1245"/>
      <c r="N13" s="1245"/>
      <c r="O13" s="1245"/>
      <c r="P13" s="1245"/>
      <c r="Q13" s="1245"/>
      <c r="R13" s="1245"/>
      <c r="S13" s="1245"/>
      <c r="T13" s="1245"/>
      <c r="U13" s="1245"/>
      <c r="V13" s="1245"/>
      <c r="W13" s="1245"/>
      <c r="X13" s="1245"/>
      <c r="Y13" s="1245"/>
      <c r="Z13" s="1245"/>
      <c r="AA13" s="1245"/>
      <c r="AB13" s="1245"/>
      <c r="AC13" s="1245"/>
      <c r="AD13" s="1245"/>
      <c r="AE13" s="1245"/>
      <c r="AF13" s="1245"/>
      <c r="AG13" s="1246"/>
      <c r="AH13" s="180"/>
      <c r="AI13" s="180"/>
    </row>
    <row r="14" spans="1:38" ht="22.35" customHeight="1">
      <c r="A14" s="1247">
        <v>8546</v>
      </c>
      <c r="B14" s="1248" t="s">
        <v>34</v>
      </c>
      <c r="C14" s="1249">
        <v>2</v>
      </c>
      <c r="D14" s="1249">
        <v>2</v>
      </c>
      <c r="E14" s="1249">
        <v>2</v>
      </c>
      <c r="F14" s="1249">
        <v>2</v>
      </c>
      <c r="G14" s="1249" t="s">
        <v>35</v>
      </c>
      <c r="H14" s="1250" t="s">
        <v>35</v>
      </c>
      <c r="I14" s="1250" t="s">
        <v>36</v>
      </c>
      <c r="J14" s="1250" t="s">
        <v>36</v>
      </c>
      <c r="K14" s="1251" t="s">
        <v>36</v>
      </c>
      <c r="L14" s="1250" t="s">
        <v>36</v>
      </c>
      <c r="M14" s="1252" t="s">
        <v>36</v>
      </c>
      <c r="N14" s="1249"/>
      <c r="O14" s="1249"/>
      <c r="P14" s="1253">
        <v>4</v>
      </c>
      <c r="Q14" s="1253">
        <v>4</v>
      </c>
      <c r="R14" s="1253">
        <v>4</v>
      </c>
      <c r="S14" s="1253">
        <v>4</v>
      </c>
      <c r="T14" s="1253">
        <v>4</v>
      </c>
      <c r="U14" s="1253" t="s">
        <v>37</v>
      </c>
      <c r="V14" s="1253" t="s">
        <v>37</v>
      </c>
      <c r="W14" s="1253" t="s">
        <v>36</v>
      </c>
      <c r="X14" s="1253" t="s">
        <v>36</v>
      </c>
      <c r="Y14" s="1253" t="s">
        <v>36</v>
      </c>
      <c r="Z14" s="1253" t="s">
        <v>36</v>
      </c>
      <c r="AA14" s="1253" t="s">
        <v>36</v>
      </c>
      <c r="AB14" s="1253"/>
      <c r="AC14" s="1253"/>
      <c r="AD14" s="1253">
        <v>1</v>
      </c>
      <c r="AE14" s="1253">
        <v>1</v>
      </c>
      <c r="AF14" s="1253">
        <v>1</v>
      </c>
      <c r="AG14" s="1254"/>
      <c r="AH14" s="182"/>
      <c r="AI14" s="182"/>
    </row>
    <row r="15" spans="1:38" ht="22.35" customHeight="1">
      <c r="A15" s="1247">
        <v>8546</v>
      </c>
      <c r="B15" s="1255" t="s">
        <v>38</v>
      </c>
      <c r="C15" s="1251">
        <v>1</v>
      </c>
      <c r="D15" s="1250">
        <v>1</v>
      </c>
      <c r="E15" s="1250">
        <v>1</v>
      </c>
      <c r="F15" s="1256">
        <v>1</v>
      </c>
      <c r="G15" s="1256"/>
      <c r="H15" s="1256"/>
      <c r="I15" s="1250">
        <v>2</v>
      </c>
      <c r="J15" s="1251">
        <v>2</v>
      </c>
      <c r="K15" s="1256">
        <v>2</v>
      </c>
      <c r="L15" s="1250">
        <v>2</v>
      </c>
      <c r="M15" s="1250">
        <v>2</v>
      </c>
      <c r="N15" s="1250" t="s">
        <v>35</v>
      </c>
      <c r="O15" s="1250" t="s">
        <v>35</v>
      </c>
      <c r="P15" s="1253" t="s">
        <v>36</v>
      </c>
      <c r="Q15" s="1253" t="s">
        <v>36</v>
      </c>
      <c r="R15" s="1253" t="s">
        <v>36</v>
      </c>
      <c r="S15" s="1253" t="s">
        <v>36</v>
      </c>
      <c r="T15" s="1253" t="s">
        <v>36</v>
      </c>
      <c r="U15" s="1253"/>
      <c r="V15" s="1253"/>
      <c r="W15" s="1253">
        <v>4</v>
      </c>
      <c r="X15" s="1253">
        <v>4</v>
      </c>
      <c r="Y15" s="1253">
        <v>4</v>
      </c>
      <c r="Z15" s="1253">
        <v>4</v>
      </c>
      <c r="AA15" s="1253">
        <v>4</v>
      </c>
      <c r="AB15" s="1253" t="s">
        <v>37</v>
      </c>
      <c r="AC15" s="1253" t="s">
        <v>37</v>
      </c>
      <c r="AD15" s="1253" t="s">
        <v>36</v>
      </c>
      <c r="AE15" s="1253" t="s">
        <v>36</v>
      </c>
      <c r="AF15" s="1253" t="s">
        <v>36</v>
      </c>
      <c r="AG15" s="1254"/>
      <c r="AH15" s="182"/>
      <c r="AI15" s="182"/>
      <c r="AL15" t="s">
        <v>0</v>
      </c>
    </row>
    <row r="16" spans="1:38" ht="22.35" customHeight="1">
      <c r="A16" s="1247">
        <v>8546</v>
      </c>
      <c r="B16" s="1248" t="s">
        <v>39</v>
      </c>
      <c r="C16" s="1257">
        <v>4</v>
      </c>
      <c r="D16" s="1258">
        <v>4</v>
      </c>
      <c r="E16" s="1258">
        <v>4</v>
      </c>
      <c r="F16" s="1258">
        <v>4</v>
      </c>
      <c r="G16" s="1258" t="s">
        <v>37</v>
      </c>
      <c r="H16" s="1258" t="s">
        <v>37</v>
      </c>
      <c r="I16" s="1258" t="s">
        <v>36</v>
      </c>
      <c r="J16" s="1258" t="s">
        <v>36</v>
      </c>
      <c r="K16" s="1258" t="s">
        <v>36</v>
      </c>
      <c r="L16" s="1258" t="s">
        <v>36</v>
      </c>
      <c r="M16" s="1258" t="s">
        <v>36</v>
      </c>
      <c r="N16" s="1257"/>
      <c r="O16" s="1257"/>
      <c r="P16" s="1257">
        <v>1</v>
      </c>
      <c r="Q16" s="1257">
        <v>1</v>
      </c>
      <c r="R16" s="1257">
        <v>1</v>
      </c>
      <c r="S16" s="1258">
        <v>1</v>
      </c>
      <c r="T16" s="1258">
        <v>1</v>
      </c>
      <c r="U16" s="1258"/>
      <c r="V16" s="1258"/>
      <c r="W16" s="1259">
        <v>2</v>
      </c>
      <c r="X16" s="1258">
        <v>2</v>
      </c>
      <c r="Y16" s="1257">
        <v>2</v>
      </c>
      <c r="Z16" s="1257">
        <v>2</v>
      </c>
      <c r="AA16" s="1257">
        <v>2</v>
      </c>
      <c r="AB16" s="1257" t="s">
        <v>35</v>
      </c>
      <c r="AC16" s="1257" t="s">
        <v>35</v>
      </c>
      <c r="AD16" s="1258" t="s">
        <v>36</v>
      </c>
      <c r="AE16" s="1258" t="s">
        <v>36</v>
      </c>
      <c r="AF16" s="1258" t="s">
        <v>36</v>
      </c>
      <c r="AG16" s="1254"/>
      <c r="AH16" s="182"/>
      <c r="AI16" s="182"/>
    </row>
    <row r="17" spans="1:40" ht="22.35" customHeight="1">
      <c r="A17" s="1247">
        <v>8546</v>
      </c>
      <c r="B17" s="1255" t="s">
        <v>40</v>
      </c>
      <c r="C17" s="1250" t="s">
        <v>36</v>
      </c>
      <c r="D17" s="1251" t="s">
        <v>36</v>
      </c>
      <c r="E17" s="1250" t="s">
        <v>36</v>
      </c>
      <c r="F17" s="1256" t="s">
        <v>36</v>
      </c>
      <c r="G17" s="1250"/>
      <c r="H17" s="1250"/>
      <c r="I17" s="1250">
        <v>4</v>
      </c>
      <c r="J17" s="1250">
        <v>4</v>
      </c>
      <c r="K17" s="1250">
        <v>4</v>
      </c>
      <c r="L17" s="1250">
        <v>4</v>
      </c>
      <c r="M17" s="1249">
        <v>4</v>
      </c>
      <c r="N17" s="1249" t="s">
        <v>37</v>
      </c>
      <c r="O17" s="1249" t="s">
        <v>37</v>
      </c>
      <c r="P17" s="1249" t="s">
        <v>36</v>
      </c>
      <c r="Q17" s="1249" t="s">
        <v>36</v>
      </c>
      <c r="R17" s="1249" t="s">
        <v>36</v>
      </c>
      <c r="S17" s="1249" t="s">
        <v>36</v>
      </c>
      <c r="T17" s="1250" t="s">
        <v>36</v>
      </c>
      <c r="U17" s="1250"/>
      <c r="V17" s="1250"/>
      <c r="W17" s="1250">
        <v>1</v>
      </c>
      <c r="X17" s="1251">
        <v>1</v>
      </c>
      <c r="Y17" s="1250">
        <v>1</v>
      </c>
      <c r="Z17" s="1250">
        <v>1</v>
      </c>
      <c r="AA17" s="1260">
        <v>1</v>
      </c>
      <c r="AB17" s="1260"/>
      <c r="AC17" s="1260"/>
      <c r="AD17" s="1260">
        <v>2</v>
      </c>
      <c r="AE17" s="1260">
        <v>2</v>
      </c>
      <c r="AF17" s="1260">
        <v>2</v>
      </c>
      <c r="AG17" s="1254"/>
      <c r="AH17" s="182"/>
      <c r="AI17" s="182"/>
    </row>
    <row r="18" spans="1:40" ht="22.35" customHeight="1">
      <c r="A18" s="1247">
        <v>8546</v>
      </c>
      <c r="B18" s="1248" t="s">
        <v>41</v>
      </c>
      <c r="C18" s="1250" t="s">
        <v>36</v>
      </c>
      <c r="D18" s="1251" t="s">
        <v>36</v>
      </c>
      <c r="E18" s="1250" t="s">
        <v>36</v>
      </c>
      <c r="F18" s="1250" t="s">
        <v>36</v>
      </c>
      <c r="G18" s="1250"/>
      <c r="H18" s="1250"/>
      <c r="I18" s="1261">
        <v>1</v>
      </c>
      <c r="J18" s="1262">
        <v>1</v>
      </c>
      <c r="K18" s="1262">
        <v>1</v>
      </c>
      <c r="L18" s="1176" t="s">
        <v>333</v>
      </c>
      <c r="M18" s="1263">
        <v>1</v>
      </c>
      <c r="N18" s="1256"/>
      <c r="O18" s="1250"/>
      <c r="P18" s="1256">
        <v>2</v>
      </c>
      <c r="Q18" s="1256">
        <v>2</v>
      </c>
      <c r="R18" s="1256">
        <v>2</v>
      </c>
      <c r="S18" s="1256">
        <v>2</v>
      </c>
      <c r="T18" s="1256">
        <v>2</v>
      </c>
      <c r="U18" s="1252" t="s">
        <v>35</v>
      </c>
      <c r="V18" s="1252" t="s">
        <v>35</v>
      </c>
      <c r="W18" s="1250" t="s">
        <v>36</v>
      </c>
      <c r="X18" s="1250" t="s">
        <v>36</v>
      </c>
      <c r="Y18" s="1250" t="s">
        <v>36</v>
      </c>
      <c r="Z18" s="1250" t="s">
        <v>36</v>
      </c>
      <c r="AA18" s="1250" t="s">
        <v>36</v>
      </c>
      <c r="AB18" s="1250"/>
      <c r="AC18" s="1264"/>
      <c r="AD18" s="1250">
        <v>4</v>
      </c>
      <c r="AE18" s="1250">
        <v>4</v>
      </c>
      <c r="AF18" s="1250">
        <v>4</v>
      </c>
      <c r="AG18" s="1254"/>
      <c r="AH18" s="182"/>
      <c r="AI18" s="182"/>
    </row>
    <row r="19" spans="1:40" ht="22.35" customHeight="1" thickBot="1">
      <c r="A19" s="1265" t="s">
        <v>42</v>
      </c>
      <c r="B19" s="1266"/>
      <c r="C19" s="1267"/>
      <c r="D19" s="1267"/>
      <c r="E19" s="1267"/>
      <c r="F19" s="1267"/>
      <c r="G19" s="1267"/>
      <c r="H19" s="1267"/>
      <c r="I19" s="1267"/>
      <c r="J19" s="1267"/>
      <c r="K19" s="1267"/>
      <c r="L19" s="1267"/>
      <c r="M19" s="1267"/>
      <c r="N19" s="1267"/>
      <c r="O19" s="1267"/>
      <c r="P19" s="1267"/>
      <c r="Q19" s="1267"/>
      <c r="R19" s="1267"/>
      <c r="S19" s="1267"/>
      <c r="T19" s="1267"/>
      <c r="U19" s="1267"/>
      <c r="V19" s="1267"/>
      <c r="W19" s="1267"/>
      <c r="X19" s="1267"/>
      <c r="Y19" s="1267"/>
      <c r="Z19" s="1267"/>
      <c r="AA19" s="1267"/>
      <c r="AB19" s="1267"/>
      <c r="AC19" s="1267"/>
      <c r="AD19" s="1267"/>
      <c r="AE19" s="1267"/>
      <c r="AF19" s="1267"/>
      <c r="AG19" s="1268"/>
      <c r="AH19" s="180"/>
      <c r="AI19" s="180"/>
      <c r="AJ19" s="1243" t="s">
        <v>30</v>
      </c>
      <c r="AK19" s="1243" t="s">
        <v>43</v>
      </c>
      <c r="AL19" s="1243" t="s">
        <v>44</v>
      </c>
      <c r="AM19" s="1243" t="s">
        <v>45</v>
      </c>
      <c r="AN19" s="1243" t="s">
        <v>46</v>
      </c>
    </row>
    <row r="20" spans="1:40" ht="22.35" customHeight="1">
      <c r="A20" s="353">
        <v>8500</v>
      </c>
      <c r="B20" s="354" t="s">
        <v>48</v>
      </c>
      <c r="C20" s="349" t="s">
        <v>32</v>
      </c>
      <c r="D20" s="349" t="s">
        <v>32</v>
      </c>
      <c r="E20" s="349" t="s">
        <v>32</v>
      </c>
      <c r="F20" s="349" t="s">
        <v>32</v>
      </c>
      <c r="G20" s="349"/>
      <c r="H20" s="349"/>
      <c r="I20" s="349" t="s">
        <v>32</v>
      </c>
      <c r="J20" s="349" t="s">
        <v>32</v>
      </c>
      <c r="K20" s="349" t="s">
        <v>32</v>
      </c>
      <c r="L20" s="350" t="s">
        <v>32</v>
      </c>
      <c r="M20" s="350" t="s">
        <v>32</v>
      </c>
      <c r="N20" s="349"/>
      <c r="O20" s="349"/>
      <c r="P20" s="349" t="s">
        <v>32</v>
      </c>
      <c r="Q20" s="349" t="s">
        <v>32</v>
      </c>
      <c r="R20" s="349" t="s">
        <v>32</v>
      </c>
      <c r="S20" s="350" t="s">
        <v>32</v>
      </c>
      <c r="T20" s="350" t="s">
        <v>32</v>
      </c>
      <c r="U20" s="349"/>
      <c r="V20" s="349"/>
      <c r="W20" s="350" t="s">
        <v>32</v>
      </c>
      <c r="X20" s="350" t="s">
        <v>32</v>
      </c>
      <c r="Y20" s="350" t="s">
        <v>32</v>
      </c>
      <c r="Z20" s="349" t="s">
        <v>32</v>
      </c>
      <c r="AA20" s="349" t="s">
        <v>32</v>
      </c>
      <c r="AB20" s="349"/>
      <c r="AC20" s="349"/>
      <c r="AD20" s="350" t="s">
        <v>32</v>
      </c>
      <c r="AE20" s="350" t="s">
        <v>32</v>
      </c>
      <c r="AF20" s="350" t="s">
        <v>32</v>
      </c>
      <c r="AG20" s="397"/>
      <c r="AH20" s="182"/>
      <c r="AI20" s="182"/>
      <c r="AJ20" s="1269"/>
      <c r="AK20" s="1269"/>
      <c r="AL20" s="1269" t="str">
        <f>IF(AJ20="","",SUM(AJ20:AK20))</f>
        <v/>
      </c>
      <c r="AM20" s="1270" t="str">
        <f>IF(AJ20="","",AL20-NormTid)</f>
        <v/>
      </c>
      <c r="AN20" s="1270" t="str">
        <f>IF(AM20="","",AM20+'Maj 2021'!AN20)</f>
        <v/>
      </c>
    </row>
    <row r="21" spans="1:40" ht="22.35" customHeight="1">
      <c r="A21" s="1271">
        <v>8500</v>
      </c>
      <c r="B21" s="1272" t="s">
        <v>49</v>
      </c>
      <c r="C21" s="1273">
        <v>4</v>
      </c>
      <c r="D21" s="564">
        <v>4</v>
      </c>
      <c r="E21" s="1273">
        <v>4</v>
      </c>
      <c r="F21" s="1273">
        <v>4</v>
      </c>
      <c r="G21" s="1273" t="s">
        <v>37</v>
      </c>
      <c r="H21" s="1273" t="s">
        <v>37</v>
      </c>
      <c r="I21" s="1273" t="s">
        <v>36</v>
      </c>
      <c r="J21" s="1273" t="s">
        <v>36</v>
      </c>
      <c r="K21" s="1273" t="s">
        <v>36</v>
      </c>
      <c r="L21" s="1274" t="s">
        <v>36</v>
      </c>
      <c r="M21" s="1273" t="s">
        <v>36</v>
      </c>
      <c r="N21" s="1273"/>
      <c r="O21" s="1273"/>
      <c r="P21" s="1273">
        <v>1</v>
      </c>
      <c r="Q21" s="1273">
        <v>1</v>
      </c>
      <c r="R21" s="557">
        <v>1</v>
      </c>
      <c r="S21" s="1275">
        <v>1</v>
      </c>
      <c r="T21" s="1273">
        <v>1</v>
      </c>
      <c r="U21" s="1273"/>
      <c r="V21" s="1273"/>
      <c r="W21" s="1273">
        <v>2</v>
      </c>
      <c r="X21" s="1273">
        <v>2</v>
      </c>
      <c r="Y21" s="1274">
        <v>2</v>
      </c>
      <c r="Z21" s="1274">
        <v>2</v>
      </c>
      <c r="AA21" s="1273">
        <v>2</v>
      </c>
      <c r="AB21" s="1273" t="s">
        <v>35</v>
      </c>
      <c r="AC21" s="1273"/>
      <c r="AD21" s="1276" t="s">
        <v>32</v>
      </c>
      <c r="AE21" s="1276" t="s">
        <v>32</v>
      </c>
      <c r="AF21" s="1276" t="s">
        <v>32</v>
      </c>
      <c r="AG21" s="1277"/>
      <c r="AH21" s="182"/>
      <c r="AI21" s="182"/>
      <c r="AJ21" s="1269">
        <v>203</v>
      </c>
      <c r="AK21" s="1269">
        <v>8.75</v>
      </c>
      <c r="AL21" s="1269">
        <f t="shared" ref="AL21:AL23" si="0">IF(AJ21="","",SUM(AJ21:AK21))</f>
        <v>211.75</v>
      </c>
      <c r="AM21" s="1270">
        <f>IF(AJ21="","",AL21-NormTid)</f>
        <v>51.419999999999987</v>
      </c>
      <c r="AN21" s="1270">
        <f>IF(AM21="","",AM21+'Maj 2021'!AN21)</f>
        <v>152.66999999999996</v>
      </c>
    </row>
    <row r="22" spans="1:40" ht="22.35" customHeight="1">
      <c r="A22" s="1271">
        <v>8500</v>
      </c>
      <c r="B22" s="1272" t="s">
        <v>51</v>
      </c>
      <c r="C22" s="1273">
        <v>4</v>
      </c>
      <c r="D22" s="564" t="s">
        <v>141</v>
      </c>
      <c r="E22" s="1273">
        <v>4</v>
      </c>
      <c r="F22" s="1273">
        <v>2</v>
      </c>
      <c r="G22" s="1273"/>
      <c r="H22" s="1273"/>
      <c r="I22" s="1273">
        <v>1</v>
      </c>
      <c r="J22" s="1273" t="s">
        <v>32</v>
      </c>
      <c r="K22" s="1273" t="s">
        <v>32</v>
      </c>
      <c r="L22" s="1273">
        <v>1</v>
      </c>
      <c r="M22" s="1273">
        <v>1</v>
      </c>
      <c r="N22" s="1278"/>
      <c r="O22" s="1269"/>
      <c r="P22" s="1278">
        <v>4</v>
      </c>
      <c r="Q22" s="1274">
        <v>4</v>
      </c>
      <c r="R22" s="1278">
        <v>4</v>
      </c>
      <c r="S22" s="1273">
        <v>4</v>
      </c>
      <c r="T22" s="1273">
        <v>4</v>
      </c>
      <c r="U22" s="1278" t="s">
        <v>37</v>
      </c>
      <c r="V22" s="1278" t="s">
        <v>37</v>
      </c>
      <c r="W22" s="1278" t="s">
        <v>36</v>
      </c>
      <c r="X22" s="1279" t="s">
        <v>36</v>
      </c>
      <c r="Y22" s="1278" t="s">
        <v>36</v>
      </c>
      <c r="Z22" s="1273" t="s">
        <v>36</v>
      </c>
      <c r="AA22" s="1279" t="s">
        <v>36</v>
      </c>
      <c r="AB22" s="1273"/>
      <c r="AC22" s="1273" t="s">
        <v>35</v>
      </c>
      <c r="AD22" s="1273">
        <v>1</v>
      </c>
      <c r="AE22" s="1273">
        <v>1</v>
      </c>
      <c r="AF22" s="1273">
        <v>1</v>
      </c>
      <c r="AG22" s="1277"/>
      <c r="AH22" s="182"/>
      <c r="AI22" s="182"/>
      <c r="AJ22" s="1269">
        <v>173.75</v>
      </c>
      <c r="AK22" s="1269">
        <v>6.75</v>
      </c>
      <c r="AL22" s="1269">
        <f t="shared" si="0"/>
        <v>180.5</v>
      </c>
      <c r="AM22" s="1270">
        <f>IF(AJ22="","",AL22-NormTid)</f>
        <v>20.169999999999987</v>
      </c>
      <c r="AN22" s="1270">
        <f>IF(AM22="","",AM22+'Maj 2021'!AN22)</f>
        <v>87.019999999999982</v>
      </c>
    </row>
    <row r="23" spans="1:40" ht="22.35" customHeight="1">
      <c r="A23" s="1271"/>
      <c r="B23" s="1280"/>
      <c r="C23" s="1273"/>
      <c r="D23" s="1274"/>
      <c r="E23" s="1273"/>
      <c r="F23" s="1273"/>
      <c r="G23" s="1273"/>
      <c r="H23" s="1273"/>
      <c r="I23" s="1273"/>
      <c r="J23" s="1273"/>
      <c r="K23" s="1273"/>
      <c r="L23" s="1273"/>
      <c r="M23" s="1273"/>
      <c r="N23" s="1273"/>
      <c r="O23" s="1281"/>
      <c r="P23" s="1273"/>
      <c r="Q23" s="1273"/>
      <c r="R23" s="1282"/>
      <c r="S23" s="1282"/>
      <c r="T23" s="1273"/>
      <c r="U23" s="1273"/>
      <c r="V23" s="1273"/>
      <c r="W23" s="1273"/>
      <c r="X23" s="1273"/>
      <c r="Y23" s="1273"/>
      <c r="Z23" s="1273"/>
      <c r="AA23" s="1273"/>
      <c r="AB23" s="1273"/>
      <c r="AC23" s="1278"/>
      <c r="AD23" s="1278"/>
      <c r="AE23" s="1278"/>
      <c r="AF23" s="1278"/>
      <c r="AG23" s="1277"/>
      <c r="AJ23" s="1269"/>
      <c r="AK23" s="1269"/>
      <c r="AL23" s="1269" t="str">
        <f t="shared" si="0"/>
        <v/>
      </c>
      <c r="AM23" s="1270" t="str">
        <f>IF(AJ23="","",AL23-NormTid)</f>
        <v/>
      </c>
      <c r="AN23" s="1270" t="str">
        <f>IF(AM23="","",AM23+'Maj 2021'!AN23)</f>
        <v/>
      </c>
    </row>
    <row r="24" spans="1:40" ht="22.35" customHeight="1" thickBot="1">
      <c r="A24" s="1283"/>
      <c r="B24" s="1284" t="s">
        <v>54</v>
      </c>
      <c r="C24" s="1285" t="s">
        <v>32</v>
      </c>
      <c r="D24" s="1285" t="s">
        <v>32</v>
      </c>
      <c r="E24" s="1285" t="s">
        <v>32</v>
      </c>
      <c r="F24" s="1285" t="s">
        <v>32</v>
      </c>
      <c r="G24" s="1285"/>
      <c r="H24" s="1285"/>
      <c r="I24" s="1285" t="s">
        <v>32</v>
      </c>
      <c r="J24" s="1285" t="s">
        <v>32</v>
      </c>
      <c r="K24" s="1285" t="s">
        <v>32</v>
      </c>
      <c r="L24" s="1285" t="s">
        <v>32</v>
      </c>
      <c r="M24" s="1285" t="s">
        <v>32</v>
      </c>
      <c r="N24" s="1285"/>
      <c r="O24" s="1285"/>
      <c r="P24" s="1285" t="s">
        <v>32</v>
      </c>
      <c r="Q24" s="1285" t="s">
        <v>32</v>
      </c>
      <c r="R24" s="1285" t="s">
        <v>32</v>
      </c>
      <c r="S24" s="1285" t="s">
        <v>32</v>
      </c>
      <c r="T24" s="1285" t="s">
        <v>32</v>
      </c>
      <c r="U24" s="1285"/>
      <c r="V24" s="1285"/>
      <c r="W24" s="1285" t="s">
        <v>32</v>
      </c>
      <c r="X24" s="1285" t="s">
        <v>32</v>
      </c>
      <c r="Y24" s="1285" t="s">
        <v>32</v>
      </c>
      <c r="Z24" s="1285" t="s">
        <v>32</v>
      </c>
      <c r="AA24" s="1285" t="s">
        <v>32</v>
      </c>
      <c r="AB24" s="1285"/>
      <c r="AC24" s="1285"/>
      <c r="AD24" s="1285" t="s">
        <v>32</v>
      </c>
      <c r="AE24" s="1285" t="s">
        <v>32</v>
      </c>
      <c r="AF24" s="1285" t="s">
        <v>32</v>
      </c>
      <c r="AG24" s="1286"/>
    </row>
    <row r="25" spans="1:40" ht="22.35" customHeight="1">
      <c r="A25" s="102"/>
      <c r="E25" s="211"/>
      <c r="N25" s="1273"/>
      <c r="O25" s="1273"/>
      <c r="R25" s="1273"/>
      <c r="S25" s="1273"/>
      <c r="T25" s="1273"/>
      <c r="U25" s="1252"/>
      <c r="V25" s="1252"/>
      <c r="AB25" s="1269"/>
      <c r="AC25" s="1269"/>
      <c r="AD25">
        <v>79</v>
      </c>
      <c r="AE25">
        <v>79</v>
      </c>
      <c r="AF25">
        <v>79</v>
      </c>
    </row>
    <row r="26" spans="1:40" ht="22.35" customHeight="1">
      <c r="A26" s="102"/>
      <c r="N26" s="1273"/>
      <c r="O26" s="1273"/>
      <c r="R26" s="1273"/>
      <c r="U26" s="1269"/>
      <c r="V26" s="1269"/>
      <c r="X26" s="1273"/>
      <c r="AC26" s="1269"/>
    </row>
    <row r="27" spans="1:40" ht="22.35" customHeight="1">
      <c r="A27" s="102"/>
      <c r="AB27" s="1269"/>
      <c r="AC27" s="1269"/>
      <c r="AD27" s="1273"/>
      <c r="AE27" s="1273"/>
      <c r="AF27" s="1273"/>
    </row>
    <row r="28" spans="1:40" ht="22.35" customHeight="1">
      <c r="A28" s="102"/>
    </row>
    <row r="29" spans="1:40" ht="22.35" customHeight="1">
      <c r="A29" s="102"/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1287" t="s">
        <v>61</v>
      </c>
      <c r="B32" s="1235"/>
      <c r="C32" s="1235"/>
      <c r="D32" s="1288" t="s">
        <v>62</v>
      </c>
      <c r="E32" s="1289"/>
      <c r="F32" s="1222"/>
      <c r="G32" s="1222"/>
      <c r="H32" s="1222"/>
      <c r="I32" s="1222"/>
      <c r="J32" s="1222"/>
      <c r="K32" s="1222"/>
      <c r="L32" s="1230"/>
      <c r="M32" s="1290" t="s">
        <v>63</v>
      </c>
      <c r="N32" s="1235"/>
      <c r="O32" s="1291"/>
      <c r="P32" s="1235"/>
      <c r="Q32" s="1235"/>
      <c r="R32" s="1235"/>
      <c r="S32" s="1292"/>
      <c r="T32" s="1288" t="s">
        <v>64</v>
      </c>
      <c r="U32" s="1222"/>
      <c r="V32" s="1289"/>
      <c r="W32" s="1222"/>
      <c r="X32" s="1222"/>
      <c r="Y32" s="1222"/>
      <c r="Z32" s="1230"/>
      <c r="AA32" s="162" t="s">
        <v>65</v>
      </c>
      <c r="AD32" s="100"/>
      <c r="AG32" s="103"/>
      <c r="AK32" s="1"/>
    </row>
    <row r="33" spans="1:38" ht="22.35" customHeight="1">
      <c r="A33" s="1293" t="s">
        <v>66</v>
      </c>
      <c r="B33" s="1222"/>
      <c r="C33" s="1222"/>
      <c r="D33" s="1294"/>
      <c r="E33" s="1222"/>
      <c r="F33" s="1222"/>
      <c r="G33" s="1230"/>
      <c r="H33" s="1237" t="s">
        <v>67</v>
      </c>
      <c r="I33" s="1222"/>
      <c r="J33" s="1222"/>
      <c r="K33" s="1222"/>
      <c r="L33" s="1222"/>
      <c r="M33" s="1295"/>
      <c r="N33" s="1222"/>
      <c r="O33" s="1222"/>
      <c r="P33" s="1222"/>
      <c r="Q33" s="1222"/>
      <c r="R33" s="1222"/>
      <c r="S33" s="1222"/>
      <c r="T33" s="1294"/>
      <c r="U33" s="161" t="s">
        <v>68</v>
      </c>
      <c r="AA33" s="1291"/>
      <c r="AB33" s="1235"/>
      <c r="AC33" s="1235"/>
      <c r="AD33" s="1235"/>
      <c r="AE33" s="1235"/>
      <c r="AF33" s="1235"/>
      <c r="AG33" s="1296"/>
      <c r="AK33" s="64"/>
    </row>
    <row r="34" spans="1:38" ht="22.35" customHeight="1" thickBot="1">
      <c r="A34" s="1297" t="s">
        <v>69</v>
      </c>
      <c r="B34" s="1298"/>
      <c r="C34" s="1298"/>
      <c r="D34" s="1299"/>
      <c r="E34" s="1298"/>
      <c r="F34" s="1298"/>
      <c r="G34" s="1300"/>
      <c r="H34" s="1301" t="s">
        <v>70</v>
      </c>
      <c r="I34" s="1300"/>
      <c r="J34" s="1298"/>
      <c r="K34" s="1298"/>
      <c r="L34" s="1298"/>
      <c r="M34" s="1302"/>
      <c r="N34" s="1298"/>
      <c r="O34" s="1298"/>
      <c r="P34" s="1298"/>
      <c r="Q34" s="1303"/>
      <c r="R34" s="1303"/>
      <c r="S34" s="1303"/>
      <c r="T34" s="1299"/>
      <c r="U34" s="1304" t="s">
        <v>71</v>
      </c>
      <c r="V34" s="1298"/>
      <c r="W34" s="1298"/>
      <c r="X34" s="1298"/>
      <c r="Y34" s="1298"/>
      <c r="Z34" s="1298"/>
      <c r="AA34" s="1298"/>
      <c r="AB34" s="1298"/>
      <c r="AC34" s="1298"/>
      <c r="AD34" s="1298"/>
      <c r="AE34" s="1298"/>
      <c r="AF34" s="1298"/>
      <c r="AG34" s="1305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1306" t="s">
        <v>28</v>
      </c>
      <c r="B36" s="1307" t="s">
        <v>29</v>
      </c>
      <c r="C36" s="1240">
        <v>1</v>
      </c>
      <c r="D36" s="1240">
        <v>2</v>
      </c>
      <c r="E36" s="1240">
        <v>3</v>
      </c>
      <c r="F36" s="1240">
        <v>4</v>
      </c>
      <c r="G36" s="1241">
        <v>5</v>
      </c>
      <c r="H36" s="1241">
        <v>6</v>
      </c>
      <c r="I36" s="1240">
        <v>7</v>
      </c>
      <c r="J36" s="1240">
        <v>8</v>
      </c>
      <c r="K36" s="1240">
        <v>9</v>
      </c>
      <c r="L36" s="1240">
        <v>10</v>
      </c>
      <c r="M36" s="1240">
        <v>11</v>
      </c>
      <c r="N36" s="1241">
        <v>12</v>
      </c>
      <c r="O36" s="1241">
        <v>13</v>
      </c>
      <c r="P36" s="1240">
        <v>14</v>
      </c>
      <c r="Q36" s="1240">
        <v>15</v>
      </c>
      <c r="R36" s="1240">
        <v>16</v>
      </c>
      <c r="S36" s="1240">
        <v>17</v>
      </c>
      <c r="T36" s="1240">
        <v>18</v>
      </c>
      <c r="U36" s="1241">
        <v>19</v>
      </c>
      <c r="V36" s="1241">
        <v>20</v>
      </c>
      <c r="W36" s="1240">
        <v>21</v>
      </c>
      <c r="X36" s="1240">
        <v>22</v>
      </c>
      <c r="Y36" s="1240">
        <v>23</v>
      </c>
      <c r="Z36" s="1240">
        <v>24</v>
      </c>
      <c r="AA36" s="1240">
        <v>25</v>
      </c>
      <c r="AB36" s="1241">
        <v>26</v>
      </c>
      <c r="AC36" s="1241">
        <v>27</v>
      </c>
      <c r="AD36" s="1240">
        <v>28</v>
      </c>
      <c r="AE36" s="1240">
        <v>29</v>
      </c>
      <c r="AF36" s="1240">
        <v>30</v>
      </c>
      <c r="AG36" s="1242"/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>
        <v>8</v>
      </c>
      <c r="D37" s="349">
        <v>8</v>
      </c>
      <c r="E37" s="361">
        <v>8</v>
      </c>
      <c r="F37" s="361">
        <v>8</v>
      </c>
      <c r="G37" s="361"/>
      <c r="H37" s="361"/>
      <c r="I37" s="361" t="s">
        <v>36</v>
      </c>
      <c r="J37" s="349" t="s">
        <v>36</v>
      </c>
      <c r="K37" s="361" t="s">
        <v>36</v>
      </c>
      <c r="L37" s="361" t="s">
        <v>36</v>
      </c>
      <c r="M37" s="361" t="s">
        <v>36</v>
      </c>
      <c r="N37" s="361"/>
      <c r="O37" s="349"/>
      <c r="P37" s="361">
        <v>1</v>
      </c>
      <c r="Q37" s="570">
        <v>1</v>
      </c>
      <c r="R37" s="571">
        <v>1</v>
      </c>
      <c r="S37" s="361">
        <v>1</v>
      </c>
      <c r="T37" s="361">
        <v>1</v>
      </c>
      <c r="U37" s="361"/>
      <c r="V37" s="361"/>
      <c r="W37" s="361">
        <v>9</v>
      </c>
      <c r="X37" s="350">
        <v>9</v>
      </c>
      <c r="Y37" s="350">
        <v>9</v>
      </c>
      <c r="Z37" s="361">
        <v>9</v>
      </c>
      <c r="AA37" s="361">
        <v>9</v>
      </c>
      <c r="AB37" s="350" t="s">
        <v>76</v>
      </c>
      <c r="AC37" s="350" t="s">
        <v>77</v>
      </c>
      <c r="AD37" s="350" t="s">
        <v>36</v>
      </c>
      <c r="AE37" s="361" t="s">
        <v>36</v>
      </c>
      <c r="AF37" s="361" t="s">
        <v>36</v>
      </c>
      <c r="AG37" s="362"/>
      <c r="AH37" s="181"/>
      <c r="AI37" s="182"/>
    </row>
    <row r="38" spans="1:38" ht="22.35" customHeight="1">
      <c r="A38" s="1308">
        <v>6</v>
      </c>
      <c r="B38" s="1284" t="s">
        <v>75</v>
      </c>
      <c r="C38" s="1309">
        <v>6</v>
      </c>
      <c r="D38" s="1309">
        <v>6</v>
      </c>
      <c r="E38" s="1309">
        <v>6</v>
      </c>
      <c r="F38" s="1309">
        <v>6</v>
      </c>
      <c r="G38" s="1249"/>
      <c r="H38" s="1249"/>
      <c r="I38" s="1310" t="s">
        <v>36</v>
      </c>
      <c r="J38" s="1310" t="s">
        <v>36</v>
      </c>
      <c r="K38" s="1310" t="s">
        <v>36</v>
      </c>
      <c r="L38" s="1310" t="s">
        <v>36</v>
      </c>
      <c r="M38" s="1249" t="s">
        <v>36</v>
      </c>
      <c r="N38" s="1249"/>
      <c r="O38" s="1249"/>
      <c r="P38" s="1249">
        <v>5</v>
      </c>
      <c r="Q38" s="1249">
        <v>5</v>
      </c>
      <c r="R38" s="1311">
        <v>5</v>
      </c>
      <c r="S38" s="1249">
        <v>5</v>
      </c>
      <c r="T38" s="1249">
        <v>5</v>
      </c>
      <c r="U38" s="1249"/>
      <c r="V38" s="1249"/>
      <c r="W38" s="1312" t="s">
        <v>334</v>
      </c>
      <c r="X38" s="1313">
        <v>4</v>
      </c>
      <c r="Y38" s="1313">
        <v>4</v>
      </c>
      <c r="Z38" s="1313">
        <v>4</v>
      </c>
      <c r="AA38" s="1249">
        <v>4</v>
      </c>
      <c r="AB38" s="1249" t="s">
        <v>37</v>
      </c>
      <c r="AC38" s="1249" t="s">
        <v>37</v>
      </c>
      <c r="AD38" s="1249" t="s">
        <v>36</v>
      </c>
      <c r="AE38" s="1249" t="s">
        <v>36</v>
      </c>
      <c r="AF38" s="1249" t="s">
        <v>36</v>
      </c>
      <c r="AG38" s="1314"/>
      <c r="AH38" s="181"/>
      <c r="AI38" s="182"/>
      <c r="AL38" s="572"/>
    </row>
    <row r="39" spans="1:38" ht="22.35" customHeight="1" thickBot="1">
      <c r="A39" s="1315">
        <v>11</v>
      </c>
      <c r="B39" s="1316" t="s">
        <v>79</v>
      </c>
      <c r="C39" s="1240">
        <v>7</v>
      </c>
      <c r="D39" s="1317">
        <v>7</v>
      </c>
      <c r="E39" s="1317">
        <v>7</v>
      </c>
      <c r="F39" s="1317">
        <v>7</v>
      </c>
      <c r="G39" s="1317"/>
      <c r="H39" s="1317"/>
      <c r="I39" s="1318">
        <v>4</v>
      </c>
      <c r="J39" s="1318">
        <v>4</v>
      </c>
      <c r="K39" s="1318">
        <v>4</v>
      </c>
      <c r="L39" s="1318">
        <v>4</v>
      </c>
      <c r="M39" s="1318">
        <v>4</v>
      </c>
      <c r="N39" s="1318"/>
      <c r="O39" s="1319"/>
      <c r="P39" s="1320">
        <v>3</v>
      </c>
      <c r="Q39" s="1320">
        <v>3</v>
      </c>
      <c r="R39" s="1320">
        <v>3</v>
      </c>
      <c r="S39" s="1320">
        <v>3</v>
      </c>
      <c r="T39" s="1320">
        <v>3</v>
      </c>
      <c r="U39" s="1320"/>
      <c r="V39" s="1320"/>
      <c r="W39" s="1320">
        <v>11</v>
      </c>
      <c r="X39" s="1320">
        <v>11</v>
      </c>
      <c r="Y39" s="1320">
        <v>11</v>
      </c>
      <c r="Z39" s="1320">
        <v>11</v>
      </c>
      <c r="AA39" s="1320">
        <v>11</v>
      </c>
      <c r="AB39" s="1320" t="s">
        <v>73</v>
      </c>
      <c r="AC39" s="1320" t="s">
        <v>73</v>
      </c>
      <c r="AD39" s="1320" t="s">
        <v>36</v>
      </c>
      <c r="AE39" s="1320" t="s">
        <v>36</v>
      </c>
      <c r="AF39" s="1320" t="s">
        <v>36</v>
      </c>
      <c r="AG39" s="1321"/>
      <c r="AH39" s="181"/>
      <c r="AI39" s="182"/>
    </row>
    <row r="40" spans="1:38" ht="22.35" customHeight="1">
      <c r="A40" s="359">
        <v>2</v>
      </c>
      <c r="B40" s="175" t="s">
        <v>81</v>
      </c>
      <c r="C40" s="349" t="s">
        <v>36</v>
      </c>
      <c r="D40" s="349" t="s">
        <v>36</v>
      </c>
      <c r="E40" s="349" t="s">
        <v>36</v>
      </c>
      <c r="F40" s="349" t="s">
        <v>36</v>
      </c>
      <c r="G40" s="349"/>
      <c r="H40" s="361"/>
      <c r="I40" s="361">
        <v>1</v>
      </c>
      <c r="J40" s="349">
        <v>1</v>
      </c>
      <c r="K40" s="349">
        <v>1</v>
      </c>
      <c r="L40" s="361">
        <v>1</v>
      </c>
      <c r="M40" s="361">
        <v>1</v>
      </c>
      <c r="N40" s="361"/>
      <c r="O40" s="350"/>
      <c r="P40" s="568">
        <v>9</v>
      </c>
      <c r="Q40" s="569">
        <v>9</v>
      </c>
      <c r="R40" s="569" t="s">
        <v>335</v>
      </c>
      <c r="S40" s="349">
        <v>9</v>
      </c>
      <c r="T40" s="350">
        <v>9</v>
      </c>
      <c r="U40" s="350" t="s">
        <v>76</v>
      </c>
      <c r="V40" s="350" t="s">
        <v>77</v>
      </c>
      <c r="W40" s="350" t="s">
        <v>36</v>
      </c>
      <c r="X40" s="350" t="s">
        <v>36</v>
      </c>
      <c r="Y40" s="361" t="s">
        <v>36</v>
      </c>
      <c r="Z40" s="361" t="s">
        <v>36</v>
      </c>
      <c r="AA40" s="361" t="s">
        <v>36</v>
      </c>
      <c r="AB40" s="361" t="s">
        <v>78</v>
      </c>
      <c r="AC40" s="350" t="s">
        <v>74</v>
      </c>
      <c r="AD40" s="350">
        <v>6</v>
      </c>
      <c r="AE40" s="361">
        <v>6</v>
      </c>
      <c r="AF40" s="361">
        <v>6</v>
      </c>
      <c r="AG40" s="362"/>
      <c r="AH40" s="181"/>
      <c r="AI40" s="182"/>
    </row>
    <row r="41" spans="1:38" ht="22.35" customHeight="1">
      <c r="A41" s="1308">
        <v>7</v>
      </c>
      <c r="B41" s="1255" t="s">
        <v>82</v>
      </c>
      <c r="C41" s="1256" t="s">
        <v>32</v>
      </c>
      <c r="D41" s="1256" t="s">
        <v>32</v>
      </c>
      <c r="E41" s="1256" t="s">
        <v>32</v>
      </c>
      <c r="F41" s="1256" t="s">
        <v>32</v>
      </c>
      <c r="G41" s="1322"/>
      <c r="H41" s="1322"/>
      <c r="I41" s="1256" t="s">
        <v>32</v>
      </c>
      <c r="J41">
        <v>1</v>
      </c>
      <c r="K41">
        <v>1</v>
      </c>
      <c r="L41" s="1256" t="s">
        <v>32</v>
      </c>
      <c r="M41" s="1256" t="s">
        <v>32</v>
      </c>
      <c r="N41" s="1323"/>
      <c r="O41" s="1323"/>
      <c r="P41" s="1256">
        <v>10</v>
      </c>
      <c r="Q41" s="1256">
        <v>10</v>
      </c>
      <c r="R41" s="1256">
        <v>10</v>
      </c>
      <c r="S41" s="1256">
        <v>10</v>
      </c>
      <c r="T41" s="1256">
        <v>10</v>
      </c>
      <c r="U41" s="1324" t="s">
        <v>77</v>
      </c>
      <c r="V41" s="1324" t="s">
        <v>77</v>
      </c>
      <c r="W41" s="1325" t="s">
        <v>36</v>
      </c>
      <c r="X41" s="1322" t="s">
        <v>36</v>
      </c>
      <c r="Y41" s="1322" t="s">
        <v>36</v>
      </c>
      <c r="Z41" s="1322" t="s">
        <v>36</v>
      </c>
      <c r="AA41" s="1322" t="s">
        <v>36</v>
      </c>
      <c r="AB41" s="1322" t="s">
        <v>80</v>
      </c>
      <c r="AC41" s="1322" t="s">
        <v>80</v>
      </c>
      <c r="AD41" s="1322">
        <v>7</v>
      </c>
      <c r="AE41" s="1322">
        <v>7</v>
      </c>
      <c r="AF41" s="1322">
        <v>7</v>
      </c>
      <c r="AG41" s="1326"/>
      <c r="AH41" s="181"/>
      <c r="AI41" s="182"/>
    </row>
    <row r="42" spans="1:38" ht="22.35" customHeight="1" thickBot="1">
      <c r="A42" s="1315">
        <v>12</v>
      </c>
      <c r="B42" s="1327" t="s">
        <v>83</v>
      </c>
      <c r="C42" s="1328">
        <v>4</v>
      </c>
      <c r="D42" s="1328">
        <v>4</v>
      </c>
      <c r="E42" s="1328">
        <v>4</v>
      </c>
      <c r="F42" s="1328">
        <v>4</v>
      </c>
      <c r="G42" s="1328"/>
      <c r="H42" s="1328"/>
      <c r="I42" s="1329">
        <v>3</v>
      </c>
      <c r="J42" s="1329">
        <v>3</v>
      </c>
      <c r="K42" s="1330">
        <v>3</v>
      </c>
      <c r="L42" s="1329">
        <v>3</v>
      </c>
      <c r="M42" s="1329">
        <v>3</v>
      </c>
      <c r="N42" s="1329"/>
      <c r="O42" s="1329"/>
      <c r="P42" s="1329">
        <v>11</v>
      </c>
      <c r="Q42" s="1329">
        <v>11</v>
      </c>
      <c r="R42" s="1329">
        <v>11</v>
      </c>
      <c r="S42" s="1329">
        <v>11</v>
      </c>
      <c r="T42" s="1329">
        <v>11</v>
      </c>
      <c r="U42" s="1331" t="s">
        <v>73</v>
      </c>
      <c r="V42" s="1331" t="s">
        <v>73</v>
      </c>
      <c r="W42" s="1331" t="s">
        <v>36</v>
      </c>
      <c r="X42" s="1329" t="s">
        <v>36</v>
      </c>
      <c r="Y42" s="1329" t="s">
        <v>36</v>
      </c>
      <c r="Z42" s="1329" t="s">
        <v>36</v>
      </c>
      <c r="AA42" s="1329" t="s">
        <v>36</v>
      </c>
      <c r="AB42" s="1329" t="s">
        <v>74</v>
      </c>
      <c r="AC42" s="1330" t="s">
        <v>74</v>
      </c>
      <c r="AD42" s="1330">
        <v>8</v>
      </c>
      <c r="AE42" s="1330">
        <v>8</v>
      </c>
      <c r="AF42" s="1330">
        <v>8</v>
      </c>
      <c r="AG42" s="1242"/>
      <c r="AH42" s="181"/>
      <c r="AI42" s="182"/>
    </row>
    <row r="43" spans="1:38" ht="22.35" customHeight="1">
      <c r="A43" s="359">
        <v>3</v>
      </c>
      <c r="B43" s="363" t="s">
        <v>84</v>
      </c>
      <c r="C43" s="549">
        <v>1</v>
      </c>
      <c r="D43" s="547">
        <v>1</v>
      </c>
      <c r="E43" s="550">
        <v>1</v>
      </c>
      <c r="F43" s="550">
        <v>1</v>
      </c>
      <c r="G43" s="361"/>
      <c r="H43" s="361"/>
      <c r="I43" s="361">
        <v>9</v>
      </c>
      <c r="J43" s="350">
        <v>9</v>
      </c>
      <c r="K43" s="350">
        <v>9</v>
      </c>
      <c r="L43" s="350">
        <v>9</v>
      </c>
      <c r="M43" s="350">
        <v>9</v>
      </c>
      <c r="N43" s="350" t="s">
        <v>76</v>
      </c>
      <c r="O43" s="350" t="s">
        <v>77</v>
      </c>
      <c r="P43" s="350" t="s">
        <v>36</v>
      </c>
      <c r="Q43" s="350" t="s">
        <v>36</v>
      </c>
      <c r="R43" s="361" t="s">
        <v>36</v>
      </c>
      <c r="S43" s="361" t="s">
        <v>36</v>
      </c>
      <c r="T43" s="361" t="s">
        <v>36</v>
      </c>
      <c r="U43" s="361" t="s">
        <v>78</v>
      </c>
      <c r="V43" s="350" t="s">
        <v>74</v>
      </c>
      <c r="W43" s="350">
        <v>6</v>
      </c>
      <c r="X43" s="349">
        <v>6</v>
      </c>
      <c r="Y43" s="361">
        <v>6</v>
      </c>
      <c r="Z43" s="361">
        <v>6</v>
      </c>
      <c r="AA43" s="361">
        <v>6</v>
      </c>
      <c r="AB43" s="361"/>
      <c r="AC43" s="364"/>
      <c r="AD43" s="361" t="s">
        <v>36</v>
      </c>
      <c r="AE43" s="361" t="s">
        <v>36</v>
      </c>
      <c r="AF43" s="361" t="s">
        <v>36</v>
      </c>
      <c r="AG43" s="362"/>
      <c r="AH43" s="181"/>
      <c r="AI43" s="182"/>
    </row>
    <row r="44" spans="1:38" ht="22.35" customHeight="1">
      <c r="A44" s="1308">
        <v>8</v>
      </c>
      <c r="B44" s="1255" t="s">
        <v>85</v>
      </c>
      <c r="C44" s="1332">
        <v>5</v>
      </c>
      <c r="D44" s="1332">
        <v>5</v>
      </c>
      <c r="E44" s="1332">
        <v>5</v>
      </c>
      <c r="F44" s="1332">
        <v>5</v>
      </c>
      <c r="G44" s="1256"/>
      <c r="H44" s="1256"/>
      <c r="I44" s="1322">
        <v>10</v>
      </c>
      <c r="J44" s="1252">
        <v>10</v>
      </c>
      <c r="K44" s="1249">
        <v>10</v>
      </c>
      <c r="L44" s="1249">
        <v>10</v>
      </c>
      <c r="M44" s="1249">
        <v>10</v>
      </c>
      <c r="N44" s="1256" t="s">
        <v>77</v>
      </c>
      <c r="O44" s="1322" t="s">
        <v>77</v>
      </c>
      <c r="P44" s="1322" t="s">
        <v>36</v>
      </c>
      <c r="Q44" s="1322" t="s">
        <v>36</v>
      </c>
      <c r="R44" s="1322" t="s">
        <v>36</v>
      </c>
      <c r="S44" s="1322" t="s">
        <v>36</v>
      </c>
      <c r="T44" s="1322" t="s">
        <v>36</v>
      </c>
      <c r="U44" s="1322" t="s">
        <v>80</v>
      </c>
      <c r="V44" s="1322" t="s">
        <v>80</v>
      </c>
      <c r="W44" s="1322">
        <v>7</v>
      </c>
      <c r="X44" s="1252">
        <v>7</v>
      </c>
      <c r="Y44" s="1322">
        <v>7</v>
      </c>
      <c r="Z44" s="1322">
        <v>7</v>
      </c>
      <c r="AA44" s="1322">
        <v>7</v>
      </c>
      <c r="AB44" s="1322"/>
      <c r="AC44" s="1322"/>
      <c r="AD44" s="1256">
        <v>4</v>
      </c>
      <c r="AE44" s="1256">
        <v>4</v>
      </c>
      <c r="AF44" s="1332">
        <v>4</v>
      </c>
      <c r="AG44" s="1326"/>
      <c r="AH44" s="181"/>
      <c r="AI44" s="182"/>
    </row>
    <row r="45" spans="1:38" ht="22.35" customHeight="1" thickBot="1">
      <c r="A45" s="1315">
        <v>13</v>
      </c>
      <c r="B45" s="1316" t="s">
        <v>86</v>
      </c>
      <c r="C45" s="1240">
        <v>3</v>
      </c>
      <c r="D45" s="1330">
        <v>3</v>
      </c>
      <c r="E45" s="1329">
        <v>3</v>
      </c>
      <c r="F45" s="1329" t="s">
        <v>336</v>
      </c>
      <c r="G45" s="1317"/>
      <c r="H45" s="1317" t="s">
        <v>315</v>
      </c>
      <c r="I45" s="1317">
        <v>11</v>
      </c>
      <c r="J45" s="1240">
        <v>11</v>
      </c>
      <c r="K45" s="1317">
        <v>11</v>
      </c>
      <c r="L45" s="1333">
        <v>11</v>
      </c>
      <c r="M45" s="1317">
        <v>11</v>
      </c>
      <c r="N45" s="1333" t="s">
        <v>73</v>
      </c>
      <c r="O45" s="1333" t="s">
        <v>73</v>
      </c>
      <c r="P45" s="1333" t="s">
        <v>36</v>
      </c>
      <c r="Q45" s="1317" t="s">
        <v>36</v>
      </c>
      <c r="R45" s="1317" t="s">
        <v>36</v>
      </c>
      <c r="S45" s="1317" t="s">
        <v>36</v>
      </c>
      <c r="T45" s="1317" t="s">
        <v>36</v>
      </c>
      <c r="U45" s="1317" t="s">
        <v>74</v>
      </c>
      <c r="V45" s="1317" t="s">
        <v>74</v>
      </c>
      <c r="W45" s="1317">
        <v>8</v>
      </c>
      <c r="X45" s="1317">
        <v>8</v>
      </c>
      <c r="Y45" s="1240">
        <v>8</v>
      </c>
      <c r="Z45" s="1317">
        <v>8</v>
      </c>
      <c r="AA45" s="1317">
        <v>8</v>
      </c>
      <c r="AB45" s="1317"/>
      <c r="AC45" s="1317"/>
      <c r="AD45" s="1317" t="s">
        <v>36</v>
      </c>
      <c r="AE45" s="1240" t="s">
        <v>36</v>
      </c>
      <c r="AF45" s="1317" t="s">
        <v>36</v>
      </c>
      <c r="AG45" s="1321"/>
      <c r="AH45" s="181"/>
      <c r="AI45" s="182"/>
    </row>
    <row r="46" spans="1:38" ht="22.35" customHeight="1">
      <c r="A46" s="359">
        <v>4</v>
      </c>
      <c r="B46" s="360" t="s">
        <v>87</v>
      </c>
      <c r="C46" s="361">
        <v>9</v>
      </c>
      <c r="D46" s="350">
        <v>9</v>
      </c>
      <c r="E46" s="361">
        <v>9</v>
      </c>
      <c r="F46" s="349">
        <v>9</v>
      </c>
      <c r="G46" s="349" t="s">
        <v>76</v>
      </c>
      <c r="H46" s="349" t="s">
        <v>77</v>
      </c>
      <c r="I46" s="349" t="s">
        <v>36</v>
      </c>
      <c r="J46" s="349" t="s">
        <v>36</v>
      </c>
      <c r="K46" s="349" t="s">
        <v>36</v>
      </c>
      <c r="L46" s="349" t="s">
        <v>36</v>
      </c>
      <c r="M46" s="349" t="s">
        <v>36</v>
      </c>
      <c r="N46" s="349" t="s">
        <v>78</v>
      </c>
      <c r="O46" s="349" t="s">
        <v>74</v>
      </c>
      <c r="P46" s="349">
        <v>6</v>
      </c>
      <c r="Q46" s="349">
        <v>6</v>
      </c>
      <c r="R46" s="349">
        <v>6</v>
      </c>
      <c r="S46" s="349">
        <v>6</v>
      </c>
      <c r="T46" s="361">
        <v>6</v>
      </c>
      <c r="U46" s="361"/>
      <c r="V46" s="364"/>
      <c r="W46" s="361" t="s">
        <v>36</v>
      </c>
      <c r="X46" s="361" t="s">
        <v>36</v>
      </c>
      <c r="Y46" s="349" t="s">
        <v>36</v>
      </c>
      <c r="Z46" s="361" t="s">
        <v>36</v>
      </c>
      <c r="AA46" s="361" t="s">
        <v>36</v>
      </c>
      <c r="AB46" s="361"/>
      <c r="AC46" s="361"/>
      <c r="AD46" s="361">
        <v>5</v>
      </c>
      <c r="AE46" s="361">
        <v>5</v>
      </c>
      <c r="AF46" s="361">
        <v>5</v>
      </c>
      <c r="AG46" s="362"/>
      <c r="AH46" s="181"/>
      <c r="AI46" s="182"/>
    </row>
    <row r="47" spans="1:38" ht="22.35" customHeight="1">
      <c r="A47" s="1308">
        <v>9</v>
      </c>
      <c r="B47" s="1255" t="s">
        <v>88</v>
      </c>
      <c r="C47" s="1253">
        <v>10</v>
      </c>
      <c r="D47" s="1253">
        <v>10</v>
      </c>
      <c r="E47" s="1253">
        <v>10</v>
      </c>
      <c r="F47" s="1253">
        <v>10</v>
      </c>
      <c r="G47" s="1253" t="s">
        <v>77</v>
      </c>
      <c r="H47" s="1253" t="s">
        <v>77</v>
      </c>
      <c r="I47" s="1253" t="s">
        <v>36</v>
      </c>
      <c r="J47" s="1253" t="s">
        <v>36</v>
      </c>
      <c r="K47" s="1253" t="s">
        <v>36</v>
      </c>
      <c r="L47" s="1253" t="s">
        <v>36</v>
      </c>
      <c r="M47" s="1253" t="s">
        <v>36</v>
      </c>
      <c r="N47" s="1253" t="s">
        <v>80</v>
      </c>
      <c r="O47" s="1253" t="s">
        <v>80</v>
      </c>
      <c r="P47" s="1322">
        <v>7</v>
      </c>
      <c r="Q47" s="1252">
        <v>7</v>
      </c>
      <c r="R47" s="1322">
        <v>7</v>
      </c>
      <c r="S47" s="1322">
        <v>7</v>
      </c>
      <c r="T47" s="1322">
        <v>7</v>
      </c>
      <c r="U47" s="1322"/>
      <c r="V47" s="1322"/>
      <c r="W47" s="1322">
        <v>4</v>
      </c>
      <c r="X47" s="1322">
        <v>4</v>
      </c>
      <c r="Y47" s="1322">
        <v>4</v>
      </c>
      <c r="Z47" s="1322">
        <v>4</v>
      </c>
      <c r="AA47" s="1322">
        <v>4</v>
      </c>
      <c r="AB47" s="1322"/>
      <c r="AC47" s="1322"/>
      <c r="AD47" s="1322">
        <v>3</v>
      </c>
      <c r="AE47" s="1322">
        <v>3</v>
      </c>
      <c r="AF47" s="1322">
        <v>3</v>
      </c>
      <c r="AG47" s="1326"/>
      <c r="AH47" s="181"/>
      <c r="AI47" s="182"/>
    </row>
    <row r="48" spans="1:38" ht="22.35" customHeight="1" thickBot="1">
      <c r="A48" s="1315">
        <v>14</v>
      </c>
      <c r="B48" s="1316" t="s">
        <v>89</v>
      </c>
      <c r="C48" s="1240">
        <v>11</v>
      </c>
      <c r="D48" s="1317">
        <v>11</v>
      </c>
      <c r="E48" s="1317">
        <v>11</v>
      </c>
      <c r="F48" s="1317">
        <v>11</v>
      </c>
      <c r="G48" s="1333" t="s">
        <v>73</v>
      </c>
      <c r="H48" s="1333" t="s">
        <v>73</v>
      </c>
      <c r="I48" s="1333" t="s">
        <v>36</v>
      </c>
      <c r="J48" s="1317" t="s">
        <v>36</v>
      </c>
      <c r="K48" s="1317" t="s">
        <v>36</v>
      </c>
      <c r="L48" s="1317" t="s">
        <v>36</v>
      </c>
      <c r="M48" s="1317" t="s">
        <v>36</v>
      </c>
      <c r="N48" s="1317" t="s">
        <v>74</v>
      </c>
      <c r="O48" s="1240" t="s">
        <v>74</v>
      </c>
      <c r="P48" s="1320">
        <v>8</v>
      </c>
      <c r="Q48" s="1320">
        <v>8</v>
      </c>
      <c r="R48" s="1320">
        <v>8</v>
      </c>
      <c r="S48" s="1320">
        <v>8</v>
      </c>
      <c r="T48" s="1320">
        <v>8</v>
      </c>
      <c r="U48" s="1320"/>
      <c r="V48" s="1320"/>
      <c r="W48" s="1320" t="s">
        <v>36</v>
      </c>
      <c r="X48" s="1320" t="s">
        <v>36</v>
      </c>
      <c r="Y48" s="1320" t="s">
        <v>36</v>
      </c>
      <c r="Z48" s="1320" t="s">
        <v>36</v>
      </c>
      <c r="AA48" s="1320" t="s">
        <v>36</v>
      </c>
      <c r="AB48" s="1320"/>
      <c r="AC48" s="1320"/>
      <c r="AD48" s="1320">
        <v>1</v>
      </c>
      <c r="AE48" s="1320">
        <v>1</v>
      </c>
      <c r="AF48" s="1320">
        <v>1</v>
      </c>
      <c r="AG48" s="1242"/>
      <c r="AH48" s="181"/>
      <c r="AI48" s="182"/>
    </row>
    <row r="49" spans="1:40" ht="22.35" customHeight="1">
      <c r="A49" s="359">
        <v>5</v>
      </c>
      <c r="B49" s="1255" t="s">
        <v>90</v>
      </c>
      <c r="C49" s="350" t="s">
        <v>36</v>
      </c>
      <c r="D49" s="361" t="s">
        <v>36</v>
      </c>
      <c r="E49" s="361" t="s">
        <v>36</v>
      </c>
      <c r="F49" s="350" t="s">
        <v>36</v>
      </c>
      <c r="G49" s="350" t="s">
        <v>78</v>
      </c>
      <c r="H49" s="350" t="s">
        <v>74</v>
      </c>
      <c r="I49" s="350">
        <v>6</v>
      </c>
      <c r="J49" s="350">
        <v>6</v>
      </c>
      <c r="K49" s="361">
        <v>6</v>
      </c>
      <c r="L49" s="361">
        <v>6</v>
      </c>
      <c r="M49" s="361">
        <v>6</v>
      </c>
      <c r="N49" s="351"/>
      <c r="O49" s="349"/>
      <c r="P49" s="361" t="s">
        <v>36</v>
      </c>
      <c r="Q49" s="361" t="s">
        <v>36</v>
      </c>
      <c r="R49" s="349" t="s">
        <v>36</v>
      </c>
      <c r="S49" s="361" t="s">
        <v>36</v>
      </c>
      <c r="T49" s="361" t="s">
        <v>36</v>
      </c>
      <c r="U49" s="350"/>
      <c r="V49" s="350"/>
      <c r="W49" s="350">
        <v>5</v>
      </c>
      <c r="X49" s="350">
        <v>5</v>
      </c>
      <c r="Y49" s="351">
        <v>5</v>
      </c>
      <c r="Z49" s="547">
        <v>5</v>
      </c>
      <c r="AA49" s="547">
        <v>5</v>
      </c>
      <c r="AB49" s="350"/>
      <c r="AC49" s="350"/>
      <c r="AD49" s="361">
        <v>10</v>
      </c>
      <c r="AE49" s="361" t="s">
        <v>136</v>
      </c>
      <c r="AF49" s="349">
        <v>10</v>
      </c>
      <c r="AG49" s="352"/>
      <c r="AH49" s="181"/>
      <c r="AI49" s="182"/>
    </row>
    <row r="50" spans="1:40" ht="22.35" customHeight="1">
      <c r="A50" s="1308">
        <v>10</v>
      </c>
      <c r="B50" s="1255" t="s">
        <v>91</v>
      </c>
      <c r="C50" s="1322" t="s">
        <v>36</v>
      </c>
      <c r="D50" s="1322" t="s">
        <v>36</v>
      </c>
      <c r="E50" s="1322" t="s">
        <v>36</v>
      </c>
      <c r="F50" s="1256" t="s">
        <v>36</v>
      </c>
      <c r="G50" s="1249" t="s">
        <v>80</v>
      </c>
      <c r="H50" s="1249" t="s">
        <v>80</v>
      </c>
      <c r="I50" s="1249">
        <v>7</v>
      </c>
      <c r="J50" s="1249">
        <v>7</v>
      </c>
      <c r="K50" s="1249">
        <v>7</v>
      </c>
      <c r="L50" s="1249">
        <v>7</v>
      </c>
      <c r="M50" s="1249">
        <v>7</v>
      </c>
      <c r="N50" s="1249"/>
      <c r="O50" s="1249"/>
      <c r="P50" s="1253">
        <v>4</v>
      </c>
      <c r="Q50" s="1253">
        <v>4</v>
      </c>
      <c r="R50" s="1253">
        <v>4</v>
      </c>
      <c r="S50" s="1253">
        <v>4</v>
      </c>
      <c r="T50" s="1253">
        <v>4</v>
      </c>
      <c r="U50" s="1253"/>
      <c r="V50" s="1253"/>
      <c r="W50" s="1253">
        <v>3</v>
      </c>
      <c r="X50" s="1253">
        <v>3</v>
      </c>
      <c r="Y50" s="1253">
        <v>3</v>
      </c>
      <c r="Z50" s="1253">
        <v>3</v>
      </c>
      <c r="AA50" s="1253">
        <v>3</v>
      </c>
      <c r="AB50" s="1253"/>
      <c r="AC50" s="1253"/>
      <c r="AD50" s="1253">
        <v>11</v>
      </c>
      <c r="AE50" s="1253">
        <v>11</v>
      </c>
      <c r="AF50" s="1253">
        <v>11</v>
      </c>
      <c r="AG50" s="1326"/>
      <c r="AH50" s="181"/>
      <c r="AI50" s="182"/>
    </row>
    <row r="51" spans="1:40" ht="22.35" customHeight="1" thickBot="1">
      <c r="A51" s="1315">
        <v>15</v>
      </c>
      <c r="B51" s="1316" t="s">
        <v>92</v>
      </c>
      <c r="C51" s="1317" t="s">
        <v>36</v>
      </c>
      <c r="D51" s="1317" t="s">
        <v>36</v>
      </c>
      <c r="E51" s="1317" t="s">
        <v>36</v>
      </c>
      <c r="F51" s="1333" t="s">
        <v>36</v>
      </c>
      <c r="G51" s="1333" t="s">
        <v>74</v>
      </c>
      <c r="H51" s="1333" t="s">
        <v>74</v>
      </c>
      <c r="I51" s="1333">
        <v>8</v>
      </c>
      <c r="J51" s="1333">
        <v>8</v>
      </c>
      <c r="K51" s="1240">
        <v>8</v>
      </c>
      <c r="L51" s="1317">
        <v>8</v>
      </c>
      <c r="M51" s="1317">
        <v>8</v>
      </c>
      <c r="N51" s="1317"/>
      <c r="O51" s="1317"/>
      <c r="P51" s="1317" t="s">
        <v>36</v>
      </c>
      <c r="Q51" s="1240" t="s">
        <v>36</v>
      </c>
      <c r="R51" s="1317" t="s">
        <v>36</v>
      </c>
      <c r="S51" s="1317" t="s">
        <v>36</v>
      </c>
      <c r="T51" s="1317" t="s">
        <v>36</v>
      </c>
      <c r="U51" s="1317"/>
      <c r="V51" s="1317"/>
      <c r="W51" s="1319">
        <v>1</v>
      </c>
      <c r="X51" s="1317">
        <v>1</v>
      </c>
      <c r="Y51" s="1240">
        <v>1</v>
      </c>
      <c r="Z51" s="1317">
        <v>1</v>
      </c>
      <c r="AA51" s="1317">
        <v>1</v>
      </c>
      <c r="AB51" s="1317"/>
      <c r="AC51" s="1317"/>
      <c r="AD51" s="1317">
        <v>9</v>
      </c>
      <c r="AE51" s="1240">
        <v>9</v>
      </c>
      <c r="AF51" s="1333">
        <v>9</v>
      </c>
      <c r="AG51" s="1334"/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1335" t="s">
        <v>28</v>
      </c>
      <c r="B54" s="1335"/>
      <c r="C54" s="1336"/>
      <c r="D54" s="1335" t="s">
        <v>94</v>
      </c>
      <c r="E54" s="1337"/>
      <c r="F54" s="1336"/>
      <c r="G54" s="1335" t="s">
        <v>95</v>
      </c>
      <c r="H54" s="1337"/>
      <c r="I54" s="1336"/>
      <c r="J54" s="1335" t="s">
        <v>96</v>
      </c>
      <c r="K54" s="1337"/>
      <c r="L54" s="1336"/>
      <c r="M54" s="1335" t="s">
        <v>97</v>
      </c>
      <c r="N54" s="1337"/>
      <c r="O54" s="1336"/>
      <c r="P54" s="1335" t="s">
        <v>98</v>
      </c>
      <c r="Q54" s="1337"/>
      <c r="R54" s="1338"/>
      <c r="S54" s="1339" t="s">
        <v>99</v>
      </c>
      <c r="T54" s="1337"/>
      <c r="U54" s="1336"/>
      <c r="V54" s="1335" t="s">
        <v>100</v>
      </c>
      <c r="W54" s="1337"/>
      <c r="X54" s="1340" t="s">
        <v>101</v>
      </c>
      <c r="Y54" s="1337"/>
      <c r="Z54" s="1337"/>
      <c r="AA54" s="1341"/>
      <c r="AB54" s="1224"/>
      <c r="AC54" s="1224"/>
      <c r="AD54" s="1224"/>
      <c r="AE54" s="1224"/>
      <c r="AF54" s="1224"/>
      <c r="AG54" s="1225"/>
      <c r="AH54" s="1"/>
    </row>
    <row r="55" spans="1:40" ht="22.35" customHeight="1">
      <c r="A55" s="1342">
        <v>8517</v>
      </c>
      <c r="B55" s="1343"/>
      <c r="C55" s="1344"/>
      <c r="D55" s="1345"/>
      <c r="E55" s="1223"/>
      <c r="F55" s="1344"/>
      <c r="G55" s="1345"/>
      <c r="H55" s="1223"/>
      <c r="I55" s="1344"/>
      <c r="J55" s="1345"/>
      <c r="K55" s="1223"/>
      <c r="L55" s="1344"/>
      <c r="M55" s="1345"/>
      <c r="N55" s="1223"/>
      <c r="O55" s="1344"/>
      <c r="P55" s="1345"/>
      <c r="Q55" s="1223"/>
      <c r="R55" s="1344"/>
      <c r="S55" s="1345"/>
      <c r="T55" s="1223"/>
      <c r="U55" s="1344"/>
      <c r="V55" s="1345"/>
      <c r="W55" s="1223"/>
      <c r="X55" s="1221"/>
      <c r="Y55" s="1224"/>
      <c r="Z55" s="1224"/>
      <c r="AA55" s="1224"/>
      <c r="AB55" s="1224"/>
      <c r="AC55" s="1224"/>
      <c r="AD55" s="1224"/>
      <c r="AE55" s="1224"/>
      <c r="AF55" s="1224"/>
      <c r="AG55" s="1225"/>
      <c r="AH55" s="1"/>
    </row>
    <row r="56" spans="1:40" ht="22.35" customHeight="1">
      <c r="B56" s="1247" t="s">
        <v>102</v>
      </c>
      <c r="C56" s="1346" t="s">
        <v>103</v>
      </c>
      <c r="D56" s="1347"/>
      <c r="E56" s="1348"/>
      <c r="F56" s="1346" t="s">
        <v>103</v>
      </c>
      <c r="G56" s="1349"/>
      <c r="H56" s="1348"/>
      <c r="I56" s="1344" t="s">
        <v>103</v>
      </c>
      <c r="J56" s="1345"/>
      <c r="K56" s="1350"/>
      <c r="L56" s="1344" t="s">
        <v>103</v>
      </c>
      <c r="M56" s="1345"/>
      <c r="N56" s="1350"/>
      <c r="O56" s="1344" t="s">
        <v>104</v>
      </c>
      <c r="P56" s="1345"/>
      <c r="Q56" s="1223"/>
      <c r="R56" s="1351" t="s">
        <v>0</v>
      </c>
      <c r="S56" s="1345"/>
      <c r="T56" s="1350"/>
      <c r="U56" s="1345" t="s">
        <v>0</v>
      </c>
      <c r="V56" s="1345"/>
      <c r="W56" s="1223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1352"/>
      <c r="B57" s="1343" t="s">
        <v>105</v>
      </c>
      <c r="C57" s="1344" t="s">
        <v>106</v>
      </c>
      <c r="D57" s="1345"/>
      <c r="E57" s="1223"/>
      <c r="F57" s="1344" t="s">
        <v>106</v>
      </c>
      <c r="G57" s="1345"/>
      <c r="H57" s="1350"/>
      <c r="I57" s="1344" t="s">
        <v>106</v>
      </c>
      <c r="J57" s="1345"/>
      <c r="K57" s="1350"/>
      <c r="L57" s="1344" t="s">
        <v>106</v>
      </c>
      <c r="M57" s="1345"/>
      <c r="N57" s="1350"/>
      <c r="O57" s="1344" t="s">
        <v>106</v>
      </c>
      <c r="P57" s="1345"/>
      <c r="Q57" s="1223"/>
      <c r="R57" s="112"/>
      <c r="S57" s="113"/>
      <c r="T57" s="1350"/>
      <c r="U57" s="1345"/>
      <c r="V57" s="1345"/>
      <c r="W57" s="1223"/>
      <c r="X57" s="1221"/>
      <c r="Y57" s="1224"/>
      <c r="Z57" s="1224"/>
      <c r="AA57" s="1224"/>
      <c r="AB57" s="1224"/>
      <c r="AC57" s="1224"/>
      <c r="AD57" s="1224"/>
      <c r="AE57" s="1224"/>
      <c r="AF57" s="1224"/>
      <c r="AG57" s="1225"/>
      <c r="AH57" s="1"/>
    </row>
    <row r="58" spans="1:40" ht="22.35" customHeight="1">
      <c r="A58" s="1335"/>
      <c r="B58" s="1247"/>
      <c r="C58" s="1353"/>
      <c r="D58" s="1353"/>
      <c r="E58" s="1354"/>
      <c r="F58" s="1353"/>
      <c r="G58" s="1353"/>
      <c r="H58" s="1354"/>
      <c r="I58" s="1353"/>
      <c r="J58" s="1353"/>
      <c r="K58" s="1354"/>
      <c r="L58" s="1353"/>
      <c r="M58" s="1353"/>
      <c r="N58" s="1354"/>
      <c r="O58" s="1353"/>
      <c r="P58" s="1353"/>
      <c r="Q58" s="1354"/>
      <c r="R58" s="1353"/>
      <c r="S58" s="1353"/>
      <c r="T58" s="1354"/>
      <c r="U58" s="1353"/>
      <c r="V58" s="1353"/>
      <c r="W58" s="1354"/>
      <c r="X58" s="1221"/>
      <c r="Y58" s="1224"/>
      <c r="Z58" s="1224"/>
      <c r="AA58" s="1224"/>
      <c r="AB58" s="1224"/>
      <c r="AC58" s="1224"/>
      <c r="AD58" s="1224"/>
      <c r="AE58" s="1224"/>
      <c r="AF58" s="1224"/>
      <c r="AG58" s="1225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1355"/>
      <c r="B60" s="1239" t="s">
        <v>29</v>
      </c>
      <c r="C60" s="1240">
        <v>1</v>
      </c>
      <c r="D60" s="1240">
        <v>2</v>
      </c>
      <c r="E60" s="1240">
        <v>3</v>
      </c>
      <c r="F60" s="1240">
        <v>4</v>
      </c>
      <c r="G60" s="1241">
        <v>5</v>
      </c>
      <c r="H60" s="1241">
        <v>6</v>
      </c>
      <c r="I60" s="1240">
        <v>7</v>
      </c>
      <c r="J60" s="1240">
        <v>8</v>
      </c>
      <c r="K60" s="1240">
        <v>9</v>
      </c>
      <c r="L60" s="1240">
        <v>10</v>
      </c>
      <c r="M60" s="1240">
        <v>11</v>
      </c>
      <c r="N60" s="1241">
        <v>12</v>
      </c>
      <c r="O60" s="1241">
        <v>13</v>
      </c>
      <c r="P60" s="1240">
        <v>14</v>
      </c>
      <c r="Q60" s="1240">
        <v>15</v>
      </c>
      <c r="R60" s="1240">
        <v>16</v>
      </c>
      <c r="S60" s="1240">
        <v>17</v>
      </c>
      <c r="T60" s="1240">
        <v>18</v>
      </c>
      <c r="U60" s="1241">
        <v>19</v>
      </c>
      <c r="V60" s="1241">
        <v>20</v>
      </c>
      <c r="W60" s="1240">
        <v>21</v>
      </c>
      <c r="X60" s="1240">
        <v>22</v>
      </c>
      <c r="Y60" s="1240">
        <v>23</v>
      </c>
      <c r="Z60" s="1240">
        <v>24</v>
      </c>
      <c r="AA60" s="1240">
        <v>25</v>
      </c>
      <c r="AB60" s="1241">
        <v>26</v>
      </c>
      <c r="AC60" s="1241">
        <v>27</v>
      </c>
      <c r="AD60" s="1240">
        <v>28</v>
      </c>
      <c r="AE60" s="1240">
        <v>29</v>
      </c>
      <c r="AF60" s="1240">
        <v>30</v>
      </c>
      <c r="AG60" s="1242"/>
      <c r="AH60" s="1"/>
      <c r="AJ60" s="1243" t="s">
        <v>30</v>
      </c>
      <c r="AK60" s="1243" t="s">
        <v>43</v>
      </c>
      <c r="AL60" s="1243" t="s">
        <v>44</v>
      </c>
      <c r="AM60" s="1243" t="s">
        <v>45</v>
      </c>
      <c r="AN60" s="1243" t="s">
        <v>46</v>
      </c>
    </row>
    <row r="61" spans="1:40" ht="22.35" customHeight="1">
      <c r="A61" s="303"/>
      <c r="B61" s="304" t="s">
        <v>107</v>
      </c>
      <c r="C61" s="1273" t="s">
        <v>32</v>
      </c>
      <c r="D61" s="1273" t="s">
        <v>32</v>
      </c>
      <c r="E61" s="1273" t="s">
        <v>32</v>
      </c>
      <c r="F61" s="1273" t="s">
        <v>32</v>
      </c>
      <c r="G61" s="349"/>
      <c r="H61" s="349"/>
      <c r="I61" s="349">
        <v>25</v>
      </c>
      <c r="J61" s="349">
        <v>25</v>
      </c>
      <c r="K61" s="349">
        <v>25</v>
      </c>
      <c r="L61" s="350">
        <v>25</v>
      </c>
      <c r="M61" s="350">
        <v>25</v>
      </c>
      <c r="N61" s="349"/>
      <c r="O61" s="349"/>
      <c r="P61" s="349" t="s">
        <v>108</v>
      </c>
      <c r="Q61" s="349" t="s">
        <v>108</v>
      </c>
      <c r="R61" s="349" t="s">
        <v>108</v>
      </c>
      <c r="S61" s="350" t="s">
        <v>108</v>
      </c>
      <c r="T61" s="350" t="s">
        <v>108</v>
      </c>
      <c r="U61" s="349" t="s">
        <v>109</v>
      </c>
      <c r="V61" s="349" t="s">
        <v>109</v>
      </c>
      <c r="W61" s="350" t="s">
        <v>36</v>
      </c>
      <c r="X61" s="350" t="s">
        <v>36</v>
      </c>
      <c r="Y61" s="350" t="s">
        <v>36</v>
      </c>
      <c r="Z61" s="350">
        <v>4</v>
      </c>
      <c r="AA61" s="350">
        <v>4</v>
      </c>
      <c r="AB61" s="349"/>
      <c r="AC61" s="349"/>
      <c r="AD61" s="350">
        <v>21</v>
      </c>
      <c r="AE61" s="350">
        <v>21</v>
      </c>
      <c r="AF61" s="350">
        <v>21</v>
      </c>
      <c r="AG61" s="397"/>
      <c r="AH61" s="1"/>
      <c r="AJ61" s="1269">
        <v>178.5</v>
      </c>
      <c r="AK61" s="1269">
        <v>12</v>
      </c>
      <c r="AL61" s="1269">
        <f>IF(AJ61="","",SUM(AJ61:AK61))</f>
        <v>190.5</v>
      </c>
      <c r="AM61" s="1270">
        <f t="shared" ref="AM61:AM75" si="1">IF(AJ61="","",AL61-NormTid)</f>
        <v>30.169999999999987</v>
      </c>
      <c r="AN61" s="1270">
        <f>IF(AM61="","",AM61+'Maj 2021'!AN61)</f>
        <v>52.769999999999975</v>
      </c>
    </row>
    <row r="62" spans="1:40" ht="22.35" customHeight="1">
      <c r="A62" s="1356"/>
      <c r="B62" s="1357" t="s">
        <v>110</v>
      </c>
      <c r="C62" s="1273">
        <v>1</v>
      </c>
      <c r="D62" s="1273">
        <v>1</v>
      </c>
      <c r="E62" s="1273">
        <v>1</v>
      </c>
      <c r="F62" s="1273">
        <v>1</v>
      </c>
      <c r="G62" s="1273"/>
      <c r="H62" s="1273"/>
      <c r="I62" s="1358" t="s">
        <v>132</v>
      </c>
      <c r="J62" s="1358" t="s">
        <v>132</v>
      </c>
      <c r="K62" s="1358" t="s">
        <v>132</v>
      </c>
      <c r="L62" s="1358" t="s">
        <v>132</v>
      </c>
      <c r="M62" s="1358" t="s">
        <v>132</v>
      </c>
      <c r="N62" s="1358" t="s">
        <v>111</v>
      </c>
      <c r="O62" s="1358"/>
      <c r="P62" s="1359">
        <v>25</v>
      </c>
      <c r="Q62" s="1360">
        <v>25</v>
      </c>
      <c r="R62" s="1359">
        <v>25</v>
      </c>
      <c r="S62" s="1273">
        <v>25</v>
      </c>
      <c r="T62" s="1273">
        <v>25</v>
      </c>
      <c r="U62" s="1359"/>
      <c r="V62" s="1359"/>
      <c r="W62" t="s">
        <v>32</v>
      </c>
      <c r="X62" t="s">
        <v>32</v>
      </c>
      <c r="Y62" s="1273" t="s">
        <v>32</v>
      </c>
      <c r="Z62" t="s">
        <v>32</v>
      </c>
      <c r="AA62" t="s">
        <v>32</v>
      </c>
      <c r="AB62" s="1273" t="s">
        <v>111</v>
      </c>
      <c r="AC62" s="1273"/>
      <c r="AD62" s="1273">
        <v>1</v>
      </c>
      <c r="AE62" s="1273">
        <v>1</v>
      </c>
      <c r="AF62" s="1273">
        <v>1</v>
      </c>
      <c r="AG62" s="1277"/>
      <c r="AH62" s="1"/>
      <c r="AJ62" s="1269">
        <v>156</v>
      </c>
      <c r="AK62" s="1269">
        <v>5.5</v>
      </c>
      <c r="AL62" s="1269">
        <f t="shared" ref="AL62:AL75" si="2">IF(AJ62="","",SUM(AJ62:AK62))</f>
        <v>161.5</v>
      </c>
      <c r="AM62" s="1270">
        <f t="shared" si="1"/>
        <v>1.1699999999999875</v>
      </c>
      <c r="AN62" s="1270">
        <f>IF(AM62="","",AM62+'Maj 2021'!AN62)</f>
        <v>28.759999999999977</v>
      </c>
    </row>
    <row r="63" spans="1:40" ht="22.35" customHeight="1">
      <c r="A63" s="1356"/>
      <c r="B63" s="1356" t="s">
        <v>112</v>
      </c>
      <c r="C63" s="1361">
        <v>25</v>
      </c>
      <c r="D63" s="1362">
        <v>25</v>
      </c>
      <c r="E63" s="1361">
        <v>25</v>
      </c>
      <c r="F63" s="1361">
        <v>25</v>
      </c>
      <c r="G63" s="1361"/>
      <c r="H63" s="1361"/>
      <c r="I63" s="1361" t="s">
        <v>32</v>
      </c>
      <c r="J63" s="1361" t="s">
        <v>124</v>
      </c>
      <c r="K63" t="s">
        <v>32</v>
      </c>
      <c r="L63" s="1361" t="s">
        <v>32</v>
      </c>
      <c r="M63" s="1361" t="s">
        <v>36</v>
      </c>
      <c r="N63" s="1361" t="s">
        <v>80</v>
      </c>
      <c r="O63" s="1361" t="s">
        <v>80</v>
      </c>
      <c r="P63" s="1363">
        <v>8</v>
      </c>
      <c r="Q63" s="1361">
        <v>8</v>
      </c>
      <c r="R63" s="1363">
        <v>8</v>
      </c>
      <c r="S63" s="1363">
        <v>8</v>
      </c>
      <c r="T63" s="1363">
        <v>8</v>
      </c>
      <c r="U63" s="1359"/>
      <c r="V63" s="1359"/>
      <c r="W63" s="1359" t="s">
        <v>116</v>
      </c>
      <c r="X63" s="1273" t="s">
        <v>116</v>
      </c>
      <c r="Y63" s="1359" t="s">
        <v>116</v>
      </c>
      <c r="Z63" s="1273" t="s">
        <v>116</v>
      </c>
      <c r="AA63" s="1273" t="s">
        <v>116</v>
      </c>
      <c r="AB63" s="1273" t="s">
        <v>109</v>
      </c>
      <c r="AC63" s="1273" t="s">
        <v>109</v>
      </c>
      <c r="AD63" s="1359" t="s">
        <v>36</v>
      </c>
      <c r="AE63" s="1359" t="s">
        <v>36</v>
      </c>
      <c r="AF63" s="1359" t="s">
        <v>36</v>
      </c>
      <c r="AG63" s="1277"/>
      <c r="AH63" s="1"/>
      <c r="AJ63" s="1269">
        <v>182.75</v>
      </c>
      <c r="AK63" s="1269">
        <v>12</v>
      </c>
      <c r="AL63" s="1269">
        <f t="shared" si="2"/>
        <v>194.75</v>
      </c>
      <c r="AM63" s="1270">
        <f t="shared" si="1"/>
        <v>34.419999999999987</v>
      </c>
      <c r="AN63" s="1270">
        <f>IF(AM63="","",AM63+'Maj 2021'!AN63)</f>
        <v>53.259999999999977</v>
      </c>
    </row>
    <row r="64" spans="1:40" ht="22.35" customHeight="1">
      <c r="A64" s="1356"/>
      <c r="B64" s="1356" t="s">
        <v>114</v>
      </c>
      <c r="C64" s="1273" t="s">
        <v>36</v>
      </c>
      <c r="D64" s="1273" t="s">
        <v>36</v>
      </c>
      <c r="E64" s="1273" t="s">
        <v>122</v>
      </c>
      <c r="F64" s="1273" t="s">
        <v>50</v>
      </c>
      <c r="G64" s="1273"/>
      <c r="H64" s="1273"/>
      <c r="I64" s="1273" t="s">
        <v>108</v>
      </c>
      <c r="J64" s="1273" t="s">
        <v>108</v>
      </c>
      <c r="K64" s="1273" t="s">
        <v>108</v>
      </c>
      <c r="L64" s="1273" t="s">
        <v>108</v>
      </c>
      <c r="M64" s="1273" t="s">
        <v>108</v>
      </c>
      <c r="N64" s="1359" t="s">
        <v>109</v>
      </c>
      <c r="O64" s="1359" t="s">
        <v>109</v>
      </c>
      <c r="P64" s="1359" t="s">
        <v>36</v>
      </c>
      <c r="Q64" s="1359" t="s">
        <v>36</v>
      </c>
      <c r="R64" s="1359" t="s">
        <v>36</v>
      </c>
      <c r="S64" s="1364" t="s">
        <v>32</v>
      </c>
      <c r="T64" s="1364" t="s">
        <v>32</v>
      </c>
      <c r="U64" s="1359"/>
      <c r="V64" s="1359"/>
      <c r="W64" s="1359">
        <v>10</v>
      </c>
      <c r="X64" s="1273">
        <v>10</v>
      </c>
      <c r="Y64" s="1359">
        <v>10</v>
      </c>
      <c r="Z64" s="1273">
        <v>10</v>
      </c>
      <c r="AA64" s="1273">
        <v>10</v>
      </c>
      <c r="AB64" s="1273" t="s">
        <v>337</v>
      </c>
      <c r="AC64" s="1273" t="s">
        <v>337</v>
      </c>
      <c r="AD64" s="1273" t="s">
        <v>36</v>
      </c>
      <c r="AE64" s="1273" t="s">
        <v>36</v>
      </c>
      <c r="AF64" s="1273" t="s">
        <v>36</v>
      </c>
      <c r="AG64" s="979"/>
      <c r="AH64" s="1"/>
      <c r="AJ64" s="1269">
        <v>158.25</v>
      </c>
      <c r="AK64" s="1269">
        <v>9.75</v>
      </c>
      <c r="AL64" s="1269">
        <f t="shared" si="2"/>
        <v>168</v>
      </c>
      <c r="AM64" s="1270">
        <f t="shared" si="1"/>
        <v>7.6699999999999875</v>
      </c>
      <c r="AN64" s="1270">
        <f>IF(AM64="","",AM64+'Maj 2021'!AN64)</f>
        <v>82.509999999999977</v>
      </c>
    </row>
    <row r="65" spans="1:40" ht="22.35" customHeight="1">
      <c r="A65" s="1356"/>
      <c r="B65" s="1356" t="s">
        <v>117</v>
      </c>
      <c r="C65" s="1273">
        <v>6</v>
      </c>
      <c r="D65" s="1365">
        <v>6</v>
      </c>
      <c r="E65" s="1273">
        <v>6</v>
      </c>
      <c r="F65" s="1273">
        <v>6</v>
      </c>
      <c r="G65" s="1365"/>
      <c r="H65" s="1365"/>
      <c r="I65" s="1273" t="s">
        <v>50</v>
      </c>
      <c r="J65" s="1273" t="s">
        <v>50</v>
      </c>
      <c r="K65" s="1273" t="s">
        <v>50</v>
      </c>
      <c r="L65" s="1273" t="s">
        <v>50</v>
      </c>
      <c r="M65" s="1273" t="s">
        <v>50</v>
      </c>
      <c r="N65" s="1359">
        <v>89</v>
      </c>
      <c r="O65" s="1359"/>
      <c r="P65" s="1273" t="s">
        <v>32</v>
      </c>
      <c r="Q65" s="1273" t="s">
        <v>32</v>
      </c>
      <c r="R65" s="1273" t="s">
        <v>32</v>
      </c>
      <c r="S65" s="1273" t="s">
        <v>32</v>
      </c>
      <c r="T65" s="1273" t="s">
        <v>32</v>
      </c>
      <c r="U65" s="1359"/>
      <c r="V65" s="1359"/>
      <c r="W65" s="1359" t="s">
        <v>50</v>
      </c>
      <c r="X65" s="1359" t="s">
        <v>50</v>
      </c>
      <c r="Y65" s="1359" t="s">
        <v>50</v>
      </c>
      <c r="Z65" s="1273" t="s">
        <v>50</v>
      </c>
      <c r="AA65" s="1273" t="s">
        <v>50</v>
      </c>
      <c r="AB65" s="1273"/>
      <c r="AC65" s="1273"/>
      <c r="AD65" s="1273" t="s">
        <v>124</v>
      </c>
      <c r="AE65" s="1273" t="s">
        <v>124</v>
      </c>
      <c r="AF65" s="1273" t="s">
        <v>124</v>
      </c>
      <c r="AG65" s="1277"/>
      <c r="AH65" s="1"/>
      <c r="AJ65" s="1269">
        <v>166.5</v>
      </c>
      <c r="AK65" s="1269">
        <v>5.25</v>
      </c>
      <c r="AL65" s="1269">
        <f t="shared" si="2"/>
        <v>171.75</v>
      </c>
      <c r="AM65" s="1270">
        <f t="shared" si="1"/>
        <v>11.419999999999987</v>
      </c>
      <c r="AN65" s="1270">
        <f>IF(AM65="","",AM65+'Maj 2021'!AN65)</f>
        <v>1.2599999999999749</v>
      </c>
    </row>
    <row r="66" spans="1:40" ht="22.35" customHeight="1">
      <c r="A66" s="1356"/>
      <c r="B66" s="1356" t="s">
        <v>119</v>
      </c>
      <c r="C66" s="1366" t="s">
        <v>32</v>
      </c>
      <c r="D66" s="1366" t="s">
        <v>32</v>
      </c>
      <c r="E66" s="1366" t="s">
        <v>32</v>
      </c>
      <c r="F66" s="1366" t="s">
        <v>32</v>
      </c>
      <c r="G66" s="1366"/>
      <c r="H66" s="1366"/>
      <c r="I66" s="1367" t="s">
        <v>32</v>
      </c>
      <c r="J66" s="1367" t="s">
        <v>32</v>
      </c>
      <c r="K66" s="1367" t="s">
        <v>32</v>
      </c>
      <c r="L66" s="1367" t="s">
        <v>32</v>
      </c>
      <c r="M66" s="1367" t="s">
        <v>32</v>
      </c>
      <c r="N66" s="1366"/>
      <c r="O66" s="1366"/>
      <c r="P66" s="1366" t="s">
        <v>32</v>
      </c>
      <c r="Q66" s="1368" t="s">
        <v>32</v>
      </c>
      <c r="R66" s="1366" t="s">
        <v>32</v>
      </c>
      <c r="S66" s="1367" t="s">
        <v>32</v>
      </c>
      <c r="T66" s="1367" t="s">
        <v>32</v>
      </c>
      <c r="U66" s="1366"/>
      <c r="V66" s="1366"/>
      <c r="W66" s="1366" t="s">
        <v>32</v>
      </c>
      <c r="X66" s="1367" t="s">
        <v>32</v>
      </c>
      <c r="Y66" s="1366" t="s">
        <v>32</v>
      </c>
      <c r="Z66" s="1367" t="s">
        <v>32</v>
      </c>
      <c r="AA66" s="1367" t="s">
        <v>32</v>
      </c>
      <c r="AB66" s="1367"/>
      <c r="AC66" s="1367"/>
      <c r="AD66" s="1367" t="s">
        <v>32</v>
      </c>
      <c r="AE66" s="1367" t="s">
        <v>32</v>
      </c>
      <c r="AF66" s="1367" t="s">
        <v>32</v>
      </c>
      <c r="AG66" s="1277"/>
      <c r="AH66" s="1"/>
      <c r="AJ66" s="1269"/>
      <c r="AK66" s="1269"/>
      <c r="AL66" s="1269" t="str">
        <f t="shared" si="2"/>
        <v/>
      </c>
      <c r="AM66" s="1270" t="str">
        <f t="shared" si="1"/>
        <v/>
      </c>
      <c r="AN66" s="1270" t="str">
        <f>IF(AM66="","",AM66+'Maj 2021'!AN66)</f>
        <v/>
      </c>
    </row>
    <row r="67" spans="1:40" ht="22.35" customHeight="1">
      <c r="A67" s="1356"/>
      <c r="B67" s="1356" t="s">
        <v>120</v>
      </c>
      <c r="C67" s="1273" t="s">
        <v>122</v>
      </c>
      <c r="D67" s="1273" t="s">
        <v>122</v>
      </c>
      <c r="E67" s="1273" t="s">
        <v>122</v>
      </c>
      <c r="F67" s="1273" t="s">
        <v>122</v>
      </c>
      <c r="G67" s="1273"/>
      <c r="H67" s="1273"/>
      <c r="I67" s="1359" t="s">
        <v>122</v>
      </c>
      <c r="J67" s="1359" t="s">
        <v>122</v>
      </c>
      <c r="K67" s="1359" t="s">
        <v>122</v>
      </c>
      <c r="L67" s="1359" t="s">
        <v>122</v>
      </c>
      <c r="M67" s="1359" t="s">
        <v>122</v>
      </c>
      <c r="N67" s="1269"/>
      <c r="O67" s="1359"/>
      <c r="P67" s="1359" t="s">
        <v>122</v>
      </c>
      <c r="Q67" s="1359" t="s">
        <v>122</v>
      </c>
      <c r="R67" s="1359" t="s">
        <v>122</v>
      </c>
      <c r="S67" s="1359" t="s">
        <v>122</v>
      </c>
      <c r="T67" s="1359" t="s">
        <v>122</v>
      </c>
      <c r="U67" s="1269"/>
      <c r="V67" s="1359"/>
      <c r="W67" s="1366" t="s">
        <v>122</v>
      </c>
      <c r="X67" s="1367" t="s">
        <v>122</v>
      </c>
      <c r="Y67" s="1366" t="s">
        <v>121</v>
      </c>
      <c r="Z67" s="1273" t="s">
        <v>122</v>
      </c>
      <c r="AA67" s="1273" t="s">
        <v>122</v>
      </c>
      <c r="AB67" s="1364" t="s">
        <v>111</v>
      </c>
      <c r="AC67" s="1273" t="s">
        <v>111</v>
      </c>
      <c r="AD67" s="1273" t="s">
        <v>122</v>
      </c>
      <c r="AE67" s="1273" t="s">
        <v>122</v>
      </c>
      <c r="AF67" s="1273" t="s">
        <v>122</v>
      </c>
      <c r="AG67" s="1277"/>
      <c r="AH67" s="1"/>
      <c r="AJ67" s="1269">
        <v>163.5</v>
      </c>
      <c r="AK67" s="1269">
        <v>0</v>
      </c>
      <c r="AL67" s="1269">
        <f t="shared" si="2"/>
        <v>163.5</v>
      </c>
      <c r="AM67" s="1270">
        <f t="shared" si="1"/>
        <v>3.1699999999999875</v>
      </c>
      <c r="AN67" s="1270">
        <f>IF(AM67="","",AM67+'Maj 2021'!AN67)</f>
        <v>-1.410000000000025</v>
      </c>
    </row>
    <row r="68" spans="1:40" ht="22.35" customHeight="1">
      <c r="A68" s="1369"/>
      <c r="B68" s="1357" t="s">
        <v>123</v>
      </c>
      <c r="C68" s="1370" t="s">
        <v>32</v>
      </c>
      <c r="D68" s="1370" t="s">
        <v>32</v>
      </c>
      <c r="E68" s="1370" t="s">
        <v>32</v>
      </c>
      <c r="F68" s="1370" t="s">
        <v>32</v>
      </c>
      <c r="G68" s="1370"/>
      <c r="H68" s="1370"/>
      <c r="I68" s="1370" t="s">
        <v>32</v>
      </c>
      <c r="J68" s="1370" t="s">
        <v>32</v>
      </c>
      <c r="K68" s="1370" t="s">
        <v>32</v>
      </c>
      <c r="L68" s="1370" t="s">
        <v>32</v>
      </c>
      <c r="M68" s="1370" t="s">
        <v>32</v>
      </c>
      <c r="N68" s="1363"/>
      <c r="O68" s="1371"/>
      <c r="P68" s="1359">
        <v>23</v>
      </c>
      <c r="Q68" s="1372">
        <v>23</v>
      </c>
      <c r="R68" s="1373">
        <v>23</v>
      </c>
      <c r="S68" s="1365">
        <v>23</v>
      </c>
      <c r="T68" s="1273">
        <v>23</v>
      </c>
      <c r="U68" s="1359">
        <v>23</v>
      </c>
      <c r="V68" s="1359">
        <v>23</v>
      </c>
      <c r="W68" s="1359" t="s">
        <v>36</v>
      </c>
      <c r="X68" s="1359" t="s">
        <v>36</v>
      </c>
      <c r="Y68" s="1359" t="s">
        <v>36</v>
      </c>
      <c r="Z68" t="s">
        <v>32</v>
      </c>
      <c r="AA68" t="s">
        <v>32</v>
      </c>
      <c r="AB68" s="1273"/>
      <c r="AC68" s="1273"/>
      <c r="AD68" s="1273">
        <v>25</v>
      </c>
      <c r="AE68" s="1273">
        <v>25</v>
      </c>
      <c r="AF68" s="1273">
        <v>25</v>
      </c>
      <c r="AG68" s="1277"/>
      <c r="AH68" s="1"/>
      <c r="AJ68" s="1269">
        <v>169.25</v>
      </c>
      <c r="AK68" s="1269">
        <v>7.25</v>
      </c>
      <c r="AL68" s="1269">
        <f t="shared" si="2"/>
        <v>176.5</v>
      </c>
      <c r="AM68" s="1270">
        <f t="shared" si="1"/>
        <v>16.169999999999987</v>
      </c>
      <c r="AN68" s="1270">
        <f>IF(AM68="","",AM68+'Maj 2021'!AN68)</f>
        <v>35.759999999999977</v>
      </c>
    </row>
    <row r="69" spans="1:40" ht="22.35" customHeight="1">
      <c r="A69" s="1356"/>
      <c r="B69" s="1356" t="s">
        <v>128</v>
      </c>
      <c r="C69" s="1361" t="s">
        <v>118</v>
      </c>
      <c r="D69" s="1361" t="s">
        <v>118</v>
      </c>
      <c r="E69" s="1361" t="s">
        <v>118</v>
      </c>
      <c r="F69" s="1361" t="s">
        <v>118</v>
      </c>
      <c r="G69" s="1273"/>
      <c r="H69" s="1273"/>
      <c r="I69" s="1273" t="s">
        <v>118</v>
      </c>
      <c r="J69" s="1273" t="s">
        <v>118</v>
      </c>
      <c r="K69" s="1273" t="s">
        <v>118</v>
      </c>
      <c r="L69" s="1273" t="s">
        <v>118</v>
      </c>
      <c r="M69" s="1273" t="s">
        <v>118</v>
      </c>
      <c r="N69" s="1359"/>
      <c r="O69" s="1359"/>
      <c r="P69" s="1359" t="s">
        <v>118</v>
      </c>
      <c r="Q69" s="1359" t="s">
        <v>118</v>
      </c>
      <c r="R69" s="1359" t="s">
        <v>118</v>
      </c>
      <c r="S69" s="1359" t="s">
        <v>118</v>
      </c>
      <c r="T69" s="1359" t="s">
        <v>118</v>
      </c>
      <c r="U69" s="1359"/>
      <c r="V69" s="1359"/>
      <c r="W69" s="1273" t="s">
        <v>118</v>
      </c>
      <c r="X69" s="1273" t="s">
        <v>118</v>
      </c>
      <c r="Y69" s="1273" t="s">
        <v>118</v>
      </c>
      <c r="Z69" s="1273" t="s">
        <v>118</v>
      </c>
      <c r="AA69" s="1273" t="s">
        <v>118</v>
      </c>
      <c r="AB69" s="1273"/>
      <c r="AC69" s="1273"/>
      <c r="AD69" s="1273" t="s">
        <v>118</v>
      </c>
      <c r="AE69" s="1273" t="s">
        <v>118</v>
      </c>
      <c r="AF69" s="1273" t="s">
        <v>118</v>
      </c>
      <c r="AG69" s="1277"/>
      <c r="AH69" s="1"/>
      <c r="AJ69" s="1269">
        <v>162.75</v>
      </c>
      <c r="AK69" s="1269">
        <v>0.75</v>
      </c>
      <c r="AL69" s="1269">
        <f t="shared" si="2"/>
        <v>163.5</v>
      </c>
      <c r="AM69" s="1270">
        <f t="shared" si="1"/>
        <v>3.1699999999999875</v>
      </c>
      <c r="AN69" s="1270">
        <f>IF(AM69="","",AM69+'Maj 2021'!AN69)</f>
        <v>-1.7400000000000251</v>
      </c>
    </row>
    <row r="70" spans="1:40" ht="22.35" customHeight="1">
      <c r="A70" s="1356"/>
      <c r="B70" s="1356" t="s">
        <v>130</v>
      </c>
      <c r="C70" s="1273" t="s">
        <v>126</v>
      </c>
      <c r="D70" s="1273" t="s">
        <v>32</v>
      </c>
      <c r="E70" t="s">
        <v>242</v>
      </c>
      <c r="F70" s="1273">
        <v>4</v>
      </c>
      <c r="G70" s="1252" t="s">
        <v>32</v>
      </c>
      <c r="H70" s="1277"/>
      <c r="I70" s="1273" t="s">
        <v>32</v>
      </c>
      <c r="J70" s="1273" t="s">
        <v>32</v>
      </c>
      <c r="K70" s="1273" t="s">
        <v>32</v>
      </c>
      <c r="L70" s="1273" t="s">
        <v>32</v>
      </c>
      <c r="M70" s="1273" t="s">
        <v>32</v>
      </c>
      <c r="N70" s="1365" t="s">
        <v>32</v>
      </c>
      <c r="O70" s="1365" t="s">
        <v>32</v>
      </c>
      <c r="P70" t="s">
        <v>32</v>
      </c>
      <c r="Q70" t="s">
        <v>32</v>
      </c>
      <c r="R70" s="1273" t="s">
        <v>32</v>
      </c>
      <c r="S70" t="s">
        <v>32</v>
      </c>
      <c r="T70" t="s">
        <v>32</v>
      </c>
      <c r="U70" s="1359"/>
      <c r="V70" s="1359"/>
      <c r="W70" s="1273" t="s">
        <v>32</v>
      </c>
      <c r="X70" s="1273" t="s">
        <v>32</v>
      </c>
      <c r="Y70" s="1273" t="s">
        <v>122</v>
      </c>
      <c r="Z70" s="1273" t="s">
        <v>32</v>
      </c>
      <c r="AA70" s="1273" t="s">
        <v>32</v>
      </c>
      <c r="AB70" s="1273">
        <v>89</v>
      </c>
      <c r="AC70" s="1273"/>
      <c r="AD70" s="1273" t="s">
        <v>173</v>
      </c>
      <c r="AE70" s="1273" t="s">
        <v>173</v>
      </c>
      <c r="AF70" s="1273" t="s">
        <v>173</v>
      </c>
      <c r="AG70" s="1277"/>
      <c r="AH70" s="1"/>
      <c r="AJ70" s="1269">
        <v>183</v>
      </c>
      <c r="AK70" s="1269">
        <v>5.5</v>
      </c>
      <c r="AL70" s="1269">
        <f t="shared" si="2"/>
        <v>188.5</v>
      </c>
      <c r="AM70" s="1270">
        <f t="shared" si="1"/>
        <v>28.169999999999987</v>
      </c>
      <c r="AN70" s="1270">
        <f>IF(AM70="","",AM70+'Maj 2021'!AN70)</f>
        <v>27.259999999999977</v>
      </c>
    </row>
    <row r="71" spans="1:40" ht="22.35" customHeight="1">
      <c r="A71" s="1356"/>
      <c r="B71" s="1356" t="s">
        <v>131</v>
      </c>
      <c r="C71" s="1273" t="s">
        <v>132</v>
      </c>
      <c r="D71" s="1273" t="s">
        <v>132</v>
      </c>
      <c r="E71" s="1273" t="s">
        <v>132</v>
      </c>
      <c r="F71" s="1273" t="s">
        <v>132</v>
      </c>
      <c r="G71" s="1273"/>
      <c r="H71" s="1273"/>
      <c r="I71" s="1273">
        <v>3</v>
      </c>
      <c r="J71" s="1273">
        <v>3</v>
      </c>
      <c r="K71" s="1273">
        <v>3</v>
      </c>
      <c r="L71" s="1273">
        <v>3</v>
      </c>
      <c r="M71" s="1273">
        <v>3</v>
      </c>
      <c r="N71" s="1365" t="s">
        <v>32</v>
      </c>
      <c r="O71" s="1273"/>
      <c r="P71" s="1370" t="s">
        <v>32</v>
      </c>
      <c r="Q71" s="1370" t="s">
        <v>32</v>
      </c>
      <c r="R71" s="1370" t="s">
        <v>32</v>
      </c>
      <c r="S71" s="1370" t="s">
        <v>32</v>
      </c>
      <c r="T71" s="1370" t="s">
        <v>32</v>
      </c>
      <c r="U71" s="1370"/>
      <c r="V71" s="1370"/>
      <c r="W71" s="1370" t="s">
        <v>32</v>
      </c>
      <c r="X71" s="1370" t="s">
        <v>32</v>
      </c>
      <c r="Y71" s="1370" t="s">
        <v>32</v>
      </c>
      <c r="Z71" s="1370" t="s">
        <v>32</v>
      </c>
      <c r="AA71" s="1370" t="s">
        <v>32</v>
      </c>
      <c r="AB71" s="1370"/>
      <c r="AC71" s="1370"/>
      <c r="AD71" s="1370" t="s">
        <v>32</v>
      </c>
      <c r="AE71" s="1370" t="s">
        <v>32</v>
      </c>
      <c r="AF71" s="1370" t="s">
        <v>32</v>
      </c>
      <c r="AG71" s="1277"/>
      <c r="AH71" s="1"/>
      <c r="AJ71" s="1269">
        <v>166.75</v>
      </c>
      <c r="AK71" s="1269">
        <v>0</v>
      </c>
      <c r="AL71" s="1269">
        <f t="shared" si="2"/>
        <v>166.75</v>
      </c>
      <c r="AM71" s="1270">
        <f t="shared" si="1"/>
        <v>6.4199999999999875</v>
      </c>
      <c r="AN71" s="1270">
        <f>IF(AM71="","",AM71+'Maj 2021'!AN71)</f>
        <v>24.519999999999975</v>
      </c>
    </row>
    <row r="72" spans="1:40" ht="22.35" customHeight="1">
      <c r="A72" s="1356"/>
      <c r="B72" s="1356" t="s">
        <v>133</v>
      </c>
      <c r="C72" s="1273" t="s">
        <v>50</v>
      </c>
      <c r="D72" s="1273" t="s">
        <v>50</v>
      </c>
      <c r="E72" s="1273" t="s">
        <v>50</v>
      </c>
      <c r="F72" s="1273" t="s">
        <v>50</v>
      </c>
      <c r="G72" s="1273"/>
      <c r="H72" s="1273"/>
      <c r="I72" s="1273" t="s">
        <v>32</v>
      </c>
      <c r="J72" s="1273" t="s">
        <v>52</v>
      </c>
      <c r="K72" t="s">
        <v>32</v>
      </c>
      <c r="L72" s="1273" t="s">
        <v>32</v>
      </c>
      <c r="M72" s="1273" t="s">
        <v>50</v>
      </c>
      <c r="N72" s="1273" t="s">
        <v>111</v>
      </c>
      <c r="O72" s="1273" t="s">
        <v>111</v>
      </c>
      <c r="P72" s="1273" t="s">
        <v>50</v>
      </c>
      <c r="Q72" s="1273" t="s">
        <v>50</v>
      </c>
      <c r="R72" s="1273" t="s">
        <v>50</v>
      </c>
      <c r="S72" s="1273" t="s">
        <v>50</v>
      </c>
      <c r="T72" s="1273" t="s">
        <v>50</v>
      </c>
      <c r="U72" s="1273"/>
      <c r="V72" s="1273"/>
      <c r="W72" s="1273">
        <v>25</v>
      </c>
      <c r="X72" s="1273">
        <v>25</v>
      </c>
      <c r="Y72" s="1273">
        <v>25</v>
      </c>
      <c r="Z72" s="1273">
        <v>25</v>
      </c>
      <c r="AA72" s="1273">
        <v>25</v>
      </c>
      <c r="AB72" s="1273"/>
      <c r="AC72" s="1273"/>
      <c r="AD72" s="1273" t="s">
        <v>50</v>
      </c>
      <c r="AE72" s="1273" t="s">
        <v>50</v>
      </c>
      <c r="AF72" s="1273" t="s">
        <v>50</v>
      </c>
      <c r="AG72" s="1277"/>
      <c r="AH72" s="1"/>
      <c r="AJ72" s="1269">
        <v>158</v>
      </c>
      <c r="AK72" s="1269">
        <v>3.75</v>
      </c>
      <c r="AL72" s="1269">
        <f t="shared" si="2"/>
        <v>161.75</v>
      </c>
      <c r="AM72" s="1270">
        <f t="shared" si="1"/>
        <v>1.4199999999999875</v>
      </c>
      <c r="AN72" s="1270">
        <f>IF(AM72="","",AM72+'Maj 2021'!AN72)</f>
        <v>-4.9800000000000253</v>
      </c>
    </row>
    <row r="73" spans="1:40" ht="22.35" customHeight="1">
      <c r="A73" s="1374"/>
      <c r="B73" s="1369" t="s">
        <v>134</v>
      </c>
      <c r="C73" s="1273">
        <v>10</v>
      </c>
      <c r="D73" s="1273">
        <v>10</v>
      </c>
      <c r="E73" s="1273">
        <v>10</v>
      </c>
      <c r="F73" s="1273">
        <v>10</v>
      </c>
      <c r="G73" s="1273" t="s">
        <v>77</v>
      </c>
      <c r="H73" s="1273" t="s">
        <v>77</v>
      </c>
      <c r="I73" s="1273" t="s">
        <v>36</v>
      </c>
      <c r="J73" s="1273" t="s">
        <v>36</v>
      </c>
      <c r="K73" s="1273" t="s">
        <v>36</v>
      </c>
      <c r="L73" s="1273" t="s">
        <v>36</v>
      </c>
      <c r="M73" s="1273" t="s">
        <v>36</v>
      </c>
      <c r="N73" s="1375"/>
      <c r="O73" s="1375"/>
      <c r="P73" s="1273">
        <v>4</v>
      </c>
      <c r="Q73" s="1273">
        <v>4</v>
      </c>
      <c r="R73" s="1273">
        <v>4</v>
      </c>
      <c r="S73" s="1367" t="s">
        <v>334</v>
      </c>
      <c r="T73" s="1358" t="s">
        <v>338</v>
      </c>
      <c r="U73" s="1375"/>
      <c r="V73" s="1375"/>
      <c r="W73" s="1376" t="s">
        <v>124</v>
      </c>
      <c r="X73" s="1376" t="s">
        <v>124</v>
      </c>
      <c r="Y73" s="1376" t="s">
        <v>135</v>
      </c>
      <c r="Z73" s="1376" t="s">
        <v>135</v>
      </c>
      <c r="AA73" s="1376" t="s">
        <v>135</v>
      </c>
      <c r="AB73" s="1376" t="s">
        <v>111</v>
      </c>
      <c r="AC73" s="1376" t="s">
        <v>315</v>
      </c>
      <c r="AD73" s="1358" t="s">
        <v>339</v>
      </c>
      <c r="AE73" s="1372">
        <v>5</v>
      </c>
      <c r="AF73" s="1358" t="s">
        <v>339</v>
      </c>
      <c r="AG73" s="979"/>
      <c r="AH73" s="1"/>
      <c r="AJ73" s="1269"/>
      <c r="AK73" s="1269"/>
      <c r="AL73" s="1269" t="str">
        <f t="shared" si="2"/>
        <v/>
      </c>
      <c r="AM73" s="1270" t="str">
        <f t="shared" si="1"/>
        <v/>
      </c>
      <c r="AN73" s="1270" t="str">
        <f>IF(AM73="","",AM73+'Maj 2021'!AN73)</f>
        <v/>
      </c>
    </row>
    <row r="74" spans="1:40" ht="22.35" customHeight="1">
      <c r="A74" s="1356"/>
      <c r="B74" s="1356" t="s">
        <v>137</v>
      </c>
      <c r="C74" s="1377" t="s">
        <v>32</v>
      </c>
      <c r="D74" s="1378" t="s">
        <v>32</v>
      </c>
      <c r="E74" s="1378" t="s">
        <v>32</v>
      </c>
      <c r="F74" s="1378" t="s">
        <v>32</v>
      </c>
      <c r="G74" s="1273"/>
      <c r="H74" s="1273"/>
      <c r="I74" s="1378" t="s">
        <v>32</v>
      </c>
      <c r="J74" s="1377" t="s">
        <v>32</v>
      </c>
      <c r="K74" s="1378" t="s">
        <v>32</v>
      </c>
      <c r="L74" s="1378" t="s">
        <v>32</v>
      </c>
      <c r="M74" s="1378" t="s">
        <v>32</v>
      </c>
      <c r="N74" s="1273"/>
      <c r="O74" s="1273"/>
      <c r="P74" s="1378" t="s">
        <v>32</v>
      </c>
      <c r="Q74" s="1377" t="s">
        <v>32</v>
      </c>
      <c r="R74" s="1378" t="s">
        <v>32</v>
      </c>
      <c r="S74" s="1366" t="s">
        <v>32</v>
      </c>
      <c r="T74" s="1366" t="s">
        <v>278</v>
      </c>
      <c r="U74" s="1273"/>
      <c r="V74" s="1273"/>
      <c r="W74" s="1378" t="s">
        <v>32</v>
      </c>
      <c r="X74" s="1377" t="s">
        <v>32</v>
      </c>
      <c r="Y74" s="1378" t="s">
        <v>32</v>
      </c>
      <c r="Z74" s="1378" t="s">
        <v>32</v>
      </c>
      <c r="AA74" s="1378" t="s">
        <v>32</v>
      </c>
      <c r="AB74" s="1273"/>
      <c r="AC74" s="1273"/>
      <c r="AD74" s="1378" t="s">
        <v>32</v>
      </c>
      <c r="AE74" s="1377" t="s">
        <v>32</v>
      </c>
      <c r="AF74" s="1378" t="s">
        <v>32</v>
      </c>
      <c r="AG74" s="1378"/>
      <c r="AH74" s="1378"/>
      <c r="AJ74" s="1269"/>
      <c r="AK74" s="1269"/>
      <c r="AL74" s="1269" t="str">
        <f t="shared" si="2"/>
        <v/>
      </c>
      <c r="AM74" s="1270" t="str">
        <f t="shared" si="1"/>
        <v/>
      </c>
      <c r="AN74" s="1270" t="str">
        <f>IF(AM74="","",AM74+'Maj 2021'!AN74)</f>
        <v/>
      </c>
    </row>
    <row r="75" spans="1:40" ht="22.35" customHeight="1">
      <c r="B75" t="s">
        <v>340</v>
      </c>
      <c r="AD75">
        <v>11</v>
      </c>
      <c r="AE75">
        <v>11</v>
      </c>
      <c r="AF75">
        <v>11</v>
      </c>
      <c r="AJ75" s="1269"/>
      <c r="AK75" s="1269"/>
      <c r="AL75" s="1269" t="str">
        <f t="shared" si="2"/>
        <v/>
      </c>
      <c r="AM75" s="1270" t="str">
        <f t="shared" si="1"/>
        <v/>
      </c>
      <c r="AN75" s="1270" t="str">
        <f>IF(AM75="","",AM75+'Maj 2021'!AN75)</f>
        <v/>
      </c>
    </row>
    <row r="76" spans="1:40" ht="22.35" customHeight="1">
      <c r="AJ76" s="1269"/>
      <c r="AK76" s="1269"/>
      <c r="AL76" s="1269" t="str">
        <f t="shared" ref="AL76" si="3">IF(AJ76="","",SUM(AJ76:AK76))</f>
        <v/>
      </c>
      <c r="AM76" s="1270" t="str">
        <f t="shared" ref="AM76" si="4">IF(AJ76="","",AL76-NormTid)</f>
        <v/>
      </c>
      <c r="AN76" s="1270" t="str">
        <f>IF(AM76="","",AM76+'Maj 2021'!AN76)</f>
        <v/>
      </c>
    </row>
    <row r="77" spans="1:40" ht="22.35" customHeight="1" thickBot="1">
      <c r="A77" s="786"/>
      <c r="B77" s="787" t="s">
        <v>138</v>
      </c>
      <c r="C77" s="1379">
        <v>1</v>
      </c>
      <c r="D77" s="1379">
        <v>2</v>
      </c>
      <c r="E77" s="1379">
        <v>3</v>
      </c>
      <c r="F77" s="1379">
        <v>4</v>
      </c>
      <c r="G77" s="1380">
        <v>5</v>
      </c>
      <c r="H77" s="1380">
        <v>6</v>
      </c>
      <c r="I77" s="1379">
        <v>7</v>
      </c>
      <c r="J77" s="1379">
        <v>8</v>
      </c>
      <c r="K77" s="1379">
        <v>9</v>
      </c>
      <c r="L77" s="1379">
        <v>10</v>
      </c>
      <c r="M77" s="1379">
        <v>11</v>
      </c>
      <c r="N77" s="1380">
        <v>12</v>
      </c>
      <c r="O77" s="1380">
        <v>13</v>
      </c>
      <c r="P77" s="1379">
        <v>14</v>
      </c>
      <c r="Q77" s="1379">
        <v>15</v>
      </c>
      <c r="R77" s="1379">
        <v>16</v>
      </c>
      <c r="S77" s="1379">
        <v>17</v>
      </c>
      <c r="T77" s="1379">
        <v>18</v>
      </c>
      <c r="U77" s="1380">
        <v>19</v>
      </c>
      <c r="V77" s="1380">
        <v>20</v>
      </c>
      <c r="W77" s="1379">
        <v>21</v>
      </c>
      <c r="X77" s="1379">
        <v>22</v>
      </c>
      <c r="Y77" s="1379">
        <v>23</v>
      </c>
      <c r="Z77" s="1379">
        <v>24</v>
      </c>
      <c r="AA77" s="1379">
        <v>25</v>
      </c>
      <c r="AB77" s="1380">
        <v>26</v>
      </c>
      <c r="AC77" s="1380">
        <v>27</v>
      </c>
      <c r="AD77" s="1379">
        <v>28</v>
      </c>
      <c r="AE77" s="1379">
        <v>29</v>
      </c>
      <c r="AF77" s="1379">
        <v>30</v>
      </c>
      <c r="AG77" s="1381"/>
      <c r="AH77" s="1"/>
    </row>
    <row r="78" spans="1:40" ht="22.35" customHeight="1">
      <c r="A78" s="308"/>
      <c r="B78" s="308" t="s">
        <v>139</v>
      </c>
      <c r="C78" s="1256" t="s">
        <v>36</v>
      </c>
      <c r="D78" s="1256" t="s">
        <v>36</v>
      </c>
      <c r="E78" s="1256" t="s">
        <v>36</v>
      </c>
      <c r="F78" s="1256" t="s">
        <v>36</v>
      </c>
      <c r="G78" s="1322"/>
      <c r="H78" s="1322"/>
      <c r="I78" s="1323">
        <v>89</v>
      </c>
      <c r="J78" s="1323">
        <v>89</v>
      </c>
      <c r="K78" s="1323">
        <v>89</v>
      </c>
      <c r="L78" s="1323">
        <v>89</v>
      </c>
      <c r="M78" s="1323">
        <v>89</v>
      </c>
      <c r="N78" s="1323"/>
      <c r="O78" s="1323"/>
      <c r="P78" s="1256">
        <v>11</v>
      </c>
      <c r="Q78" s="1256">
        <v>11</v>
      </c>
      <c r="R78" s="1256">
        <v>11</v>
      </c>
      <c r="S78" s="1256">
        <v>11</v>
      </c>
      <c r="T78" s="1256">
        <v>11</v>
      </c>
      <c r="U78" s="1324" t="s">
        <v>73</v>
      </c>
      <c r="V78" s="1324" t="s">
        <v>73</v>
      </c>
      <c r="W78" s="1324" t="s">
        <v>36</v>
      </c>
      <c r="X78" s="1322" t="s">
        <v>36</v>
      </c>
      <c r="Y78" s="1322" t="s">
        <v>36</v>
      </c>
      <c r="Z78" s="1322" t="s">
        <v>36</v>
      </c>
      <c r="AA78" s="1322" t="s">
        <v>36</v>
      </c>
      <c r="AB78" s="1322" t="s">
        <v>74</v>
      </c>
      <c r="AC78" s="1322" t="s">
        <v>74</v>
      </c>
      <c r="AD78" s="1322" t="s">
        <v>341</v>
      </c>
      <c r="AE78" s="1322" t="s">
        <v>341</v>
      </c>
      <c r="AF78" s="1322" t="s">
        <v>341</v>
      </c>
      <c r="AG78" s="311"/>
      <c r="AH78" s="1"/>
    </row>
    <row r="79" spans="1:40" ht="22.35" customHeight="1">
      <c r="A79" s="1357"/>
      <c r="B79" s="1357" t="s">
        <v>140</v>
      </c>
      <c r="C79" s="1382">
        <v>8</v>
      </c>
      <c r="D79" s="1382">
        <v>8</v>
      </c>
      <c r="E79" s="1382">
        <v>8</v>
      </c>
      <c r="F79" s="1382">
        <v>8</v>
      </c>
      <c r="G79" s="1273"/>
      <c r="H79" s="1273"/>
      <c r="I79" s="1273">
        <v>5</v>
      </c>
      <c r="J79" s="1273">
        <v>5</v>
      </c>
      <c r="K79" s="1281">
        <v>5</v>
      </c>
      <c r="L79" s="1281">
        <v>5</v>
      </c>
      <c r="M79" s="1281">
        <v>5</v>
      </c>
      <c r="N79" s="1363"/>
      <c r="O79" s="1363"/>
      <c r="P79" t="s">
        <v>32</v>
      </c>
      <c r="Q79" t="s">
        <v>32</v>
      </c>
      <c r="R79" t="s">
        <v>32</v>
      </c>
      <c r="S79" t="s">
        <v>32</v>
      </c>
      <c r="T79" t="s">
        <v>32</v>
      </c>
      <c r="U79" s="1269"/>
      <c r="V79" s="1269"/>
      <c r="W79" s="1273">
        <v>11</v>
      </c>
      <c r="X79" s="1365">
        <v>11</v>
      </c>
      <c r="Y79" s="1273">
        <v>11</v>
      </c>
      <c r="Z79" s="1273">
        <v>11</v>
      </c>
      <c r="AA79" s="1273">
        <v>11</v>
      </c>
      <c r="AB79" s="1273" t="s">
        <v>73</v>
      </c>
      <c r="AC79" s="1273" t="s">
        <v>73</v>
      </c>
      <c r="AD79" s="557" t="s">
        <v>36</v>
      </c>
      <c r="AE79" s="557" t="s">
        <v>36</v>
      </c>
      <c r="AF79" s="557" t="s">
        <v>36</v>
      </c>
      <c r="AG79" s="1277"/>
      <c r="AH79" s="1"/>
    </row>
    <row r="80" spans="1:40" ht="22.35" customHeight="1">
      <c r="A80" s="1383"/>
      <c r="B80" s="1357" t="s">
        <v>342</v>
      </c>
      <c r="C80" s="1273"/>
      <c r="D80" s="1273"/>
      <c r="E80" s="1273"/>
      <c r="F80" s="1273"/>
      <c r="G80" s="1273"/>
      <c r="H80" s="1273"/>
      <c r="I80" s="1384">
        <v>89</v>
      </c>
      <c r="J80" s="1384">
        <v>89</v>
      </c>
      <c r="K80" s="1384">
        <v>89</v>
      </c>
      <c r="L80" s="1384">
        <v>89</v>
      </c>
      <c r="M80" s="1384">
        <v>89</v>
      </c>
      <c r="N80" s="1273"/>
      <c r="O80" s="1363"/>
      <c r="P80" s="1382">
        <v>6</v>
      </c>
      <c r="Q80" s="1382">
        <v>6</v>
      </c>
      <c r="R80" s="1275">
        <v>6</v>
      </c>
      <c r="S80" s="1382">
        <v>6</v>
      </c>
      <c r="T80" s="1275">
        <v>6</v>
      </c>
      <c r="U80" s="1273"/>
      <c r="V80" s="1273"/>
      <c r="W80" s="1273">
        <v>69</v>
      </c>
      <c r="X80" s="1273" t="s">
        <v>124</v>
      </c>
      <c r="Y80" s="1273" t="s">
        <v>135</v>
      </c>
      <c r="Z80" s="1273" t="s">
        <v>135</v>
      </c>
      <c r="AA80" s="1273" t="s">
        <v>135</v>
      </c>
      <c r="AB80" s="1273"/>
      <c r="AC80" s="1273"/>
      <c r="AD80" s="1273" t="s">
        <v>135</v>
      </c>
      <c r="AE80" s="1273" t="s">
        <v>135</v>
      </c>
      <c r="AF80" s="1273" t="s">
        <v>135</v>
      </c>
      <c r="AG80" s="979"/>
      <c r="AH80" s="1"/>
    </row>
    <row r="81" spans="1:35" ht="22.35" customHeight="1" thickBot="1">
      <c r="A81" s="994"/>
      <c r="B81" s="995"/>
      <c r="C81" s="996"/>
      <c r="D81" s="997"/>
      <c r="E81" s="997"/>
      <c r="F81" s="997"/>
      <c r="G81" s="997"/>
      <c r="H81" s="997"/>
      <c r="I81" s="996"/>
      <c r="J81" s="996"/>
      <c r="K81" s="997"/>
      <c r="L81" s="997"/>
      <c r="M81" s="997"/>
      <c r="N81" s="997"/>
      <c r="O81" s="997"/>
      <c r="P81" s="998"/>
      <c r="Q81" s="998"/>
      <c r="R81" s="996"/>
      <c r="S81" s="998"/>
      <c r="T81" s="998"/>
      <c r="U81" s="998"/>
      <c r="V81" s="998"/>
      <c r="W81" s="998"/>
      <c r="X81" s="996"/>
      <c r="Y81" s="998"/>
      <c r="Z81" s="998"/>
      <c r="AA81" s="998"/>
      <c r="AB81" s="998"/>
      <c r="AC81" s="996"/>
      <c r="AD81" s="998"/>
      <c r="AE81" s="998"/>
      <c r="AF81" s="996"/>
      <c r="AG81" s="999"/>
      <c r="AH81" s="1"/>
    </row>
    <row r="82" spans="1:35" ht="22.35" customHeight="1" thickBot="1">
      <c r="A82" s="205"/>
      <c r="B82" s="206" t="s">
        <v>142</v>
      </c>
      <c r="C82" s="203"/>
      <c r="D82" s="207"/>
      <c r="E82" s="207"/>
      <c r="F82" s="207"/>
      <c r="G82" s="207"/>
      <c r="H82" s="207"/>
      <c r="I82" s="203"/>
      <c r="J82" s="203"/>
      <c r="K82" s="207"/>
      <c r="L82" s="207"/>
      <c r="M82" s="207"/>
      <c r="N82" s="207"/>
      <c r="O82" s="207"/>
      <c r="P82" s="203"/>
      <c r="Q82" s="203"/>
      <c r="R82" s="203"/>
      <c r="S82" s="208"/>
      <c r="T82" s="208"/>
      <c r="U82" s="208"/>
      <c r="V82" s="203"/>
      <c r="W82" s="203"/>
      <c r="X82" s="203"/>
      <c r="Y82" s="203"/>
      <c r="Z82" s="203"/>
      <c r="AA82" s="203"/>
      <c r="AB82" s="203"/>
      <c r="AC82" s="203"/>
      <c r="AD82" s="203"/>
      <c r="AE82" s="203"/>
      <c r="AF82" s="203"/>
      <c r="AG82" s="225"/>
      <c r="AH82" s="1"/>
    </row>
    <row r="83" spans="1:35" ht="22.35" customHeight="1" thickBot="1">
      <c r="A83" s="204"/>
      <c r="B83" s="508"/>
      <c r="C83" s="203" t="s">
        <v>32</v>
      </c>
      <c r="D83" s="203" t="s">
        <v>32</v>
      </c>
      <c r="E83" s="203" t="s">
        <v>32</v>
      </c>
      <c r="F83" s="203" t="s">
        <v>32</v>
      </c>
      <c r="G83" s="203"/>
      <c r="H83" s="203"/>
      <c r="I83" s="203" t="s">
        <v>32</v>
      </c>
      <c r="J83" s="203" t="s">
        <v>32</v>
      </c>
      <c r="K83" s="203" t="s">
        <v>32</v>
      </c>
      <c r="L83" s="203" t="s">
        <v>32</v>
      </c>
      <c r="M83" s="203" t="s">
        <v>32</v>
      </c>
      <c r="N83" s="509"/>
      <c r="O83" s="509"/>
      <c r="P83" s="509" t="s">
        <v>32</v>
      </c>
      <c r="Q83" s="510" t="s">
        <v>32</v>
      </c>
      <c r="R83" s="509" t="s">
        <v>32</v>
      </c>
      <c r="S83" s="203" t="s">
        <v>32</v>
      </c>
      <c r="T83" s="203" t="s">
        <v>32</v>
      </c>
      <c r="U83" s="509"/>
      <c r="V83" s="509"/>
      <c r="W83" s="509" t="s">
        <v>32</v>
      </c>
      <c r="X83" s="203" t="s">
        <v>32</v>
      </c>
      <c r="Y83" s="509" t="s">
        <v>32</v>
      </c>
      <c r="Z83" s="203"/>
      <c r="AA83" s="203"/>
      <c r="AB83" s="203"/>
      <c r="AC83" s="203"/>
      <c r="AD83" s="203" t="s">
        <v>32</v>
      </c>
      <c r="AE83" s="203" t="s">
        <v>32</v>
      </c>
      <c r="AF83" s="203" t="s">
        <v>32</v>
      </c>
      <c r="AG83" s="225"/>
      <c r="AH83" s="1"/>
    </row>
    <row r="84" spans="1:35" ht="22.35" customHeight="1">
      <c r="A84" s="64" t="s">
        <v>143</v>
      </c>
      <c r="AH84" s="1"/>
    </row>
    <row r="85" spans="1:35" ht="22.35" customHeight="1" thickBot="1">
      <c r="A85" s="1385"/>
      <c r="B85" s="1307" t="s">
        <v>29</v>
      </c>
      <c r="C85" s="1240">
        <v>1</v>
      </c>
      <c r="D85" s="1240">
        <v>2</v>
      </c>
      <c r="E85" s="1240">
        <v>3</v>
      </c>
      <c r="F85" s="1240">
        <v>4</v>
      </c>
      <c r="G85" s="1241">
        <v>5</v>
      </c>
      <c r="H85" s="1241">
        <v>6</v>
      </c>
      <c r="I85" s="1240">
        <v>7</v>
      </c>
      <c r="J85" s="1240">
        <v>8</v>
      </c>
      <c r="K85" s="1240">
        <v>9</v>
      </c>
      <c r="L85" s="1240">
        <v>10</v>
      </c>
      <c r="M85" s="1240">
        <v>11</v>
      </c>
      <c r="N85" s="1241">
        <v>12</v>
      </c>
      <c r="O85" s="1241">
        <v>13</v>
      </c>
      <c r="P85" s="1240">
        <v>14</v>
      </c>
      <c r="Q85" s="1240">
        <v>15</v>
      </c>
      <c r="R85" s="1240">
        <v>16</v>
      </c>
      <c r="S85" s="1240">
        <v>17</v>
      </c>
      <c r="T85" s="1240">
        <v>18</v>
      </c>
      <c r="U85" s="1241">
        <v>19</v>
      </c>
      <c r="V85" s="1241">
        <v>20</v>
      </c>
      <c r="W85" s="1240">
        <v>21</v>
      </c>
      <c r="X85" s="1240">
        <v>22</v>
      </c>
      <c r="Y85" s="1240">
        <v>23</v>
      </c>
      <c r="Z85" s="1240">
        <v>24</v>
      </c>
      <c r="AA85" s="1240">
        <v>25</v>
      </c>
      <c r="AB85" s="1241">
        <v>26</v>
      </c>
      <c r="AC85" s="1241">
        <v>27</v>
      </c>
      <c r="AD85" s="1240">
        <v>28</v>
      </c>
      <c r="AE85" s="1240">
        <v>29</v>
      </c>
      <c r="AF85" s="1240">
        <v>30</v>
      </c>
      <c r="AG85" s="1242"/>
      <c r="AH85" s="1"/>
    </row>
    <row r="86" spans="1:35" ht="22.35" customHeight="1">
      <c r="A86" s="365"/>
      <c r="B86" s="366" t="s">
        <v>144</v>
      </c>
      <c r="C86" s="349"/>
      <c r="D86" s="364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52"/>
      <c r="AH86" s="1"/>
    </row>
    <row r="87" spans="1:35" ht="22.35" customHeight="1">
      <c r="A87" s="1386">
        <v>2</v>
      </c>
      <c r="B87" s="1255"/>
      <c r="C87" s="1252"/>
      <c r="D87" s="1252"/>
      <c r="E87" s="1252"/>
      <c r="F87" s="1249"/>
      <c r="G87" s="1249"/>
      <c r="H87" s="1249"/>
      <c r="I87" s="1249"/>
      <c r="J87" s="1249"/>
      <c r="K87" s="1249"/>
      <c r="L87" s="1249"/>
      <c r="M87" s="1249"/>
      <c r="N87" s="1249"/>
      <c r="O87" s="1249"/>
      <c r="P87" s="1249"/>
      <c r="Q87" s="1249"/>
      <c r="R87" s="1387"/>
      <c r="S87" s="1387"/>
      <c r="T87" s="1387"/>
      <c r="U87" s="1387"/>
      <c r="V87" s="1387"/>
      <c r="W87" s="1252"/>
      <c r="X87" s="1252"/>
      <c r="Y87" s="1387"/>
      <c r="Z87" s="1387"/>
      <c r="AA87" s="1387"/>
      <c r="AB87" s="1387"/>
      <c r="AC87" s="1387"/>
      <c r="AD87" s="1252"/>
      <c r="AE87" s="1252"/>
      <c r="AF87" s="1387"/>
      <c r="AG87" s="1388"/>
      <c r="AH87" s="1"/>
    </row>
    <row r="88" spans="1:35" ht="22.35" customHeight="1">
      <c r="A88" s="1386">
        <v>3</v>
      </c>
      <c r="B88" s="1255"/>
      <c r="C88" s="1252"/>
      <c r="D88" s="1252"/>
      <c r="E88" s="1252"/>
      <c r="F88" s="1252"/>
      <c r="G88" s="1252"/>
      <c r="H88" s="1252"/>
      <c r="I88" s="1252"/>
      <c r="J88" s="1252"/>
      <c r="K88" s="1252"/>
      <c r="L88" s="1252"/>
      <c r="M88" s="1252"/>
      <c r="N88" s="1252"/>
      <c r="O88" s="1252"/>
      <c r="P88" s="1252"/>
      <c r="Q88" s="1252"/>
      <c r="R88" s="1252"/>
      <c r="S88" s="1252"/>
      <c r="T88" s="1252"/>
      <c r="U88" s="1252"/>
      <c r="V88" s="1252"/>
      <c r="W88" s="1252"/>
      <c r="X88" s="1252"/>
      <c r="Y88" s="1252"/>
      <c r="Z88" s="1252"/>
      <c r="AA88" s="1252"/>
      <c r="AB88" s="1252"/>
      <c r="AC88" s="1252"/>
      <c r="AD88" s="1252"/>
      <c r="AE88" s="1252"/>
      <c r="AF88" s="1252"/>
      <c r="AG88" s="1314"/>
      <c r="AH88" s="1"/>
    </row>
    <row r="89" spans="1:35" ht="22.35" customHeight="1" thickBot="1">
      <c r="A89" s="1355">
        <v>4</v>
      </c>
      <c r="B89" s="1316"/>
      <c r="C89" s="1389"/>
      <c r="D89" s="1389"/>
      <c r="E89" s="1389"/>
      <c r="F89" s="1389"/>
      <c r="G89" s="1389"/>
      <c r="H89" s="1389"/>
      <c r="I89" s="1389"/>
      <c r="J89" s="1389"/>
      <c r="K89" s="1389"/>
      <c r="L89" s="1389"/>
      <c r="M89" s="1389"/>
      <c r="N89" s="1389"/>
      <c r="O89" s="1389"/>
      <c r="P89" s="1389"/>
      <c r="Q89" s="1389"/>
      <c r="R89" s="1389"/>
      <c r="S89" s="1389"/>
      <c r="T89" s="1389"/>
      <c r="U89" s="1389"/>
      <c r="V89" s="1389"/>
      <c r="W89" s="1389"/>
      <c r="X89" s="1389"/>
      <c r="Y89" s="1389"/>
      <c r="Z89" s="1389"/>
      <c r="AA89" s="1389"/>
      <c r="AB89" s="1389"/>
      <c r="AC89" s="1389"/>
      <c r="AD89" s="1389"/>
      <c r="AE89" s="1389"/>
      <c r="AF89" s="1389"/>
      <c r="AG89" s="1242"/>
      <c r="AH89" s="1"/>
    </row>
    <row r="90" spans="1:35" ht="22.35" customHeight="1">
      <c r="A90" s="209"/>
      <c r="B90" s="21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  <c r="AA90" s="211"/>
      <c r="AB90" s="211"/>
      <c r="AC90" s="211"/>
      <c r="AD90" s="211"/>
      <c r="AE90" s="211"/>
      <c r="AF90" s="211"/>
      <c r="AG90" s="211"/>
      <c r="AH90" s="1"/>
    </row>
    <row r="91" spans="1:35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</row>
    <row r="92" spans="1:35" ht="22.35" customHeight="1" thickBot="1">
      <c r="A92" t="s">
        <v>145</v>
      </c>
    </row>
    <row r="93" spans="1:35" ht="22.35" customHeight="1" thickBot="1">
      <c r="B93" s="323" t="s">
        <v>146</v>
      </c>
      <c r="C93" s="252"/>
      <c r="D93" s="314" t="s">
        <v>94</v>
      </c>
      <c r="E93" s="314"/>
      <c r="F93" s="279"/>
      <c r="G93" s="252"/>
      <c r="H93" s="314" t="s">
        <v>95</v>
      </c>
      <c r="I93" s="314"/>
      <c r="J93" s="279"/>
      <c r="K93" s="252"/>
      <c r="L93" s="314" t="s">
        <v>96</v>
      </c>
      <c r="M93" s="314"/>
      <c r="N93" s="279"/>
      <c r="O93" s="252"/>
      <c r="P93" s="314" t="s">
        <v>97</v>
      </c>
      <c r="Q93" s="314"/>
      <c r="R93" s="279"/>
      <c r="S93" s="252"/>
      <c r="T93" s="314" t="s">
        <v>98</v>
      </c>
      <c r="U93" s="314"/>
      <c r="V93" s="279"/>
      <c r="W93" s="252"/>
      <c r="X93" s="314" t="s">
        <v>99</v>
      </c>
      <c r="Y93" s="314"/>
      <c r="Z93" s="279"/>
      <c r="AA93" s="252"/>
      <c r="AB93" s="314" t="s">
        <v>100</v>
      </c>
      <c r="AC93" s="314"/>
      <c r="AD93" s="314"/>
      <c r="AE93" s="314" t="s">
        <v>147</v>
      </c>
      <c r="AF93" s="314"/>
      <c r="AG93" s="314"/>
      <c r="AH93" s="314"/>
      <c r="AI93" s="267"/>
    </row>
    <row r="94" spans="1:35" ht="22.35" customHeight="1">
      <c r="B94" s="441" t="s">
        <v>148</v>
      </c>
      <c r="C94" s="368" t="s">
        <v>149</v>
      </c>
      <c r="D94" s="314"/>
      <c r="E94" s="357"/>
      <c r="F94" s="372"/>
      <c r="G94" s="368" t="s">
        <v>149</v>
      </c>
      <c r="H94" s="357"/>
      <c r="I94" s="357"/>
      <c r="J94" s="372"/>
      <c r="K94" s="252" t="s">
        <v>149</v>
      </c>
      <c r="L94" s="314"/>
      <c r="M94" s="314"/>
      <c r="N94" s="279"/>
      <c r="O94" s="252" t="s">
        <v>150</v>
      </c>
      <c r="P94" s="314"/>
      <c r="Q94" s="357"/>
      <c r="R94" s="372"/>
      <c r="S94" s="368" t="s">
        <v>151</v>
      </c>
      <c r="T94" s="357"/>
      <c r="U94" s="357"/>
      <c r="V94" s="357"/>
      <c r="W94" s="523"/>
      <c r="X94" s="524"/>
      <c r="Y94" s="524"/>
      <c r="Z94" s="525"/>
      <c r="AA94" s="357"/>
      <c r="AB94" s="357"/>
      <c r="AC94" s="357"/>
      <c r="AD94" s="357"/>
      <c r="AE94" s="368">
        <v>37</v>
      </c>
      <c r="AF94" s="314"/>
      <c r="AG94" s="357"/>
      <c r="AH94" s="357"/>
      <c r="AI94" s="358"/>
    </row>
    <row r="95" spans="1:35" ht="22.35" customHeight="1">
      <c r="B95" s="1390" t="s">
        <v>152</v>
      </c>
      <c r="C95" s="1391" t="s">
        <v>153</v>
      </c>
      <c r="D95" s="1222"/>
      <c r="E95" s="1222"/>
      <c r="F95" s="1230"/>
      <c r="G95" s="1391" t="s">
        <v>154</v>
      </c>
      <c r="H95" s="1222"/>
      <c r="I95" s="1222"/>
      <c r="J95" s="1230"/>
      <c r="K95" s="1391" t="s">
        <v>155</v>
      </c>
      <c r="L95" s="1222" t="s">
        <v>156</v>
      </c>
      <c r="M95" s="1222"/>
      <c r="N95" s="1230"/>
      <c r="O95" s="1391" t="s">
        <v>155</v>
      </c>
      <c r="P95" s="1222" t="s">
        <v>156</v>
      </c>
      <c r="Q95" s="1222"/>
      <c r="R95" s="1230"/>
      <c r="S95" s="1391" t="s">
        <v>154</v>
      </c>
      <c r="T95" s="1222" t="s">
        <v>157</v>
      </c>
      <c r="U95" s="1222"/>
      <c r="V95" s="1230"/>
      <c r="W95" s="8" t="s">
        <v>109</v>
      </c>
      <c r="X95" s="14" t="s">
        <v>158</v>
      </c>
      <c r="Y95" s="14"/>
      <c r="Z95" s="14"/>
      <c r="AA95" s="1391" t="s">
        <v>109</v>
      </c>
      <c r="AB95" s="1222" t="s">
        <v>158</v>
      </c>
      <c r="AC95" s="1391"/>
      <c r="AD95" s="1391"/>
      <c r="AE95" s="1391">
        <v>68</v>
      </c>
      <c r="AF95" s="1222"/>
      <c r="AG95" s="1222"/>
      <c r="AH95" s="1222"/>
      <c r="AI95" s="1231"/>
    </row>
    <row r="96" spans="1:35" ht="22.35" customHeight="1">
      <c r="B96" s="1390" t="s">
        <v>159</v>
      </c>
      <c r="C96" s="1392" t="s">
        <v>160</v>
      </c>
      <c r="D96" s="1222"/>
      <c r="E96" s="1222"/>
      <c r="F96" s="1230"/>
      <c r="G96" s="1222" t="s">
        <v>160</v>
      </c>
      <c r="H96" s="1222"/>
      <c r="I96" s="1222"/>
      <c r="J96" s="1230"/>
      <c r="K96" s="1222" t="s">
        <v>160</v>
      </c>
      <c r="L96" s="1222"/>
      <c r="M96" s="1222"/>
      <c r="N96" s="1230"/>
      <c r="O96" s="1222" t="s">
        <v>160</v>
      </c>
      <c r="P96" s="1222"/>
      <c r="Q96" s="1222"/>
      <c r="R96" s="1230"/>
      <c r="S96" s="1222" t="s">
        <v>160</v>
      </c>
      <c r="T96" s="1222"/>
      <c r="U96" s="1222"/>
      <c r="V96" s="1230"/>
      <c r="W96" s="1391"/>
      <c r="X96" s="1222"/>
      <c r="Y96" s="1222"/>
      <c r="Z96" s="1230"/>
      <c r="AA96" s="1391"/>
      <c r="AB96" s="1222"/>
      <c r="AC96" s="1222"/>
      <c r="AD96" s="1222"/>
      <c r="AE96" s="1391">
        <v>0</v>
      </c>
      <c r="AF96" s="1222"/>
      <c r="AG96" s="1222"/>
      <c r="AH96" s="1222"/>
      <c r="AI96" s="1231"/>
    </row>
    <row r="97" spans="1:35" ht="22.35" customHeight="1" thickBot="1">
      <c r="B97" s="1393" t="s">
        <v>161</v>
      </c>
      <c r="C97" s="1394" t="s">
        <v>149</v>
      </c>
      <c r="D97" s="516"/>
      <c r="E97" s="1298"/>
      <c r="F97" s="1300"/>
      <c r="G97" s="1394" t="s">
        <v>149</v>
      </c>
      <c r="H97" s="516"/>
      <c r="I97" s="1298"/>
      <c r="J97" s="1300"/>
      <c r="K97" s="1394" t="s">
        <v>149</v>
      </c>
      <c r="L97" s="516"/>
      <c r="M97" s="1298"/>
      <c r="N97" s="1300"/>
      <c r="O97" s="1394" t="s">
        <v>150</v>
      </c>
      <c r="P97" s="1298"/>
      <c r="Q97" s="1298"/>
      <c r="R97" s="1300"/>
      <c r="S97" s="1394" t="s">
        <v>151</v>
      </c>
      <c r="T97" s="1298"/>
      <c r="U97" s="1298"/>
      <c r="V97" s="1298"/>
      <c r="W97" s="1395"/>
      <c r="X97" s="1298"/>
      <c r="Y97" s="1298"/>
      <c r="Z97" s="1396"/>
      <c r="AA97" s="1298"/>
      <c r="AB97" s="1298"/>
      <c r="AC97" s="1298"/>
      <c r="AD97" s="1298"/>
      <c r="AE97" s="1394">
        <v>37</v>
      </c>
      <c r="AF97" s="1298"/>
      <c r="AG97" s="1298"/>
      <c r="AH97" s="1298"/>
      <c r="AI97" s="1305"/>
    </row>
    <row r="98" spans="1:35" ht="22.35" customHeight="1">
      <c r="D98" s="14"/>
    </row>
    <row r="99" spans="1:35" ht="22.35" customHeight="1" thickBot="1">
      <c r="A99" s="1338"/>
      <c r="B99" s="1338" t="s">
        <v>29</v>
      </c>
      <c r="C99" s="1240">
        <v>1</v>
      </c>
      <c r="D99" s="1240">
        <v>2</v>
      </c>
      <c r="E99" s="1240">
        <v>3</v>
      </c>
      <c r="F99" s="1240">
        <v>4</v>
      </c>
      <c r="G99" s="1241">
        <v>5</v>
      </c>
      <c r="H99" s="1241">
        <v>6</v>
      </c>
      <c r="I99" s="1240">
        <v>7</v>
      </c>
      <c r="J99" s="1240">
        <v>8</v>
      </c>
      <c r="K99" s="1240">
        <v>9</v>
      </c>
      <c r="L99" s="1240">
        <v>10</v>
      </c>
      <c r="M99" s="1240">
        <v>11</v>
      </c>
      <c r="N99" s="1241">
        <v>12</v>
      </c>
      <c r="O99" s="1241">
        <v>13</v>
      </c>
      <c r="P99" s="1240">
        <v>14</v>
      </c>
      <c r="Q99" s="1240">
        <v>15</v>
      </c>
      <c r="R99" s="1240">
        <v>16</v>
      </c>
      <c r="S99" s="1240">
        <v>17</v>
      </c>
      <c r="T99" s="1240">
        <v>18</v>
      </c>
      <c r="U99" s="1241">
        <v>19</v>
      </c>
      <c r="V99" s="1241">
        <v>20</v>
      </c>
      <c r="W99" s="1240">
        <v>21</v>
      </c>
      <c r="X99" s="1240">
        <v>22</v>
      </c>
      <c r="Y99" s="1240">
        <v>23</v>
      </c>
      <c r="Z99" s="1240">
        <v>24</v>
      </c>
      <c r="AA99" s="1240">
        <v>25</v>
      </c>
      <c r="AB99" s="1241">
        <v>26</v>
      </c>
      <c r="AC99" s="1241">
        <v>27</v>
      </c>
      <c r="AD99" s="1240">
        <v>28</v>
      </c>
      <c r="AE99" s="1240">
        <v>29</v>
      </c>
      <c r="AF99" s="1240">
        <v>30</v>
      </c>
      <c r="AG99" s="1242"/>
      <c r="AH99" s="176"/>
      <c r="AI99" s="177"/>
    </row>
    <row r="100" spans="1:35" ht="22.35" customHeight="1">
      <c r="A100" s="367">
        <v>1</v>
      </c>
      <c r="B100" s="526" t="s">
        <v>162</v>
      </c>
      <c r="C100" s="349" t="s">
        <v>36</v>
      </c>
      <c r="D100" s="349" t="s">
        <v>36</v>
      </c>
      <c r="E100" s="349" t="s">
        <v>36</v>
      </c>
      <c r="F100" s="349" t="s">
        <v>36</v>
      </c>
      <c r="G100" s="349"/>
      <c r="H100" s="349"/>
      <c r="I100" s="349" t="s">
        <v>163</v>
      </c>
      <c r="J100" s="349" t="s">
        <v>163</v>
      </c>
      <c r="K100" s="349" t="s">
        <v>163</v>
      </c>
      <c r="L100" s="349" t="s">
        <v>163</v>
      </c>
      <c r="M100" s="349" t="s">
        <v>163</v>
      </c>
      <c r="N100" s="349"/>
      <c r="O100" s="349"/>
      <c r="P100" s="511" t="s">
        <v>163</v>
      </c>
      <c r="Q100" s="349" t="s">
        <v>163</v>
      </c>
      <c r="R100" s="349" t="s">
        <v>163</v>
      </c>
      <c r="S100" s="349" t="s">
        <v>163</v>
      </c>
      <c r="T100" s="349" t="s">
        <v>163</v>
      </c>
      <c r="U100" s="349"/>
      <c r="V100" s="349"/>
      <c r="W100" s="349" t="s">
        <v>108</v>
      </c>
      <c r="X100" s="512" t="s">
        <v>108</v>
      </c>
      <c r="Y100" s="512" t="s">
        <v>108</v>
      </c>
      <c r="Z100" s="512" t="s">
        <v>108</v>
      </c>
      <c r="AA100" s="512" t="s">
        <v>108</v>
      </c>
      <c r="AB100" s="349" t="s">
        <v>109</v>
      </c>
      <c r="AC100" s="349" t="s">
        <v>109</v>
      </c>
      <c r="AD100" s="349" t="s">
        <v>36</v>
      </c>
      <c r="AE100" s="349" t="s">
        <v>36</v>
      </c>
      <c r="AF100" s="349" t="s">
        <v>36</v>
      </c>
      <c r="AG100" s="352"/>
      <c r="AH100" s="181"/>
      <c r="AI100" s="182"/>
    </row>
    <row r="101" spans="1:35" ht="22.35" customHeight="1">
      <c r="A101" s="1397">
        <v>2</v>
      </c>
      <c r="B101" s="1171" t="s">
        <v>164</v>
      </c>
      <c r="C101" s="1398" t="s">
        <v>108</v>
      </c>
      <c r="D101" s="1398" t="s">
        <v>108</v>
      </c>
      <c r="E101" s="1398" t="s">
        <v>108</v>
      </c>
      <c r="F101" s="1398" t="s">
        <v>108</v>
      </c>
      <c r="G101" s="1398" t="s">
        <v>109</v>
      </c>
      <c r="H101" s="1398" t="s">
        <v>109</v>
      </c>
      <c r="I101" s="1273" t="s">
        <v>36</v>
      </c>
      <c r="J101" s="1273" t="s">
        <v>36</v>
      </c>
      <c r="K101" s="1273" t="s">
        <v>36</v>
      </c>
      <c r="L101" s="1273" t="s">
        <v>36</v>
      </c>
      <c r="M101" s="1273" t="s">
        <v>36</v>
      </c>
      <c r="N101" s="1252"/>
      <c r="O101" s="1252"/>
      <c r="P101" s="1252" t="s">
        <v>163</v>
      </c>
      <c r="Q101" s="1252" t="s">
        <v>163</v>
      </c>
      <c r="R101" s="1252" t="s">
        <v>163</v>
      </c>
      <c r="S101" s="1252" t="s">
        <v>163</v>
      </c>
      <c r="T101" s="1252" t="s">
        <v>163</v>
      </c>
      <c r="U101" s="1252"/>
      <c r="V101" s="1252"/>
      <c r="W101" s="1252" t="s">
        <v>163</v>
      </c>
      <c r="X101" s="1252" t="s">
        <v>163</v>
      </c>
      <c r="Y101" s="1252" t="s">
        <v>163</v>
      </c>
      <c r="Z101" s="1252" t="s">
        <v>163</v>
      </c>
      <c r="AA101" s="1252" t="s">
        <v>163</v>
      </c>
      <c r="AB101" s="1252"/>
      <c r="AC101" s="1252"/>
      <c r="AD101" s="1252" t="s">
        <v>108</v>
      </c>
      <c r="AE101" s="1252" t="s">
        <v>108</v>
      </c>
      <c r="AF101" s="1252" t="s">
        <v>108</v>
      </c>
      <c r="AG101" s="1399"/>
      <c r="AH101" s="181"/>
      <c r="AI101" s="182"/>
    </row>
    <row r="102" spans="1:35" ht="22.35" customHeight="1">
      <c r="A102" s="1397">
        <v>3</v>
      </c>
      <c r="B102" s="1171" t="s">
        <v>165</v>
      </c>
      <c r="C102" s="1252" t="s">
        <v>163</v>
      </c>
      <c r="D102" s="1252" t="s">
        <v>163</v>
      </c>
      <c r="E102" s="1252" t="s">
        <v>163</v>
      </c>
      <c r="F102" s="1252" t="s">
        <v>163</v>
      </c>
      <c r="G102" s="1324"/>
      <c r="H102" s="1324"/>
      <c r="I102" s="1400" t="s">
        <v>108</v>
      </c>
      <c r="J102" s="1400" t="s">
        <v>108</v>
      </c>
      <c r="K102" s="1400" t="s">
        <v>108</v>
      </c>
      <c r="L102" s="1400" t="s">
        <v>108</v>
      </c>
      <c r="M102" s="1400" t="s">
        <v>108</v>
      </c>
      <c r="N102" s="1400" t="s">
        <v>109</v>
      </c>
      <c r="O102" s="1400" t="s">
        <v>109</v>
      </c>
      <c r="P102" s="1400" t="s">
        <v>36</v>
      </c>
      <c r="Q102" s="1400" t="s">
        <v>36</v>
      </c>
      <c r="R102" s="1400" t="s">
        <v>36</v>
      </c>
      <c r="S102" s="1400" t="s">
        <v>36</v>
      </c>
      <c r="T102" s="1400" t="s">
        <v>36</v>
      </c>
      <c r="U102" s="1252"/>
      <c r="V102" s="1252"/>
      <c r="W102" s="1252" t="s">
        <v>163</v>
      </c>
      <c r="X102" s="1252" t="s">
        <v>163</v>
      </c>
      <c r="Y102" s="1252" t="s">
        <v>163</v>
      </c>
      <c r="Z102" s="1252" t="s">
        <v>163</v>
      </c>
      <c r="AA102" s="1252" t="s">
        <v>163</v>
      </c>
      <c r="AB102" s="1252"/>
      <c r="AC102" s="1252"/>
      <c r="AD102" s="1252" t="s">
        <v>163</v>
      </c>
      <c r="AE102" s="1252" t="s">
        <v>163</v>
      </c>
      <c r="AF102" s="1252" t="s">
        <v>163</v>
      </c>
      <c r="AG102" s="1314"/>
      <c r="AH102" s="181"/>
      <c r="AI102" s="182"/>
    </row>
    <row r="103" spans="1:35" ht="22.35" customHeight="1" thickBot="1">
      <c r="A103" s="1401">
        <v>4</v>
      </c>
      <c r="B103" s="1327" t="s">
        <v>162</v>
      </c>
      <c r="C103" s="1402" t="s">
        <v>163</v>
      </c>
      <c r="D103" s="1402" t="s">
        <v>163</v>
      </c>
      <c r="E103" s="1402" t="s">
        <v>163</v>
      </c>
      <c r="F103" s="1402" t="s">
        <v>163</v>
      </c>
      <c r="G103" s="1402"/>
      <c r="H103" s="1402"/>
      <c r="I103" s="1402" t="s">
        <v>163</v>
      </c>
      <c r="J103" s="1402" t="s">
        <v>163</v>
      </c>
      <c r="K103" s="1402" t="s">
        <v>163</v>
      </c>
      <c r="L103" s="1402" t="s">
        <v>163</v>
      </c>
      <c r="M103" s="1402" t="s">
        <v>163</v>
      </c>
      <c r="N103" s="1402" t="s">
        <v>0</v>
      </c>
      <c r="O103" s="1402" t="s">
        <v>0</v>
      </c>
      <c r="P103" s="1402" t="s">
        <v>108</v>
      </c>
      <c r="Q103" s="1402" t="s">
        <v>108</v>
      </c>
      <c r="R103" s="1402" t="s">
        <v>108</v>
      </c>
      <c r="S103" s="1402" t="s">
        <v>108</v>
      </c>
      <c r="T103" s="1402" t="s">
        <v>108</v>
      </c>
      <c r="U103" s="1402" t="s">
        <v>109</v>
      </c>
      <c r="V103" s="1402" t="s">
        <v>109</v>
      </c>
      <c r="W103" s="1402" t="s">
        <v>36</v>
      </c>
      <c r="X103" s="1402" t="s">
        <v>36</v>
      </c>
      <c r="Y103" s="1402" t="s">
        <v>36</v>
      </c>
      <c r="Z103" s="1402" t="s">
        <v>36</v>
      </c>
      <c r="AA103" s="1240" t="s">
        <v>36</v>
      </c>
      <c r="AB103" s="1240"/>
      <c r="AC103" s="1240"/>
      <c r="AD103" s="1240" t="s">
        <v>163</v>
      </c>
      <c r="AE103" s="1240" t="s">
        <v>163</v>
      </c>
      <c r="AF103" s="1402" t="s">
        <v>163</v>
      </c>
      <c r="AG103" s="1242"/>
      <c r="AH103" s="181"/>
      <c r="AI103" s="182"/>
    </row>
    <row r="104" spans="1:35" ht="22.35" customHeight="1" thickBot="1">
      <c r="A104" s="212"/>
      <c r="B104" s="200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  <c r="U104" s="21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13"/>
      <c r="AF104" s="213"/>
      <c r="AG104" s="214"/>
      <c r="AH104" s="215"/>
      <c r="AI104" s="182"/>
    </row>
    <row r="105" spans="1:35" ht="22.35" customHeight="1">
      <c r="A105" s="72"/>
      <c r="B105" s="248" t="s">
        <v>167</v>
      </c>
      <c r="C105" s="368"/>
      <c r="D105" s="369" t="s">
        <v>94</v>
      </c>
      <c r="E105" s="370"/>
      <c r="F105" s="368"/>
      <c r="G105" s="371" t="s">
        <v>95</v>
      </c>
      <c r="H105" s="372"/>
      <c r="I105" s="373"/>
      <c r="J105" s="371" t="s">
        <v>96</v>
      </c>
      <c r="K105" s="374"/>
      <c r="L105" s="373"/>
      <c r="M105" s="375" t="s">
        <v>97</v>
      </c>
      <c r="N105" s="374"/>
      <c r="O105" s="373"/>
      <c r="P105" s="371" t="s">
        <v>98</v>
      </c>
      <c r="Q105" s="376"/>
      <c r="R105" s="373"/>
      <c r="S105" s="371" t="s">
        <v>99</v>
      </c>
      <c r="T105" s="377"/>
      <c r="U105" s="373"/>
      <c r="V105" s="371" t="s">
        <v>100</v>
      </c>
      <c r="W105" s="376"/>
      <c r="X105" s="378" t="s">
        <v>147</v>
      </c>
      <c r="Y105" s="379"/>
      <c r="Z105" s="379"/>
      <c r="AA105" s="380"/>
      <c r="AB105" s="235" t="s">
        <v>101</v>
      </c>
      <c r="AC105" s="236"/>
      <c r="AD105" s="236"/>
      <c r="AE105" s="237"/>
      <c r="AF105" s="237"/>
      <c r="AG105" s="238"/>
      <c r="AH105" s="215"/>
      <c r="AI105" s="182"/>
    </row>
    <row r="106" spans="1:35" ht="22.35" customHeight="1">
      <c r="A106" s="72"/>
      <c r="B106" s="1403" t="s">
        <v>169</v>
      </c>
      <c r="C106" s="1404" t="s">
        <v>170</v>
      </c>
      <c r="D106" s="1224"/>
      <c r="E106" s="1225"/>
      <c r="F106" s="1404" t="s">
        <v>170</v>
      </c>
      <c r="G106" s="1224"/>
      <c r="H106" s="1225"/>
      <c r="I106" s="1404" t="s">
        <v>170</v>
      </c>
      <c r="J106" s="1224"/>
      <c r="K106" s="1225"/>
      <c r="L106" s="1404" t="s">
        <v>170</v>
      </c>
      <c r="M106" s="1224"/>
      <c r="N106" s="1225"/>
      <c r="O106" s="1404" t="s">
        <v>171</v>
      </c>
      <c r="P106" s="1224"/>
      <c r="Q106" s="1225"/>
      <c r="R106" s="1404"/>
      <c r="S106" s="1224"/>
      <c r="T106" s="1225"/>
      <c r="U106" s="1404"/>
      <c r="V106" s="1224"/>
      <c r="W106" s="1225"/>
      <c r="X106" s="1404"/>
      <c r="Y106" s="1405"/>
      <c r="Z106" s="1405"/>
      <c r="AA106" s="1405"/>
      <c r="AB106" s="1221"/>
      <c r="AC106" s="1405"/>
      <c r="AD106" s="1405"/>
      <c r="AE106" s="1405"/>
      <c r="AF106" s="1405"/>
      <c r="AG106" s="1406"/>
      <c r="AH106" s="215"/>
      <c r="AI106" s="182"/>
    </row>
    <row r="107" spans="1:35" ht="22.35" customHeight="1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5"/>
      <c r="AI107" s="182"/>
    </row>
    <row r="108" spans="1:35" ht="22.35" customHeight="1" thickBot="1">
      <c r="A108" s="1385" t="s">
        <v>28</v>
      </c>
      <c r="B108" s="1307" t="s">
        <v>29</v>
      </c>
      <c r="C108" s="1240">
        <v>1</v>
      </c>
      <c r="D108" s="1240">
        <v>2</v>
      </c>
      <c r="E108" s="1240">
        <v>3</v>
      </c>
      <c r="F108" s="1240">
        <v>4</v>
      </c>
      <c r="G108" s="1241">
        <v>5</v>
      </c>
      <c r="H108" s="1241">
        <v>6</v>
      </c>
      <c r="I108" s="1240">
        <v>7</v>
      </c>
      <c r="J108" s="1240">
        <v>8</v>
      </c>
      <c r="K108" s="1240">
        <v>9</v>
      </c>
      <c r="L108" s="1240">
        <v>10</v>
      </c>
      <c r="M108" s="1240">
        <v>11</v>
      </c>
      <c r="N108" s="1241">
        <v>12</v>
      </c>
      <c r="O108" s="1241">
        <v>13</v>
      </c>
      <c r="P108" s="1240">
        <v>14</v>
      </c>
      <c r="Q108" s="1240">
        <v>15</v>
      </c>
      <c r="R108" s="1240">
        <v>16</v>
      </c>
      <c r="S108" s="1240">
        <v>17</v>
      </c>
      <c r="T108" s="1240">
        <v>18</v>
      </c>
      <c r="U108" s="1241">
        <v>19</v>
      </c>
      <c r="V108" s="1241">
        <v>20</v>
      </c>
      <c r="W108" s="1240">
        <v>21</v>
      </c>
      <c r="X108" s="1240">
        <v>22</v>
      </c>
      <c r="Y108" s="1240">
        <v>23</v>
      </c>
      <c r="Z108" s="1240">
        <v>24</v>
      </c>
      <c r="AA108" s="1240">
        <v>25</v>
      </c>
      <c r="AB108" s="1241">
        <v>26</v>
      </c>
      <c r="AC108" s="1241">
        <v>27</v>
      </c>
      <c r="AD108" s="1240">
        <v>28</v>
      </c>
      <c r="AE108" s="1240">
        <v>29</v>
      </c>
      <c r="AF108" s="1240">
        <v>30</v>
      </c>
      <c r="AG108" s="1242"/>
      <c r="AH108" s="215"/>
      <c r="AI108" s="182"/>
    </row>
    <row r="109" spans="1:35" ht="22.35" customHeight="1">
      <c r="A109" s="381">
        <v>8520</v>
      </c>
      <c r="B109" s="382" t="s">
        <v>172</v>
      </c>
      <c r="C109" s="349" t="s">
        <v>173</v>
      </c>
      <c r="D109" s="349" t="s">
        <v>173</v>
      </c>
      <c r="E109" s="349" t="s">
        <v>173</v>
      </c>
      <c r="F109" s="349" t="s">
        <v>173</v>
      </c>
      <c r="G109" s="349"/>
      <c r="H109" s="349"/>
      <c r="I109" s="349" t="s">
        <v>173</v>
      </c>
      <c r="J109" s="349" t="s">
        <v>173</v>
      </c>
      <c r="K109" s="349" t="s">
        <v>173</v>
      </c>
      <c r="L109" s="349" t="s">
        <v>173</v>
      </c>
      <c r="M109" s="349" t="s">
        <v>173</v>
      </c>
      <c r="N109" s="349"/>
      <c r="O109" s="349"/>
      <c r="P109" s="349" t="s">
        <v>173</v>
      </c>
      <c r="Q109" s="349" t="s">
        <v>173</v>
      </c>
      <c r="R109" s="349" t="s">
        <v>173</v>
      </c>
      <c r="S109" s="349" t="s">
        <v>173</v>
      </c>
      <c r="T109" s="349" t="s">
        <v>173</v>
      </c>
      <c r="U109" s="349"/>
      <c r="V109" s="349"/>
      <c r="W109" s="349" t="s">
        <v>173</v>
      </c>
      <c r="X109" s="349" t="s">
        <v>173</v>
      </c>
      <c r="Y109" s="349" t="s">
        <v>173</v>
      </c>
      <c r="Z109" s="349" t="s">
        <v>173</v>
      </c>
      <c r="AA109" s="349" t="s">
        <v>173</v>
      </c>
      <c r="AB109" s="349"/>
      <c r="AC109" s="349"/>
      <c r="AD109" s="541" t="s">
        <v>173</v>
      </c>
      <c r="AE109" s="541" t="s">
        <v>173</v>
      </c>
      <c r="AF109" s="541" t="s">
        <v>173</v>
      </c>
      <c r="AG109" s="352"/>
      <c r="AH109" s="215"/>
      <c r="AI109" s="182"/>
    </row>
    <row r="110" spans="1:35" ht="22.35" customHeight="1">
      <c r="A110" s="221"/>
      <c r="B110" s="22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5"/>
      <c r="AI110" s="182"/>
    </row>
    <row r="111" spans="1:35" ht="22.35" customHeight="1">
      <c r="AH111" s="107"/>
      <c r="AI111" s="107"/>
    </row>
    <row r="112" spans="1:35" ht="22.35" customHeight="1" thickBot="1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>
      <c r="A113" s="172"/>
      <c r="B113" s="248" t="s">
        <v>175</v>
      </c>
      <c r="C113" s="383"/>
      <c r="D113" s="384" t="s">
        <v>94</v>
      </c>
      <c r="E113" s="385"/>
      <c r="F113" s="386"/>
      <c r="G113" s="383"/>
      <c r="H113" s="384" t="s">
        <v>95</v>
      </c>
      <c r="I113" s="385"/>
      <c r="J113" s="386"/>
      <c r="K113" s="383"/>
      <c r="L113" s="384" t="s">
        <v>96</v>
      </c>
      <c r="M113" s="385"/>
      <c r="N113" s="386"/>
      <c r="O113" s="383"/>
      <c r="P113" s="384" t="s">
        <v>97</v>
      </c>
      <c r="Q113" s="385"/>
      <c r="R113" s="386"/>
      <c r="S113" s="383"/>
      <c r="T113" s="384" t="s">
        <v>98</v>
      </c>
      <c r="U113" s="385"/>
      <c r="V113" s="386"/>
      <c r="W113" s="383"/>
      <c r="X113" s="384" t="s">
        <v>99</v>
      </c>
      <c r="Y113" s="385"/>
      <c r="Z113" s="386"/>
      <c r="AA113" s="383"/>
      <c r="AB113" s="384" t="s">
        <v>100</v>
      </c>
      <c r="AC113" s="385"/>
      <c r="AD113" s="385"/>
      <c r="AE113" s="387" t="s">
        <v>101</v>
      </c>
      <c r="AF113" s="385"/>
      <c r="AG113" s="385"/>
      <c r="AH113" s="385"/>
      <c r="AI113" s="388"/>
    </row>
    <row r="114" spans="1:35" ht="22.35" customHeight="1">
      <c r="A114" s="172"/>
      <c r="B114" s="1407" t="s">
        <v>148</v>
      </c>
      <c r="C114" s="1165">
        <v>69</v>
      </c>
      <c r="D114" s="1408" t="s">
        <v>176</v>
      </c>
      <c r="E114" s="1408"/>
      <c r="F114" s="1409"/>
      <c r="G114" s="1165">
        <v>69</v>
      </c>
      <c r="H114" s="1408" t="s">
        <v>176</v>
      </c>
      <c r="I114" s="1408"/>
      <c r="J114" s="1409"/>
      <c r="K114" s="1165">
        <v>69</v>
      </c>
      <c r="L114" s="1408" t="s">
        <v>176</v>
      </c>
      <c r="M114" s="1408"/>
      <c r="N114" s="1409"/>
      <c r="O114" s="1165">
        <v>69</v>
      </c>
      <c r="P114" s="1408" t="s">
        <v>176</v>
      </c>
      <c r="Q114" s="1408"/>
      <c r="R114" s="1409"/>
      <c r="S114" s="1165">
        <v>69</v>
      </c>
      <c r="T114" s="1408" t="s">
        <v>176</v>
      </c>
      <c r="U114" s="1408"/>
      <c r="V114" s="1409"/>
      <c r="W114" s="1165"/>
      <c r="X114" s="1410"/>
      <c r="Y114" s="1410"/>
      <c r="Z114" s="1411"/>
      <c r="AA114" s="1165"/>
      <c r="AB114" s="1408"/>
      <c r="AC114" s="1408"/>
      <c r="AD114" s="1345"/>
      <c r="AE114" s="1412">
        <v>35</v>
      </c>
      <c r="AF114" s="1408"/>
      <c r="AG114" s="1408"/>
      <c r="AH114" s="1345"/>
      <c r="AI114" s="1413"/>
    </row>
    <row r="115" spans="1:35" ht="22.35" customHeight="1">
      <c r="A115" s="172"/>
      <c r="B115" s="1407" t="s">
        <v>152</v>
      </c>
      <c r="C115" s="1165">
        <v>79</v>
      </c>
      <c r="D115" s="1408" t="s">
        <v>177</v>
      </c>
      <c r="E115" s="1408"/>
      <c r="F115" s="1409"/>
      <c r="G115" s="1165">
        <v>79</v>
      </c>
      <c r="H115" s="1408" t="s">
        <v>177</v>
      </c>
      <c r="I115" s="1408"/>
      <c r="J115" s="1409"/>
      <c r="K115" s="1165">
        <v>79</v>
      </c>
      <c r="L115" s="1408" t="s">
        <v>177</v>
      </c>
      <c r="M115" s="1408"/>
      <c r="N115" s="1409"/>
      <c r="O115" s="1165">
        <v>79</v>
      </c>
      <c r="P115" s="1408" t="s">
        <v>177</v>
      </c>
      <c r="Q115" s="1408"/>
      <c r="R115" s="1409"/>
      <c r="S115" s="1165">
        <v>79</v>
      </c>
      <c r="T115" s="1408" t="s">
        <v>177</v>
      </c>
      <c r="U115" s="1408"/>
      <c r="V115" s="1409"/>
      <c r="W115" s="1165"/>
      <c r="X115" s="1408"/>
      <c r="Y115" s="1408"/>
      <c r="Z115" s="1409"/>
      <c r="AA115" s="1408"/>
      <c r="AB115" s="1408"/>
      <c r="AC115" s="1408"/>
      <c r="AD115" s="1345"/>
      <c r="AE115" s="1412">
        <v>40</v>
      </c>
      <c r="AF115" s="1408"/>
      <c r="AG115" s="1408"/>
      <c r="AH115" s="1345"/>
      <c r="AI115" s="1413"/>
    </row>
    <row r="116" spans="1:35" ht="22.35" customHeight="1">
      <c r="A116" s="172"/>
      <c r="B116" s="1407" t="s">
        <v>159</v>
      </c>
      <c r="C116" s="1165">
        <v>89</v>
      </c>
      <c r="D116" s="1408" t="s">
        <v>178</v>
      </c>
      <c r="E116" s="1408"/>
      <c r="F116" s="1409"/>
      <c r="G116" s="1165">
        <v>89</v>
      </c>
      <c r="H116" s="1408" t="s">
        <v>178</v>
      </c>
      <c r="I116" s="1408"/>
      <c r="J116" s="1409"/>
      <c r="K116" s="1165">
        <v>89</v>
      </c>
      <c r="L116" s="1408" t="s">
        <v>178</v>
      </c>
      <c r="M116" s="1408"/>
      <c r="N116" s="1409"/>
      <c r="O116" s="1165">
        <v>89</v>
      </c>
      <c r="P116" s="1408" t="s">
        <v>178</v>
      </c>
      <c r="Q116" s="1408"/>
      <c r="R116" s="1409"/>
      <c r="S116" s="1165">
        <v>89</v>
      </c>
      <c r="T116" s="1408" t="s">
        <v>179</v>
      </c>
      <c r="U116" s="1408"/>
      <c r="V116" s="1409"/>
      <c r="W116" s="1414"/>
      <c r="X116" s="1415" t="s">
        <v>180</v>
      </c>
      <c r="Y116" s="1415"/>
      <c r="Z116" s="1416"/>
      <c r="AA116" s="1414"/>
      <c r="AB116" s="1415"/>
      <c r="AC116" s="1415"/>
      <c r="AD116" s="1347"/>
      <c r="AE116" s="1412">
        <v>44</v>
      </c>
      <c r="AF116" s="1408"/>
      <c r="AG116" s="1408"/>
      <c r="AH116" s="1345"/>
      <c r="AI116" s="1413"/>
    </row>
    <row r="117" spans="1:35" ht="22.35" customHeight="1">
      <c r="A117" s="172"/>
      <c r="B117" s="38" t="s">
        <v>161</v>
      </c>
      <c r="C117" s="1414">
        <v>99</v>
      </c>
      <c r="D117" s="1415" t="s">
        <v>181</v>
      </c>
      <c r="E117" s="1415"/>
      <c r="F117" s="1416"/>
      <c r="G117" s="1414">
        <v>99</v>
      </c>
      <c r="H117" s="1415" t="s">
        <v>181</v>
      </c>
      <c r="I117" s="1415"/>
      <c r="J117" s="1416"/>
      <c r="K117" s="1414">
        <v>99</v>
      </c>
      <c r="L117" s="1415" t="s">
        <v>181</v>
      </c>
      <c r="M117" s="1415"/>
      <c r="N117" s="1416"/>
      <c r="O117" s="1414">
        <v>99</v>
      </c>
      <c r="P117" s="1415" t="s">
        <v>181</v>
      </c>
      <c r="Q117" s="1415"/>
      <c r="R117" s="1416"/>
      <c r="S117" s="1414">
        <v>99</v>
      </c>
      <c r="T117" s="1415" t="s">
        <v>160</v>
      </c>
      <c r="U117" s="1415"/>
      <c r="V117" s="1347"/>
      <c r="W117" s="1346"/>
      <c r="X117" s="1347"/>
      <c r="Y117" s="1415"/>
      <c r="Z117" s="1416"/>
      <c r="AA117" s="1346"/>
      <c r="AB117" s="1347"/>
      <c r="AC117" s="1415"/>
      <c r="AD117" s="1416"/>
      <c r="AE117" s="1417">
        <v>28</v>
      </c>
      <c r="AF117" s="1415"/>
      <c r="AG117" s="1415"/>
      <c r="AH117" s="1347"/>
      <c r="AI117" s="1418"/>
    </row>
    <row r="118" spans="1:35" ht="22.35" customHeight="1" thickBot="1">
      <c r="A118" s="172"/>
      <c r="B118" s="1419" t="s">
        <v>182</v>
      </c>
      <c r="C118" s="1167" t="s">
        <v>183</v>
      </c>
      <c r="D118" s="1420" t="s">
        <v>184</v>
      </c>
      <c r="E118" s="1421"/>
      <c r="F118" s="1300"/>
      <c r="G118" s="1167" t="s">
        <v>183</v>
      </c>
      <c r="H118" s="1420" t="s">
        <v>184</v>
      </c>
      <c r="I118" s="1298"/>
      <c r="J118" s="1421"/>
      <c r="K118" s="1167" t="s">
        <v>183</v>
      </c>
      <c r="L118" s="1420" t="s">
        <v>184</v>
      </c>
      <c r="M118" s="1421"/>
      <c r="N118" s="1422"/>
      <c r="O118" s="1167" t="s">
        <v>183</v>
      </c>
      <c r="P118" s="1420" t="s">
        <v>184</v>
      </c>
      <c r="Q118" s="1421"/>
      <c r="R118" s="1420"/>
      <c r="S118" s="1167" t="s">
        <v>183</v>
      </c>
      <c r="T118" s="1302" t="s">
        <v>185</v>
      </c>
      <c r="U118" s="1420"/>
      <c r="V118" s="1422"/>
      <c r="W118" s="1421"/>
      <c r="X118" s="1420"/>
      <c r="Y118" s="1420"/>
      <c r="Z118" s="1420"/>
      <c r="AA118" s="1423"/>
      <c r="AB118" s="1424"/>
      <c r="AC118" s="1420"/>
      <c r="AD118" s="1425"/>
      <c r="AE118" s="1420"/>
      <c r="AF118" s="1420"/>
      <c r="AG118" s="1420"/>
      <c r="AH118" s="1426"/>
      <c r="AI118" s="1427"/>
    </row>
    <row r="119" spans="1:35" ht="22.35" customHeight="1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>
      <c r="A120" s="1385"/>
      <c r="B120" s="1307" t="s">
        <v>29</v>
      </c>
      <c r="C120" s="1240">
        <v>1</v>
      </c>
      <c r="D120" s="1240">
        <v>2</v>
      </c>
      <c r="E120" s="1240">
        <v>3</v>
      </c>
      <c r="F120" s="1240">
        <v>4</v>
      </c>
      <c r="G120" s="1241">
        <v>5</v>
      </c>
      <c r="H120" s="1241">
        <v>6</v>
      </c>
      <c r="I120" s="1240">
        <v>7</v>
      </c>
      <c r="J120" s="1240">
        <v>8</v>
      </c>
      <c r="K120" s="1240">
        <v>9</v>
      </c>
      <c r="L120" s="1240">
        <v>10</v>
      </c>
      <c r="M120" s="1240">
        <v>11</v>
      </c>
      <c r="N120" s="1241">
        <v>12</v>
      </c>
      <c r="O120" s="1241">
        <v>13</v>
      </c>
      <c r="P120" s="1240">
        <v>14</v>
      </c>
      <c r="Q120" s="1240">
        <v>15</v>
      </c>
      <c r="R120" s="1240">
        <v>16</v>
      </c>
      <c r="S120" s="1240">
        <v>17</v>
      </c>
      <c r="T120" s="1240">
        <v>18</v>
      </c>
      <c r="U120" s="1241">
        <v>19</v>
      </c>
      <c r="V120" s="1241">
        <v>20</v>
      </c>
      <c r="W120" s="1240">
        <v>21</v>
      </c>
      <c r="X120" s="1240">
        <v>22</v>
      </c>
      <c r="Y120" s="1240">
        <v>23</v>
      </c>
      <c r="Z120" s="1240">
        <v>24</v>
      </c>
      <c r="AA120" s="1240">
        <v>25</v>
      </c>
      <c r="AB120" s="1241">
        <v>26</v>
      </c>
      <c r="AC120" s="1241">
        <v>27</v>
      </c>
      <c r="AD120" s="1240">
        <v>28</v>
      </c>
      <c r="AE120" s="1240">
        <v>29</v>
      </c>
      <c r="AF120" s="1240">
        <v>30</v>
      </c>
      <c r="AG120" s="1242"/>
      <c r="AH120" s="176"/>
      <c r="AI120" s="177"/>
    </row>
    <row r="121" spans="1:35" ht="22.35" customHeight="1">
      <c r="A121" s="367">
        <v>1</v>
      </c>
      <c r="B121" s="389" t="s">
        <v>186</v>
      </c>
      <c r="C121" s="541">
        <v>79</v>
      </c>
      <c r="D121" s="541">
        <v>79</v>
      </c>
      <c r="E121" s="541">
        <v>79</v>
      </c>
      <c r="F121" s="541">
        <v>79</v>
      </c>
      <c r="G121" s="541"/>
      <c r="H121" s="541"/>
      <c r="I121" s="541">
        <v>89</v>
      </c>
      <c r="J121" s="541">
        <v>89</v>
      </c>
      <c r="K121" s="541">
        <v>89</v>
      </c>
      <c r="L121" s="541">
        <v>89</v>
      </c>
      <c r="M121" s="541">
        <v>89</v>
      </c>
      <c r="N121" s="541">
        <v>89</v>
      </c>
      <c r="O121" s="541"/>
      <c r="P121" s="361">
        <v>99</v>
      </c>
      <c r="Q121" s="361">
        <v>99</v>
      </c>
      <c r="R121" s="361">
        <v>99</v>
      </c>
      <c r="S121" s="349">
        <v>99</v>
      </c>
      <c r="T121" s="349" t="s">
        <v>36</v>
      </c>
      <c r="U121" s="361"/>
      <c r="V121" s="361"/>
      <c r="W121" s="361" t="s">
        <v>183</v>
      </c>
      <c r="X121" s="361" t="s">
        <v>183</v>
      </c>
      <c r="Y121" s="361" t="s">
        <v>183</v>
      </c>
      <c r="Z121" s="361" t="s">
        <v>183</v>
      </c>
      <c r="AA121" s="350" t="s">
        <v>183</v>
      </c>
      <c r="AB121" s="361"/>
      <c r="AC121" s="361"/>
      <c r="AD121" s="361">
        <v>69</v>
      </c>
      <c r="AE121" s="361">
        <v>69</v>
      </c>
      <c r="AF121" s="350">
        <v>69</v>
      </c>
      <c r="AG121" s="362"/>
      <c r="AH121" s="201"/>
      <c r="AI121" s="107"/>
    </row>
    <row r="122" spans="1:35" ht="22.35" customHeight="1">
      <c r="A122" s="1397">
        <v>2</v>
      </c>
      <c r="B122" s="1428" t="s">
        <v>188</v>
      </c>
      <c r="C122" s="1256">
        <v>89</v>
      </c>
      <c r="D122" s="1322">
        <v>89</v>
      </c>
      <c r="E122" s="1252">
        <v>89</v>
      </c>
      <c r="F122" s="1252">
        <v>89</v>
      </c>
      <c r="G122" s="1322">
        <v>89</v>
      </c>
      <c r="H122" s="1322"/>
      <c r="I122" s="1322">
        <v>99</v>
      </c>
      <c r="J122" s="1322">
        <v>99</v>
      </c>
      <c r="K122" s="1322">
        <v>99</v>
      </c>
      <c r="L122" s="1252">
        <v>99</v>
      </c>
      <c r="M122" s="1252" t="s">
        <v>36</v>
      </c>
      <c r="N122" s="1322"/>
      <c r="O122" s="1322"/>
      <c r="P122" s="1429" t="s">
        <v>183</v>
      </c>
      <c r="Q122" s="1430" t="s">
        <v>183</v>
      </c>
      <c r="R122" s="1430" t="s">
        <v>183</v>
      </c>
      <c r="S122" s="1430" t="s">
        <v>183</v>
      </c>
      <c r="T122" s="1430" t="s">
        <v>183</v>
      </c>
      <c r="U122" s="1430"/>
      <c r="V122" s="1430"/>
      <c r="W122" s="1253">
        <v>69</v>
      </c>
      <c r="X122" s="1253">
        <v>69</v>
      </c>
      <c r="Y122" s="1253">
        <v>69</v>
      </c>
      <c r="Z122" s="1253">
        <v>69</v>
      </c>
      <c r="AA122" s="1253">
        <v>69</v>
      </c>
      <c r="AB122" s="1253"/>
      <c r="AC122" s="1253"/>
      <c r="AD122" s="1253">
        <v>79</v>
      </c>
      <c r="AE122" s="1253">
        <v>79</v>
      </c>
      <c r="AF122" s="1253">
        <v>79</v>
      </c>
      <c r="AG122" s="1431"/>
      <c r="AH122" s="202"/>
      <c r="AI122" s="171"/>
    </row>
    <row r="123" spans="1:35" ht="22.35" customHeight="1">
      <c r="A123" s="1397">
        <v>3</v>
      </c>
      <c r="B123" s="1428" t="s">
        <v>189</v>
      </c>
      <c r="C123" s="1432">
        <v>99</v>
      </c>
      <c r="D123" s="1432">
        <v>99</v>
      </c>
      <c r="E123" s="1432">
        <v>99</v>
      </c>
      <c r="F123" s="1432" t="s">
        <v>36</v>
      </c>
      <c r="G123" s="1432"/>
      <c r="H123" s="1432"/>
      <c r="I123" s="1432" t="s">
        <v>183</v>
      </c>
      <c r="J123" s="1432" t="s">
        <v>183</v>
      </c>
      <c r="K123" s="1432" t="s">
        <v>183</v>
      </c>
      <c r="L123" s="1432" t="s">
        <v>183</v>
      </c>
      <c r="M123" s="1432" t="s">
        <v>183</v>
      </c>
      <c r="N123" s="1432"/>
      <c r="O123" s="1432"/>
      <c r="P123" s="1432">
        <v>69</v>
      </c>
      <c r="Q123" s="1432">
        <v>69</v>
      </c>
      <c r="R123" s="1432">
        <v>69</v>
      </c>
      <c r="S123" s="1432">
        <v>69</v>
      </c>
      <c r="T123" s="1432">
        <v>69</v>
      </c>
      <c r="U123" s="1432"/>
      <c r="V123" s="1432"/>
      <c r="W123" s="1432">
        <v>79</v>
      </c>
      <c r="X123" s="1432">
        <v>79</v>
      </c>
      <c r="Y123" s="1432">
        <v>79</v>
      </c>
      <c r="Z123" s="1432">
        <v>79</v>
      </c>
      <c r="AA123" s="1432">
        <v>79</v>
      </c>
      <c r="AB123" s="1176"/>
      <c r="AC123" s="1176"/>
      <c r="AD123" s="1176">
        <v>89</v>
      </c>
      <c r="AE123" s="1176">
        <v>89</v>
      </c>
      <c r="AF123" s="1176">
        <v>89</v>
      </c>
      <c r="AG123" s="1433"/>
      <c r="AH123" s="201"/>
      <c r="AI123" s="107"/>
    </row>
    <row r="124" spans="1:35" ht="22.35" customHeight="1">
      <c r="A124" s="1397">
        <v>4</v>
      </c>
      <c r="B124" s="1428"/>
      <c r="C124" s="1252" t="s">
        <v>36</v>
      </c>
      <c r="D124" s="1252" t="s">
        <v>183</v>
      </c>
      <c r="E124" s="1252" t="s">
        <v>343</v>
      </c>
      <c r="F124" s="1252" t="s">
        <v>343</v>
      </c>
      <c r="G124" s="1252"/>
      <c r="H124" s="1252"/>
      <c r="I124" s="1252">
        <v>69</v>
      </c>
      <c r="J124" s="1252">
        <v>69</v>
      </c>
      <c r="K124" s="1252">
        <v>69</v>
      </c>
      <c r="L124" s="1252">
        <v>69</v>
      </c>
      <c r="M124" s="1252">
        <v>69</v>
      </c>
      <c r="N124" s="1252"/>
      <c r="O124" s="1252"/>
      <c r="P124" s="1252">
        <v>79</v>
      </c>
      <c r="Q124" s="1387">
        <v>79</v>
      </c>
      <c r="R124" s="1387">
        <v>79</v>
      </c>
      <c r="S124" s="1176">
        <v>79</v>
      </c>
      <c r="T124" s="1176">
        <v>79</v>
      </c>
      <c r="U124" s="1252"/>
      <c r="V124" s="1252"/>
      <c r="W124" s="1252">
        <v>89</v>
      </c>
      <c r="X124" s="1252">
        <v>89</v>
      </c>
      <c r="Y124" s="1387">
        <v>89</v>
      </c>
      <c r="Z124" s="1323">
        <v>89</v>
      </c>
      <c r="AA124" s="1252">
        <v>89</v>
      </c>
      <c r="AB124" s="1252">
        <v>89</v>
      </c>
      <c r="AC124" s="1252"/>
      <c r="AD124" s="1252">
        <v>99</v>
      </c>
      <c r="AE124" s="1252">
        <v>99</v>
      </c>
      <c r="AF124" s="1387">
        <v>99</v>
      </c>
      <c r="AG124" s="1434"/>
      <c r="AH124" s="201"/>
      <c r="AI124" s="107"/>
    </row>
    <row r="125" spans="1:35" ht="22.35" customHeight="1" thickBot="1">
      <c r="A125" s="1401">
        <v>5</v>
      </c>
      <c r="B125" s="1435" t="s">
        <v>190</v>
      </c>
      <c r="C125" s="1389">
        <v>69</v>
      </c>
      <c r="D125" s="1389">
        <v>69</v>
      </c>
      <c r="E125" s="1389">
        <v>69</v>
      </c>
      <c r="F125" s="1240">
        <v>69</v>
      </c>
      <c r="G125" s="1317"/>
      <c r="H125" s="1317"/>
      <c r="I125" s="1317">
        <v>79</v>
      </c>
      <c r="J125" s="1317">
        <v>79</v>
      </c>
      <c r="K125" s="1317">
        <v>79</v>
      </c>
      <c r="L125" s="1240">
        <v>79</v>
      </c>
      <c r="M125" s="1240">
        <v>79</v>
      </c>
      <c r="N125" s="1389"/>
      <c r="O125" s="1389"/>
      <c r="P125" s="1389">
        <v>89</v>
      </c>
      <c r="Q125" s="1389">
        <v>89</v>
      </c>
      <c r="R125" s="1389">
        <v>89</v>
      </c>
      <c r="S125" s="1240">
        <v>89</v>
      </c>
      <c r="T125" s="1436">
        <v>89</v>
      </c>
      <c r="U125" s="1389">
        <v>89</v>
      </c>
      <c r="V125" s="1389"/>
      <c r="W125" s="1389">
        <v>99</v>
      </c>
      <c r="X125" s="1389">
        <v>99</v>
      </c>
      <c r="Y125" s="1389">
        <v>99</v>
      </c>
      <c r="Z125" s="1318">
        <v>99</v>
      </c>
      <c r="AA125" s="1318" t="s">
        <v>36</v>
      </c>
      <c r="AB125" s="1389"/>
      <c r="AC125" s="1389"/>
      <c r="AD125" s="1389" t="s">
        <v>183</v>
      </c>
      <c r="AE125" s="1389" t="s">
        <v>183</v>
      </c>
      <c r="AF125" s="1389" t="s">
        <v>183</v>
      </c>
      <c r="AG125" s="1437"/>
      <c r="AH125" s="201"/>
      <c r="AI125" s="107"/>
    </row>
    <row r="126" spans="1:35" ht="22.35" customHeight="1">
      <c r="A126" s="212"/>
      <c r="B126" s="229"/>
      <c r="C126" s="230"/>
      <c r="D126" s="230"/>
      <c r="E126" s="230"/>
      <c r="F126" s="211"/>
      <c r="G126" s="228"/>
      <c r="H126" s="228"/>
      <c r="I126" s="228"/>
      <c r="J126" s="228"/>
      <c r="K126" s="228"/>
      <c r="L126" s="211"/>
      <c r="M126" s="211"/>
      <c r="N126" s="230"/>
      <c r="O126" s="230"/>
      <c r="P126" s="230"/>
      <c r="Q126" s="230"/>
      <c r="R126" s="230"/>
      <c r="S126" s="211"/>
      <c r="T126" s="231"/>
      <c r="U126" s="230"/>
      <c r="V126" s="230"/>
      <c r="W126" s="230"/>
      <c r="X126" s="230"/>
      <c r="Y126" s="230"/>
      <c r="Z126" s="232"/>
      <c r="AA126" s="232"/>
      <c r="AB126" s="230"/>
      <c r="AC126" s="230"/>
      <c r="AD126" s="230"/>
      <c r="AE126" s="230"/>
      <c r="AF126" s="230"/>
      <c r="AG126" s="232"/>
      <c r="AH126" s="201"/>
      <c r="AI126" s="107"/>
    </row>
    <row r="127" spans="1:35" ht="22.35" customHeight="1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>
      <c r="A129" s="172"/>
      <c r="B129" s="248" t="s">
        <v>175</v>
      </c>
      <c r="C129" s="383"/>
      <c r="D129" s="384" t="s">
        <v>94</v>
      </c>
      <c r="E129" s="385"/>
      <c r="F129" s="386"/>
      <c r="G129" s="383"/>
      <c r="H129" s="384" t="s">
        <v>95</v>
      </c>
      <c r="I129" s="385"/>
      <c r="J129" s="386"/>
      <c r="K129" s="383"/>
      <c r="L129" s="384" t="s">
        <v>96</v>
      </c>
      <c r="M129" s="385"/>
      <c r="N129" s="386"/>
      <c r="O129" s="383"/>
      <c r="P129" s="384" t="s">
        <v>97</v>
      </c>
      <c r="Q129" s="385"/>
      <c r="R129" s="386"/>
      <c r="S129" s="383"/>
      <c r="T129" s="384" t="s">
        <v>98</v>
      </c>
      <c r="U129" s="385"/>
      <c r="V129" s="386"/>
      <c r="W129" s="383"/>
      <c r="X129" s="384" t="s">
        <v>99</v>
      </c>
      <c r="Y129" s="385"/>
      <c r="Z129" s="386"/>
      <c r="AA129" s="383"/>
      <c r="AB129" s="384" t="s">
        <v>100</v>
      </c>
      <c r="AC129" s="385"/>
      <c r="AD129" s="385"/>
      <c r="AE129" s="387" t="s">
        <v>101</v>
      </c>
      <c r="AF129" s="385"/>
      <c r="AG129" s="385"/>
      <c r="AH129" s="385"/>
      <c r="AI129" s="388"/>
    </row>
    <row r="130" spans="1:35" ht="22.35" customHeight="1">
      <c r="A130" s="172"/>
      <c r="B130" s="1407" t="s">
        <v>192</v>
      </c>
      <c r="C130" s="1344" t="s">
        <v>193</v>
      </c>
      <c r="D130" s="1408"/>
      <c r="E130" s="1408"/>
      <c r="F130" s="1409"/>
      <c r="G130" s="1344" t="s">
        <v>193</v>
      </c>
      <c r="H130" s="1408"/>
      <c r="I130" s="1408"/>
      <c r="J130" s="1409"/>
      <c r="K130" s="1344" t="s">
        <v>193</v>
      </c>
      <c r="L130" s="1408"/>
      <c r="M130" s="1408"/>
      <c r="N130" s="1409"/>
      <c r="O130" s="1344" t="s">
        <v>193</v>
      </c>
      <c r="P130" s="1408"/>
      <c r="Q130" s="1408"/>
      <c r="R130" s="1409"/>
      <c r="S130" s="1344" t="s">
        <v>193</v>
      </c>
      <c r="T130" s="1408"/>
      <c r="U130" s="1408"/>
      <c r="V130" s="1409"/>
      <c r="W130" s="1344" t="s">
        <v>194</v>
      </c>
      <c r="X130" s="1410"/>
      <c r="Y130" s="1410"/>
      <c r="Z130" s="1411"/>
      <c r="AA130" s="1344" t="s">
        <v>194</v>
      </c>
      <c r="AB130" s="1408"/>
      <c r="AC130" s="1408"/>
      <c r="AD130" s="1345"/>
      <c r="AE130" s="1412">
        <v>69</v>
      </c>
      <c r="AF130" s="194"/>
      <c r="AG130" s="194"/>
      <c r="AH130" s="194"/>
      <c r="AI130" s="195"/>
    </row>
    <row r="131" spans="1:35" ht="22.35" customHeight="1">
      <c r="A131" s="172"/>
      <c r="B131" s="1407" t="s">
        <v>152</v>
      </c>
      <c r="C131" s="1344" t="s">
        <v>160</v>
      </c>
      <c r="D131" s="1408"/>
      <c r="E131" s="1408"/>
      <c r="F131" s="1409"/>
      <c r="G131" s="1344" t="s">
        <v>160</v>
      </c>
      <c r="H131" s="1408"/>
      <c r="I131" s="1408"/>
      <c r="J131" s="1409"/>
      <c r="K131" s="1344" t="s">
        <v>160</v>
      </c>
      <c r="L131" s="1408"/>
      <c r="M131" s="1408"/>
      <c r="N131" s="1409"/>
      <c r="O131" s="1344" t="s">
        <v>160</v>
      </c>
      <c r="P131" s="1408"/>
      <c r="Q131" s="1408"/>
      <c r="R131" s="1409"/>
      <c r="S131" s="1344" t="s">
        <v>160</v>
      </c>
      <c r="T131" s="1408"/>
      <c r="U131" s="1408"/>
      <c r="V131" s="1409"/>
      <c r="W131" s="1344" t="s">
        <v>160</v>
      </c>
      <c r="X131" s="1408"/>
      <c r="Y131" s="1408"/>
      <c r="Z131" s="1409"/>
      <c r="AA131" s="1408" t="s">
        <v>160</v>
      </c>
      <c r="AB131" s="1408"/>
      <c r="AC131" s="1408"/>
      <c r="AD131" s="1345"/>
      <c r="AE131" s="1412">
        <v>0</v>
      </c>
      <c r="AF131" s="194"/>
      <c r="AG131" s="194"/>
      <c r="AH131" s="194"/>
      <c r="AI131" s="195"/>
    </row>
    <row r="132" spans="1:35" ht="22.35" customHeight="1">
      <c r="A132" s="172"/>
      <c r="B132" s="1407" t="s">
        <v>195</v>
      </c>
      <c r="C132" s="1344" t="s">
        <v>193</v>
      </c>
      <c r="D132" s="1408"/>
      <c r="E132" s="1408"/>
      <c r="F132" s="1409"/>
      <c r="G132" s="1344" t="s">
        <v>193</v>
      </c>
      <c r="H132" s="1408"/>
      <c r="I132" s="1408"/>
      <c r="J132" s="1409"/>
      <c r="K132" s="1344" t="s">
        <v>193</v>
      </c>
      <c r="L132" s="1408"/>
      <c r="M132" s="1408"/>
      <c r="N132" s="1409"/>
      <c r="O132" s="1344" t="s">
        <v>193</v>
      </c>
      <c r="P132" s="1408"/>
      <c r="Q132" s="1408"/>
      <c r="R132" s="1409"/>
      <c r="S132" s="1344" t="s">
        <v>193</v>
      </c>
      <c r="T132" s="1408"/>
      <c r="U132" s="1408"/>
      <c r="V132" s="1409"/>
      <c r="W132" s="1344" t="s">
        <v>194</v>
      </c>
      <c r="X132" s="1410"/>
      <c r="Y132" s="1410"/>
      <c r="Z132" s="1411"/>
      <c r="AA132" s="1344" t="s">
        <v>194</v>
      </c>
      <c r="AB132" s="1408"/>
      <c r="AC132" s="1408"/>
      <c r="AD132" s="1345"/>
      <c r="AE132" s="1412">
        <v>69</v>
      </c>
      <c r="AF132" s="1408"/>
      <c r="AG132" s="1408" t="s">
        <v>0</v>
      </c>
      <c r="AH132" s="1345"/>
      <c r="AI132" s="1413"/>
    </row>
    <row r="133" spans="1:35" ht="22.35" customHeight="1">
      <c r="A133" s="172"/>
      <c r="B133" s="1407" t="s">
        <v>161</v>
      </c>
      <c r="C133" s="1344" t="s">
        <v>160</v>
      </c>
      <c r="D133" s="1408"/>
      <c r="E133" s="1408"/>
      <c r="F133" s="1409"/>
      <c r="G133" s="1344" t="s">
        <v>160</v>
      </c>
      <c r="H133" s="1408"/>
      <c r="I133" s="1408"/>
      <c r="J133" s="1409"/>
      <c r="K133" s="1344" t="s">
        <v>160</v>
      </c>
      <c r="L133" s="1408"/>
      <c r="M133" s="1408"/>
      <c r="N133" s="1409"/>
      <c r="O133" s="1344" t="s">
        <v>160</v>
      </c>
      <c r="P133" s="1408"/>
      <c r="Q133" s="1408"/>
      <c r="R133" s="1409"/>
      <c r="S133" s="1344" t="s">
        <v>160</v>
      </c>
      <c r="T133" s="1408"/>
      <c r="U133" s="1408"/>
      <c r="V133" s="1409"/>
      <c r="W133" s="1344" t="s">
        <v>160</v>
      </c>
      <c r="X133" s="1408"/>
      <c r="Y133" s="1408"/>
      <c r="Z133" s="1409"/>
      <c r="AA133" s="1408" t="s">
        <v>160</v>
      </c>
      <c r="AB133" s="1408"/>
      <c r="AC133" s="1408"/>
      <c r="AD133" s="1345"/>
      <c r="AE133" s="1412">
        <v>0</v>
      </c>
      <c r="AF133" s="1408"/>
      <c r="AG133" s="1408"/>
      <c r="AH133" s="1345"/>
      <c r="AI133" s="1413"/>
    </row>
    <row r="134" spans="1:35" ht="22.35" customHeight="1">
      <c r="A134" s="172"/>
      <c r="B134" s="1407" t="s">
        <v>196</v>
      </c>
      <c r="C134" s="1344" t="s">
        <v>193</v>
      </c>
      <c r="D134" s="1408"/>
      <c r="E134" s="1408"/>
      <c r="F134" s="1409"/>
      <c r="G134" s="1344" t="s">
        <v>193</v>
      </c>
      <c r="H134" s="1408"/>
      <c r="I134" s="1408"/>
      <c r="J134" s="1409"/>
      <c r="K134" s="1344" t="s">
        <v>193</v>
      </c>
      <c r="L134" s="1408"/>
      <c r="M134" s="1408"/>
      <c r="N134" s="1409"/>
      <c r="O134" s="1344" t="s">
        <v>193</v>
      </c>
      <c r="P134" s="1408"/>
      <c r="Q134" s="1408"/>
      <c r="R134" s="1409"/>
      <c r="S134" s="1344" t="s">
        <v>193</v>
      </c>
      <c r="T134" s="1408"/>
      <c r="U134" s="1408"/>
      <c r="V134" s="1409"/>
      <c r="W134" s="1344" t="s">
        <v>197</v>
      </c>
      <c r="X134" s="1415"/>
      <c r="Y134" s="1415"/>
      <c r="Z134" s="1416"/>
      <c r="AA134" s="1344" t="s">
        <v>197</v>
      </c>
      <c r="AB134" s="1415"/>
      <c r="AC134" s="1415"/>
      <c r="AD134" s="1347"/>
      <c r="AE134" s="1412">
        <v>66</v>
      </c>
      <c r="AF134" s="1408"/>
      <c r="AG134" s="1408"/>
      <c r="AH134" s="1345"/>
      <c r="AI134" s="1413"/>
    </row>
    <row r="135" spans="1:35" ht="22.35" customHeight="1" thickBot="1">
      <c r="A135" s="172"/>
      <c r="B135" s="1407" t="s">
        <v>198</v>
      </c>
      <c r="C135" s="1438" t="s">
        <v>160</v>
      </c>
      <c r="D135" s="1439"/>
      <c r="E135" s="1439"/>
      <c r="F135" s="1440"/>
      <c r="G135" s="1438" t="s">
        <v>160</v>
      </c>
      <c r="H135" s="1439"/>
      <c r="I135" s="1439"/>
      <c r="J135" s="1440"/>
      <c r="K135" s="1438" t="s">
        <v>160</v>
      </c>
      <c r="L135" s="1439"/>
      <c r="M135" s="1439"/>
      <c r="N135" s="1440"/>
      <c r="O135" s="1438" t="s">
        <v>160</v>
      </c>
      <c r="P135" s="1439"/>
      <c r="Q135" s="1439"/>
      <c r="R135" s="1440"/>
      <c r="S135" s="1438" t="s">
        <v>160</v>
      </c>
      <c r="T135" s="1439"/>
      <c r="U135" s="1439"/>
      <c r="V135" s="1426"/>
      <c r="W135" s="1438" t="s">
        <v>160</v>
      </c>
      <c r="X135" s="1426"/>
      <c r="Y135" s="1439"/>
      <c r="Z135" s="1440"/>
      <c r="AA135" s="1438" t="s">
        <v>160</v>
      </c>
      <c r="AB135" s="1426"/>
      <c r="AC135" s="1439"/>
      <c r="AD135" s="1440"/>
      <c r="AE135" s="1441" t="s">
        <v>168</v>
      </c>
      <c r="AF135" s="1439"/>
      <c r="AG135" s="1439"/>
      <c r="AH135" s="1426"/>
      <c r="AI135" s="1427"/>
    </row>
    <row r="136" spans="1:35" ht="22.35" customHeight="1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>
      <c r="A137" s="1385"/>
      <c r="B137" s="1239" t="s">
        <v>29</v>
      </c>
      <c r="C137" s="1240">
        <v>1</v>
      </c>
      <c r="D137" s="1240">
        <v>2</v>
      </c>
      <c r="E137" s="1240">
        <v>3</v>
      </c>
      <c r="F137" s="1240">
        <v>4</v>
      </c>
      <c r="G137" s="1241">
        <v>5</v>
      </c>
      <c r="H137" s="1241">
        <v>6</v>
      </c>
      <c r="I137" s="1240">
        <v>7</v>
      </c>
      <c r="J137" s="1240">
        <v>8</v>
      </c>
      <c r="K137" s="1240">
        <v>9</v>
      </c>
      <c r="L137" s="1240">
        <v>10</v>
      </c>
      <c r="M137" s="1240">
        <v>11</v>
      </c>
      <c r="N137" s="1241">
        <v>12</v>
      </c>
      <c r="O137" s="1241">
        <v>13</v>
      </c>
      <c r="P137" s="1240">
        <v>14</v>
      </c>
      <c r="Q137" s="1240">
        <v>15</v>
      </c>
      <c r="R137" s="1240">
        <v>16</v>
      </c>
      <c r="S137" s="1240">
        <v>17</v>
      </c>
      <c r="T137" s="1240">
        <v>18</v>
      </c>
      <c r="U137" s="1241">
        <v>19</v>
      </c>
      <c r="V137" s="1241">
        <v>20</v>
      </c>
      <c r="W137" s="1240">
        <v>21</v>
      </c>
      <c r="X137" s="1240">
        <v>22</v>
      </c>
      <c r="Y137" s="1240">
        <v>23</v>
      </c>
      <c r="Z137" s="1240">
        <v>24</v>
      </c>
      <c r="AA137" s="1240">
        <v>25</v>
      </c>
      <c r="AB137" s="1241">
        <v>26</v>
      </c>
      <c r="AC137" s="1241">
        <v>27</v>
      </c>
      <c r="AD137" s="1240">
        <v>28</v>
      </c>
      <c r="AE137" s="1240">
        <v>29</v>
      </c>
      <c r="AF137" s="1240">
        <v>30</v>
      </c>
      <c r="AG137" s="1242"/>
      <c r="AH137" s="176"/>
      <c r="AI137" s="177"/>
    </row>
    <row r="138" spans="1:35" ht="22.35" customHeight="1">
      <c r="A138" s="317">
        <v>1</v>
      </c>
      <c r="B138" s="227" t="s">
        <v>199</v>
      </c>
      <c r="C138" s="309" t="s">
        <v>36</v>
      </c>
      <c r="D138" s="309" t="s">
        <v>36</v>
      </c>
      <c r="E138" s="309" t="s">
        <v>36</v>
      </c>
      <c r="F138" s="309" t="s">
        <v>36</v>
      </c>
      <c r="G138" s="312"/>
      <c r="H138" s="309"/>
      <c r="I138" s="310">
        <v>23</v>
      </c>
      <c r="J138" s="312">
        <v>23</v>
      </c>
      <c r="K138" s="309">
        <v>23</v>
      </c>
      <c r="L138" s="310">
        <v>23</v>
      </c>
      <c r="M138" s="312">
        <v>23</v>
      </c>
      <c r="N138" s="312">
        <v>23</v>
      </c>
      <c r="O138" s="309">
        <v>23</v>
      </c>
      <c r="P138" s="309" t="s">
        <v>36</v>
      </c>
      <c r="Q138" s="309" t="s">
        <v>36</v>
      </c>
      <c r="R138" s="309" t="s">
        <v>36</v>
      </c>
      <c r="S138" s="309" t="s">
        <v>36</v>
      </c>
      <c r="T138" s="309" t="s">
        <v>36</v>
      </c>
      <c r="U138" s="309"/>
      <c r="V138" s="309"/>
      <c r="W138" s="310">
        <v>21</v>
      </c>
      <c r="X138" s="309">
        <v>21</v>
      </c>
      <c r="Y138" s="309">
        <v>21</v>
      </c>
      <c r="Z138" s="310">
        <v>21</v>
      </c>
      <c r="AA138" s="309">
        <v>21</v>
      </c>
      <c r="AB138" s="309">
        <v>21</v>
      </c>
      <c r="AC138" s="309">
        <v>21</v>
      </c>
      <c r="AD138" s="309" t="s">
        <v>36</v>
      </c>
      <c r="AE138" s="309" t="s">
        <v>36</v>
      </c>
      <c r="AF138" s="309" t="s">
        <v>36</v>
      </c>
      <c r="AG138" s="311"/>
      <c r="AH138" s="107"/>
      <c r="AI138" s="107"/>
    </row>
    <row r="139" spans="1:35" ht="22.35" customHeight="1">
      <c r="A139" s="1064">
        <v>2</v>
      </c>
      <c r="B139" s="1272" t="s">
        <v>200</v>
      </c>
      <c r="C139" s="1273" t="s">
        <v>36</v>
      </c>
      <c r="D139" s="1273" t="s">
        <v>36</v>
      </c>
      <c r="E139" s="1273" t="s">
        <v>36</v>
      </c>
      <c r="F139" s="1273" t="s">
        <v>36</v>
      </c>
      <c r="G139" s="1273"/>
      <c r="H139" s="1273"/>
      <c r="I139" s="1358">
        <v>21</v>
      </c>
      <c r="J139" s="1273">
        <v>21</v>
      </c>
      <c r="K139" s="1273">
        <v>21</v>
      </c>
      <c r="L139" s="1358">
        <v>21</v>
      </c>
      <c r="M139" s="1274">
        <v>21</v>
      </c>
      <c r="N139" s="1274">
        <v>21</v>
      </c>
      <c r="O139" s="1274">
        <v>21</v>
      </c>
      <c r="P139" s="1274" t="s">
        <v>36</v>
      </c>
      <c r="Q139" s="1274" t="s">
        <v>36</v>
      </c>
      <c r="R139" s="1274" t="s">
        <v>36</v>
      </c>
      <c r="S139" s="1274" t="s">
        <v>36</v>
      </c>
      <c r="T139" s="1274" t="s">
        <v>36</v>
      </c>
      <c r="U139" s="1274"/>
      <c r="V139" s="1274"/>
      <c r="W139" s="1358">
        <v>22</v>
      </c>
      <c r="X139" s="1273">
        <v>22</v>
      </c>
      <c r="Y139" s="1273">
        <v>22</v>
      </c>
      <c r="Z139" s="1358">
        <v>22</v>
      </c>
      <c r="AA139" s="1274">
        <v>22</v>
      </c>
      <c r="AB139" s="1274">
        <v>22</v>
      </c>
      <c r="AC139" s="1274">
        <v>22</v>
      </c>
      <c r="AD139" s="1274" t="s">
        <v>36</v>
      </c>
      <c r="AE139" s="1274" t="s">
        <v>36</v>
      </c>
      <c r="AF139" s="1274" t="s">
        <v>36</v>
      </c>
      <c r="AG139" s="1277"/>
      <c r="AH139" s="107"/>
      <c r="AI139" s="107"/>
    </row>
    <row r="140" spans="1:35" ht="22.35" customHeight="1">
      <c r="A140" s="1064">
        <v>3</v>
      </c>
      <c r="B140" s="1272" t="s">
        <v>201</v>
      </c>
      <c r="C140" s="1273" t="s">
        <v>36</v>
      </c>
      <c r="D140" s="1273" t="s">
        <v>36</v>
      </c>
      <c r="E140" s="1273" t="s">
        <v>36</v>
      </c>
      <c r="F140" s="1273" t="s">
        <v>36</v>
      </c>
      <c r="G140" s="1274"/>
      <c r="H140" s="1274"/>
      <c r="I140" s="1278">
        <v>22</v>
      </c>
      <c r="J140" s="1278">
        <v>22</v>
      </c>
      <c r="K140" s="1278">
        <v>22</v>
      </c>
      <c r="L140" s="1278">
        <v>22</v>
      </c>
      <c r="M140" s="1278">
        <v>22</v>
      </c>
      <c r="N140" s="1278">
        <v>22</v>
      </c>
      <c r="O140" s="1278">
        <v>22</v>
      </c>
      <c r="P140" s="1273" t="s">
        <v>36</v>
      </c>
      <c r="Q140" s="1273" t="s">
        <v>36</v>
      </c>
      <c r="R140" s="1282" t="s">
        <v>36</v>
      </c>
      <c r="S140" s="1282" t="s">
        <v>36</v>
      </c>
      <c r="T140" s="1273" t="s">
        <v>36</v>
      </c>
      <c r="U140" s="1274"/>
      <c r="V140" s="1274"/>
      <c r="W140" s="1358">
        <v>23</v>
      </c>
      <c r="X140" s="1273">
        <v>23</v>
      </c>
      <c r="Y140" s="1273">
        <v>23</v>
      </c>
      <c r="Z140" s="1358">
        <v>23</v>
      </c>
      <c r="AA140" s="1273">
        <v>23</v>
      </c>
      <c r="AB140" s="1273">
        <v>23</v>
      </c>
      <c r="AC140" s="1273">
        <v>23</v>
      </c>
      <c r="AD140" s="1273" t="s">
        <v>36</v>
      </c>
      <c r="AE140" s="1273" t="s">
        <v>36</v>
      </c>
      <c r="AF140" s="1273" t="s">
        <v>36</v>
      </c>
      <c r="AG140" s="1277"/>
      <c r="AH140" s="107"/>
      <c r="AI140" s="107"/>
    </row>
    <row r="141" spans="1:35" ht="22.35" customHeight="1">
      <c r="A141" s="1064">
        <v>4</v>
      </c>
      <c r="B141" s="1272" t="s">
        <v>202</v>
      </c>
      <c r="C141" s="1273">
        <v>22</v>
      </c>
      <c r="D141" s="1273">
        <v>22</v>
      </c>
      <c r="E141" s="1358">
        <v>22</v>
      </c>
      <c r="F141" s="1273">
        <v>22</v>
      </c>
      <c r="G141" s="1273">
        <v>22</v>
      </c>
      <c r="H141" s="1273">
        <v>22</v>
      </c>
      <c r="I141" s="1273" t="s">
        <v>36</v>
      </c>
      <c r="J141" s="1273" t="s">
        <v>36</v>
      </c>
      <c r="K141" s="1273" t="s">
        <v>36</v>
      </c>
      <c r="L141" s="1273" t="s">
        <v>36</v>
      </c>
      <c r="M141" s="1273" t="s">
        <v>36</v>
      </c>
      <c r="N141" s="1273"/>
      <c r="O141" s="1067"/>
      <c r="P141" s="1148">
        <v>23</v>
      </c>
      <c r="Q141" s="1148">
        <v>23</v>
      </c>
      <c r="R141" s="1148">
        <v>23</v>
      </c>
      <c r="S141" s="1148">
        <v>23</v>
      </c>
      <c r="T141" s="1148">
        <v>23</v>
      </c>
      <c r="U141" s="1148">
        <v>23</v>
      </c>
      <c r="V141" s="1148">
        <v>23</v>
      </c>
      <c r="W141" s="1148" t="s">
        <v>36</v>
      </c>
      <c r="X141" s="1148" t="s">
        <v>36</v>
      </c>
      <c r="Y141" s="1148" t="s">
        <v>36</v>
      </c>
      <c r="Z141" s="1148" t="s">
        <v>36</v>
      </c>
      <c r="AA141" s="1148" t="s">
        <v>36</v>
      </c>
      <c r="AB141" s="1148"/>
      <c r="AC141" s="1148"/>
      <c r="AD141" s="1370">
        <v>21</v>
      </c>
      <c r="AE141" s="1148">
        <v>21</v>
      </c>
      <c r="AF141" s="1148">
        <v>21</v>
      </c>
      <c r="AG141" s="979"/>
      <c r="AH141" s="107"/>
      <c r="AI141" s="107"/>
    </row>
    <row r="142" spans="1:35" ht="22.35" customHeight="1">
      <c r="A142" s="1064">
        <v>5</v>
      </c>
      <c r="B142" s="1272" t="s">
        <v>203</v>
      </c>
      <c r="C142" s="1273">
        <v>23</v>
      </c>
      <c r="D142" s="1273">
        <v>23</v>
      </c>
      <c r="E142" s="1358">
        <v>23</v>
      </c>
      <c r="F142" s="1274">
        <v>23</v>
      </c>
      <c r="G142" s="1273">
        <v>23</v>
      </c>
      <c r="H142" s="1273">
        <v>23</v>
      </c>
      <c r="I142" s="1273" t="s">
        <v>36</v>
      </c>
      <c r="J142" s="1273" t="s">
        <v>36</v>
      </c>
      <c r="K142" s="1273" t="s">
        <v>36</v>
      </c>
      <c r="L142" s="1273" t="s">
        <v>36</v>
      </c>
      <c r="M142" s="1273" t="s">
        <v>36</v>
      </c>
      <c r="N142" s="1273"/>
      <c r="O142" s="1273"/>
      <c r="P142" s="1358">
        <v>21</v>
      </c>
      <c r="Q142" s="1273">
        <v>21</v>
      </c>
      <c r="R142" s="1273">
        <v>21</v>
      </c>
      <c r="S142" s="1358">
        <v>21</v>
      </c>
      <c r="T142" s="1273">
        <v>21</v>
      </c>
      <c r="U142" s="1273">
        <v>21</v>
      </c>
      <c r="V142" s="1273">
        <v>21</v>
      </c>
      <c r="W142" s="1273" t="s">
        <v>36</v>
      </c>
      <c r="X142" s="1273" t="s">
        <v>36</v>
      </c>
      <c r="Y142" s="1273" t="s">
        <v>36</v>
      </c>
      <c r="Z142" s="1273" t="s">
        <v>36</v>
      </c>
      <c r="AA142" s="1273" t="s">
        <v>36</v>
      </c>
      <c r="AB142" s="1273"/>
      <c r="AC142" s="1274"/>
      <c r="AD142" s="1274">
        <v>22</v>
      </c>
      <c r="AE142" s="1274">
        <v>22</v>
      </c>
      <c r="AF142" s="1273">
        <v>22</v>
      </c>
      <c r="AG142" s="979"/>
      <c r="AH142" s="107"/>
      <c r="AI142" s="107"/>
    </row>
    <row r="143" spans="1:35" ht="22.35" customHeight="1" thickBot="1">
      <c r="A143" s="1068">
        <v>6</v>
      </c>
      <c r="B143" s="1069" t="s">
        <v>204</v>
      </c>
      <c r="C143" s="996">
        <v>21</v>
      </c>
      <c r="D143" s="996">
        <v>21</v>
      </c>
      <c r="E143" s="998">
        <v>21</v>
      </c>
      <c r="F143" s="996">
        <v>21</v>
      </c>
      <c r="G143" s="996">
        <v>21</v>
      </c>
      <c r="H143" s="1070">
        <v>21</v>
      </c>
      <c r="I143" s="1070" t="s">
        <v>36</v>
      </c>
      <c r="J143" s="1070" t="s">
        <v>36</v>
      </c>
      <c r="K143" s="1070" t="s">
        <v>36</v>
      </c>
      <c r="L143" s="1070" t="s">
        <v>36</v>
      </c>
      <c r="M143" s="1070" t="s">
        <v>36</v>
      </c>
      <c r="N143" s="1072"/>
      <c r="O143" s="1072"/>
      <c r="P143" s="998">
        <v>22</v>
      </c>
      <c r="Q143" s="996">
        <v>22</v>
      </c>
      <c r="R143" s="996">
        <v>22</v>
      </c>
      <c r="S143" s="998">
        <v>22</v>
      </c>
      <c r="T143" s="996">
        <v>22</v>
      </c>
      <c r="U143" s="996">
        <v>22</v>
      </c>
      <c r="V143" s="996">
        <v>22</v>
      </c>
      <c r="W143" s="996" t="s">
        <v>36</v>
      </c>
      <c r="X143" s="996" t="s">
        <v>36</v>
      </c>
      <c r="Y143" s="996" t="s">
        <v>36</v>
      </c>
      <c r="Z143" s="996" t="s">
        <v>36</v>
      </c>
      <c r="AA143" s="996" t="s">
        <v>36</v>
      </c>
      <c r="AB143" s="1072"/>
      <c r="AC143" s="1072"/>
      <c r="AD143" s="998">
        <v>23</v>
      </c>
      <c r="AE143" s="996">
        <v>23</v>
      </c>
      <c r="AF143" s="996">
        <v>23</v>
      </c>
      <c r="AG143" s="1074"/>
      <c r="AH143" s="107"/>
      <c r="AI143" s="107"/>
    </row>
    <row r="144" spans="1:35" ht="22.35" customHeight="1">
      <c r="A144" s="212"/>
      <c r="B144" s="210"/>
      <c r="C144" s="211"/>
      <c r="D144" s="211"/>
      <c r="E144" s="228"/>
      <c r="F144" s="211"/>
      <c r="G144" s="211"/>
      <c r="H144" s="233"/>
      <c r="I144" s="233"/>
      <c r="J144" s="233"/>
      <c r="K144" s="233"/>
      <c r="L144" s="233"/>
      <c r="M144" s="233"/>
      <c r="N144" s="202"/>
      <c r="O144" s="202"/>
      <c r="P144" s="228"/>
      <c r="Q144" s="211"/>
      <c r="R144" s="211"/>
      <c r="S144" s="228"/>
      <c r="T144" s="211"/>
      <c r="U144" s="211"/>
      <c r="V144" s="211"/>
      <c r="W144" s="211"/>
      <c r="X144" s="211"/>
      <c r="Y144" s="211"/>
      <c r="Z144" s="211"/>
      <c r="AA144" s="211"/>
      <c r="AB144" s="202"/>
      <c r="AC144" s="202"/>
      <c r="AD144" s="228"/>
      <c r="AE144" s="211"/>
      <c r="AF144" s="211"/>
      <c r="AG144" s="228"/>
      <c r="AH144" s="107"/>
      <c r="AI144" s="107"/>
    </row>
    <row r="145" spans="1:35" ht="22.35" customHeight="1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>
      <c r="A147" s="1"/>
      <c r="B147" s="248" t="s">
        <v>175</v>
      </c>
      <c r="C147" s="368"/>
      <c r="D147" s="384" t="s">
        <v>94</v>
      </c>
      <c r="E147" s="357"/>
      <c r="F147" s="372"/>
      <c r="G147" s="368"/>
      <c r="H147" s="384" t="s">
        <v>95</v>
      </c>
      <c r="I147" s="357"/>
      <c r="J147" s="372"/>
      <c r="K147" s="368"/>
      <c r="L147" s="384" t="s">
        <v>96</v>
      </c>
      <c r="M147" s="357"/>
      <c r="N147" s="372"/>
      <c r="O147" s="368"/>
      <c r="P147" s="384" t="s">
        <v>97</v>
      </c>
      <c r="Q147" s="357"/>
      <c r="R147" s="372"/>
      <c r="S147" s="368"/>
      <c r="T147" s="384" t="s">
        <v>98</v>
      </c>
      <c r="U147" s="357"/>
      <c r="V147" s="372"/>
      <c r="W147" s="368"/>
      <c r="X147" s="384" t="s">
        <v>99</v>
      </c>
      <c r="Y147" s="357"/>
      <c r="Z147" s="372"/>
      <c r="AA147" s="368"/>
      <c r="AB147" s="384" t="s">
        <v>100</v>
      </c>
      <c r="AC147" s="357"/>
      <c r="AD147" s="357"/>
      <c r="AE147" s="387" t="s">
        <v>101</v>
      </c>
      <c r="AF147" s="357"/>
      <c r="AG147" s="357"/>
      <c r="AH147" s="357"/>
      <c r="AI147" s="358"/>
    </row>
    <row r="148" spans="1:35" ht="22.35" customHeight="1">
      <c r="A148" s="1"/>
      <c r="B148" s="1407" t="s">
        <v>148</v>
      </c>
      <c r="C148" s="1344" t="s">
        <v>176</v>
      </c>
      <c r="D148" s="1222"/>
      <c r="E148" s="1222"/>
      <c r="F148" s="1409"/>
      <c r="G148" s="1344" t="s">
        <v>176</v>
      </c>
      <c r="H148" s="1222"/>
      <c r="I148" s="1222"/>
      <c r="J148" s="1409"/>
      <c r="K148" s="1344" t="s">
        <v>176</v>
      </c>
      <c r="L148" s="1222"/>
      <c r="M148" s="1222"/>
      <c r="N148" s="1409"/>
      <c r="O148" s="1344" t="s">
        <v>206</v>
      </c>
      <c r="P148" s="1222"/>
      <c r="Q148" s="1222"/>
      <c r="R148" s="1409"/>
      <c r="S148" s="1344" t="s">
        <v>160</v>
      </c>
      <c r="T148" s="1222"/>
      <c r="U148" s="1222"/>
      <c r="V148" s="1409"/>
      <c r="W148" s="1163"/>
      <c r="X148" s="1442"/>
      <c r="Y148" s="1442"/>
      <c r="Z148" s="1411"/>
      <c r="AA148" s="1165"/>
      <c r="AB148" s="1222"/>
      <c r="AC148" s="1222"/>
      <c r="AD148" s="1345"/>
      <c r="AE148" s="1412">
        <v>27</v>
      </c>
      <c r="AF148" s="1222"/>
      <c r="AG148" s="1222"/>
      <c r="AH148" s="1345"/>
      <c r="AI148" s="1231"/>
    </row>
    <row r="149" spans="1:35" ht="22.35" customHeight="1">
      <c r="A149" s="1"/>
      <c r="B149" s="1407" t="s">
        <v>152</v>
      </c>
      <c r="C149" s="1344" t="s">
        <v>207</v>
      </c>
      <c r="D149" s="1222"/>
      <c r="E149" s="1222"/>
      <c r="F149" s="1409"/>
      <c r="G149" s="1344" t="s">
        <v>207</v>
      </c>
      <c r="H149" s="1222"/>
      <c r="I149" s="1222"/>
      <c r="J149" s="1409"/>
      <c r="K149" s="1344" t="s">
        <v>207</v>
      </c>
      <c r="L149" s="1222"/>
      <c r="M149" s="1222"/>
      <c r="N149" s="1409"/>
      <c r="O149" s="1344" t="s">
        <v>207</v>
      </c>
      <c r="P149" s="1222"/>
      <c r="Q149" s="1222"/>
      <c r="R149" s="1409"/>
      <c r="S149" s="1344" t="s">
        <v>176</v>
      </c>
      <c r="T149" s="1222"/>
      <c r="U149" s="1222"/>
      <c r="V149" s="1409"/>
      <c r="W149" s="1344"/>
      <c r="X149" s="1222"/>
      <c r="Y149" s="1222"/>
      <c r="Z149" s="1409"/>
      <c r="AA149" s="1222"/>
      <c r="AB149" s="1222"/>
      <c r="AC149" s="1222"/>
      <c r="AD149" s="1345"/>
      <c r="AE149" s="1412">
        <v>39</v>
      </c>
      <c r="AF149" s="1222"/>
      <c r="AG149" s="1222"/>
      <c r="AH149" s="1345"/>
      <c r="AI149" s="1231"/>
    </row>
    <row r="150" spans="1:35" ht="22.35" customHeight="1">
      <c r="A150" s="1"/>
      <c r="B150" s="1407" t="s">
        <v>159</v>
      </c>
      <c r="C150" s="1344" t="s">
        <v>207</v>
      </c>
      <c r="D150" s="1222"/>
      <c r="E150" s="1222"/>
      <c r="F150" s="1409"/>
      <c r="G150" s="1344" t="s">
        <v>207</v>
      </c>
      <c r="H150" s="1222"/>
      <c r="I150" s="1222"/>
      <c r="J150" s="1409"/>
      <c r="K150" s="1344" t="s">
        <v>207</v>
      </c>
      <c r="L150" s="1222"/>
      <c r="M150" s="1222"/>
      <c r="N150" s="1409"/>
      <c r="O150" s="1344" t="s">
        <v>207</v>
      </c>
      <c r="P150" s="1222"/>
      <c r="Q150" s="1222"/>
      <c r="R150" s="1409"/>
      <c r="S150" s="1344" t="s">
        <v>207</v>
      </c>
      <c r="T150" s="1222"/>
      <c r="U150" s="1222"/>
      <c r="V150" s="1409"/>
      <c r="W150" s="1346" t="s">
        <v>208</v>
      </c>
      <c r="X150" s="1235"/>
      <c r="Y150" s="1235"/>
      <c r="Z150" s="1416"/>
      <c r="AA150" s="1414"/>
      <c r="AB150" s="1235"/>
      <c r="AC150" s="1235"/>
      <c r="AD150" s="1347"/>
      <c r="AE150" s="1412">
        <v>45</v>
      </c>
      <c r="AF150" s="1222"/>
      <c r="AG150" s="1222"/>
      <c r="AH150" s="1345"/>
      <c r="AI150" s="1231"/>
    </row>
    <row r="151" spans="1:35" ht="22.35" customHeight="1" thickBot="1">
      <c r="A151" s="1"/>
      <c r="B151" s="454" t="s">
        <v>161</v>
      </c>
      <c r="C151" s="1438"/>
      <c r="D151" s="1298"/>
      <c r="E151" s="1298"/>
      <c r="F151" s="1440"/>
      <c r="G151" s="1438"/>
      <c r="H151" s="1298"/>
      <c r="I151" s="1298"/>
      <c r="J151" s="1440"/>
      <c r="K151" s="1438"/>
      <c r="L151" s="1298"/>
      <c r="M151" s="1298"/>
      <c r="N151" s="1440"/>
      <c r="O151" s="1438"/>
      <c r="P151" s="1298"/>
      <c r="Q151" s="1298"/>
      <c r="R151" s="1440"/>
      <c r="S151" s="1438"/>
      <c r="T151" s="1298"/>
      <c r="U151" s="1298"/>
      <c r="V151" s="1426"/>
      <c r="W151" s="1438"/>
      <c r="X151" s="1426"/>
      <c r="Y151" s="1298"/>
      <c r="Z151" s="1440"/>
      <c r="AA151" s="1438"/>
      <c r="AB151" s="1426"/>
      <c r="AC151" s="1298"/>
      <c r="AD151" s="1440"/>
      <c r="AE151" s="1443"/>
      <c r="AF151" s="1298"/>
      <c r="AG151" s="1298"/>
      <c r="AH151" s="1426"/>
      <c r="AI151" s="1305"/>
    </row>
    <row r="152" spans="1:35" ht="22.35" customHeight="1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>
      <c r="A153" s="1385"/>
      <c r="B153" s="1307" t="s">
        <v>29</v>
      </c>
      <c r="C153" s="1240">
        <v>1</v>
      </c>
      <c r="D153" s="1240">
        <v>2</v>
      </c>
      <c r="E153" s="1240">
        <v>3</v>
      </c>
      <c r="F153" s="1240">
        <v>4</v>
      </c>
      <c r="G153" s="1241">
        <v>5</v>
      </c>
      <c r="H153" s="1241">
        <v>6</v>
      </c>
      <c r="I153" s="1240">
        <v>7</v>
      </c>
      <c r="J153" s="1240">
        <v>8</v>
      </c>
      <c r="K153" s="1240">
        <v>9</v>
      </c>
      <c r="L153" s="1240">
        <v>10</v>
      </c>
      <c r="M153" s="1240">
        <v>11</v>
      </c>
      <c r="N153" s="1241">
        <v>12</v>
      </c>
      <c r="O153" s="1241">
        <v>13</v>
      </c>
      <c r="P153" s="1240">
        <v>14</v>
      </c>
      <c r="Q153" s="1240">
        <v>15</v>
      </c>
      <c r="R153" s="1240">
        <v>16</v>
      </c>
      <c r="S153" s="1240">
        <v>17</v>
      </c>
      <c r="T153" s="1240">
        <v>18</v>
      </c>
      <c r="U153" s="1241">
        <v>19</v>
      </c>
      <c r="V153" s="1241">
        <v>20</v>
      </c>
      <c r="W153" s="1240">
        <v>21</v>
      </c>
      <c r="X153" s="1240">
        <v>22</v>
      </c>
      <c r="Y153" s="1240">
        <v>23</v>
      </c>
      <c r="Z153" s="1240">
        <v>24</v>
      </c>
      <c r="AA153" s="1240">
        <v>25</v>
      </c>
      <c r="AB153" s="1241">
        <v>26</v>
      </c>
      <c r="AC153" s="1241">
        <v>27</v>
      </c>
      <c r="AD153" s="1240">
        <v>28</v>
      </c>
      <c r="AE153" s="1240">
        <v>29</v>
      </c>
      <c r="AF153" s="1240">
        <v>30</v>
      </c>
      <c r="AG153" s="1242"/>
      <c r="AH153" s="176"/>
      <c r="AI153" s="177"/>
    </row>
    <row r="154" spans="1:35" ht="22.35" customHeight="1">
      <c r="A154" s="367">
        <v>1</v>
      </c>
      <c r="B154" s="390" t="s">
        <v>209</v>
      </c>
      <c r="C154" s="350" t="s">
        <v>32</v>
      </c>
      <c r="D154" s="349" t="s">
        <v>32</v>
      </c>
      <c r="E154" s="349" t="s">
        <v>32</v>
      </c>
      <c r="F154" s="349" t="s">
        <v>32</v>
      </c>
      <c r="G154" s="349"/>
      <c r="H154" s="349"/>
      <c r="I154" s="349" t="s">
        <v>32</v>
      </c>
      <c r="J154" s="349" t="s">
        <v>32</v>
      </c>
      <c r="K154" s="349" t="s">
        <v>32</v>
      </c>
      <c r="L154" s="349" t="s">
        <v>32</v>
      </c>
      <c r="M154" s="349" t="s">
        <v>32</v>
      </c>
      <c r="N154" s="349"/>
      <c r="O154" s="349"/>
      <c r="P154" s="349" t="s">
        <v>32</v>
      </c>
      <c r="Q154" s="349" t="s">
        <v>32</v>
      </c>
      <c r="R154" s="349" t="s">
        <v>32</v>
      </c>
      <c r="S154" s="349" t="s">
        <v>32</v>
      </c>
      <c r="T154" s="541" t="s">
        <v>32</v>
      </c>
      <c r="U154" s="349"/>
      <c r="V154" s="349"/>
      <c r="W154" s="350" t="s">
        <v>32</v>
      </c>
      <c r="X154" s="350" t="s">
        <v>32</v>
      </c>
      <c r="Y154" s="350" t="s">
        <v>32</v>
      </c>
      <c r="Z154" s="541" t="s">
        <v>32</v>
      </c>
      <c r="AA154" s="541" t="s">
        <v>32</v>
      </c>
      <c r="AB154" s="350"/>
      <c r="AC154" s="349"/>
      <c r="AD154" s="351" t="s">
        <v>32</v>
      </c>
      <c r="AE154" s="351" t="s">
        <v>32</v>
      </c>
      <c r="AF154" s="351" t="s">
        <v>32</v>
      </c>
      <c r="AG154" s="352"/>
      <c r="AH154" s="215"/>
      <c r="AI154" s="182"/>
    </row>
    <row r="155" spans="1:35" ht="22.35" customHeight="1">
      <c r="A155" s="1397">
        <v>2</v>
      </c>
      <c r="B155" s="1444" t="s">
        <v>210</v>
      </c>
      <c r="C155" s="1252" t="s">
        <v>212</v>
      </c>
      <c r="D155" s="1252" t="s">
        <v>212</v>
      </c>
      <c r="E155" s="1252" t="s">
        <v>212</v>
      </c>
      <c r="F155" s="1252" t="s">
        <v>212</v>
      </c>
      <c r="G155" s="1252" t="s">
        <v>212</v>
      </c>
      <c r="H155" s="1252"/>
      <c r="I155" s="1252" t="s">
        <v>213</v>
      </c>
      <c r="J155" s="1252" t="s">
        <v>213</v>
      </c>
      <c r="K155" s="1252" t="s">
        <v>213</v>
      </c>
      <c r="L155" s="1252" t="s">
        <v>213</v>
      </c>
      <c r="M155" s="1252" t="s">
        <v>36</v>
      </c>
      <c r="N155" s="1365" t="s">
        <v>32</v>
      </c>
      <c r="O155" s="1365" t="s">
        <v>32</v>
      </c>
      <c r="P155" s="211" t="s">
        <v>211</v>
      </c>
      <c r="Q155" s="211" t="s">
        <v>211</v>
      </c>
      <c r="R155" s="1273" t="s">
        <v>211</v>
      </c>
      <c r="S155" s="1273" t="s">
        <v>32</v>
      </c>
      <c r="T155" s="1273" t="s">
        <v>32</v>
      </c>
      <c r="U155" s="1445" t="s">
        <v>32</v>
      </c>
      <c r="V155" s="1445" t="s">
        <v>32</v>
      </c>
      <c r="W155" s="1252" t="s">
        <v>212</v>
      </c>
      <c r="X155" s="1252" t="s">
        <v>212</v>
      </c>
      <c r="Y155" s="1322" t="s">
        <v>212</v>
      </c>
      <c r="Z155" s="1252" t="s">
        <v>212</v>
      </c>
      <c r="AA155" s="1252" t="s">
        <v>212</v>
      </c>
      <c r="AB155" s="557" t="s">
        <v>212</v>
      </c>
      <c r="AC155" s="1365" t="s">
        <v>32</v>
      </c>
      <c r="AD155" s="1336" t="s">
        <v>213</v>
      </c>
      <c r="AE155" s="1336" t="s">
        <v>213</v>
      </c>
      <c r="AF155" s="1336" t="s">
        <v>213</v>
      </c>
      <c r="AG155" s="1314"/>
      <c r="AH155" s="215"/>
      <c r="AI155" s="182"/>
    </row>
    <row r="156" spans="1:35" ht="22.35" customHeight="1">
      <c r="A156" s="1397">
        <v>3</v>
      </c>
      <c r="B156" s="1446" t="s">
        <v>214</v>
      </c>
      <c r="C156" s="1252" t="s">
        <v>213</v>
      </c>
      <c r="D156" s="1252" t="s">
        <v>213</v>
      </c>
      <c r="E156" s="1252" t="s">
        <v>213</v>
      </c>
      <c r="F156" s="1252" t="s">
        <v>36</v>
      </c>
      <c r="G156" s="1252"/>
      <c r="H156" s="1252"/>
      <c r="I156" s="1252" t="s">
        <v>211</v>
      </c>
      <c r="J156" s="1252" t="s">
        <v>211</v>
      </c>
      <c r="K156" s="1252" t="s">
        <v>211</v>
      </c>
      <c r="L156" s="1252" t="s">
        <v>211</v>
      </c>
      <c r="M156" s="1252" t="s">
        <v>211</v>
      </c>
      <c r="N156" s="1252"/>
      <c r="O156" s="1252"/>
      <c r="P156" s="1252" t="s">
        <v>212</v>
      </c>
      <c r="Q156" s="1252" t="s">
        <v>212</v>
      </c>
      <c r="R156" s="1252" t="s">
        <v>212</v>
      </c>
      <c r="S156" s="1252" t="s">
        <v>212</v>
      </c>
      <c r="T156" s="1252" t="s">
        <v>212</v>
      </c>
      <c r="U156" s="1252" t="s">
        <v>212</v>
      </c>
      <c r="V156" s="1252"/>
      <c r="W156" s="1252" t="s">
        <v>213</v>
      </c>
      <c r="X156" s="1252" t="s">
        <v>213</v>
      </c>
      <c r="Y156" s="1252" t="s">
        <v>213</v>
      </c>
      <c r="Z156" s="1252" t="s">
        <v>213</v>
      </c>
      <c r="AA156" s="1323" t="s">
        <v>36</v>
      </c>
      <c r="AB156" s="1323"/>
      <c r="AC156" s="1323"/>
      <c r="AD156" s="1323" t="s">
        <v>211</v>
      </c>
      <c r="AE156" s="1323" t="s">
        <v>211</v>
      </c>
      <c r="AF156" s="1323" t="s">
        <v>211</v>
      </c>
      <c r="AG156" s="1314"/>
      <c r="AH156" s="215"/>
      <c r="AI156" s="182"/>
    </row>
    <row r="157" spans="1:35" ht="22.35" customHeight="1">
      <c r="A157" s="1397">
        <v>4</v>
      </c>
      <c r="B157" s="1446" t="s">
        <v>215</v>
      </c>
      <c r="C157" s="1252"/>
      <c r="D157" s="1252" t="s">
        <v>32</v>
      </c>
      <c r="E157" s="1252"/>
      <c r="F157" s="1252" t="s">
        <v>32</v>
      </c>
      <c r="G157" s="1252"/>
      <c r="H157" s="1252"/>
      <c r="I157" s="1253"/>
      <c r="J157" s="1253"/>
      <c r="K157" s="1253" t="s">
        <v>32</v>
      </c>
      <c r="L157" s="1253"/>
      <c r="M157" s="1253" t="s">
        <v>32</v>
      </c>
      <c r="N157" s="1253" t="s">
        <v>32</v>
      </c>
      <c r="O157" s="1253"/>
      <c r="P157" s="1253" t="s">
        <v>32</v>
      </c>
      <c r="Q157" s="1253"/>
      <c r="R157" s="1253" t="s">
        <v>32</v>
      </c>
      <c r="S157" s="1253"/>
      <c r="T157" s="1253" t="s">
        <v>32</v>
      </c>
      <c r="U157" s="1253"/>
      <c r="V157" s="1253"/>
      <c r="W157" s="1253" t="s">
        <v>32</v>
      </c>
      <c r="X157" s="1253"/>
      <c r="Y157" s="1253" t="s">
        <v>32</v>
      </c>
      <c r="Z157" s="1253"/>
      <c r="AA157" s="1253" t="s">
        <v>32</v>
      </c>
      <c r="AB157" s="1253"/>
      <c r="AC157" s="1253"/>
      <c r="AD157" s="1252"/>
      <c r="AE157" s="1252"/>
      <c r="AF157" s="1252" t="s">
        <v>32</v>
      </c>
      <c r="AG157" s="1314"/>
      <c r="AH157" s="215"/>
      <c r="AI157" s="182"/>
    </row>
    <row r="158" spans="1:35" ht="22.35" customHeight="1">
      <c r="A158" s="1397">
        <v>5</v>
      </c>
      <c r="B158" s="1446" t="s">
        <v>216</v>
      </c>
      <c r="C158" s="1252" t="s">
        <v>32</v>
      </c>
      <c r="D158" s="1252"/>
      <c r="E158" s="1252" t="s">
        <v>32</v>
      </c>
      <c r="F158" s="1252"/>
      <c r="G158" s="1252"/>
      <c r="H158" s="1252"/>
      <c r="I158" s="1252"/>
      <c r="J158" s="1252" t="s">
        <v>32</v>
      </c>
      <c r="K158" s="1252"/>
      <c r="L158" s="1252" t="s">
        <v>32</v>
      </c>
      <c r="M158" s="1252"/>
      <c r="N158" s="1252"/>
      <c r="O158" s="1252"/>
      <c r="P158" s="1252"/>
      <c r="Q158" s="1252" t="s">
        <v>32</v>
      </c>
      <c r="R158" s="1252"/>
      <c r="S158" s="1252" t="s">
        <v>32</v>
      </c>
      <c r="T158" s="1252"/>
      <c r="U158" s="1252"/>
      <c r="V158" s="1252"/>
      <c r="W158" s="1252"/>
      <c r="X158" s="1252" t="s">
        <v>32</v>
      </c>
      <c r="Y158" s="1252"/>
      <c r="Z158" s="1252" t="s">
        <v>32</v>
      </c>
      <c r="AA158" s="1252"/>
      <c r="AB158" s="1252"/>
      <c r="AC158" s="1252"/>
      <c r="AD158" s="1252"/>
      <c r="AE158" s="1252" t="s">
        <v>32</v>
      </c>
      <c r="AF158" s="1252"/>
      <c r="AG158" s="1314"/>
      <c r="AH158" s="215"/>
      <c r="AI158" s="182"/>
    </row>
    <row r="159" spans="1:35" ht="22.35" customHeight="1">
      <c r="A159" s="1397">
        <v>6</v>
      </c>
      <c r="B159" s="1255" t="s">
        <v>217</v>
      </c>
      <c r="C159" s="1252" t="s">
        <v>32</v>
      </c>
      <c r="D159" s="1252" t="s">
        <v>32</v>
      </c>
      <c r="E159" s="1252" t="s">
        <v>32</v>
      </c>
      <c r="F159" s="1252" t="s">
        <v>32</v>
      </c>
      <c r="G159" s="1252"/>
      <c r="H159" s="1252"/>
      <c r="I159" s="1252" t="s">
        <v>32</v>
      </c>
      <c r="J159" s="1256" t="s">
        <v>32</v>
      </c>
      <c r="K159" s="1252" t="s">
        <v>32</v>
      </c>
      <c r="L159" s="1252" t="s">
        <v>32</v>
      </c>
      <c r="M159" s="1252" t="s">
        <v>32</v>
      </c>
      <c r="N159" s="1252"/>
      <c r="O159" s="1252"/>
      <c r="P159" s="1252" t="s">
        <v>32</v>
      </c>
      <c r="Q159" s="1252" t="s">
        <v>32</v>
      </c>
      <c r="R159" s="1252" t="s">
        <v>32</v>
      </c>
      <c r="S159" s="1252" t="s">
        <v>32</v>
      </c>
      <c r="T159" s="1249" t="s">
        <v>32</v>
      </c>
      <c r="U159" s="1249"/>
      <c r="V159" s="1249"/>
      <c r="W159" s="1249" t="s">
        <v>32</v>
      </c>
      <c r="X159" s="1249" t="s">
        <v>32</v>
      </c>
      <c r="Y159" s="1252" t="s">
        <v>32</v>
      </c>
      <c r="Z159" s="1252" t="s">
        <v>32</v>
      </c>
      <c r="AA159" s="1252" t="s">
        <v>32</v>
      </c>
      <c r="AB159" s="1252"/>
      <c r="AC159" s="1252"/>
      <c r="AD159" s="1252" t="s">
        <v>32</v>
      </c>
      <c r="AE159" s="1252" t="s">
        <v>32</v>
      </c>
      <c r="AF159" s="1252" t="s">
        <v>32</v>
      </c>
      <c r="AG159" s="1314"/>
      <c r="AH159" s="201"/>
      <c r="AI159" s="107"/>
    </row>
    <row r="160" spans="1:35" ht="22.35" customHeight="1" thickBot="1">
      <c r="A160" s="1401"/>
      <c r="B160" s="1316"/>
      <c r="C160" s="1240"/>
      <c r="D160" s="1240"/>
      <c r="E160" s="1240"/>
      <c r="F160" s="1240"/>
      <c r="G160" s="1240"/>
      <c r="H160" s="1240"/>
      <c r="I160" s="1240"/>
      <c r="J160" s="1240"/>
      <c r="K160" s="1240"/>
      <c r="L160" s="1240"/>
      <c r="M160" s="1240"/>
      <c r="N160" s="1240"/>
      <c r="O160" s="1240"/>
      <c r="P160" s="1240"/>
      <c r="Q160" s="1240"/>
      <c r="R160" s="1240"/>
      <c r="S160" s="1240"/>
      <c r="T160" s="1240"/>
      <c r="U160" s="1240"/>
      <c r="V160" s="1240"/>
      <c r="W160" s="1240"/>
      <c r="X160" s="1240"/>
      <c r="Y160" s="1240"/>
      <c r="Z160" s="1240"/>
      <c r="AA160" s="1240"/>
      <c r="AB160" s="1240"/>
      <c r="AC160" s="1240"/>
      <c r="AD160" s="1240"/>
      <c r="AE160" s="1240"/>
      <c r="AF160" s="1240"/>
      <c r="AG160" s="1242"/>
      <c r="AH160" s="107"/>
      <c r="AI160" s="107"/>
    </row>
    <row r="161" spans="1:36" ht="22.35" customHeight="1">
      <c r="A161" s="212"/>
      <c r="B161" s="210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 thickBot="1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>
      <c r="A164" s="109"/>
      <c r="B164" s="239" t="s">
        <v>220</v>
      </c>
      <c r="C164" s="240"/>
      <c r="D164" s="241" t="s">
        <v>94</v>
      </c>
      <c r="E164" s="242"/>
      <c r="F164" s="243"/>
      <c r="G164" s="244"/>
      <c r="H164" s="241" t="s">
        <v>95</v>
      </c>
      <c r="I164" s="242"/>
      <c r="J164" s="243"/>
      <c r="K164" s="244"/>
      <c r="L164" s="241" t="s">
        <v>96</v>
      </c>
      <c r="M164" s="242"/>
      <c r="N164" s="243"/>
      <c r="O164" s="244"/>
      <c r="P164" s="241" t="s">
        <v>97</v>
      </c>
      <c r="Q164" s="242"/>
      <c r="R164" s="243"/>
      <c r="S164" s="244"/>
      <c r="T164" s="241" t="s">
        <v>98</v>
      </c>
      <c r="U164" s="242"/>
      <c r="V164" s="243"/>
      <c r="W164" s="244"/>
      <c r="X164" s="241" t="s">
        <v>99</v>
      </c>
      <c r="Y164" s="242"/>
      <c r="Z164" s="243"/>
      <c r="AA164" s="244"/>
      <c r="AB164" s="241" t="s">
        <v>100</v>
      </c>
      <c r="AC164" s="242"/>
      <c r="AD164" s="242"/>
      <c r="AE164" s="245" t="s">
        <v>101</v>
      </c>
      <c r="AF164" s="242"/>
      <c r="AG164" s="242"/>
      <c r="AH164" s="242"/>
      <c r="AI164" s="246"/>
    </row>
    <row r="165" spans="1:36" ht="22.35" customHeight="1">
      <c r="A165" s="109"/>
      <c r="B165" s="1082" t="s">
        <v>221</v>
      </c>
      <c r="C165" s="1083" t="s">
        <v>113</v>
      </c>
      <c r="D165" s="1447" t="s">
        <v>222</v>
      </c>
      <c r="E165" s="1448"/>
      <c r="F165" s="1449"/>
      <c r="G165" s="1086"/>
      <c r="H165" s="1447" t="s">
        <v>222</v>
      </c>
      <c r="I165" s="1448"/>
      <c r="J165" s="1449"/>
      <c r="K165" s="1086"/>
      <c r="L165" s="1447" t="s">
        <v>222</v>
      </c>
      <c r="M165" s="1448"/>
      <c r="N165" s="1449"/>
      <c r="O165" s="1086"/>
      <c r="P165" s="1447" t="s">
        <v>223</v>
      </c>
      <c r="Q165" s="1448"/>
      <c r="R165" s="1449"/>
      <c r="S165" s="1086"/>
      <c r="T165" s="1447" t="s">
        <v>224</v>
      </c>
      <c r="U165" s="1449"/>
      <c r="V165" s="1449"/>
      <c r="W165" s="1087"/>
      <c r="X165" s="1450"/>
      <c r="Y165" s="1450"/>
      <c r="Z165" s="1451"/>
      <c r="AA165" s="1087"/>
      <c r="AB165" s="1450"/>
      <c r="AC165" s="1450"/>
      <c r="AD165" s="1450"/>
      <c r="AE165" s="1087"/>
      <c r="AF165" s="1450"/>
      <c r="AG165" s="1450"/>
      <c r="AH165" s="1452"/>
      <c r="AI165" s="1090"/>
    </row>
    <row r="166" spans="1:36" ht="22.35" customHeight="1">
      <c r="A166" s="109"/>
      <c r="B166" s="1082" t="s">
        <v>221</v>
      </c>
      <c r="C166" s="1083" t="s">
        <v>118</v>
      </c>
      <c r="D166" s="1447" t="s">
        <v>222</v>
      </c>
      <c r="E166" s="1448"/>
      <c r="F166" s="1449"/>
      <c r="G166" s="1086"/>
      <c r="H166" s="1447" t="s">
        <v>222</v>
      </c>
      <c r="I166" s="1448"/>
      <c r="J166" s="1449"/>
      <c r="K166" s="1086"/>
      <c r="L166" s="1447" t="s">
        <v>222</v>
      </c>
      <c r="M166" s="1448"/>
      <c r="N166" s="1449"/>
      <c r="O166" s="1086"/>
      <c r="P166" s="1447" t="s">
        <v>223</v>
      </c>
      <c r="Q166" s="1448"/>
      <c r="R166" s="1449"/>
      <c r="S166" s="1086"/>
      <c r="T166" s="1447" t="s">
        <v>224</v>
      </c>
      <c r="U166" s="1449"/>
      <c r="V166" s="1449"/>
      <c r="W166" s="1087"/>
      <c r="X166" s="1450"/>
      <c r="Y166" s="1450"/>
      <c r="Z166" s="1451"/>
      <c r="AA166" s="1087"/>
      <c r="AB166" s="1450"/>
      <c r="AC166" s="1450"/>
      <c r="AD166" s="1450"/>
      <c r="AE166" s="1087"/>
      <c r="AF166" s="1450"/>
      <c r="AG166" s="1450"/>
      <c r="AH166" s="1452"/>
      <c r="AI166" s="1090"/>
    </row>
    <row r="167" spans="1:36" ht="22.35" customHeight="1">
      <c r="A167" s="109"/>
      <c r="B167" s="1082" t="s">
        <v>225</v>
      </c>
      <c r="C167" s="1083" t="s">
        <v>126</v>
      </c>
      <c r="D167" s="1447" t="s">
        <v>222</v>
      </c>
      <c r="E167" s="1448"/>
      <c r="F167" s="1449"/>
      <c r="G167" s="1086"/>
      <c r="H167" s="1447" t="s">
        <v>222</v>
      </c>
      <c r="I167" s="1448"/>
      <c r="J167" s="1449"/>
      <c r="K167" s="1086"/>
      <c r="L167" s="1447" t="s">
        <v>222</v>
      </c>
      <c r="M167" s="1448"/>
      <c r="N167" s="1449"/>
      <c r="O167" s="1086"/>
      <c r="P167" s="1447" t="s">
        <v>223</v>
      </c>
      <c r="Q167" s="1448"/>
      <c r="R167" s="1449"/>
      <c r="S167" s="1086"/>
      <c r="T167" s="1447" t="s">
        <v>224</v>
      </c>
      <c r="U167" s="1449"/>
      <c r="V167" s="1449"/>
      <c r="W167" s="1087"/>
      <c r="X167" s="1450"/>
      <c r="Y167" s="1450"/>
      <c r="Z167" s="1451"/>
      <c r="AA167" s="1087"/>
      <c r="AB167" s="1450"/>
      <c r="AC167" s="1450"/>
      <c r="AD167" s="1450"/>
      <c r="AE167" s="1087"/>
      <c r="AF167" s="1450"/>
      <c r="AG167" s="1450"/>
      <c r="AH167" s="1452"/>
      <c r="AI167" s="1090"/>
    </row>
    <row r="168" spans="1:36" ht="22.35" customHeight="1">
      <c r="A168" s="109"/>
      <c r="B168" s="1082" t="s">
        <v>226</v>
      </c>
      <c r="C168" s="1083" t="s">
        <v>50</v>
      </c>
      <c r="D168" s="1447" t="s">
        <v>227</v>
      </c>
      <c r="E168" s="1448"/>
      <c r="F168" s="1449"/>
      <c r="G168" s="1086"/>
      <c r="H168" s="1447" t="s">
        <v>227</v>
      </c>
      <c r="I168" s="1448"/>
      <c r="J168" s="1449"/>
      <c r="K168" s="1086"/>
      <c r="L168" s="1447" t="s">
        <v>228</v>
      </c>
      <c r="M168" s="1448"/>
      <c r="N168" s="1449"/>
      <c r="O168" s="1086"/>
      <c r="P168" s="1447" t="s">
        <v>229</v>
      </c>
      <c r="Q168" s="1448"/>
      <c r="R168" s="1449"/>
      <c r="S168" s="1086"/>
      <c r="T168" s="1447" t="s">
        <v>230</v>
      </c>
      <c r="U168" s="1449"/>
      <c r="V168" s="1449"/>
      <c r="W168" s="1087"/>
      <c r="X168" s="1450"/>
      <c r="Y168" s="1450"/>
      <c r="Z168" s="1451"/>
      <c r="AA168" s="1087"/>
      <c r="AB168" s="1450"/>
      <c r="AC168" s="1450"/>
      <c r="AD168" s="1450"/>
      <c r="AE168" s="1087"/>
      <c r="AF168" s="1450"/>
      <c r="AG168" s="1450"/>
      <c r="AH168" s="1452"/>
      <c r="AI168" s="1090"/>
    </row>
    <row r="169" spans="1:36" ht="22.35" customHeight="1">
      <c r="A169" s="109"/>
      <c r="B169" s="1082" t="s">
        <v>231</v>
      </c>
      <c r="C169" s="1083" t="s">
        <v>115</v>
      </c>
      <c r="D169" s="1447" t="s">
        <v>232</v>
      </c>
      <c r="E169" s="1448"/>
      <c r="F169" s="1449"/>
      <c r="G169" s="1086"/>
      <c r="H169" s="1447" t="s">
        <v>232</v>
      </c>
      <c r="I169" s="1448"/>
      <c r="J169" s="1449"/>
      <c r="K169" s="1086"/>
      <c r="L169" s="1447" t="s">
        <v>233</v>
      </c>
      <c r="M169" s="1448"/>
      <c r="N169" s="1449"/>
      <c r="O169" s="1086"/>
      <c r="P169" s="1447" t="s">
        <v>234</v>
      </c>
      <c r="Q169" s="1448"/>
      <c r="R169" s="1449"/>
      <c r="S169" s="1086"/>
      <c r="T169" s="1447" t="s">
        <v>235</v>
      </c>
      <c r="U169" s="1449"/>
      <c r="V169" s="1449"/>
      <c r="W169" s="1087"/>
      <c r="X169" s="1450"/>
      <c r="Y169" s="1450"/>
      <c r="Z169" s="1451"/>
      <c r="AA169" s="1087"/>
      <c r="AB169" s="1450"/>
      <c r="AC169" s="1450"/>
      <c r="AD169" s="1450"/>
      <c r="AE169" s="1087"/>
      <c r="AF169" s="1450"/>
      <c r="AG169" s="1450"/>
      <c r="AH169" s="1452"/>
      <c r="AI169" s="1090"/>
    </row>
    <row r="170" spans="1:36" ht="22.35" customHeight="1">
      <c r="A170" s="109"/>
      <c r="B170" s="1082" t="s">
        <v>236</v>
      </c>
      <c r="C170" s="1083" t="s">
        <v>132</v>
      </c>
      <c r="D170" s="1447" t="s">
        <v>222</v>
      </c>
      <c r="E170" s="1448"/>
      <c r="F170" s="1449"/>
      <c r="G170" s="1086"/>
      <c r="H170" s="1447" t="s">
        <v>222</v>
      </c>
      <c r="I170" s="1448"/>
      <c r="J170" s="1449"/>
      <c r="K170" s="1086"/>
      <c r="L170" s="1447" t="s">
        <v>222</v>
      </c>
      <c r="M170" s="1448"/>
      <c r="N170" s="1449"/>
      <c r="O170" s="1086"/>
      <c r="P170" s="1447" t="s">
        <v>222</v>
      </c>
      <c r="Q170" s="1448"/>
      <c r="R170" s="1449"/>
      <c r="S170" s="1086"/>
      <c r="T170" s="1447" t="s">
        <v>232</v>
      </c>
      <c r="U170" s="1449"/>
      <c r="V170" s="1449"/>
      <c r="W170" s="1087"/>
      <c r="X170" s="1450"/>
      <c r="Y170" s="1450"/>
      <c r="Z170" s="1451"/>
      <c r="AA170" s="1087"/>
      <c r="AB170" s="1450"/>
      <c r="AC170" s="1450"/>
      <c r="AD170" s="1450"/>
      <c r="AE170" s="1087"/>
      <c r="AF170" s="1450"/>
      <c r="AG170" s="1450"/>
      <c r="AH170" s="1452"/>
      <c r="AI170" s="1090"/>
    </row>
    <row r="171" spans="1:36" ht="22.35" customHeight="1">
      <c r="A171" s="109"/>
      <c r="B171" s="1082" t="s">
        <v>237</v>
      </c>
      <c r="C171" s="1083" t="s">
        <v>135</v>
      </c>
      <c r="D171" s="1447" t="s">
        <v>222</v>
      </c>
      <c r="E171" s="1448"/>
      <c r="F171" s="1449"/>
      <c r="G171" s="1086"/>
      <c r="H171" s="1447" t="s">
        <v>222</v>
      </c>
      <c r="I171" s="1448"/>
      <c r="J171" s="1449"/>
      <c r="K171" s="1086"/>
      <c r="L171" s="1447" t="s">
        <v>222</v>
      </c>
      <c r="M171" s="1448"/>
      <c r="N171" s="1449"/>
      <c r="O171" s="1086"/>
      <c r="P171" s="1447" t="s">
        <v>223</v>
      </c>
      <c r="Q171" s="1448"/>
      <c r="R171" s="1449"/>
      <c r="S171" s="1086"/>
      <c r="T171" s="1447" t="s">
        <v>224</v>
      </c>
      <c r="U171" s="1449"/>
      <c r="V171" s="1449"/>
      <c r="W171" s="1087"/>
      <c r="X171" s="1450"/>
      <c r="Y171" s="1450"/>
      <c r="Z171" s="1451"/>
      <c r="AA171" s="1087"/>
      <c r="AB171" s="1450"/>
      <c r="AC171" s="1450"/>
      <c r="AD171" s="1450"/>
      <c r="AE171" s="1087"/>
      <c r="AF171" s="1450"/>
      <c r="AG171" s="1450"/>
      <c r="AH171" s="1452"/>
      <c r="AI171" s="1090"/>
    </row>
    <row r="172" spans="1:36" ht="22.35" customHeight="1">
      <c r="A172" s="109"/>
      <c r="B172" s="1082" t="s">
        <v>237</v>
      </c>
      <c r="C172" s="1083" t="s">
        <v>52</v>
      </c>
      <c r="D172" s="1447" t="s">
        <v>222</v>
      </c>
      <c r="E172" s="1448"/>
      <c r="F172" s="1449"/>
      <c r="G172" s="1086"/>
      <c r="H172" s="1447" t="s">
        <v>222</v>
      </c>
      <c r="I172" s="1448"/>
      <c r="J172" s="1449"/>
      <c r="K172" s="1086"/>
      <c r="L172" s="1447" t="s">
        <v>222</v>
      </c>
      <c r="M172" s="1448"/>
      <c r="N172" s="1449"/>
      <c r="O172" s="1086"/>
      <c r="P172" s="1447" t="s">
        <v>223</v>
      </c>
      <c r="Q172" s="1448"/>
      <c r="R172" s="1449"/>
      <c r="S172" s="1086"/>
      <c r="T172" s="1447" t="s">
        <v>224</v>
      </c>
      <c r="U172" s="1449"/>
      <c r="V172" s="1449"/>
      <c r="W172" s="1087"/>
      <c r="X172" s="1450"/>
      <c r="Y172" s="1450"/>
      <c r="Z172" s="1451"/>
      <c r="AA172" s="1087"/>
      <c r="AB172" s="1450"/>
      <c r="AC172" s="1450"/>
      <c r="AD172" s="1450"/>
      <c r="AE172" s="1087"/>
      <c r="AF172" s="1450"/>
      <c r="AG172" s="1450"/>
      <c r="AH172" s="1452"/>
      <c r="AI172" s="1090"/>
    </row>
    <row r="173" spans="1:36" ht="22.35" customHeight="1">
      <c r="A173" s="109"/>
      <c r="B173" s="1082" t="s">
        <v>238</v>
      </c>
      <c r="C173" s="1083" t="s">
        <v>141</v>
      </c>
      <c r="D173" s="1447" t="s">
        <v>222</v>
      </c>
      <c r="E173" s="1448"/>
      <c r="F173" s="1449"/>
      <c r="G173" s="1086"/>
      <c r="H173" s="1447" t="s">
        <v>222</v>
      </c>
      <c r="I173" s="1448"/>
      <c r="J173" s="1449"/>
      <c r="K173" s="1086"/>
      <c r="L173" s="1447" t="s">
        <v>222</v>
      </c>
      <c r="M173" s="1448"/>
      <c r="N173" s="1449"/>
      <c r="O173" s="1086"/>
      <c r="P173" s="1447" t="s">
        <v>239</v>
      </c>
      <c r="Q173" s="1448"/>
      <c r="R173" s="1449"/>
      <c r="S173" s="1086"/>
      <c r="T173" s="1447" t="s">
        <v>235</v>
      </c>
      <c r="U173" s="1449"/>
      <c r="V173" s="1449"/>
      <c r="W173" s="1087"/>
      <c r="X173" s="1450"/>
      <c r="Y173" s="1450"/>
      <c r="Z173" s="1451"/>
      <c r="AA173" s="1087"/>
      <c r="AB173" s="1450"/>
      <c r="AC173" s="1450"/>
      <c r="AD173" s="1450"/>
      <c r="AE173" s="1087"/>
      <c r="AF173" s="1450"/>
      <c r="AG173" s="1450"/>
      <c r="AH173" s="1452"/>
      <c r="AI173" s="1090"/>
    </row>
    <row r="174" spans="1:36" ht="22.35" customHeight="1">
      <c r="A174" s="109"/>
      <c r="B174" s="1091" t="s">
        <v>240</v>
      </c>
      <c r="C174" s="1092" t="s">
        <v>124</v>
      </c>
      <c r="D174" s="1093" t="s">
        <v>222</v>
      </c>
      <c r="E174" s="1094"/>
      <c r="F174" s="1095"/>
      <c r="G174" s="1096"/>
      <c r="H174" s="1093" t="s">
        <v>222</v>
      </c>
      <c r="I174" s="1094"/>
      <c r="J174" s="1095"/>
      <c r="K174" s="1096"/>
      <c r="L174" s="1093" t="s">
        <v>222</v>
      </c>
      <c r="M174" s="1094"/>
      <c r="N174" s="1095"/>
      <c r="O174" s="1096"/>
      <c r="P174" s="1093" t="s">
        <v>223</v>
      </c>
      <c r="Q174" s="1094"/>
      <c r="R174" s="1095"/>
      <c r="S174" s="1096"/>
      <c r="T174" s="1093" t="s">
        <v>224</v>
      </c>
      <c r="U174" s="1095"/>
      <c r="V174" s="198"/>
      <c r="W174" s="1097"/>
      <c r="X174" s="197"/>
      <c r="Y174" s="197"/>
      <c r="Z174" s="198"/>
      <c r="AA174" s="1097"/>
      <c r="AB174" s="197"/>
      <c r="AC174" s="197"/>
      <c r="AD174" s="197"/>
      <c r="AE174" s="1097"/>
      <c r="AF174" s="197"/>
      <c r="AG174" s="197"/>
      <c r="AH174" s="199"/>
      <c r="AI174" s="673"/>
      <c r="AJ174" s="200"/>
    </row>
    <row r="175" spans="1:36" ht="22.35" customHeight="1">
      <c r="A175" s="109"/>
      <c r="B175" s="1082" t="s">
        <v>241</v>
      </c>
      <c r="C175" s="1083" t="s">
        <v>242</v>
      </c>
      <c r="D175" s="1447" t="s">
        <v>222</v>
      </c>
      <c r="E175" s="1448"/>
      <c r="F175" s="1449"/>
      <c r="G175" s="1086"/>
      <c r="H175" s="1447" t="s">
        <v>222</v>
      </c>
      <c r="I175" s="1448"/>
      <c r="J175" s="1449"/>
      <c r="K175" s="1086"/>
      <c r="L175" s="1447" t="s">
        <v>222</v>
      </c>
      <c r="M175" s="1448"/>
      <c r="N175" s="1449"/>
      <c r="O175" s="1086"/>
      <c r="P175" s="1447" t="s">
        <v>223</v>
      </c>
      <c r="Q175" s="1448"/>
      <c r="R175" s="1449"/>
      <c r="S175" s="1086"/>
      <c r="T175" s="1447" t="s">
        <v>224</v>
      </c>
      <c r="U175" s="1449"/>
      <c r="V175" s="1448"/>
      <c r="W175" s="1087"/>
      <c r="X175" s="1450"/>
      <c r="Y175" s="1450"/>
      <c r="Z175" s="1450"/>
      <c r="AA175" s="1087"/>
      <c r="AB175" s="1450"/>
      <c r="AC175" s="1450"/>
      <c r="AD175" s="1450"/>
      <c r="AE175" s="1087"/>
      <c r="AF175" s="1450"/>
      <c r="AG175" s="1450"/>
      <c r="AH175" s="1452"/>
      <c r="AI175" s="1090"/>
      <c r="AJ175" s="200"/>
    </row>
    <row r="176" spans="1:36" ht="22.35" customHeight="1">
      <c r="A176" s="109"/>
      <c r="B176" s="1082" t="s">
        <v>243</v>
      </c>
      <c r="C176" s="1083" t="s">
        <v>122</v>
      </c>
      <c r="D176" s="1447" t="s">
        <v>244</v>
      </c>
      <c r="E176" s="1448"/>
      <c r="F176" s="1449"/>
      <c r="G176" s="1086"/>
      <c r="H176" s="1447" t="s">
        <v>244</v>
      </c>
      <c r="I176" s="1448"/>
      <c r="J176" s="1449"/>
      <c r="K176" s="1086"/>
      <c r="L176" s="1447" t="s">
        <v>244</v>
      </c>
      <c r="M176" s="1448"/>
      <c r="N176" s="1448"/>
      <c r="O176" s="1086"/>
      <c r="P176" s="1447" t="s">
        <v>244</v>
      </c>
      <c r="Q176" s="1448"/>
      <c r="R176" s="1448"/>
      <c r="S176" s="1086"/>
      <c r="T176" s="1447" t="s">
        <v>235</v>
      </c>
      <c r="U176" s="1449"/>
      <c r="V176" s="1448"/>
      <c r="W176" s="1098"/>
      <c r="X176" s="1450"/>
      <c r="Y176" s="1450"/>
      <c r="Z176" s="1450"/>
      <c r="AA176" s="1087"/>
      <c r="AB176" s="1450"/>
      <c r="AC176" s="1450"/>
      <c r="AD176" s="1450"/>
      <c r="AE176" s="1087"/>
      <c r="AF176" s="1450"/>
      <c r="AG176" s="1450"/>
      <c r="AH176" s="1452"/>
      <c r="AI176" s="1090"/>
      <c r="AJ176" s="200"/>
    </row>
    <row r="177" spans="1:36" ht="22.35" customHeight="1">
      <c r="A177" s="109"/>
      <c r="B177" s="1082" t="s">
        <v>245</v>
      </c>
      <c r="C177" s="1083" t="s">
        <v>246</v>
      </c>
      <c r="D177" s="1447" t="s">
        <v>244</v>
      </c>
      <c r="E177" s="1448"/>
      <c r="F177" s="1449"/>
      <c r="G177" s="1086"/>
      <c r="H177" s="1447" t="s">
        <v>244</v>
      </c>
      <c r="I177" s="1448"/>
      <c r="J177" s="1449"/>
      <c r="K177" s="1086"/>
      <c r="L177" s="1447" t="s">
        <v>244</v>
      </c>
      <c r="M177" s="1448"/>
      <c r="N177" s="1448"/>
      <c r="O177" s="1086"/>
      <c r="P177" s="1447" t="s">
        <v>244</v>
      </c>
      <c r="Q177" s="1448"/>
      <c r="R177" s="1448"/>
      <c r="S177" s="1086"/>
      <c r="T177" s="1447" t="s">
        <v>235</v>
      </c>
      <c r="U177" s="1449"/>
      <c r="V177" s="1448"/>
      <c r="W177" s="1098"/>
      <c r="X177" s="1450"/>
      <c r="Y177" s="1450"/>
      <c r="Z177" s="1451"/>
      <c r="AA177" s="1099"/>
      <c r="AB177" s="1450"/>
      <c r="AC177" s="1450"/>
      <c r="AD177" s="1450"/>
      <c r="AE177" s="1087"/>
      <c r="AF177" s="1450"/>
      <c r="AG177" s="1450"/>
      <c r="AH177" s="1452"/>
      <c r="AI177" s="1090"/>
      <c r="AJ177" s="200"/>
    </row>
    <row r="178" spans="1:36" ht="22.35" customHeight="1" thickBot="1">
      <c r="A178" s="109"/>
      <c r="B178" s="1100" t="s">
        <v>247</v>
      </c>
      <c r="C178" s="1101" t="s">
        <v>127</v>
      </c>
      <c r="D178" s="1102" t="s">
        <v>244</v>
      </c>
      <c r="E178" s="1103"/>
      <c r="F178" s="1104"/>
      <c r="G178" s="1105"/>
      <c r="H178" s="1102" t="s">
        <v>244</v>
      </c>
      <c r="I178" s="1103"/>
      <c r="J178" s="1104"/>
      <c r="K178" s="1105"/>
      <c r="L178" s="1102" t="s">
        <v>244</v>
      </c>
      <c r="M178" s="1103"/>
      <c r="N178" s="1103"/>
      <c r="O178" s="1105"/>
      <c r="P178" s="1102" t="s">
        <v>244</v>
      </c>
      <c r="Q178" s="1103"/>
      <c r="R178" s="1103"/>
      <c r="S178" s="1105"/>
      <c r="T178" s="1102" t="s">
        <v>235</v>
      </c>
      <c r="U178" s="1104"/>
      <c r="V178" s="1103"/>
      <c r="W178" s="1106"/>
      <c r="X178" s="1107"/>
      <c r="Y178" s="1107"/>
      <c r="Z178" s="1108"/>
      <c r="AA178" s="1109"/>
      <c r="AB178" s="1107"/>
      <c r="AC178" s="1107"/>
      <c r="AD178" s="1107"/>
      <c r="AE178" s="1110"/>
      <c r="AF178" s="1107"/>
      <c r="AG178" s="1107"/>
      <c r="AH178" s="1111"/>
      <c r="AI178" s="1112"/>
      <c r="AJ178" s="200"/>
    </row>
    <row r="179" spans="1:36" ht="22.35" customHeight="1">
      <c r="A179" s="109"/>
      <c r="B179" s="218"/>
      <c r="C179" s="219"/>
      <c r="D179" s="220"/>
      <c r="E179" s="221"/>
      <c r="F179" s="221"/>
      <c r="G179" s="222"/>
      <c r="H179" s="220"/>
      <c r="I179" s="221"/>
      <c r="J179" s="221"/>
      <c r="K179" s="222"/>
      <c r="L179" s="220"/>
      <c r="M179" s="221"/>
      <c r="N179" s="221"/>
      <c r="O179" s="222"/>
      <c r="P179" s="210"/>
      <c r="Q179" s="221"/>
      <c r="R179" s="221"/>
      <c r="S179" s="222"/>
      <c r="T179" s="210"/>
      <c r="U179" s="221"/>
      <c r="V179" s="221"/>
      <c r="W179" s="221"/>
      <c r="X179" s="221"/>
      <c r="Y179" s="221"/>
      <c r="Z179" s="221"/>
      <c r="AA179" s="222"/>
      <c r="AB179" s="221"/>
      <c r="AC179" s="221"/>
      <c r="AD179" s="221"/>
      <c r="AE179" s="222"/>
      <c r="AF179" s="221"/>
      <c r="AG179" s="221"/>
      <c r="AH179" s="201"/>
      <c r="AI179" s="201"/>
      <c r="AJ179" s="200"/>
    </row>
    <row r="180" spans="1:36" ht="22.35" customHeight="1" thickBot="1">
      <c r="A180" s="148"/>
      <c r="B180" s="1113" t="s">
        <v>29</v>
      </c>
      <c r="C180" s="1240">
        <v>1</v>
      </c>
      <c r="D180" s="1240">
        <v>2</v>
      </c>
      <c r="E180" s="1240">
        <v>3</v>
      </c>
      <c r="F180" s="1240">
        <v>4</v>
      </c>
      <c r="G180" s="1241">
        <v>5</v>
      </c>
      <c r="H180" s="1241">
        <v>6</v>
      </c>
      <c r="I180" s="1240">
        <v>7</v>
      </c>
      <c r="J180" s="1240">
        <v>8</v>
      </c>
      <c r="K180" s="1240">
        <v>9</v>
      </c>
      <c r="L180" s="1240">
        <v>10</v>
      </c>
      <c r="M180" s="1240">
        <v>11</v>
      </c>
      <c r="N180" s="1241">
        <v>12</v>
      </c>
      <c r="O180" s="1241">
        <v>13</v>
      </c>
      <c r="P180" s="1240">
        <v>14</v>
      </c>
      <c r="Q180" s="1240">
        <v>15</v>
      </c>
      <c r="R180" s="1240">
        <v>16</v>
      </c>
      <c r="S180" s="1240">
        <v>17</v>
      </c>
      <c r="T180" s="1240">
        <v>18</v>
      </c>
      <c r="U180" s="1241">
        <v>19</v>
      </c>
      <c r="V180" s="1241">
        <v>20</v>
      </c>
      <c r="W180" s="1240">
        <v>21</v>
      </c>
      <c r="X180" s="1240">
        <v>22</v>
      </c>
      <c r="Y180" s="1240">
        <v>23</v>
      </c>
      <c r="Z180" s="1240">
        <v>24</v>
      </c>
      <c r="AA180" s="1240">
        <v>25</v>
      </c>
      <c r="AB180" s="1241">
        <v>26</v>
      </c>
      <c r="AC180" s="1241">
        <v>27</v>
      </c>
      <c r="AD180" s="1240">
        <v>28</v>
      </c>
      <c r="AE180" s="1240">
        <v>29</v>
      </c>
      <c r="AF180" s="1240">
        <v>30</v>
      </c>
      <c r="AG180" s="1242"/>
      <c r="AH180" s="183"/>
      <c r="AI180" s="177"/>
    </row>
    <row r="181" spans="1:36" ht="22.35" customHeight="1">
      <c r="A181" s="109"/>
      <c r="B181" s="318" t="s">
        <v>248</v>
      </c>
      <c r="C181" s="514" t="s">
        <v>113</v>
      </c>
      <c r="D181" s="514" t="s">
        <v>113</v>
      </c>
      <c r="E181" s="514" t="s">
        <v>113</v>
      </c>
      <c r="F181" s="514" t="s">
        <v>113</v>
      </c>
      <c r="G181" s="514"/>
      <c r="H181" s="514"/>
      <c r="I181" s="514" t="s">
        <v>113</v>
      </c>
      <c r="J181" s="514" t="s">
        <v>113</v>
      </c>
      <c r="K181" s="514" t="s">
        <v>113</v>
      </c>
      <c r="L181" s="514" t="s">
        <v>113</v>
      </c>
      <c r="M181" s="514" t="s">
        <v>113</v>
      </c>
      <c r="N181" s="514"/>
      <c r="O181" s="514"/>
      <c r="P181" s="514" t="s">
        <v>113</v>
      </c>
      <c r="Q181" s="514" t="s">
        <v>113</v>
      </c>
      <c r="R181" s="514" t="s">
        <v>113</v>
      </c>
      <c r="S181" s="514" t="s">
        <v>113</v>
      </c>
      <c r="T181" s="514" t="s">
        <v>113</v>
      </c>
      <c r="U181" s="514"/>
      <c r="V181" s="514"/>
      <c r="W181" s="514" t="s">
        <v>113</v>
      </c>
      <c r="X181" s="514" t="s">
        <v>113</v>
      </c>
      <c r="Y181" s="514" t="s">
        <v>113</v>
      </c>
      <c r="Z181" s="514" t="s">
        <v>113</v>
      </c>
      <c r="AA181" s="514" t="s">
        <v>113</v>
      </c>
      <c r="AB181" s="514"/>
      <c r="AC181" s="514"/>
      <c r="AD181" s="514" t="s">
        <v>113</v>
      </c>
      <c r="AE181" s="514" t="s">
        <v>113</v>
      </c>
      <c r="AF181" s="514" t="s">
        <v>113</v>
      </c>
      <c r="AG181" s="515"/>
      <c r="AH181" s="182"/>
      <c r="AI181" s="182"/>
    </row>
    <row r="182" spans="1:36" ht="22.35" customHeight="1">
      <c r="A182" s="109"/>
      <c r="B182" s="1114" t="s">
        <v>249</v>
      </c>
      <c r="C182" s="1115" t="s">
        <v>113</v>
      </c>
      <c r="D182" s="1115" t="s">
        <v>113</v>
      </c>
      <c r="E182" s="1115" t="s">
        <v>113</v>
      </c>
      <c r="F182" s="1115" t="s">
        <v>113</v>
      </c>
      <c r="G182" s="1115"/>
      <c r="H182" s="1115"/>
      <c r="I182" s="1115" t="s">
        <v>113</v>
      </c>
      <c r="J182" s="1115" t="s">
        <v>113</v>
      </c>
      <c r="K182" s="1115" t="s">
        <v>113</v>
      </c>
      <c r="L182" s="1115" t="s">
        <v>113</v>
      </c>
      <c r="M182" s="1115" t="s">
        <v>113</v>
      </c>
      <c r="N182" s="1115"/>
      <c r="O182" s="1115"/>
      <c r="P182" s="1115" t="s">
        <v>113</v>
      </c>
      <c r="Q182" s="1115" t="s">
        <v>113</v>
      </c>
      <c r="R182" s="1115" t="s">
        <v>113</v>
      </c>
      <c r="S182" s="1115" t="s">
        <v>113</v>
      </c>
      <c r="T182" t="s">
        <v>113</v>
      </c>
      <c r="U182" s="1115"/>
      <c r="V182" s="1115"/>
      <c r="W182" s="1115" t="s">
        <v>113</v>
      </c>
      <c r="X182" s="1115" t="s">
        <v>113</v>
      </c>
      <c r="Y182" s="1115" t="s">
        <v>113</v>
      </c>
      <c r="Z182" s="1115" t="s">
        <v>113</v>
      </c>
      <c r="AA182" s="1115" t="s">
        <v>113</v>
      </c>
      <c r="AB182" s="1115"/>
      <c r="AC182" s="1115"/>
      <c r="AD182" s="1115" t="s">
        <v>113</v>
      </c>
      <c r="AE182" s="1115" t="s">
        <v>113</v>
      </c>
      <c r="AF182" s="1115" t="s">
        <v>113</v>
      </c>
      <c r="AG182" s="1453"/>
      <c r="AH182" s="182"/>
      <c r="AI182" s="182"/>
    </row>
    <row r="183" spans="1:36" ht="22.35" customHeight="1">
      <c r="A183" s="109"/>
      <c r="B183" s="1114" t="s">
        <v>250</v>
      </c>
      <c r="C183" s="1117" t="s">
        <v>118</v>
      </c>
      <c r="D183" s="1117" t="s">
        <v>118</v>
      </c>
      <c r="E183" s="1117" t="s">
        <v>118</v>
      </c>
      <c r="F183" s="1117" t="s">
        <v>118</v>
      </c>
      <c r="G183" s="1117"/>
      <c r="H183" s="1117"/>
      <c r="I183" s="1117" t="s">
        <v>118</v>
      </c>
      <c r="J183" s="1117" t="s">
        <v>118</v>
      </c>
      <c r="K183" s="1117" t="s">
        <v>118</v>
      </c>
      <c r="L183" s="1117" t="s">
        <v>118</v>
      </c>
      <c r="M183" s="1117" t="s">
        <v>118</v>
      </c>
      <c r="N183" s="1117"/>
      <c r="O183" s="1117"/>
      <c r="P183" s="1117" t="s">
        <v>118</v>
      </c>
      <c r="Q183" s="1117" t="s">
        <v>118</v>
      </c>
      <c r="R183" s="1117" t="s">
        <v>118</v>
      </c>
      <c r="S183" s="1117" t="s">
        <v>118</v>
      </c>
      <c r="T183" s="1117" t="s">
        <v>118</v>
      </c>
      <c r="U183" s="1117"/>
      <c r="V183" s="1117"/>
      <c r="W183" s="1117" t="s">
        <v>118</v>
      </c>
      <c r="X183" s="1117" t="s">
        <v>118</v>
      </c>
      <c r="Y183" s="1117" t="s">
        <v>118</v>
      </c>
      <c r="Z183" s="1117" t="s">
        <v>118</v>
      </c>
      <c r="AA183" s="1117" t="s">
        <v>118</v>
      </c>
      <c r="AB183" s="1117"/>
      <c r="AC183" s="1117"/>
      <c r="AD183" s="1117" t="s">
        <v>113</v>
      </c>
      <c r="AE183" s="1117" t="s">
        <v>113</v>
      </c>
      <c r="AF183" s="1117" t="s">
        <v>113</v>
      </c>
      <c r="AG183" s="1453"/>
      <c r="AH183" s="182"/>
      <c r="AI183" s="182"/>
    </row>
    <row r="184" spans="1:36" ht="22.35" customHeight="1">
      <c r="A184" s="109"/>
      <c r="B184" s="1114" t="s">
        <v>251</v>
      </c>
      <c r="C184" s="1118" t="s">
        <v>126</v>
      </c>
      <c r="D184" s="1115" t="s">
        <v>126</v>
      </c>
      <c r="E184" s="1115" t="s">
        <v>126</v>
      </c>
      <c r="F184" s="1115" t="s">
        <v>126</v>
      </c>
      <c r="G184" s="1115"/>
      <c r="H184" s="1115"/>
      <c r="I184" s="1115" t="s">
        <v>126</v>
      </c>
      <c r="J184" s="1115" t="s">
        <v>126</v>
      </c>
      <c r="K184" s="1115" t="s">
        <v>126</v>
      </c>
      <c r="L184" s="1115" t="s">
        <v>126</v>
      </c>
      <c r="M184" s="1115" t="s">
        <v>126</v>
      </c>
      <c r="N184" s="1115"/>
      <c r="O184" s="1115"/>
      <c r="P184" s="1115" t="s">
        <v>126</v>
      </c>
      <c r="Q184" s="1115" t="s">
        <v>126</v>
      </c>
      <c r="R184" s="1454" t="s">
        <v>126</v>
      </c>
      <c r="S184" s="1454" t="s">
        <v>126</v>
      </c>
      <c r="T184" s="1115" t="s">
        <v>126</v>
      </c>
      <c r="U184" s="1115"/>
      <c r="V184" s="1115"/>
      <c r="W184" s="1115" t="s">
        <v>126</v>
      </c>
      <c r="X184" s="1115" t="s">
        <v>126</v>
      </c>
      <c r="Y184" s="1115" t="s">
        <v>126</v>
      </c>
      <c r="Z184" s="1115" t="s">
        <v>126</v>
      </c>
      <c r="AA184" s="1115" t="s">
        <v>126</v>
      </c>
      <c r="AB184" s="1115"/>
      <c r="AC184" s="1115"/>
      <c r="AD184" s="1115" t="s">
        <v>126</v>
      </c>
      <c r="AE184" s="1115" t="s">
        <v>126</v>
      </c>
      <c r="AF184" s="1115" t="s">
        <v>126</v>
      </c>
      <c r="AG184" s="1453"/>
      <c r="AH184" s="182"/>
      <c r="AI184" s="182"/>
    </row>
    <row r="185" spans="1:36" ht="22.35" customHeight="1">
      <c r="A185" s="109"/>
      <c r="B185" s="1284" t="s">
        <v>252</v>
      </c>
      <c r="C185" s="1115" t="s">
        <v>50</v>
      </c>
      <c r="D185" s="1115" t="s">
        <v>50</v>
      </c>
      <c r="E185" s="1115" t="s">
        <v>50</v>
      </c>
      <c r="F185" s="1115" t="s">
        <v>50</v>
      </c>
      <c r="G185" s="1115"/>
      <c r="H185" s="1115"/>
      <c r="I185" s="1115" t="s">
        <v>50</v>
      </c>
      <c r="J185" s="1115" t="s">
        <v>50</v>
      </c>
      <c r="K185" s="1115" t="s">
        <v>50</v>
      </c>
      <c r="L185" s="1115" t="s">
        <v>50</v>
      </c>
      <c r="M185" s="1115" t="s">
        <v>50</v>
      </c>
      <c r="N185" s="1115"/>
      <c r="O185" s="1115"/>
      <c r="P185" s="1455" t="s">
        <v>50</v>
      </c>
      <c r="Q185" s="1456" t="s">
        <v>50</v>
      </c>
      <c r="R185" s="1455" t="s">
        <v>50</v>
      </c>
      <c r="S185" s="1455" t="s">
        <v>50</v>
      </c>
      <c r="T185" s="1115" t="s">
        <v>50</v>
      </c>
      <c r="U185" s="1455"/>
      <c r="V185" s="1455"/>
      <c r="W185" s="1115" t="s">
        <v>50</v>
      </c>
      <c r="X185" s="1115" t="s">
        <v>50</v>
      </c>
      <c r="Y185" s="1115" t="s">
        <v>50</v>
      </c>
      <c r="Z185" s="1115" t="s">
        <v>50</v>
      </c>
      <c r="AA185" s="1115" t="s">
        <v>50</v>
      </c>
      <c r="AB185" s="1115"/>
      <c r="AC185" s="1115"/>
      <c r="AD185" s="1115" t="s">
        <v>50</v>
      </c>
      <c r="AE185" s="1115" t="s">
        <v>50</v>
      </c>
      <c r="AF185" s="1115" t="s">
        <v>50</v>
      </c>
      <c r="AG185" s="1453"/>
      <c r="AH185" s="182"/>
      <c r="AI185" s="182"/>
    </row>
    <row r="186" spans="1:36" ht="22.35" customHeight="1">
      <c r="A186" s="109"/>
      <c r="B186" s="1356" t="s">
        <v>344</v>
      </c>
      <c r="C186" s="1115" t="s">
        <v>115</v>
      </c>
      <c r="D186" s="1115" t="s">
        <v>115</v>
      </c>
      <c r="E186" s="1115" t="s">
        <v>115</v>
      </c>
      <c r="F186" s="1115" t="s">
        <v>115</v>
      </c>
      <c r="G186" s="1115"/>
      <c r="H186" s="1115"/>
      <c r="I186" s="1115" t="s">
        <v>115</v>
      </c>
      <c r="J186" s="1115" t="s">
        <v>115</v>
      </c>
      <c r="K186" s="1115" t="s">
        <v>115</v>
      </c>
      <c r="L186" s="1115" t="s">
        <v>115</v>
      </c>
      <c r="M186" s="1115" t="s">
        <v>115</v>
      </c>
      <c r="N186" s="1115"/>
      <c r="O186" s="1115"/>
      <c r="P186" s="1115" t="s">
        <v>115</v>
      </c>
      <c r="Q186" s="1115" t="s">
        <v>115</v>
      </c>
      <c r="R186" s="1115" t="s">
        <v>115</v>
      </c>
      <c r="S186" s="1115" t="s">
        <v>115</v>
      </c>
      <c r="T186" s="1115" t="s">
        <v>115</v>
      </c>
      <c r="U186" s="1115"/>
      <c r="V186" s="1115"/>
      <c r="W186" s="1115" t="s">
        <v>115</v>
      </c>
      <c r="X186" s="1115" t="s">
        <v>115</v>
      </c>
      <c r="Y186" s="1115" t="s">
        <v>115</v>
      </c>
      <c r="Z186" s="1115" t="s">
        <v>115</v>
      </c>
      <c r="AA186" s="1115" t="s">
        <v>115</v>
      </c>
      <c r="AB186" s="1115"/>
      <c r="AC186" s="1115"/>
      <c r="AD186" s="1115" t="s">
        <v>115</v>
      </c>
      <c r="AE186" s="1115" t="s">
        <v>115</v>
      </c>
      <c r="AF186" s="1115" t="s">
        <v>115</v>
      </c>
      <c r="AG186" s="1453"/>
      <c r="AH186" s="182"/>
      <c r="AI186" s="182"/>
    </row>
    <row r="187" spans="1:36" ht="22.35" customHeight="1">
      <c r="A187" s="109"/>
      <c r="B187" s="1114" t="s">
        <v>253</v>
      </c>
      <c r="C187" s="1116" t="s">
        <v>132</v>
      </c>
      <c r="D187" s="1116" t="s">
        <v>132</v>
      </c>
      <c r="E187" s="1116" t="s">
        <v>132</v>
      </c>
      <c r="F187" s="1116" t="s">
        <v>132</v>
      </c>
      <c r="G187" s="1116"/>
      <c r="H187" s="1116"/>
      <c r="I187" s="1116" t="s">
        <v>132</v>
      </c>
      <c r="J187" s="1116" t="s">
        <v>132</v>
      </c>
      <c r="K187" s="1116" t="s">
        <v>132</v>
      </c>
      <c r="L187" s="1116" t="s">
        <v>132</v>
      </c>
      <c r="M187" s="1116" t="s">
        <v>132</v>
      </c>
      <c r="N187" s="1116"/>
      <c r="O187" s="1116"/>
      <c r="P187" s="1120" t="s">
        <v>132</v>
      </c>
      <c r="Q187" s="1120" t="s">
        <v>132</v>
      </c>
      <c r="R187" s="1120" t="s">
        <v>132</v>
      </c>
      <c r="S187" s="1120" t="s">
        <v>132</v>
      </c>
      <c r="T187" s="1120" t="s">
        <v>132</v>
      </c>
      <c r="U187" s="1120"/>
      <c r="V187" s="1120"/>
      <c r="W187" s="1120" t="s">
        <v>132</v>
      </c>
      <c r="X187" s="1120" t="s">
        <v>132</v>
      </c>
      <c r="Y187" s="1120" t="s">
        <v>132</v>
      </c>
      <c r="Z187" s="1120" t="s">
        <v>132</v>
      </c>
      <c r="AA187" s="1120" t="s">
        <v>132</v>
      </c>
      <c r="AB187" s="1120"/>
      <c r="AC187" s="1120"/>
      <c r="AD187" s="1120" t="s">
        <v>132</v>
      </c>
      <c r="AE187" s="1120" t="s">
        <v>132</v>
      </c>
      <c r="AF187" s="1120" t="s">
        <v>132</v>
      </c>
      <c r="AG187" s="1453"/>
      <c r="AH187" s="182"/>
      <c r="AI187" s="182"/>
    </row>
    <row r="188" spans="1:36" ht="22.35" customHeight="1">
      <c r="A188" s="109"/>
      <c r="B188" s="1357" t="s">
        <v>254</v>
      </c>
      <c r="C188" s="1122" t="s">
        <v>135</v>
      </c>
      <c r="D188" s="1122" t="s">
        <v>135</v>
      </c>
      <c r="E188" s="1122" t="s">
        <v>135</v>
      </c>
      <c r="F188" s="1122" t="s">
        <v>135</v>
      </c>
      <c r="G188" s="1122"/>
      <c r="H188" s="1122"/>
      <c r="I188" s="1122" t="s">
        <v>135</v>
      </c>
      <c r="J188" s="1122" t="s">
        <v>135</v>
      </c>
      <c r="K188" s="1122" t="s">
        <v>135</v>
      </c>
      <c r="L188" s="1122" t="s">
        <v>135</v>
      </c>
      <c r="M188" s="1122" t="s">
        <v>135</v>
      </c>
      <c r="N188" s="1115"/>
      <c r="O188" s="1115"/>
      <c r="P188" s="1122" t="s">
        <v>135</v>
      </c>
      <c r="Q188" s="1122" t="s">
        <v>135</v>
      </c>
      <c r="R188" s="1457" t="s">
        <v>135</v>
      </c>
      <c r="S188" s="1122" t="s">
        <v>135</v>
      </c>
      <c r="T188" s="1122" t="s">
        <v>135</v>
      </c>
      <c r="U188" s="1122"/>
      <c r="V188" s="1122"/>
      <c r="W188" s="1122" t="s">
        <v>135</v>
      </c>
      <c r="X188" s="1122" t="s">
        <v>135</v>
      </c>
      <c r="Y188" s="1116" t="s">
        <v>135</v>
      </c>
      <c r="Z188" s="1116" t="s">
        <v>135</v>
      </c>
      <c r="AA188" s="1116" t="s">
        <v>135</v>
      </c>
      <c r="AB188" s="1116"/>
      <c r="AC188" s="1116"/>
      <c r="AD188" s="1116" t="s">
        <v>135</v>
      </c>
      <c r="AE188" s="1116" t="s">
        <v>135</v>
      </c>
      <c r="AF188" s="1122" t="s">
        <v>135</v>
      </c>
      <c r="AG188" s="1453"/>
      <c r="AH188" s="182"/>
      <c r="AI188" s="182"/>
    </row>
    <row r="189" spans="1:36" ht="22.35" customHeight="1">
      <c r="A189" s="109"/>
      <c r="B189" s="1114" t="s">
        <v>255</v>
      </c>
      <c r="C189" s="522" t="s">
        <v>52</v>
      </c>
      <c r="D189" s="522" t="s">
        <v>52</v>
      </c>
      <c r="E189" s="522" t="s">
        <v>52</v>
      </c>
      <c r="F189" s="522" t="s">
        <v>52</v>
      </c>
      <c r="G189" s="522"/>
      <c r="H189" s="522"/>
      <c r="I189" s="522" t="s">
        <v>52</v>
      </c>
      <c r="J189" s="1458" t="s">
        <v>52</v>
      </c>
      <c r="K189" s="522" t="s">
        <v>52</v>
      </c>
      <c r="L189" s="522" t="s">
        <v>52</v>
      </c>
      <c r="M189" s="522" t="s">
        <v>52</v>
      </c>
      <c r="N189" s="522"/>
      <c r="O189" s="522"/>
      <c r="P189" s="522" t="s">
        <v>52</v>
      </c>
      <c r="Q189" s="522" t="s">
        <v>52</v>
      </c>
      <c r="R189" s="522" t="s">
        <v>52</v>
      </c>
      <c r="S189" s="522" t="s">
        <v>52</v>
      </c>
      <c r="T189" s="522" t="s">
        <v>52</v>
      </c>
      <c r="U189" s="522"/>
      <c r="V189" s="522"/>
      <c r="W189" s="522" t="s">
        <v>52</v>
      </c>
      <c r="X189" s="522" t="s">
        <v>52</v>
      </c>
      <c r="Y189" s="522" t="s">
        <v>52</v>
      </c>
      <c r="Z189" s="522" t="s">
        <v>52</v>
      </c>
      <c r="AA189" s="522" t="s">
        <v>52</v>
      </c>
      <c r="AB189" s="522"/>
      <c r="AC189" s="522"/>
      <c r="AD189" s="522" t="s">
        <v>52</v>
      </c>
      <c r="AE189" s="573" t="s">
        <v>52</v>
      </c>
      <c r="AF189" s="573" t="s">
        <v>52</v>
      </c>
      <c r="AG189" s="513"/>
      <c r="AH189" s="182"/>
      <c r="AI189" s="182"/>
    </row>
    <row r="190" spans="1:36" ht="22.35" customHeight="1">
      <c r="A190" s="109"/>
      <c r="B190" s="1114" t="s">
        <v>257</v>
      </c>
      <c r="C190" s="1358" t="s">
        <v>141</v>
      </c>
      <c r="D190" s="1358" t="s">
        <v>141</v>
      </c>
      <c r="E190" s="1358" t="s">
        <v>141</v>
      </c>
      <c r="F190" s="1358" t="s">
        <v>141</v>
      </c>
      <c r="G190" s="1358"/>
      <c r="H190" s="1358"/>
      <c r="I190" s="1358" t="s">
        <v>141</v>
      </c>
      <c r="J190" s="1358" t="s">
        <v>141</v>
      </c>
      <c r="K190" s="1358" t="s">
        <v>141</v>
      </c>
      <c r="L190" s="1358" t="s">
        <v>141</v>
      </c>
      <c r="M190" s="1358" t="s">
        <v>141</v>
      </c>
      <c r="N190" s="1358"/>
      <c r="O190" s="1358"/>
      <c r="P190" s="1358" t="s">
        <v>141</v>
      </c>
      <c r="Q190" s="1358" t="s">
        <v>141</v>
      </c>
      <c r="R190" s="1358" t="s">
        <v>141</v>
      </c>
      <c r="S190" s="1358" t="s">
        <v>141</v>
      </c>
      <c r="T190" s="1358" t="s">
        <v>141</v>
      </c>
      <c r="U190" s="1358"/>
      <c r="V190" s="1358"/>
      <c r="W190" s="1358" t="s">
        <v>141</v>
      </c>
      <c r="X190" s="1358" t="s">
        <v>141</v>
      </c>
      <c r="Y190" s="1358" t="s">
        <v>141</v>
      </c>
      <c r="Z190" s="1358" t="s">
        <v>141</v>
      </c>
      <c r="AA190" s="1358" t="s">
        <v>141</v>
      </c>
      <c r="AB190" s="1358"/>
      <c r="AC190" s="1358"/>
      <c r="AD190" s="1358" t="s">
        <v>141</v>
      </c>
      <c r="AE190" s="1358" t="s">
        <v>141</v>
      </c>
      <c r="AF190" s="1358" t="s">
        <v>141</v>
      </c>
      <c r="AG190" s="979"/>
      <c r="AH190" s="182"/>
      <c r="AI190" s="182"/>
    </row>
    <row r="191" spans="1:36" ht="22.35" customHeight="1">
      <c r="A191" s="109"/>
      <c r="B191" s="1357" t="s">
        <v>259</v>
      </c>
      <c r="C191" s="1358" t="s">
        <v>124</v>
      </c>
      <c r="D191" s="1358" t="s">
        <v>124</v>
      </c>
      <c r="E191" s="1358" t="s">
        <v>124</v>
      </c>
      <c r="F191" s="1358" t="s">
        <v>124</v>
      </c>
      <c r="G191" s="1358"/>
      <c r="H191" s="1358"/>
      <c r="I191" s="1358" t="s">
        <v>124</v>
      </c>
      <c r="J191" s="1459" t="s">
        <v>124</v>
      </c>
      <c r="K191" s="1358" t="s">
        <v>124</v>
      </c>
      <c r="L191" s="1358" t="s">
        <v>124</v>
      </c>
      <c r="M191" s="1358" t="s">
        <v>124</v>
      </c>
      <c r="N191" s="1358"/>
      <c r="O191" s="1358"/>
      <c r="P191" s="1370" t="s">
        <v>124</v>
      </c>
      <c r="Q191" s="1370" t="s">
        <v>124</v>
      </c>
      <c r="R191" s="1370" t="s">
        <v>124</v>
      </c>
      <c r="S191" s="1370" t="s">
        <v>124</v>
      </c>
      <c r="T191" s="1370" t="s">
        <v>124</v>
      </c>
      <c r="U191" s="1370"/>
      <c r="V191" s="1370"/>
      <c r="W191" s="1370" t="s">
        <v>124</v>
      </c>
      <c r="X191" s="1370" t="s">
        <v>124</v>
      </c>
      <c r="Y191" s="1370" t="s">
        <v>124</v>
      </c>
      <c r="Z191" s="1370" t="s">
        <v>124</v>
      </c>
      <c r="AA191" s="1370" t="s">
        <v>124</v>
      </c>
      <c r="AB191" s="1370"/>
      <c r="AC191" s="1370"/>
      <c r="AD191" s="1370" t="s">
        <v>124</v>
      </c>
      <c r="AE191" s="1370" t="s">
        <v>124</v>
      </c>
      <c r="AF191" s="1370" t="s">
        <v>124</v>
      </c>
      <c r="AG191" s="979"/>
      <c r="AH191" s="182"/>
      <c r="AI191" s="182"/>
    </row>
    <row r="192" spans="1:36" ht="22.35" customHeight="1">
      <c r="A192" s="109"/>
      <c r="B192" s="1114" t="s">
        <v>261</v>
      </c>
      <c r="C192" s="1376" t="s">
        <v>242</v>
      </c>
      <c r="D192" s="1376" t="s">
        <v>242</v>
      </c>
      <c r="E192" s="1376" t="s">
        <v>345</v>
      </c>
      <c r="F192" s="1269" t="s">
        <v>242</v>
      </c>
      <c r="G192" s="1358"/>
      <c r="H192" s="1358"/>
      <c r="I192" s="1358" t="s">
        <v>242</v>
      </c>
      <c r="J192" s="1358" t="s">
        <v>242</v>
      </c>
      <c r="K192" s="1358" t="s">
        <v>242</v>
      </c>
      <c r="L192" s="1358" t="s">
        <v>242</v>
      </c>
      <c r="M192" s="1358" t="s">
        <v>242</v>
      </c>
      <c r="N192" s="1358"/>
      <c r="O192" s="1358"/>
      <c r="P192" s="1358" t="s">
        <v>242</v>
      </c>
      <c r="Q192" s="1358" t="s">
        <v>242</v>
      </c>
      <c r="R192" s="1358" t="s">
        <v>242</v>
      </c>
      <c r="S192" s="1358" t="s">
        <v>242</v>
      </c>
      <c r="T192" s="1358" t="s">
        <v>242</v>
      </c>
      <c r="U192" s="1358"/>
      <c r="V192" s="1358"/>
      <c r="W192" s="1358" t="s">
        <v>242</v>
      </c>
      <c r="X192" s="1358" t="s">
        <v>242</v>
      </c>
      <c r="Y192" s="1358" t="s">
        <v>242</v>
      </c>
      <c r="Z192" s="1358" t="s">
        <v>242</v>
      </c>
      <c r="AA192" s="1358" t="s">
        <v>242</v>
      </c>
      <c r="AB192" s="1358"/>
      <c r="AC192" s="1358"/>
      <c r="AD192" s="1358" t="s">
        <v>242</v>
      </c>
      <c r="AE192" s="1358" t="s">
        <v>242</v>
      </c>
      <c r="AF192" s="1358" t="s">
        <v>242</v>
      </c>
      <c r="AG192" s="979"/>
      <c r="AH192" s="182"/>
      <c r="AI192" s="182"/>
    </row>
    <row r="193" spans="1:35" ht="22.35" customHeight="1">
      <c r="A193" s="109"/>
      <c r="B193" s="1357"/>
      <c r="C193" s="1358" t="s">
        <v>122</v>
      </c>
      <c r="D193" s="1358" t="s">
        <v>122</v>
      </c>
      <c r="E193" s="1358" t="s">
        <v>122</v>
      </c>
      <c r="F193" s="1358" t="s">
        <v>122</v>
      </c>
      <c r="G193" s="1358"/>
      <c r="H193" s="1358"/>
      <c r="I193" s="1358" t="s">
        <v>122</v>
      </c>
      <c r="J193" s="1358" t="s">
        <v>122</v>
      </c>
      <c r="K193" s="1358" t="s">
        <v>122</v>
      </c>
      <c r="L193" s="1358" t="s">
        <v>122</v>
      </c>
      <c r="M193" s="1358" t="s">
        <v>122</v>
      </c>
      <c r="N193" s="1358"/>
      <c r="O193" s="1358"/>
      <c r="P193" s="1358" t="s">
        <v>122</v>
      </c>
      <c r="Q193" s="1358" t="s">
        <v>122</v>
      </c>
      <c r="R193" s="1358" t="s">
        <v>122</v>
      </c>
      <c r="S193" s="1358" t="s">
        <v>122</v>
      </c>
      <c r="T193" s="1358" t="s">
        <v>122</v>
      </c>
      <c r="U193" s="1278"/>
      <c r="V193" s="1278"/>
      <c r="W193" s="1358" t="s">
        <v>122</v>
      </c>
      <c r="X193" s="1358" t="s">
        <v>122</v>
      </c>
      <c r="Y193" s="1358" t="s">
        <v>122</v>
      </c>
      <c r="Z193" s="1358" t="s">
        <v>122</v>
      </c>
      <c r="AA193" s="1358" t="s">
        <v>122</v>
      </c>
      <c r="AB193" s="1358"/>
      <c r="AC193" s="1358"/>
      <c r="AD193" s="1358" t="s">
        <v>122</v>
      </c>
      <c r="AE193" s="1358" t="s">
        <v>122</v>
      </c>
      <c r="AF193" s="1358" t="s">
        <v>122</v>
      </c>
      <c r="AG193" s="979"/>
      <c r="AH193" s="182"/>
      <c r="AI193" s="182"/>
    </row>
    <row r="194" spans="1:35" ht="22.35" customHeight="1">
      <c r="A194" s="109"/>
      <c r="B194" s="1357" t="s">
        <v>262</v>
      </c>
      <c r="C194" s="1358" t="s">
        <v>246</v>
      </c>
      <c r="D194" s="1358" t="s">
        <v>246</v>
      </c>
      <c r="E194" s="1358" t="s">
        <v>246</v>
      </c>
      <c r="F194" s="1358" t="s">
        <v>246</v>
      </c>
      <c r="G194" s="1358"/>
      <c r="H194" s="1358"/>
      <c r="I194" s="1358" t="s">
        <v>246</v>
      </c>
      <c r="J194" s="1358" t="s">
        <v>246</v>
      </c>
      <c r="K194" s="1358" t="s">
        <v>246</v>
      </c>
      <c r="L194" s="1358" t="s">
        <v>246</v>
      </c>
      <c r="M194" s="1358" t="s">
        <v>246</v>
      </c>
      <c r="N194" s="1358"/>
      <c r="O194" s="1358"/>
      <c r="P194" s="1358" t="s">
        <v>246</v>
      </c>
      <c r="Q194" s="1358" t="s">
        <v>246</v>
      </c>
      <c r="R194" s="1376" t="s">
        <v>246</v>
      </c>
      <c r="S194" s="1376" t="s">
        <v>246</v>
      </c>
      <c r="T194" s="1376" t="s">
        <v>246</v>
      </c>
      <c r="U194" s="1376"/>
      <c r="V194" s="1376" t="s">
        <v>315</v>
      </c>
      <c r="W194" s="1358" t="s">
        <v>246</v>
      </c>
      <c r="X194" s="1358" t="s">
        <v>246</v>
      </c>
      <c r="Y194" s="1358" t="s">
        <v>246</v>
      </c>
      <c r="Z194" s="1358" t="s">
        <v>246</v>
      </c>
      <c r="AA194" s="1358" t="s">
        <v>246</v>
      </c>
      <c r="AB194" s="1358"/>
      <c r="AC194" s="1358"/>
      <c r="AD194" s="1358" t="s">
        <v>246</v>
      </c>
      <c r="AE194" s="1358" t="s">
        <v>246</v>
      </c>
      <c r="AF194" s="1358" t="s">
        <v>246</v>
      </c>
      <c r="AG194" s="979"/>
      <c r="AH194" s="107"/>
      <c r="AI194" s="107"/>
    </row>
    <row r="195" spans="1:35" ht="21" customHeight="1" thickBot="1">
      <c r="A195" s="148"/>
      <c r="B195" s="995" t="s">
        <v>263</v>
      </c>
      <c r="C195" s="998" t="s">
        <v>127</v>
      </c>
      <c r="D195" s="998" t="s">
        <v>127</v>
      </c>
      <c r="E195" s="998" t="s">
        <v>127</v>
      </c>
      <c r="F195" s="998" t="s">
        <v>127</v>
      </c>
      <c r="G195" s="998"/>
      <c r="H195" s="998"/>
      <c r="I195" s="998" t="s">
        <v>127</v>
      </c>
      <c r="J195" s="998" t="s">
        <v>127</v>
      </c>
      <c r="K195" s="998" t="s">
        <v>127</v>
      </c>
      <c r="L195" s="998" t="s">
        <v>127</v>
      </c>
      <c r="M195" s="998" t="s">
        <v>127</v>
      </c>
      <c r="N195" s="998"/>
      <c r="O195" s="998"/>
      <c r="P195" s="998" t="s">
        <v>127</v>
      </c>
      <c r="Q195" s="998" t="s">
        <v>127</v>
      </c>
      <c r="R195" s="998" t="s">
        <v>127</v>
      </c>
      <c r="S195" s="1460" t="s">
        <v>127</v>
      </c>
      <c r="T195" s="1460" t="s">
        <v>127</v>
      </c>
      <c r="U195" s="1461"/>
      <c r="V195" s="1461" t="s">
        <v>315</v>
      </c>
      <c r="W195" s="1072" t="s">
        <v>127</v>
      </c>
      <c r="X195" s="1072" t="s">
        <v>127</v>
      </c>
      <c r="Y195" s="1072" t="s">
        <v>127</v>
      </c>
      <c r="Z195" s="1072" t="s">
        <v>127</v>
      </c>
      <c r="AA195" s="1072" t="s">
        <v>127</v>
      </c>
      <c r="AB195" s="998"/>
      <c r="AC195" s="998"/>
      <c r="AD195" s="1072" t="s">
        <v>127</v>
      </c>
      <c r="AE195" s="1072" t="s">
        <v>127</v>
      </c>
      <c r="AF195" s="1072" t="s">
        <v>127</v>
      </c>
      <c r="AG195" s="1074"/>
      <c r="AH195" s="115"/>
    </row>
    <row r="196" spans="1:35" ht="21" customHeight="1">
      <c r="A196" s="148"/>
      <c r="B196" s="229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  <c r="U196" s="228"/>
      <c r="V196" s="228"/>
      <c r="W196" s="228"/>
      <c r="X196" s="228"/>
      <c r="Y196" s="228"/>
      <c r="Z196" s="228"/>
      <c r="AA196" s="228"/>
      <c r="AB196" s="228"/>
      <c r="AC196" s="228"/>
      <c r="AD196" s="228"/>
      <c r="AE196" s="228"/>
      <c r="AF196" s="228"/>
      <c r="AG196" s="228"/>
      <c r="AH196" s="115"/>
    </row>
    <row r="197" spans="1:35" ht="22.35" customHeight="1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>
      <c r="A198" s="1" t="s">
        <v>265</v>
      </c>
      <c r="B198" s="59"/>
    </row>
    <row r="199" spans="1:35" ht="22.35" customHeight="1">
      <c r="A199" s="1"/>
      <c r="B199" s="1462" t="s">
        <v>266</v>
      </c>
      <c r="C199" s="391" t="s">
        <v>94</v>
      </c>
      <c r="D199" s="391"/>
      <c r="E199" s="391"/>
      <c r="F199" s="391"/>
      <c r="G199" s="392" t="s">
        <v>95</v>
      </c>
      <c r="H199" s="391"/>
      <c r="I199" s="391"/>
      <c r="J199" s="391"/>
      <c r="K199" s="392" t="s">
        <v>96</v>
      </c>
      <c r="L199" s="391"/>
      <c r="M199" s="391"/>
      <c r="N199" s="391"/>
      <c r="O199" s="392" t="s">
        <v>97</v>
      </c>
      <c r="P199" s="391"/>
      <c r="Q199" s="391"/>
      <c r="R199" s="391"/>
      <c r="S199" s="392" t="s">
        <v>98</v>
      </c>
      <c r="T199" s="391"/>
      <c r="U199" s="391"/>
      <c r="V199" s="391"/>
      <c r="W199" s="393" t="s">
        <v>99</v>
      </c>
      <c r="X199" s="357"/>
      <c r="Y199" s="391"/>
      <c r="Z199" s="394"/>
      <c r="AA199" s="393" t="s">
        <v>100</v>
      </c>
      <c r="AB199" s="357"/>
      <c r="AC199" s="391"/>
      <c r="AD199" s="394"/>
      <c r="AE199" s="395" t="s">
        <v>101</v>
      </c>
      <c r="AF199" s="391"/>
      <c r="AG199" s="391"/>
      <c r="AH199" s="391"/>
      <c r="AI199" s="358"/>
    </row>
    <row r="200" spans="1:35" ht="22.35" customHeight="1">
      <c r="A200" s="1"/>
      <c r="B200" s="1131">
        <v>3701</v>
      </c>
      <c r="C200" s="110" t="s">
        <v>267</v>
      </c>
      <c r="D200" s="110"/>
      <c r="E200" s="110"/>
      <c r="F200" s="110"/>
      <c r="G200" s="742" t="s">
        <v>268</v>
      </c>
      <c r="H200" s="110"/>
      <c r="I200" s="110"/>
      <c r="J200" s="110"/>
      <c r="K200" s="742" t="s">
        <v>268</v>
      </c>
      <c r="L200" s="110"/>
      <c r="M200" s="110"/>
      <c r="N200" s="110"/>
      <c r="O200" s="742" t="s">
        <v>268</v>
      </c>
      <c r="P200" s="110"/>
      <c r="Q200" s="110"/>
      <c r="R200" s="110"/>
      <c r="S200" s="742" t="s">
        <v>269</v>
      </c>
      <c r="T200" s="110"/>
      <c r="U200" s="110"/>
      <c r="V200" s="110"/>
      <c r="W200" s="1132"/>
      <c r="X200" s="1133"/>
      <c r="Y200" s="1295"/>
      <c r="Z200" s="1134"/>
      <c r="AA200" s="1132"/>
      <c r="AB200" s="1133"/>
      <c r="AC200" s="1295"/>
      <c r="AD200" s="1134"/>
      <c r="AE200" s="1165"/>
      <c r="AF200" s="1295"/>
      <c r="AG200" s="1295"/>
      <c r="AH200" s="1295"/>
      <c r="AI200" s="1231"/>
    </row>
    <row r="201" spans="1:35" ht="22.35" customHeight="1">
      <c r="B201" s="1462">
        <v>3700</v>
      </c>
      <c r="C201" s="1295" t="s">
        <v>170</v>
      </c>
      <c r="D201" s="1295"/>
      <c r="E201" s="1295"/>
      <c r="F201" s="1295"/>
      <c r="G201" s="1135" t="s">
        <v>170</v>
      </c>
      <c r="H201" s="1295"/>
      <c r="I201" s="1295"/>
      <c r="J201" s="1295"/>
      <c r="K201" s="1135" t="s">
        <v>170</v>
      </c>
      <c r="L201" s="1295"/>
      <c r="M201" s="1295"/>
      <c r="N201" s="1295"/>
      <c r="O201" s="1135" t="s">
        <v>170</v>
      </c>
      <c r="P201" s="1295"/>
      <c r="Q201" s="1295"/>
      <c r="R201" s="1295"/>
      <c r="S201" s="1135" t="s">
        <v>171</v>
      </c>
      <c r="T201" s="1295"/>
      <c r="U201" s="1295"/>
      <c r="V201" s="1295"/>
      <c r="W201" s="1295"/>
      <c r="X201" s="1135"/>
      <c r="Y201" s="1295"/>
      <c r="Z201" s="1409"/>
      <c r="AA201" s="1165"/>
      <c r="AB201" s="1295"/>
      <c r="AC201" s="1295"/>
      <c r="AD201" s="1345"/>
      <c r="AE201" s="1136"/>
      <c r="AF201" s="1295"/>
      <c r="AG201" s="1295"/>
      <c r="AH201" s="1345"/>
      <c r="AI201" s="1231"/>
    </row>
    <row r="202" spans="1:35" ht="22.35" customHeight="1">
      <c r="A202" s="1"/>
      <c r="B202" s="1462">
        <v>8514</v>
      </c>
      <c r="C202" s="1295" t="s">
        <v>268</v>
      </c>
      <c r="D202" s="1295"/>
      <c r="E202" s="1295"/>
      <c r="F202" s="1295"/>
      <c r="G202" s="1135" t="s">
        <v>268</v>
      </c>
      <c r="H202" s="1295"/>
      <c r="I202" s="1295"/>
      <c r="J202" s="1295"/>
      <c r="K202" s="1135" t="s">
        <v>268</v>
      </c>
      <c r="L202" s="1295"/>
      <c r="M202" s="1295"/>
      <c r="N202" s="1295"/>
      <c r="O202" s="1135" t="s">
        <v>268</v>
      </c>
      <c r="P202" s="1295"/>
      <c r="Q202" s="1295"/>
      <c r="R202" s="1295"/>
      <c r="S202" s="1135" t="s">
        <v>270</v>
      </c>
      <c r="T202" s="1295"/>
      <c r="U202" s="1295"/>
      <c r="V202" s="1295"/>
      <c r="W202" s="1295"/>
      <c r="X202" s="1135"/>
      <c r="Y202" s="1295"/>
      <c r="Z202" s="1409"/>
      <c r="AA202" s="1344"/>
      <c r="AB202" s="1295"/>
      <c r="AC202" s="1295"/>
      <c r="AD202" s="1345"/>
      <c r="AE202" s="1344"/>
      <c r="AF202" s="1295"/>
      <c r="AG202" s="1295"/>
      <c r="AH202" s="1345"/>
      <c r="AI202" s="1231"/>
    </row>
    <row r="203" spans="1:35" ht="22.35" customHeight="1">
      <c r="A203" s="1"/>
      <c r="B203" s="1462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>
      <c r="A204" s="1"/>
      <c r="B204" s="1462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>
      <c r="A205" s="1"/>
      <c r="B205" s="1463" t="s">
        <v>273</v>
      </c>
      <c r="C205" s="1302" t="s">
        <v>274</v>
      </c>
      <c r="D205" s="1302"/>
      <c r="E205" s="1302"/>
      <c r="F205" s="1302"/>
      <c r="G205" s="1138" t="s">
        <v>274</v>
      </c>
      <c r="H205" s="1302"/>
      <c r="I205" s="1302"/>
      <c r="J205" s="1302"/>
      <c r="K205" s="1139" t="s">
        <v>274</v>
      </c>
      <c r="L205" s="1302"/>
      <c r="M205" s="1302"/>
      <c r="N205" s="1302"/>
      <c r="O205" s="1138" t="s">
        <v>274</v>
      </c>
      <c r="P205" s="1302"/>
      <c r="Q205" s="1302"/>
      <c r="R205" s="1302"/>
      <c r="S205" s="1138" t="s">
        <v>275</v>
      </c>
      <c r="T205" s="1302"/>
      <c r="U205" s="1302"/>
      <c r="V205" s="1302"/>
      <c r="W205" s="1302"/>
      <c r="X205" s="1138"/>
      <c r="Y205" s="1302"/>
      <c r="Z205" s="1440"/>
      <c r="AA205" s="1167"/>
      <c r="AB205" s="1302"/>
      <c r="AC205" s="1302"/>
      <c r="AD205" s="1426"/>
      <c r="AE205" s="1140"/>
      <c r="AF205" s="1302"/>
      <c r="AG205" s="1302"/>
      <c r="AH205" s="1426"/>
      <c r="AI205" s="1305"/>
    </row>
    <row r="206" spans="1:35" ht="22.35" customHeight="1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>
      <c r="A208" s="1385"/>
      <c r="B208" s="1307" t="s">
        <v>29</v>
      </c>
      <c r="C208" s="1240">
        <v>1</v>
      </c>
      <c r="D208" s="1240">
        <v>2</v>
      </c>
      <c r="E208" s="1240">
        <v>3</v>
      </c>
      <c r="F208" s="1240">
        <v>4</v>
      </c>
      <c r="G208" s="1241">
        <v>5</v>
      </c>
      <c r="H208" s="1241">
        <v>6</v>
      </c>
      <c r="I208" s="1240">
        <v>7</v>
      </c>
      <c r="J208" s="1240">
        <v>8</v>
      </c>
      <c r="K208" s="1240">
        <v>9</v>
      </c>
      <c r="L208" s="1240">
        <v>10</v>
      </c>
      <c r="M208" s="1240">
        <v>11</v>
      </c>
      <c r="N208" s="1241">
        <v>12</v>
      </c>
      <c r="O208" s="1241">
        <v>13</v>
      </c>
      <c r="P208" s="1240">
        <v>14</v>
      </c>
      <c r="Q208" s="1240">
        <v>15</v>
      </c>
      <c r="R208" s="1240">
        <v>16</v>
      </c>
      <c r="S208" s="1240">
        <v>17</v>
      </c>
      <c r="T208" s="1240">
        <v>18</v>
      </c>
      <c r="U208" s="1241">
        <v>19</v>
      </c>
      <c r="V208" s="1241">
        <v>20</v>
      </c>
      <c r="W208" s="1240">
        <v>21</v>
      </c>
      <c r="X208" s="1240">
        <v>22</v>
      </c>
      <c r="Y208" s="1240">
        <v>23</v>
      </c>
      <c r="Z208" s="1240">
        <v>24</v>
      </c>
      <c r="AA208" s="1240">
        <v>25</v>
      </c>
      <c r="AB208" s="1241">
        <v>26</v>
      </c>
      <c r="AC208" s="1241">
        <v>27</v>
      </c>
      <c r="AD208" s="1240">
        <v>28</v>
      </c>
      <c r="AE208" s="1240">
        <v>29</v>
      </c>
      <c r="AF208" s="1240">
        <v>30</v>
      </c>
      <c r="AG208" s="1242"/>
      <c r="AH208" s="176"/>
      <c r="AI208" s="177"/>
    </row>
    <row r="209" spans="1:35" ht="22.35" customHeight="1">
      <c r="A209" s="249"/>
      <c r="B209" s="540" t="s">
        <v>277</v>
      </c>
      <c r="C209" s="349" t="s">
        <v>32</v>
      </c>
      <c r="D209" s="349" t="s">
        <v>32</v>
      </c>
      <c r="E209" s="349" t="s">
        <v>32</v>
      </c>
      <c r="F209" s="349" t="s">
        <v>32</v>
      </c>
      <c r="G209" s="349"/>
      <c r="H209" s="349"/>
      <c r="I209" s="349" t="s">
        <v>32</v>
      </c>
      <c r="J209" s="349" t="s">
        <v>32</v>
      </c>
      <c r="K209" s="349" t="s">
        <v>32</v>
      </c>
      <c r="L209" s="350" t="s">
        <v>32</v>
      </c>
      <c r="M209" s="350" t="s">
        <v>32</v>
      </c>
      <c r="N209" s="349"/>
      <c r="O209" s="349"/>
      <c r="P209" s="349" t="s">
        <v>32</v>
      </c>
      <c r="Q209" s="349" t="s">
        <v>32</v>
      </c>
      <c r="R209" s="349" t="s">
        <v>32</v>
      </c>
      <c r="S209" s="350" t="s">
        <v>32</v>
      </c>
      <c r="T209" s="350" t="s">
        <v>32</v>
      </c>
      <c r="U209" s="349"/>
      <c r="V209" s="349"/>
      <c r="W209" s="350" t="s">
        <v>32</v>
      </c>
      <c r="X209" s="350" t="s">
        <v>32</v>
      </c>
      <c r="Y209" s="350" t="s">
        <v>32</v>
      </c>
      <c r="Z209" s="350" t="s">
        <v>32</v>
      </c>
      <c r="AA209" s="350" t="s">
        <v>32</v>
      </c>
      <c r="AB209" s="349"/>
      <c r="AC209" s="349"/>
      <c r="AD209" s="350" t="s">
        <v>32</v>
      </c>
      <c r="AE209" s="350" t="s">
        <v>32</v>
      </c>
      <c r="AF209" s="350" t="s">
        <v>32</v>
      </c>
      <c r="AG209" s="352"/>
      <c r="AH209" s="176"/>
      <c r="AI209" s="177"/>
    </row>
    <row r="210" spans="1:35" ht="22.35" customHeight="1">
      <c r="A210" s="1141"/>
      <c r="B210" s="1142" t="s">
        <v>279</v>
      </c>
      <c r="C210" s="1273" t="s">
        <v>32</v>
      </c>
      <c r="D210" s="1273" t="s">
        <v>32</v>
      </c>
      <c r="E210" s="1273" t="s">
        <v>32</v>
      </c>
      <c r="F210" s="1273" t="s">
        <v>32</v>
      </c>
      <c r="G210" s="1273"/>
      <c r="H210" s="1273"/>
      <c r="I210" s="1273" t="s">
        <v>32</v>
      </c>
      <c r="J210" s="1273" t="s">
        <v>32</v>
      </c>
      <c r="K210" s="1273" t="s">
        <v>32</v>
      </c>
      <c r="L210" s="1273" t="s">
        <v>32</v>
      </c>
      <c r="M210" s="1273" t="s">
        <v>32</v>
      </c>
      <c r="N210" s="1278"/>
      <c r="O210" s="1278"/>
      <c r="P210" s="1278" t="s">
        <v>32</v>
      </c>
      <c r="Q210" s="1274" t="s">
        <v>32</v>
      </c>
      <c r="R210" s="1278" t="s">
        <v>32</v>
      </c>
      <c r="S210" s="1273" t="s">
        <v>32</v>
      </c>
      <c r="T210" s="1273" t="s">
        <v>32</v>
      </c>
      <c r="U210" s="1278"/>
      <c r="V210" s="1278"/>
      <c r="W210" s="1278" t="s">
        <v>32</v>
      </c>
      <c r="X210" s="1273" t="s">
        <v>32</v>
      </c>
      <c r="Y210" s="1278" t="s">
        <v>32</v>
      </c>
      <c r="Z210" s="1273" t="s">
        <v>32</v>
      </c>
      <c r="AA210" s="1273" t="s">
        <v>32</v>
      </c>
      <c r="AB210" s="1273"/>
      <c r="AC210" s="1273"/>
      <c r="AD210" s="1274" t="s">
        <v>32</v>
      </c>
      <c r="AE210" s="1274" t="s">
        <v>32</v>
      </c>
      <c r="AF210" s="1274" t="s">
        <v>32</v>
      </c>
      <c r="AG210" s="1143"/>
      <c r="AH210" s="176"/>
      <c r="AI210" s="177"/>
    </row>
    <row r="211" spans="1:35" ht="22.35" customHeight="1">
      <c r="A211" s="1144">
        <v>8514</v>
      </c>
      <c r="B211" s="1145" t="s">
        <v>280</v>
      </c>
      <c r="C211" s="1273" t="s">
        <v>32</v>
      </c>
      <c r="D211" s="1273" t="s">
        <v>32</v>
      </c>
      <c r="E211" s="1273" t="s">
        <v>32</v>
      </c>
      <c r="F211" s="1273" t="s">
        <v>32</v>
      </c>
      <c r="G211" s="1273"/>
      <c r="H211" s="1273"/>
      <c r="I211" s="1273" t="s">
        <v>32</v>
      </c>
      <c r="J211" s="1273" t="s">
        <v>32</v>
      </c>
      <c r="K211" s="1273" t="s">
        <v>32</v>
      </c>
      <c r="L211" s="1273" t="s">
        <v>32</v>
      </c>
      <c r="M211" s="1273" t="s">
        <v>32</v>
      </c>
      <c r="N211" s="1278"/>
      <c r="O211" s="1278"/>
      <c r="P211" s="1278" t="s">
        <v>32</v>
      </c>
      <c r="Q211" s="1274" t="s">
        <v>32</v>
      </c>
      <c r="R211" s="1278" t="s">
        <v>32</v>
      </c>
      <c r="S211" s="1273" t="s">
        <v>32</v>
      </c>
      <c r="T211" s="1146" t="s">
        <v>32</v>
      </c>
      <c r="U211" s="1278"/>
      <c r="V211" s="1278"/>
      <c r="W211" s="1278" t="s">
        <v>32</v>
      </c>
      <c r="X211" s="1278" t="s">
        <v>32</v>
      </c>
      <c r="Y211" s="1278" t="s">
        <v>32</v>
      </c>
      <c r="Z211" s="1273" t="s">
        <v>32</v>
      </c>
      <c r="AA211" s="1273" t="s">
        <v>32</v>
      </c>
      <c r="AB211" s="1273"/>
      <c r="AC211" s="1273"/>
      <c r="AD211" s="1274" t="s">
        <v>32</v>
      </c>
      <c r="AE211" s="1274" t="s">
        <v>32</v>
      </c>
      <c r="AF211" s="1274" t="s">
        <v>32</v>
      </c>
      <c r="AG211" s="1143"/>
      <c r="AH211" s="181"/>
      <c r="AI211" s="182"/>
    </row>
    <row r="212" spans="1:35" ht="21" customHeight="1">
      <c r="A212" s="1144">
        <v>3701</v>
      </c>
      <c r="B212" s="1147" t="s">
        <v>281</v>
      </c>
      <c r="C212" s="1273" t="s">
        <v>32</v>
      </c>
      <c r="D212" s="1273" t="s">
        <v>32</v>
      </c>
      <c r="E212" s="1273" t="s">
        <v>32</v>
      </c>
      <c r="F212" s="1273" t="s">
        <v>32</v>
      </c>
      <c r="G212" s="1273"/>
      <c r="H212" s="1273"/>
      <c r="I212" s="1273" t="s">
        <v>32</v>
      </c>
      <c r="J212" s="1273" t="s">
        <v>32</v>
      </c>
      <c r="K212" s="1273" t="s">
        <v>32</v>
      </c>
      <c r="L212" s="1273" t="s">
        <v>32</v>
      </c>
      <c r="M212" s="1273" t="s">
        <v>32</v>
      </c>
      <c r="N212" s="1278"/>
      <c r="O212" s="1278"/>
      <c r="P212" s="1278" t="s">
        <v>32</v>
      </c>
      <c r="Q212" s="1274" t="s">
        <v>32</v>
      </c>
      <c r="R212" s="1278" t="s">
        <v>32</v>
      </c>
      <c r="S212" s="1273" t="s">
        <v>32</v>
      </c>
      <c r="T212" s="1273" t="s">
        <v>32</v>
      </c>
      <c r="U212" s="1278"/>
      <c r="V212" s="1278"/>
      <c r="W212" s="1278" t="s">
        <v>32</v>
      </c>
      <c r="X212" s="1273" t="s">
        <v>32</v>
      </c>
      <c r="Y212" s="1278" t="s">
        <v>32</v>
      </c>
      <c r="Z212" s="1273" t="s">
        <v>32</v>
      </c>
      <c r="AA212" s="1273" t="s">
        <v>32</v>
      </c>
      <c r="AB212" s="1273"/>
      <c r="AC212" s="1273"/>
      <c r="AD212" s="1278" t="s">
        <v>32</v>
      </c>
      <c r="AE212" s="1278" t="s">
        <v>32</v>
      </c>
      <c r="AF212" s="1278" t="s">
        <v>32</v>
      </c>
      <c r="AG212" s="1143"/>
      <c r="AH212" s="181"/>
      <c r="AI212" s="182"/>
    </row>
    <row r="213" spans="1:35" ht="21" customHeight="1">
      <c r="A213" s="1144">
        <v>3701</v>
      </c>
      <c r="B213" s="1284" t="s">
        <v>282</v>
      </c>
      <c r="C213" s="1273" t="s">
        <v>32</v>
      </c>
      <c r="D213" s="1273" t="s">
        <v>32</v>
      </c>
      <c r="E213" s="1273" t="s">
        <v>32</v>
      </c>
      <c r="F213" s="1273" t="s">
        <v>32</v>
      </c>
      <c r="G213" s="1273"/>
      <c r="H213" s="1273"/>
      <c r="I213" s="1273" t="s">
        <v>32</v>
      </c>
      <c r="J213" s="1273" t="s">
        <v>32</v>
      </c>
      <c r="K213" s="1273" t="s">
        <v>32</v>
      </c>
      <c r="L213" s="1273" t="s">
        <v>32</v>
      </c>
      <c r="M213" s="1273" t="s">
        <v>32</v>
      </c>
      <c r="N213" s="1278"/>
      <c r="O213" s="1278"/>
      <c r="P213" s="1278" t="s">
        <v>32</v>
      </c>
      <c r="Q213" s="1274" t="s">
        <v>32</v>
      </c>
      <c r="R213" s="1278" t="s">
        <v>32</v>
      </c>
      <c r="S213" s="1273" t="s">
        <v>32</v>
      </c>
      <c r="T213" s="1273" t="s">
        <v>32</v>
      </c>
      <c r="U213" s="1278"/>
      <c r="V213" s="1278"/>
      <c r="W213" s="1278" t="s">
        <v>32</v>
      </c>
      <c r="X213" s="1278" t="s">
        <v>32</v>
      </c>
      <c r="Y213" s="1278" t="s">
        <v>32</v>
      </c>
      <c r="Z213" s="1273" t="s">
        <v>32</v>
      </c>
      <c r="AA213" s="1273" t="s">
        <v>32</v>
      </c>
      <c r="AB213" s="1273"/>
      <c r="AC213" s="1273"/>
      <c r="AD213" s="1278" t="s">
        <v>32</v>
      </c>
      <c r="AE213" s="1278" t="s">
        <v>32</v>
      </c>
      <c r="AF213" s="1278" t="s">
        <v>32</v>
      </c>
      <c r="AG213" s="1143"/>
      <c r="AH213" s="181"/>
      <c r="AI213" s="182"/>
    </row>
    <row r="214" spans="1:35" ht="21" customHeight="1">
      <c r="A214" s="1144">
        <v>3701</v>
      </c>
      <c r="B214" s="1284" t="s">
        <v>283</v>
      </c>
      <c r="C214" s="1273" t="s">
        <v>32</v>
      </c>
      <c r="D214" s="1273" t="s">
        <v>32</v>
      </c>
      <c r="E214" s="1273" t="s">
        <v>32</v>
      </c>
      <c r="F214" s="1273" t="s">
        <v>32</v>
      </c>
      <c r="G214" s="1273"/>
      <c r="H214" s="1273"/>
      <c r="I214" s="1273" t="s">
        <v>32</v>
      </c>
      <c r="J214" s="1273" t="s">
        <v>32</v>
      </c>
      <c r="K214" s="1273" t="s">
        <v>32</v>
      </c>
      <c r="L214" s="1273" t="s">
        <v>32</v>
      </c>
      <c r="M214" s="1273" t="s">
        <v>32</v>
      </c>
      <c r="N214" s="1278"/>
      <c r="O214" s="1278"/>
      <c r="P214" s="1278" t="s">
        <v>32</v>
      </c>
      <c r="Q214" s="1146" t="s">
        <v>32</v>
      </c>
      <c r="R214" s="1146" t="s">
        <v>32</v>
      </c>
      <c r="S214" s="1273" t="s">
        <v>32</v>
      </c>
      <c r="T214" s="1273" t="s">
        <v>32</v>
      </c>
      <c r="U214" s="1278"/>
      <c r="V214" s="1278"/>
      <c r="W214" s="1278" t="s">
        <v>32</v>
      </c>
      <c r="X214" s="1273" t="s">
        <v>32</v>
      </c>
      <c r="Y214" s="1282" t="s">
        <v>32</v>
      </c>
      <c r="Z214" s="1273" t="s">
        <v>32</v>
      </c>
      <c r="AA214" s="1273" t="s">
        <v>32</v>
      </c>
      <c r="AB214" s="1273"/>
      <c r="AC214" s="1273"/>
      <c r="AD214" s="1282" t="s">
        <v>32</v>
      </c>
      <c r="AE214" s="1274" t="s">
        <v>32</v>
      </c>
      <c r="AF214" s="1274" t="s">
        <v>32</v>
      </c>
      <c r="AG214" s="1143"/>
      <c r="AH214" s="181"/>
      <c r="AI214" s="182"/>
    </row>
    <row r="215" spans="1:35" ht="21" customHeight="1">
      <c r="A215" s="1144">
        <v>3701</v>
      </c>
      <c r="B215" s="1147" t="s">
        <v>284</v>
      </c>
      <c r="C215" s="1273" t="s">
        <v>32</v>
      </c>
      <c r="D215" s="1273" t="s">
        <v>32</v>
      </c>
      <c r="E215" s="1273" t="s">
        <v>32</v>
      </c>
      <c r="F215" s="1273" t="s">
        <v>32</v>
      </c>
      <c r="G215" s="1273"/>
      <c r="H215" s="1273"/>
      <c r="I215" s="1273" t="s">
        <v>32</v>
      </c>
      <c r="J215" s="1273" t="s">
        <v>32</v>
      </c>
      <c r="K215" s="1273" t="s">
        <v>32</v>
      </c>
      <c r="L215" s="1273" t="s">
        <v>32</v>
      </c>
      <c r="M215" s="1273" t="s">
        <v>32</v>
      </c>
      <c r="N215" s="1278"/>
      <c r="O215" s="1278"/>
      <c r="P215" s="1278" t="s">
        <v>32</v>
      </c>
      <c r="Q215" s="1274" t="s">
        <v>32</v>
      </c>
      <c r="R215" s="1278" t="s">
        <v>32</v>
      </c>
      <c r="S215" s="1273" t="s">
        <v>32</v>
      </c>
      <c r="T215" s="1273" t="s">
        <v>32</v>
      </c>
      <c r="U215" s="1278"/>
      <c r="V215" s="1278"/>
      <c r="W215" s="1278" t="s">
        <v>32</v>
      </c>
      <c r="X215" s="1273" t="s">
        <v>32</v>
      </c>
      <c r="Y215" s="1278" t="s">
        <v>32</v>
      </c>
      <c r="Z215" s="1273" t="s">
        <v>32</v>
      </c>
      <c r="AA215" s="1273" t="s">
        <v>32</v>
      </c>
      <c r="AB215" s="1273"/>
      <c r="AC215" s="1273"/>
      <c r="AD215" s="1274" t="s">
        <v>32</v>
      </c>
      <c r="AE215" s="1274" t="s">
        <v>32</v>
      </c>
      <c r="AF215" s="1274" t="s">
        <v>32</v>
      </c>
      <c r="AG215" s="1143"/>
      <c r="AH215" s="181"/>
      <c r="AI215" s="182"/>
    </row>
    <row r="216" spans="1:35" ht="22.35" customHeight="1">
      <c r="A216" s="1144">
        <v>3701</v>
      </c>
      <c r="B216" s="1284" t="s">
        <v>285</v>
      </c>
      <c r="C216" s="1273" t="s">
        <v>32</v>
      </c>
      <c r="D216" s="1273" t="s">
        <v>32</v>
      </c>
      <c r="E216" s="1273" t="s">
        <v>32</v>
      </c>
      <c r="F216" s="1273" t="s">
        <v>32</v>
      </c>
      <c r="G216" s="1273"/>
      <c r="H216" s="1273"/>
      <c r="I216" s="1273" t="s">
        <v>32</v>
      </c>
      <c r="J216" s="1273" t="s">
        <v>32</v>
      </c>
      <c r="K216" s="1273" t="s">
        <v>32</v>
      </c>
      <c r="L216" s="1273" t="s">
        <v>32</v>
      </c>
      <c r="M216" s="1273" t="s">
        <v>32</v>
      </c>
      <c r="N216" s="1278"/>
      <c r="O216" s="1278"/>
      <c r="P216" s="1278" t="s">
        <v>32</v>
      </c>
      <c r="Q216" s="1274" t="s">
        <v>32</v>
      </c>
      <c r="R216" s="1278" t="s">
        <v>32</v>
      </c>
      <c r="S216" s="1273" t="s">
        <v>32</v>
      </c>
      <c r="T216" s="1273" t="s">
        <v>32</v>
      </c>
      <c r="U216" s="1365" t="s">
        <v>32</v>
      </c>
      <c r="V216" s="1365" t="s">
        <v>32</v>
      </c>
      <c r="W216" s="1148" t="s">
        <v>32</v>
      </c>
      <c r="X216" s="1273" t="s">
        <v>32</v>
      </c>
      <c r="Y216" s="1148" t="s">
        <v>32</v>
      </c>
      <c r="Z216" s="1273" t="s">
        <v>32</v>
      </c>
      <c r="AA216" s="1273" t="s">
        <v>32</v>
      </c>
      <c r="AB216" s="1273"/>
      <c r="AC216" s="1273"/>
      <c r="AD216" s="1148" t="s">
        <v>32</v>
      </c>
      <c r="AE216" s="1148" t="s">
        <v>32</v>
      </c>
      <c r="AF216" s="1148" t="s">
        <v>32</v>
      </c>
      <c r="AG216" s="1464"/>
      <c r="AH216" s="181"/>
      <c r="AI216" s="182"/>
    </row>
    <row r="217" spans="1:35" ht="22.35" customHeight="1">
      <c r="A217" s="1144">
        <v>3701</v>
      </c>
      <c r="B217" s="1284" t="s">
        <v>286</v>
      </c>
      <c r="C217" s="1273" t="s">
        <v>32</v>
      </c>
      <c r="D217" s="1273" t="s">
        <v>32</v>
      </c>
      <c r="E217" s="1273" t="s">
        <v>32</v>
      </c>
      <c r="F217" s="1273" t="s">
        <v>32</v>
      </c>
      <c r="G217" s="1273"/>
      <c r="H217" s="1273"/>
      <c r="I217" s="1273" t="s">
        <v>32</v>
      </c>
      <c r="J217" s="1273" t="s">
        <v>32</v>
      </c>
      <c r="K217" s="1273" t="s">
        <v>32</v>
      </c>
      <c r="L217" s="1273" t="s">
        <v>32</v>
      </c>
      <c r="M217" s="1273" t="s">
        <v>32</v>
      </c>
      <c r="N217" s="1278"/>
      <c r="O217" s="1278"/>
      <c r="P217" s="1278" t="s">
        <v>32</v>
      </c>
      <c r="Q217" s="1274" t="s">
        <v>32</v>
      </c>
      <c r="R217" s="1278" t="s">
        <v>32</v>
      </c>
      <c r="S217" s="1273" t="s">
        <v>32</v>
      </c>
      <c r="T217" s="1273" t="s">
        <v>32</v>
      </c>
      <c r="U217" s="1278"/>
      <c r="V217" s="1278"/>
      <c r="W217" s="1278" t="s">
        <v>32</v>
      </c>
      <c r="X217" s="1273" t="s">
        <v>32</v>
      </c>
      <c r="Y217" s="1278" t="s">
        <v>32</v>
      </c>
      <c r="Z217" s="1273" t="s">
        <v>32</v>
      </c>
      <c r="AA217" s="1273" t="s">
        <v>32</v>
      </c>
      <c r="AB217" s="1273"/>
      <c r="AC217" s="1273"/>
      <c r="AD217" s="1278" t="s">
        <v>32</v>
      </c>
      <c r="AE217" s="1278" t="s">
        <v>32</v>
      </c>
      <c r="AF217" s="1278" t="s">
        <v>32</v>
      </c>
      <c r="AG217" s="1143"/>
      <c r="AH217" s="181"/>
      <c r="AI217" s="182"/>
    </row>
    <row r="218" spans="1:35" ht="22.35" customHeight="1">
      <c r="A218" s="1144">
        <v>3701</v>
      </c>
      <c r="B218" s="1284" t="s">
        <v>287</v>
      </c>
      <c r="C218" s="1273" t="s">
        <v>32</v>
      </c>
      <c r="D218" s="1273" t="s">
        <v>32</v>
      </c>
      <c r="E218" s="1273" t="s">
        <v>32</v>
      </c>
      <c r="F218" s="1273" t="s">
        <v>32</v>
      </c>
      <c r="G218" s="1273"/>
      <c r="H218" s="1273"/>
      <c r="I218" s="1273" t="s">
        <v>32</v>
      </c>
      <c r="J218" s="1273" t="s">
        <v>32</v>
      </c>
      <c r="K218" s="1273" t="s">
        <v>32</v>
      </c>
      <c r="L218" s="1273" t="s">
        <v>32</v>
      </c>
      <c r="M218" s="1273" t="s">
        <v>32</v>
      </c>
      <c r="N218" s="1278"/>
      <c r="O218" s="1278"/>
      <c r="P218" s="1278" t="s">
        <v>32</v>
      </c>
      <c r="Q218" s="1274" t="s">
        <v>32</v>
      </c>
      <c r="R218" s="1278" t="s">
        <v>32</v>
      </c>
      <c r="S218" s="1273" t="s">
        <v>32</v>
      </c>
      <c r="T218" s="1273" t="s">
        <v>32</v>
      </c>
      <c r="U218" s="1278"/>
      <c r="V218" s="1278"/>
      <c r="W218" s="1170" t="s">
        <v>32</v>
      </c>
      <c r="X218" s="1170" t="s">
        <v>32</v>
      </c>
      <c r="Y218" s="1170" t="s">
        <v>32</v>
      </c>
      <c r="Z218" s="1273" t="s">
        <v>32</v>
      </c>
      <c r="AA218" s="1273" t="s">
        <v>32</v>
      </c>
      <c r="AB218" s="1273"/>
      <c r="AC218" s="1273"/>
      <c r="AD218" s="1273" t="s">
        <v>32</v>
      </c>
      <c r="AE218" s="1273" t="s">
        <v>32</v>
      </c>
      <c r="AF218" s="1278" t="s">
        <v>32</v>
      </c>
      <c r="AG218" s="1151"/>
      <c r="AH218" s="181"/>
      <c r="AI218" s="182"/>
    </row>
    <row r="219" spans="1:35" ht="22.35" customHeight="1">
      <c r="A219" s="1150">
        <v>3701</v>
      </c>
      <c r="B219" s="1284" t="s">
        <v>288</v>
      </c>
      <c r="C219" s="1273" t="s">
        <v>32</v>
      </c>
      <c r="D219" s="1273" t="s">
        <v>32</v>
      </c>
      <c r="E219" s="1273" t="s">
        <v>32</v>
      </c>
      <c r="F219" s="1148" t="s">
        <v>32</v>
      </c>
      <c r="G219" s="1273"/>
      <c r="H219" s="1273"/>
      <c r="I219" s="1273" t="s">
        <v>32</v>
      </c>
      <c r="J219" s="1273" t="s">
        <v>32</v>
      </c>
      <c r="K219" s="1273" t="s">
        <v>32</v>
      </c>
      <c r="L219" s="1273" t="s">
        <v>32</v>
      </c>
      <c r="M219" s="1273" t="s">
        <v>32</v>
      </c>
      <c r="N219" s="1278"/>
      <c r="O219" s="1278"/>
      <c r="P219" s="1278" t="s">
        <v>32</v>
      </c>
      <c r="Q219" s="1274" t="s">
        <v>32</v>
      </c>
      <c r="R219" s="1278" t="s">
        <v>32</v>
      </c>
      <c r="S219" s="1273" t="s">
        <v>32</v>
      </c>
      <c r="T219" s="1273" t="s">
        <v>32</v>
      </c>
      <c r="U219" s="1278"/>
      <c r="V219" s="1278"/>
      <c r="W219" s="1278" t="s">
        <v>32</v>
      </c>
      <c r="X219" s="1273" t="s">
        <v>32</v>
      </c>
      <c r="Y219" s="1278" t="s">
        <v>32</v>
      </c>
      <c r="Z219" s="1273" t="s">
        <v>32</v>
      </c>
      <c r="AA219" s="1273" t="s">
        <v>32</v>
      </c>
      <c r="AB219" s="1273"/>
      <c r="AC219" s="1273"/>
      <c r="AD219" s="1148" t="s">
        <v>32</v>
      </c>
      <c r="AE219" s="1148" t="s">
        <v>32</v>
      </c>
      <c r="AF219" s="1148" t="s">
        <v>32</v>
      </c>
      <c r="AG219" s="1464"/>
      <c r="AH219" s="181"/>
      <c r="AI219" s="182"/>
    </row>
    <row r="220" spans="1:35" ht="22.35" customHeight="1">
      <c r="A220" s="1144">
        <v>3701</v>
      </c>
      <c r="B220" s="1284" t="s">
        <v>289</v>
      </c>
      <c r="C220" s="1273" t="s">
        <v>32</v>
      </c>
      <c r="D220" s="1273" t="s">
        <v>32</v>
      </c>
      <c r="E220" s="1273" t="s">
        <v>32</v>
      </c>
      <c r="F220" s="1273" t="s">
        <v>32</v>
      </c>
      <c r="G220" s="1273"/>
      <c r="H220" s="1273"/>
      <c r="I220" s="1273" t="s">
        <v>32</v>
      </c>
      <c r="J220" s="1273" t="s">
        <v>32</v>
      </c>
      <c r="K220" s="1273" t="s">
        <v>32</v>
      </c>
      <c r="L220" s="1273" t="s">
        <v>32</v>
      </c>
      <c r="M220" s="1273" t="s">
        <v>32</v>
      </c>
      <c r="N220" s="1278"/>
      <c r="O220" s="1278"/>
      <c r="P220" s="1285" t="s">
        <v>32</v>
      </c>
      <c r="Q220" s="1285" t="s">
        <v>32</v>
      </c>
      <c r="R220" s="1285" t="s">
        <v>32</v>
      </c>
      <c r="S220" s="1285" t="s">
        <v>278</v>
      </c>
      <c r="T220" s="1269" t="s">
        <v>32</v>
      </c>
      <c r="U220" s="1269"/>
      <c r="V220" s="1269"/>
      <c r="W220" s="1269" t="s">
        <v>32</v>
      </c>
      <c r="X220" s="1269" t="s">
        <v>32</v>
      </c>
      <c r="Y220" s="1269" t="s">
        <v>32</v>
      </c>
      <c r="Z220" s="1269" t="s">
        <v>32</v>
      </c>
      <c r="AA220" s="1269" t="s">
        <v>32</v>
      </c>
      <c r="AB220" s="1273"/>
      <c r="AC220" s="1273"/>
      <c r="AD220" s="1278" t="s">
        <v>32</v>
      </c>
      <c r="AE220" s="1278" t="s">
        <v>32</v>
      </c>
      <c r="AF220" s="1278" t="s">
        <v>32</v>
      </c>
      <c r="AG220" s="1151"/>
      <c r="AH220" s="181"/>
      <c r="AI220" s="182"/>
    </row>
    <row r="221" spans="1:35" ht="22.35" customHeight="1">
      <c r="A221" s="1144">
        <v>3701</v>
      </c>
      <c r="B221" s="1284" t="s">
        <v>290</v>
      </c>
      <c r="C221" s="1273" t="s">
        <v>32</v>
      </c>
      <c r="D221" s="1273" t="s">
        <v>32</v>
      </c>
      <c r="E221" s="1273" t="s">
        <v>32</v>
      </c>
      <c r="F221" s="1273" t="s">
        <v>32</v>
      </c>
      <c r="G221" s="1273"/>
      <c r="H221" s="1273"/>
      <c r="I221" s="1273" t="s">
        <v>32</v>
      </c>
      <c r="J221" s="1273" t="s">
        <v>32</v>
      </c>
      <c r="K221" s="1273" t="s">
        <v>32</v>
      </c>
      <c r="L221" s="1273" t="s">
        <v>32</v>
      </c>
      <c r="M221" s="1273" t="s">
        <v>32</v>
      </c>
      <c r="N221" s="1278"/>
      <c r="O221" s="1278"/>
      <c r="P221" s="1148" t="s">
        <v>32</v>
      </c>
      <c r="Q221" s="1148" t="s">
        <v>32</v>
      </c>
      <c r="R221" s="1148" t="s">
        <v>32</v>
      </c>
      <c r="S221" s="1148" t="s">
        <v>32</v>
      </c>
      <c r="T221" s="1148" t="s">
        <v>32</v>
      </c>
      <c r="U221" s="1278"/>
      <c r="V221" s="1278"/>
      <c r="W221" s="1278" t="s">
        <v>32</v>
      </c>
      <c r="X221" s="1273" t="s">
        <v>32</v>
      </c>
      <c r="Y221" s="1278" t="s">
        <v>32</v>
      </c>
      <c r="Z221" s="1273" t="s">
        <v>32</v>
      </c>
      <c r="AA221" s="1273" t="s">
        <v>32</v>
      </c>
      <c r="AB221" s="1273"/>
      <c r="AC221" s="1273"/>
      <c r="AD221" s="1278" t="s">
        <v>32</v>
      </c>
      <c r="AE221" s="1278" t="s">
        <v>32</v>
      </c>
      <c r="AF221" s="1278" t="s">
        <v>32</v>
      </c>
      <c r="AG221" s="1152"/>
      <c r="AH221" s="181"/>
      <c r="AI221" s="182"/>
    </row>
    <row r="222" spans="1:35" ht="22.35" customHeight="1">
      <c r="A222" s="1144"/>
      <c r="B222" s="1284" t="s">
        <v>291</v>
      </c>
      <c r="C222" s="1273" t="s">
        <v>32</v>
      </c>
      <c r="D222" s="1273" t="s">
        <v>32</v>
      </c>
      <c r="E222" s="1273" t="s">
        <v>32</v>
      </c>
      <c r="F222" s="1273" t="s">
        <v>32</v>
      </c>
      <c r="G222" s="1273"/>
      <c r="H222" s="1273"/>
      <c r="I222" s="1273" t="s">
        <v>32</v>
      </c>
      <c r="J222" s="1273" t="s">
        <v>32</v>
      </c>
      <c r="K222" s="1273" t="s">
        <v>32</v>
      </c>
      <c r="L222" s="1273" t="s">
        <v>32</v>
      </c>
      <c r="M222" s="1273" t="s">
        <v>32</v>
      </c>
      <c r="N222" s="1278"/>
      <c r="O222" s="1278"/>
      <c r="P222" s="1278" t="s">
        <v>32</v>
      </c>
      <c r="Q222" s="1274" t="s">
        <v>32</v>
      </c>
      <c r="R222" s="1278" t="s">
        <v>32</v>
      </c>
      <c r="S222" s="1273" t="s">
        <v>32</v>
      </c>
      <c r="T222" s="1273" t="s">
        <v>32</v>
      </c>
      <c r="U222" s="1278"/>
      <c r="V222" s="1278"/>
      <c r="W222" s="1278" t="s">
        <v>32</v>
      </c>
      <c r="X222" s="1273" t="s">
        <v>32</v>
      </c>
      <c r="Y222" s="1278" t="s">
        <v>32</v>
      </c>
      <c r="Z222" s="1273" t="s">
        <v>32</v>
      </c>
      <c r="AA222" s="1273" t="s">
        <v>32</v>
      </c>
      <c r="AB222" s="1273"/>
      <c r="AC222" s="1273"/>
      <c r="AD222" s="1285" t="s">
        <v>32</v>
      </c>
      <c r="AE222" s="1285" t="s">
        <v>32</v>
      </c>
      <c r="AF222" s="1285" t="s">
        <v>32</v>
      </c>
      <c r="AG222" s="1465"/>
      <c r="AH222" s="181"/>
      <c r="AI222" s="182"/>
    </row>
    <row r="223" spans="1:35" ht="22.35" customHeight="1">
      <c r="A223" s="1144"/>
      <c r="B223" s="1284" t="s">
        <v>292</v>
      </c>
      <c r="C223" s="1273" t="s">
        <v>32</v>
      </c>
      <c r="D223" s="1273" t="s">
        <v>32</v>
      </c>
      <c r="E223" s="1273" t="s">
        <v>32</v>
      </c>
      <c r="F223" s="1273" t="s">
        <v>32</v>
      </c>
      <c r="G223" s="1273"/>
      <c r="H223" s="1273"/>
      <c r="I223" s="1273" t="s">
        <v>32</v>
      </c>
      <c r="J223" s="1273" t="s">
        <v>32</v>
      </c>
      <c r="K223" s="1273" t="s">
        <v>32</v>
      </c>
      <c r="L223" s="1273" t="s">
        <v>32</v>
      </c>
      <c r="M223" s="1273" t="s">
        <v>32</v>
      </c>
      <c r="N223" s="1278"/>
      <c r="O223" s="1278"/>
      <c r="P223" s="1278" t="s">
        <v>32</v>
      </c>
      <c r="Q223" s="1274" t="s">
        <v>32</v>
      </c>
      <c r="R223" s="1278" t="s">
        <v>32</v>
      </c>
      <c r="S223" s="1273" t="s">
        <v>32</v>
      </c>
      <c r="T223" s="1273" t="s">
        <v>32</v>
      </c>
      <c r="U223" s="1278"/>
      <c r="V223" s="1278"/>
      <c r="W223" s="1278" t="s">
        <v>32</v>
      </c>
      <c r="X223" s="1273" t="s">
        <v>32</v>
      </c>
      <c r="Y223" s="1278" t="s">
        <v>32</v>
      </c>
      <c r="Z223" s="1273" t="s">
        <v>32</v>
      </c>
      <c r="AA223" s="1273" t="s">
        <v>32</v>
      </c>
      <c r="AB223" s="1273"/>
      <c r="AC223" s="1273"/>
      <c r="AD223" s="1273" t="s">
        <v>32</v>
      </c>
      <c r="AE223" s="1282" t="s">
        <v>32</v>
      </c>
      <c r="AF223" s="1273" t="s">
        <v>32</v>
      </c>
      <c r="AG223" s="1143"/>
      <c r="AH223" s="181"/>
      <c r="AI223" s="182"/>
    </row>
    <row r="224" spans="1:35" ht="22.35" customHeight="1">
      <c r="A224" s="1144"/>
      <c r="B224" s="1147" t="s">
        <v>293</v>
      </c>
      <c r="C224" s="1273" t="s">
        <v>32</v>
      </c>
      <c r="D224" s="1273" t="s">
        <v>32</v>
      </c>
      <c r="E224" s="1273" t="s">
        <v>32</v>
      </c>
      <c r="F224" s="1273" t="s">
        <v>32</v>
      </c>
      <c r="G224" s="1273"/>
      <c r="H224" s="1273"/>
      <c r="I224" s="1273" t="s">
        <v>32</v>
      </c>
      <c r="J224" s="1273" t="s">
        <v>32</v>
      </c>
      <c r="K224" s="1273" t="s">
        <v>32</v>
      </c>
      <c r="L224" s="1273" t="s">
        <v>32</v>
      </c>
      <c r="M224" s="1273" t="s">
        <v>32</v>
      </c>
      <c r="N224" s="1278"/>
      <c r="O224" s="1278"/>
      <c r="P224" s="1278" t="s">
        <v>32</v>
      </c>
      <c r="Q224" s="1274" t="s">
        <v>32</v>
      </c>
      <c r="R224" s="1278" t="s">
        <v>32</v>
      </c>
      <c r="S224" s="1273" t="s">
        <v>32</v>
      </c>
      <c r="T224" s="1273" t="s">
        <v>32</v>
      </c>
      <c r="U224" s="1278"/>
      <c r="V224" s="1278"/>
      <c r="W224" s="1278" t="s">
        <v>32</v>
      </c>
      <c r="X224" s="1273" t="s">
        <v>32</v>
      </c>
      <c r="Y224" s="1278" t="s">
        <v>32</v>
      </c>
      <c r="Z224" s="1273" t="s">
        <v>32</v>
      </c>
      <c r="AA224" s="1273" t="s">
        <v>32</v>
      </c>
      <c r="AB224" s="1273"/>
      <c r="AC224" s="1273"/>
      <c r="AD224" s="1273" t="s">
        <v>32</v>
      </c>
      <c r="AE224" s="1273" t="s">
        <v>32</v>
      </c>
      <c r="AF224" s="1273" t="s">
        <v>32</v>
      </c>
      <c r="AG224" s="1143"/>
      <c r="AH224" s="181"/>
      <c r="AI224" s="182"/>
    </row>
    <row r="225" spans="1:35" ht="22.35" customHeight="1">
      <c r="A225" s="1144"/>
      <c r="B225" s="1284" t="s">
        <v>294</v>
      </c>
      <c r="C225" s="1153" t="s">
        <v>32</v>
      </c>
      <c r="D225" s="1153" t="s">
        <v>32</v>
      </c>
      <c r="E225" s="1153" t="s">
        <v>32</v>
      </c>
      <c r="F225" s="1153" t="s">
        <v>32</v>
      </c>
      <c r="G225" s="1153"/>
      <c r="H225" s="1153"/>
      <c r="I225" s="1153" t="s">
        <v>32</v>
      </c>
      <c r="J225" s="1153" t="s">
        <v>32</v>
      </c>
      <c r="K225" s="1153" t="s">
        <v>32</v>
      </c>
      <c r="L225" s="1153" t="s">
        <v>32</v>
      </c>
      <c r="M225" s="1153" t="s">
        <v>32</v>
      </c>
      <c r="N225" s="1153"/>
      <c r="O225" s="1153"/>
      <c r="P225" s="1153" t="s">
        <v>32</v>
      </c>
      <c r="Q225" s="1153" t="s">
        <v>32</v>
      </c>
      <c r="R225" s="1153" t="s">
        <v>32</v>
      </c>
      <c r="S225" s="1153" t="s">
        <v>32</v>
      </c>
      <c r="T225" s="1153" t="s">
        <v>32</v>
      </c>
      <c r="U225" s="1153"/>
      <c r="V225" s="1153"/>
      <c r="W225" s="1153" t="s">
        <v>32</v>
      </c>
      <c r="X225" s="1153" t="s">
        <v>32</v>
      </c>
      <c r="Y225" s="1153" t="s">
        <v>32</v>
      </c>
      <c r="Z225" s="1153" t="s">
        <v>32</v>
      </c>
      <c r="AA225" s="1153" t="s">
        <v>32</v>
      </c>
      <c r="AB225" s="1153"/>
      <c r="AC225" s="1153"/>
      <c r="AD225" s="1153" t="s">
        <v>32</v>
      </c>
      <c r="AE225" s="1153" t="s">
        <v>32</v>
      </c>
      <c r="AF225" s="1153" t="s">
        <v>32</v>
      </c>
      <c r="AG225" s="1154"/>
      <c r="AH225" s="181"/>
      <c r="AI225" s="182"/>
    </row>
    <row r="226" spans="1:35" ht="22.35" customHeight="1">
      <c r="A226" s="1144"/>
      <c r="B226" s="1284" t="s">
        <v>295</v>
      </c>
      <c r="C226" s="1285" t="s">
        <v>32</v>
      </c>
      <c r="D226" s="1285" t="s">
        <v>32</v>
      </c>
      <c r="E226" s="1285" t="s">
        <v>278</v>
      </c>
      <c r="F226" s="1269" t="s">
        <v>32</v>
      </c>
      <c r="G226" s="1273"/>
      <c r="H226" s="1273"/>
      <c r="I226" s="1269" t="s">
        <v>32</v>
      </c>
      <c r="J226" s="1269" t="s">
        <v>32</v>
      </c>
      <c r="K226" s="1269" t="s">
        <v>32</v>
      </c>
      <c r="L226" s="1273" t="s">
        <v>32</v>
      </c>
      <c r="M226" s="1273" t="s">
        <v>32</v>
      </c>
      <c r="N226" s="1278"/>
      <c r="O226" s="1278"/>
      <c r="P226" s="1278" t="s">
        <v>32</v>
      </c>
      <c r="Q226" s="1274" t="s">
        <v>32</v>
      </c>
      <c r="R226" s="1278" t="s">
        <v>32</v>
      </c>
      <c r="S226" s="1273" t="s">
        <v>32</v>
      </c>
      <c r="T226" s="1273" t="s">
        <v>32</v>
      </c>
      <c r="U226" s="1278"/>
      <c r="V226" s="1278"/>
      <c r="W226" s="1278" t="s">
        <v>32</v>
      </c>
      <c r="X226" s="1273" t="s">
        <v>32</v>
      </c>
      <c r="Y226" s="1278" t="s">
        <v>32</v>
      </c>
      <c r="Z226" s="1273" t="s">
        <v>32</v>
      </c>
      <c r="AA226" s="1273" t="s">
        <v>32</v>
      </c>
      <c r="AB226" s="1273"/>
      <c r="AC226" s="1273"/>
      <c r="AD226" s="1273" t="s">
        <v>32</v>
      </c>
      <c r="AE226" s="1273" t="s">
        <v>32</v>
      </c>
      <c r="AF226" s="1278" t="s">
        <v>32</v>
      </c>
      <c r="AG226" s="1151"/>
      <c r="AH226" s="181"/>
      <c r="AI226" s="182"/>
    </row>
    <row r="227" spans="1:35" ht="22.35" customHeight="1">
      <c r="A227" s="1144"/>
      <c r="B227" s="1284" t="s">
        <v>296</v>
      </c>
      <c r="C227" s="1273" t="s">
        <v>32</v>
      </c>
      <c r="D227" s="1273" t="s">
        <v>32</v>
      </c>
      <c r="E227" s="1273" t="s">
        <v>32</v>
      </c>
      <c r="F227" s="1273" t="s">
        <v>32</v>
      </c>
      <c r="G227" s="1273"/>
      <c r="H227" s="1273"/>
      <c r="I227" s="1273" t="s">
        <v>32</v>
      </c>
      <c r="J227" s="1273" t="s">
        <v>32</v>
      </c>
      <c r="K227" s="1273" t="s">
        <v>32</v>
      </c>
      <c r="L227" s="1273" t="s">
        <v>32</v>
      </c>
      <c r="M227" s="1273" t="s">
        <v>32</v>
      </c>
      <c r="N227" s="1278"/>
      <c r="O227" s="1278"/>
      <c r="P227" s="1148" t="s">
        <v>32</v>
      </c>
      <c r="Q227" s="1170" t="s">
        <v>32</v>
      </c>
      <c r="R227" s="1170" t="s">
        <v>32</v>
      </c>
      <c r="S227" s="1170" t="s">
        <v>32</v>
      </c>
      <c r="T227" s="1170" t="s">
        <v>32</v>
      </c>
      <c r="U227" s="1278"/>
      <c r="V227" s="1278"/>
      <c r="W227" s="1278" t="s">
        <v>32</v>
      </c>
      <c r="X227" s="1273" t="s">
        <v>32</v>
      </c>
      <c r="Y227" s="1278" t="s">
        <v>32</v>
      </c>
      <c r="Z227" s="1285" t="s">
        <v>346</v>
      </c>
      <c r="AA227" s="1269" t="s">
        <v>32</v>
      </c>
      <c r="AB227" s="1269"/>
      <c r="AC227" s="1269"/>
      <c r="AD227" s="1269" t="s">
        <v>32</v>
      </c>
      <c r="AE227" s="1273" t="s">
        <v>32</v>
      </c>
      <c r="AF227" s="1278" t="s">
        <v>32</v>
      </c>
      <c r="AG227" s="1151"/>
      <c r="AH227" s="178"/>
      <c r="AI227" s="107"/>
    </row>
    <row r="228" spans="1:35" ht="22.35" customHeight="1">
      <c r="A228" s="1144"/>
      <c r="B228" s="1284" t="s">
        <v>297</v>
      </c>
      <c r="C228" s="1269" t="s">
        <v>32</v>
      </c>
      <c r="D228" s="1269" t="s">
        <v>32</v>
      </c>
      <c r="E228" s="1269" t="s">
        <v>32</v>
      </c>
      <c r="F228" s="1269" t="s">
        <v>32</v>
      </c>
      <c r="G228" s="1269"/>
      <c r="H228" s="1269"/>
      <c r="I228" s="1269" t="s">
        <v>32</v>
      </c>
      <c r="J228" s="1269" t="s">
        <v>32</v>
      </c>
      <c r="K228" s="1269" t="s">
        <v>32</v>
      </c>
      <c r="L228" s="1269" t="s">
        <v>32</v>
      </c>
      <c r="M228" s="1269" t="s">
        <v>32</v>
      </c>
      <c r="N228" s="1269"/>
      <c r="O228" s="1269"/>
      <c r="P228" s="1269" t="s">
        <v>32</v>
      </c>
      <c r="Q228" s="1269" t="s">
        <v>32</v>
      </c>
      <c r="R228" s="1269" t="s">
        <v>32</v>
      </c>
      <c r="S228" s="1269" t="s">
        <v>32</v>
      </c>
      <c r="T228" s="1269" t="s">
        <v>32</v>
      </c>
      <c r="U228" s="1269"/>
      <c r="V228" s="1269"/>
      <c r="W228" s="1269" t="s">
        <v>32</v>
      </c>
      <c r="X228" s="1269" t="s">
        <v>32</v>
      </c>
      <c r="Y228" s="1269" t="s">
        <v>32</v>
      </c>
      <c r="Z228" s="1269" t="s">
        <v>32</v>
      </c>
      <c r="AA228" s="1269" t="s">
        <v>32</v>
      </c>
      <c r="AB228" s="1269"/>
      <c r="AC228" s="1269"/>
      <c r="AD228" s="1148" t="s">
        <v>32</v>
      </c>
      <c r="AE228" s="1148" t="s">
        <v>32</v>
      </c>
      <c r="AF228" s="1148" t="s">
        <v>32</v>
      </c>
      <c r="AG228" s="1464"/>
      <c r="AH228" s="178"/>
      <c r="AI228" s="107"/>
    </row>
    <row r="229" spans="1:35" ht="22.35" customHeight="1">
      <c r="A229" s="1269"/>
      <c r="B229" s="1157"/>
      <c r="C229" s="1273"/>
      <c r="D229" s="1273"/>
      <c r="E229" s="1273"/>
      <c r="F229" s="1273"/>
      <c r="G229" s="1273"/>
      <c r="H229" s="1273"/>
      <c r="I229" s="1273"/>
      <c r="J229" s="1273"/>
      <c r="K229" s="1273"/>
      <c r="L229" s="1273"/>
      <c r="M229" s="1273"/>
      <c r="N229" s="1273"/>
      <c r="O229" s="1273"/>
      <c r="P229" s="1273"/>
      <c r="Q229" s="1273"/>
      <c r="R229" s="1273"/>
      <c r="S229" s="1273"/>
      <c r="T229" s="1273"/>
      <c r="U229" s="1273"/>
      <c r="V229" s="1273"/>
      <c r="W229" s="1273"/>
      <c r="X229" s="1273"/>
      <c r="Y229" s="1273"/>
      <c r="Z229" s="1273"/>
      <c r="AA229" s="1273"/>
      <c r="AB229" s="1273"/>
      <c r="AC229" s="1273"/>
      <c r="AD229" s="1273"/>
      <c r="AE229" s="1273"/>
      <c r="AF229" s="1273"/>
      <c r="AG229" s="1143"/>
      <c r="AH229" s="178"/>
      <c r="AI229" s="107"/>
    </row>
    <row r="230" spans="1:35" ht="22.35" customHeight="1">
      <c r="A230" s="1269"/>
      <c r="B230" s="1284"/>
      <c r="C230" s="1273"/>
      <c r="D230" s="1273"/>
      <c r="E230" s="1273"/>
      <c r="F230" s="1273"/>
      <c r="G230" s="1273"/>
      <c r="H230" s="1273"/>
      <c r="I230" s="1273"/>
      <c r="J230" s="1273"/>
      <c r="K230" s="1273"/>
      <c r="L230" s="1273"/>
      <c r="M230" s="1273"/>
      <c r="N230" s="1278"/>
      <c r="O230" s="1278"/>
      <c r="P230" s="1278"/>
      <c r="Q230" s="1274"/>
      <c r="R230" s="1278"/>
      <c r="S230" s="1273"/>
      <c r="T230" s="1273"/>
      <c r="U230" s="1278"/>
      <c r="V230" s="1278"/>
      <c r="W230" s="1278"/>
      <c r="X230" s="1273"/>
      <c r="Y230" s="1278"/>
      <c r="Z230" s="1273"/>
      <c r="AA230" s="1273"/>
      <c r="AB230" s="1273"/>
      <c r="AC230" s="1273"/>
      <c r="AD230" s="1273"/>
      <c r="AE230" s="1273"/>
      <c r="AF230" s="1278"/>
      <c r="AG230" s="1158"/>
      <c r="AH230" s="178"/>
      <c r="AI230" s="107"/>
    </row>
    <row r="231" spans="1:35" ht="22.35" customHeight="1">
      <c r="A231" s="1269"/>
      <c r="B231" s="1269"/>
      <c r="C231" s="1273"/>
      <c r="D231" s="1273"/>
      <c r="E231" s="1273"/>
      <c r="F231" s="1273"/>
      <c r="G231" s="1273"/>
      <c r="H231" s="1273"/>
      <c r="I231" s="1273"/>
      <c r="J231" s="1273"/>
      <c r="K231" s="1273"/>
      <c r="L231" s="1273"/>
      <c r="M231" s="1273"/>
      <c r="N231" s="1273"/>
      <c r="O231" s="1273"/>
      <c r="P231" s="1273"/>
      <c r="Q231" s="1273"/>
      <c r="R231" s="1273"/>
      <c r="S231" s="1273"/>
      <c r="T231" s="1273"/>
      <c r="U231" s="1273"/>
      <c r="V231" s="1273"/>
      <c r="W231" s="1273"/>
      <c r="X231" s="1273"/>
      <c r="Y231" s="1273"/>
      <c r="Z231" s="1273"/>
      <c r="AA231" s="1273"/>
      <c r="AB231" s="1273"/>
      <c r="AC231" s="1273"/>
      <c r="AD231" s="1273"/>
      <c r="AE231" s="1273"/>
      <c r="AF231" s="1273"/>
      <c r="AG231" s="1143"/>
      <c r="AH231" s="178"/>
      <c r="AI231" s="107"/>
    </row>
    <row r="232" spans="1:35" ht="22.35" customHeight="1">
      <c r="A232" s="1269"/>
      <c r="B232" s="1269"/>
      <c r="C232" s="1273"/>
      <c r="D232" s="1273"/>
      <c r="E232" s="1273"/>
      <c r="F232" s="1273"/>
      <c r="G232" s="1273"/>
      <c r="H232" s="1159"/>
      <c r="I232" s="1273"/>
      <c r="J232" s="1273"/>
      <c r="K232" s="1273"/>
      <c r="L232" s="1273"/>
      <c r="M232" s="1273"/>
      <c r="N232" s="1273"/>
      <c r="O232" s="1273"/>
      <c r="P232" s="1273"/>
      <c r="Q232" s="1273"/>
      <c r="R232" s="1273"/>
      <c r="S232" s="1273"/>
      <c r="T232" s="1273"/>
      <c r="U232" s="1273"/>
      <c r="V232" s="1273"/>
      <c r="W232" s="1273"/>
      <c r="X232" s="1273"/>
      <c r="Y232" s="1273"/>
      <c r="Z232" s="1273"/>
      <c r="AA232" s="1273"/>
      <c r="AB232" s="1273"/>
      <c r="AC232" s="1273"/>
      <c r="AD232" s="1273"/>
      <c r="AE232" s="1273"/>
      <c r="AF232" s="1273"/>
      <c r="AG232" s="1158"/>
      <c r="AH232" s="178"/>
      <c r="AI232" s="107"/>
    </row>
    <row r="233" spans="1:35" ht="22.35" customHeight="1">
      <c r="A233" s="1144"/>
      <c r="B233" s="1160"/>
      <c r="C233" s="1273"/>
      <c r="D233" s="1273"/>
      <c r="E233" s="1273"/>
      <c r="F233" s="1273"/>
      <c r="G233" s="1273"/>
      <c r="H233" s="1273"/>
      <c r="I233" s="1273"/>
      <c r="J233" s="1273"/>
      <c r="K233" s="1273"/>
      <c r="L233" s="1273"/>
      <c r="M233" s="1273"/>
      <c r="N233" s="1273"/>
      <c r="O233" s="1273"/>
      <c r="P233" s="1273"/>
      <c r="Q233" s="1273"/>
      <c r="R233" s="1273"/>
      <c r="S233" s="1273"/>
      <c r="T233" s="1273"/>
      <c r="U233" s="1273"/>
      <c r="V233" s="1273"/>
      <c r="W233" s="1273"/>
      <c r="X233" s="1273"/>
      <c r="Y233" s="1273"/>
      <c r="Z233" s="1273"/>
      <c r="AA233" s="1273"/>
      <c r="AB233" s="1273"/>
      <c r="AC233" s="1273"/>
      <c r="AD233" s="1273"/>
      <c r="AE233" s="1273"/>
      <c r="AF233" s="1273"/>
      <c r="AG233" s="1158"/>
      <c r="AH233" s="178"/>
      <c r="AI233" s="107"/>
    </row>
    <row r="234" spans="1:35" ht="22.35" customHeight="1">
      <c r="A234" s="1144"/>
      <c r="B234" s="1161"/>
      <c r="C234" s="1273"/>
      <c r="D234" s="1273"/>
      <c r="E234" s="1273"/>
      <c r="F234" s="1273"/>
      <c r="G234" s="1273"/>
      <c r="H234" s="1273"/>
      <c r="I234" s="1273"/>
      <c r="J234" s="1273"/>
      <c r="K234" s="1273"/>
      <c r="L234" s="1273"/>
      <c r="M234" s="1273"/>
      <c r="N234" s="1273"/>
      <c r="O234" s="1273"/>
      <c r="P234" s="1273"/>
      <c r="Q234" s="1273"/>
      <c r="R234" s="1273"/>
      <c r="S234" s="1273"/>
      <c r="T234" s="1273"/>
      <c r="U234" s="1273"/>
      <c r="V234" s="1273"/>
      <c r="W234" s="1273"/>
      <c r="X234" s="1273"/>
      <c r="Y234" s="1273"/>
      <c r="Z234" s="1273"/>
      <c r="AA234" s="1273"/>
      <c r="AB234" s="1273"/>
      <c r="AC234" s="1273"/>
      <c r="AD234" s="1273"/>
      <c r="AE234" s="1273"/>
      <c r="AF234" s="1273"/>
      <c r="AG234" s="1158"/>
      <c r="AH234" s="178"/>
      <c r="AI234" s="107"/>
    </row>
    <row r="235" spans="1:35" ht="22.35" customHeight="1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>
      <c r="A239" s="161" t="s">
        <v>298</v>
      </c>
    </row>
    <row r="240" spans="1:35" ht="21" customHeight="1">
      <c r="B240" s="396" t="s">
        <v>266</v>
      </c>
      <c r="C240" s="368"/>
      <c r="D240" s="384" t="s">
        <v>94</v>
      </c>
      <c r="E240" s="357"/>
      <c r="F240" s="372"/>
      <c r="G240" s="368"/>
      <c r="H240" s="384" t="s">
        <v>95</v>
      </c>
      <c r="I240" s="357"/>
      <c r="J240" s="372"/>
      <c r="K240" s="368"/>
      <c r="L240" s="384" t="s">
        <v>96</v>
      </c>
      <c r="M240" s="357"/>
      <c r="N240" s="372"/>
      <c r="O240" s="368"/>
      <c r="P240" s="384" t="s">
        <v>97</v>
      </c>
      <c r="Q240" s="357"/>
      <c r="R240" s="372"/>
      <c r="S240" s="368"/>
      <c r="T240" s="384" t="s">
        <v>98</v>
      </c>
      <c r="U240" s="357"/>
      <c r="V240" s="372"/>
      <c r="W240" s="368"/>
      <c r="X240" s="384" t="s">
        <v>99</v>
      </c>
      <c r="Y240" s="357"/>
      <c r="Z240" s="372"/>
      <c r="AA240" s="368"/>
      <c r="AB240" s="384" t="s">
        <v>100</v>
      </c>
      <c r="AC240" s="357"/>
      <c r="AD240" s="357"/>
      <c r="AE240" s="387" t="s">
        <v>101</v>
      </c>
      <c r="AF240" s="357"/>
      <c r="AG240" s="357"/>
      <c r="AH240" s="357"/>
      <c r="AI240" s="358"/>
    </row>
    <row r="241" spans="1:35" ht="21" customHeight="1">
      <c r="B241" s="3"/>
      <c r="C241" s="537" t="s">
        <v>299</v>
      </c>
      <c r="D241" s="117"/>
      <c r="E241" s="533"/>
      <c r="F241" s="534"/>
      <c r="G241" s="537" t="s">
        <v>299</v>
      </c>
      <c r="H241" s="117"/>
      <c r="I241" s="533"/>
      <c r="J241" s="534"/>
      <c r="K241" s="537" t="s">
        <v>299</v>
      </c>
      <c r="L241" s="117"/>
      <c r="M241" s="533"/>
      <c r="N241" s="534"/>
      <c r="O241" s="537" t="s">
        <v>299</v>
      </c>
      <c r="P241" s="532"/>
      <c r="Q241" s="533"/>
      <c r="R241" s="534"/>
      <c r="S241" s="538" t="s">
        <v>300</v>
      </c>
      <c r="T241" s="117"/>
      <c r="U241" s="533"/>
      <c r="V241" s="534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>
      <c r="A242" s="110"/>
      <c r="B242" s="1162"/>
      <c r="C242" s="1163" t="s">
        <v>178</v>
      </c>
      <c r="D242" s="1164"/>
      <c r="E242" s="533"/>
      <c r="F242" s="534"/>
      <c r="G242" s="1163" t="s">
        <v>178</v>
      </c>
      <c r="H242" s="117"/>
      <c r="I242" s="533"/>
      <c r="J242" s="534"/>
      <c r="K242" s="1163" t="s">
        <v>178</v>
      </c>
      <c r="L242" s="117"/>
      <c r="M242" s="533"/>
      <c r="N242" s="534"/>
      <c r="O242" s="1163" t="s">
        <v>178</v>
      </c>
      <c r="P242" s="117"/>
      <c r="Q242" s="533"/>
      <c r="R242" s="534"/>
      <c r="S242" s="537" t="s">
        <v>301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B243" s="1162"/>
      <c r="C243" s="1163" t="s">
        <v>181</v>
      </c>
      <c r="D243" s="1164"/>
      <c r="E243" s="533"/>
      <c r="F243" s="534"/>
      <c r="G243" s="1163" t="s">
        <v>181</v>
      </c>
      <c r="H243" s="117"/>
      <c r="I243" s="533"/>
      <c r="J243" s="534"/>
      <c r="K243" s="1163" t="s">
        <v>181</v>
      </c>
      <c r="L243" s="117"/>
      <c r="M243" s="533"/>
      <c r="N243" s="534"/>
      <c r="O243" s="1163" t="s">
        <v>181</v>
      </c>
      <c r="P243" s="117"/>
      <c r="Q243" s="533"/>
      <c r="R243" s="534"/>
      <c r="S243" s="1163" t="s">
        <v>176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1162"/>
      <c r="C244" s="1344"/>
      <c r="D244" s="1345"/>
      <c r="E244" s="165"/>
      <c r="F244" s="167"/>
      <c r="G244" s="1344"/>
      <c r="H244" s="1345"/>
      <c r="I244" s="165"/>
      <c r="J244" s="167"/>
      <c r="K244" s="1344"/>
      <c r="L244" s="1345"/>
      <c r="M244" s="165"/>
      <c r="N244" s="167"/>
      <c r="O244" s="1344"/>
      <c r="P244" s="1345"/>
      <c r="Q244" s="165"/>
      <c r="R244" s="167"/>
      <c r="S244" s="1344"/>
      <c r="T244" s="1345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1162"/>
      <c r="C245" s="1165"/>
      <c r="D245" s="1345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1162" t="s">
        <v>148</v>
      </c>
      <c r="C246" s="1165" t="s">
        <v>302</v>
      </c>
      <c r="D246" s="1164"/>
      <c r="E246" s="533"/>
      <c r="F246" s="534"/>
      <c r="G246" s="1165" t="s">
        <v>302</v>
      </c>
      <c r="H246" s="1164"/>
      <c r="I246" s="533"/>
      <c r="J246" s="534"/>
      <c r="K246" s="1165" t="s">
        <v>302</v>
      </c>
      <c r="L246" s="1164"/>
      <c r="M246" s="533"/>
      <c r="N246" s="534"/>
      <c r="O246" s="1165" t="s">
        <v>302</v>
      </c>
      <c r="P246" s="1164"/>
      <c r="Q246" s="533"/>
      <c r="R246" s="534"/>
      <c r="S246" s="117" t="s">
        <v>303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1162" t="s">
        <v>152</v>
      </c>
      <c r="C247" s="1165" t="s">
        <v>304</v>
      </c>
      <c r="D247" s="1164"/>
      <c r="E247" s="533"/>
      <c r="F247" s="534"/>
      <c r="G247" s="1165" t="s">
        <v>304</v>
      </c>
      <c r="H247" s="1164"/>
      <c r="I247" s="533"/>
      <c r="J247" s="534"/>
      <c r="K247" s="1165" t="s">
        <v>304</v>
      </c>
      <c r="L247" s="1164"/>
      <c r="M247" s="533"/>
      <c r="N247" s="534"/>
      <c r="O247" s="1165" t="s">
        <v>304</v>
      </c>
      <c r="P247" s="1164"/>
      <c r="Q247" s="533"/>
      <c r="R247" s="534"/>
      <c r="S247" s="117" t="s">
        <v>305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>
      <c r="B248" s="1166" t="s">
        <v>159</v>
      </c>
      <c r="C248" s="1167" t="s">
        <v>306</v>
      </c>
      <c r="D248" s="1168"/>
      <c r="E248" s="535"/>
      <c r="F248" s="536"/>
      <c r="G248" s="1167" t="s">
        <v>306</v>
      </c>
      <c r="H248" s="1168"/>
      <c r="I248" s="535"/>
      <c r="J248" s="536"/>
      <c r="K248" s="1167" t="s">
        <v>306</v>
      </c>
      <c r="L248" s="1168"/>
      <c r="M248" s="535"/>
      <c r="N248" s="536"/>
      <c r="O248" s="1167" t="s">
        <v>306</v>
      </c>
      <c r="P248" s="1168"/>
      <c r="Q248" s="535"/>
      <c r="R248" s="536"/>
      <c r="S248" s="456" t="s">
        <v>307</v>
      </c>
      <c r="T248" s="456"/>
      <c r="U248" s="535"/>
      <c r="V248" s="536"/>
      <c r="W248" s="517"/>
      <c r="X248" s="456"/>
      <c r="Y248" s="518"/>
      <c r="Z248" s="519"/>
      <c r="AA248" s="520"/>
      <c r="AB248" s="456"/>
      <c r="AC248" s="518"/>
      <c r="AD248" s="518"/>
      <c r="AE248" s="521"/>
      <c r="AF248" s="518"/>
      <c r="AG248" s="516"/>
      <c r="AH248" s="516"/>
      <c r="AI248" s="453"/>
    </row>
    <row r="249" spans="1:35" ht="21" customHeight="1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>
      <c r="A250" s="123" t="s">
        <v>308</v>
      </c>
    </row>
    <row r="251" spans="1:35" ht="21" customHeight="1" thickBot="1">
      <c r="A251" s="1385"/>
      <c r="B251" s="1239" t="s">
        <v>29</v>
      </c>
      <c r="C251" s="1240">
        <v>1</v>
      </c>
      <c r="D251" s="1240">
        <v>2</v>
      </c>
      <c r="E251" s="1240">
        <v>3</v>
      </c>
      <c r="F251" s="1240">
        <v>4</v>
      </c>
      <c r="G251" s="1241">
        <v>5</v>
      </c>
      <c r="H251" s="1241">
        <v>6</v>
      </c>
      <c r="I251" s="1240">
        <v>7</v>
      </c>
      <c r="J251" s="1240">
        <v>8</v>
      </c>
      <c r="K251" s="1240">
        <v>9</v>
      </c>
      <c r="L251" s="1240">
        <v>10</v>
      </c>
      <c r="M251" s="1240">
        <v>11</v>
      </c>
      <c r="N251" s="1241">
        <v>12</v>
      </c>
      <c r="O251" s="1241">
        <v>13</v>
      </c>
      <c r="P251" s="1240">
        <v>14</v>
      </c>
      <c r="Q251" s="1240">
        <v>15</v>
      </c>
      <c r="R251" s="1240">
        <v>16</v>
      </c>
      <c r="S251" s="1240">
        <v>17</v>
      </c>
      <c r="T251" s="1240">
        <v>18</v>
      </c>
      <c r="U251" s="1241">
        <v>19</v>
      </c>
      <c r="V251" s="1241">
        <v>20</v>
      </c>
      <c r="W251" s="1240">
        <v>21</v>
      </c>
      <c r="X251" s="1240">
        <v>22</v>
      </c>
      <c r="Y251" s="1240">
        <v>23</v>
      </c>
      <c r="Z251" s="1240">
        <v>24</v>
      </c>
      <c r="AA251" s="1240">
        <v>25</v>
      </c>
      <c r="AB251" s="1241">
        <v>26</v>
      </c>
      <c r="AC251" s="1241">
        <v>27</v>
      </c>
      <c r="AD251" s="1240">
        <v>28</v>
      </c>
      <c r="AE251" s="1240">
        <v>29</v>
      </c>
      <c r="AF251" s="1240">
        <v>30</v>
      </c>
      <c r="AG251" s="1242"/>
      <c r="AH251" s="176"/>
      <c r="AI251" s="177"/>
    </row>
    <row r="252" spans="1:35" ht="21" customHeight="1">
      <c r="A252" s="1169">
        <v>3702</v>
      </c>
      <c r="B252" s="175" t="s">
        <v>309</v>
      </c>
      <c r="C252" s="1285" t="s">
        <v>32</v>
      </c>
      <c r="D252" s="1285" t="s">
        <v>32</v>
      </c>
      <c r="E252" s="1285" t="s">
        <v>32</v>
      </c>
      <c r="F252" s="1285" t="s">
        <v>278</v>
      </c>
      <c r="G252" s="1273"/>
      <c r="H252" s="1273"/>
      <c r="I252" s="1273" t="s">
        <v>32</v>
      </c>
      <c r="J252" s="1273" t="s">
        <v>32</v>
      </c>
      <c r="K252" s="1273" t="s">
        <v>32</v>
      </c>
      <c r="L252" s="1273" t="s">
        <v>32</v>
      </c>
      <c r="M252" s="1273" t="s">
        <v>32</v>
      </c>
      <c r="N252" s="1278"/>
      <c r="O252" s="1278"/>
      <c r="P252" s="1278" t="s">
        <v>32</v>
      </c>
      <c r="Q252" s="1274" t="s">
        <v>32</v>
      </c>
      <c r="R252" s="1278" t="s">
        <v>32</v>
      </c>
      <c r="S252" s="1273" t="s">
        <v>32</v>
      </c>
      <c r="T252" s="1273" t="s">
        <v>32</v>
      </c>
      <c r="U252" s="1278"/>
      <c r="V252" s="1278"/>
      <c r="W252" s="1278" t="s">
        <v>32</v>
      </c>
      <c r="X252" s="1273" t="s">
        <v>32</v>
      </c>
      <c r="Y252" s="1278" t="s">
        <v>32</v>
      </c>
      <c r="Z252" s="1278" t="s">
        <v>32</v>
      </c>
      <c r="AA252" s="1278" t="s">
        <v>32</v>
      </c>
      <c r="AB252" s="1273"/>
      <c r="AC252" s="1273"/>
      <c r="AD252" s="1273" t="s">
        <v>32</v>
      </c>
      <c r="AE252" s="1273" t="s">
        <v>32</v>
      </c>
      <c r="AF252" s="1273" t="s">
        <v>32</v>
      </c>
      <c r="AG252" s="362"/>
      <c r="AH252" s="181"/>
      <c r="AI252" s="182"/>
    </row>
    <row r="253" spans="1:35" ht="21" customHeight="1">
      <c r="A253" s="1247"/>
      <c r="B253" s="1171" t="s">
        <v>310</v>
      </c>
      <c r="C253" s="1273" t="s">
        <v>32</v>
      </c>
      <c r="D253" s="1273" t="s">
        <v>32</v>
      </c>
      <c r="E253" s="1273" t="s">
        <v>32</v>
      </c>
      <c r="F253" s="1273" t="s">
        <v>32</v>
      </c>
      <c r="G253" s="1273"/>
      <c r="H253" s="1273"/>
      <c r="I253" s="1273" t="s">
        <v>32</v>
      </c>
      <c r="J253" s="1273" t="s">
        <v>32</v>
      </c>
      <c r="K253" s="1273" t="s">
        <v>32</v>
      </c>
      <c r="L253" s="1273" t="s">
        <v>32</v>
      </c>
      <c r="M253" s="1273" t="s">
        <v>32</v>
      </c>
      <c r="N253" s="1278"/>
      <c r="O253" s="1278"/>
      <c r="P253" s="1278" t="s">
        <v>32</v>
      </c>
      <c r="Q253" s="1274" t="s">
        <v>32</v>
      </c>
      <c r="R253" s="1278" t="s">
        <v>32</v>
      </c>
      <c r="S253" s="1273" t="s">
        <v>32</v>
      </c>
      <c r="T253" s="1273" t="s">
        <v>32</v>
      </c>
      <c r="U253" s="1278"/>
      <c r="V253" s="1278"/>
      <c r="W253" s="1278" t="s">
        <v>32</v>
      </c>
      <c r="X253" s="1273" t="s">
        <v>32</v>
      </c>
      <c r="Y253" s="1278" t="s">
        <v>32</v>
      </c>
      <c r="Z253" s="1278" t="s">
        <v>32</v>
      </c>
      <c r="AA253" s="1278" t="s">
        <v>32</v>
      </c>
      <c r="AB253" s="1273"/>
      <c r="AC253" s="1273"/>
      <c r="AD253" s="1273" t="s">
        <v>32</v>
      </c>
      <c r="AE253" s="1273" t="s">
        <v>32</v>
      </c>
      <c r="AF253" s="1273" t="s">
        <v>32</v>
      </c>
      <c r="AG253" s="1326"/>
      <c r="AH253" s="181"/>
      <c r="AI253" s="182"/>
    </row>
    <row r="254" spans="1:35" ht="21" customHeight="1">
      <c r="A254" s="1172"/>
      <c r="B254" s="1171" t="s">
        <v>311</v>
      </c>
      <c r="C254" s="1273" t="s">
        <v>32</v>
      </c>
      <c r="D254" s="1273" t="s">
        <v>32</v>
      </c>
      <c r="E254" s="1273" t="s">
        <v>32</v>
      </c>
      <c r="F254" s="1273" t="s">
        <v>32</v>
      </c>
      <c r="G254" s="1273"/>
      <c r="H254" s="1273"/>
      <c r="I254" s="1273" t="s">
        <v>32</v>
      </c>
      <c r="J254" s="1273" t="s">
        <v>32</v>
      </c>
      <c r="K254" s="1273" t="s">
        <v>32</v>
      </c>
      <c r="L254" s="1273" t="s">
        <v>32</v>
      </c>
      <c r="M254" s="1273" t="s">
        <v>32</v>
      </c>
      <c r="N254" s="1278"/>
      <c r="O254" s="1278"/>
      <c r="P254" s="1278" t="s">
        <v>32</v>
      </c>
      <c r="Q254" s="1274" t="s">
        <v>32</v>
      </c>
      <c r="R254" s="1278" t="s">
        <v>32</v>
      </c>
      <c r="S254" s="1273" t="s">
        <v>32</v>
      </c>
      <c r="T254" s="1273" t="s">
        <v>32</v>
      </c>
      <c r="U254" s="1278"/>
      <c r="V254" s="1278"/>
      <c r="W254" s="1278" t="s">
        <v>32</v>
      </c>
      <c r="X254" s="1273" t="s">
        <v>32</v>
      </c>
      <c r="Y254" s="1278" t="s">
        <v>32</v>
      </c>
      <c r="Z254" s="1278" t="s">
        <v>32</v>
      </c>
      <c r="AA254" s="1278" t="s">
        <v>32</v>
      </c>
      <c r="AB254" s="1273"/>
      <c r="AC254" s="1273"/>
      <c r="AD254" s="1274" t="s">
        <v>32</v>
      </c>
      <c r="AE254" s="1274" t="s">
        <v>32</v>
      </c>
      <c r="AF254" s="1278" t="s">
        <v>32</v>
      </c>
      <c r="AG254" s="1326"/>
      <c r="AH254" s="181"/>
      <c r="AI254" s="182"/>
    </row>
    <row r="255" spans="1:35" ht="21" customHeight="1" thickBot="1">
      <c r="A255" s="1173"/>
      <c r="B255" s="1174"/>
      <c r="C255" s="1240"/>
      <c r="D255" s="1240"/>
      <c r="E255" s="1240"/>
      <c r="F255" s="1240"/>
      <c r="G255" s="1240"/>
      <c r="H255" s="1240"/>
      <c r="I255" s="1240"/>
      <c r="J255" s="1240"/>
      <c r="K255" s="1240"/>
      <c r="L255" s="1240"/>
      <c r="M255" s="1240"/>
      <c r="N255" s="1240"/>
      <c r="O255" s="1240"/>
      <c r="P255" s="1240"/>
      <c r="Q255" s="1240"/>
      <c r="R255" s="1240"/>
      <c r="S255" s="1240"/>
      <c r="T255" s="1240"/>
      <c r="U255" s="1240"/>
      <c r="V255" s="1240"/>
      <c r="W255" s="1240"/>
      <c r="X255" s="1240"/>
      <c r="Y255" s="1240"/>
      <c r="Z255" s="1240"/>
      <c r="AA255" s="1240"/>
      <c r="AB255" s="1240"/>
      <c r="AC255" s="1240"/>
      <c r="AD255" s="1240"/>
      <c r="AE255" s="1240"/>
      <c r="AF255" s="1240"/>
      <c r="AG255" s="1242"/>
      <c r="AH255" s="181"/>
      <c r="AI255" s="182"/>
    </row>
    <row r="256" spans="1:35" ht="21" customHeight="1">
      <c r="A256" s="226"/>
      <c r="B256" s="743" t="s">
        <v>312</v>
      </c>
      <c r="C256" s="744"/>
      <c r="D256" s="744"/>
      <c r="E256" s="744"/>
      <c r="F256" s="744"/>
      <c r="G256" s="744"/>
      <c r="H256" s="744"/>
      <c r="I256" s="744"/>
      <c r="J256" s="744"/>
      <c r="K256" s="744"/>
      <c r="L256" s="744"/>
      <c r="M256" s="744"/>
      <c r="N256" s="744"/>
      <c r="O256" s="744"/>
      <c r="P256" s="744"/>
      <c r="Q256" s="744"/>
      <c r="R256" s="744"/>
      <c r="S256" s="744"/>
      <c r="T256" s="744"/>
      <c r="U256" s="744"/>
      <c r="V256" s="744"/>
      <c r="W256" s="744"/>
      <c r="X256" s="744"/>
      <c r="Y256" s="744"/>
      <c r="Z256" s="744"/>
      <c r="AA256" s="744"/>
      <c r="AB256" s="744"/>
      <c r="AC256" s="744"/>
      <c r="AD256" s="744"/>
      <c r="AE256" s="744"/>
      <c r="AF256" s="744"/>
      <c r="AG256" s="745"/>
      <c r="AH256" s="179"/>
      <c r="AI256" s="180"/>
    </row>
    <row r="257" spans="1:35" ht="21" customHeight="1">
      <c r="A257" s="1169">
        <v>3702</v>
      </c>
      <c r="B257" s="1175" t="s">
        <v>313</v>
      </c>
      <c r="C257" s="1322" t="s">
        <v>314</v>
      </c>
      <c r="D257" s="1322" t="s">
        <v>314</v>
      </c>
      <c r="E257" s="1322" t="s">
        <v>314</v>
      </c>
      <c r="F257" s="1322" t="s">
        <v>314</v>
      </c>
      <c r="G257" s="1322"/>
      <c r="H257" s="1322"/>
      <c r="I257" s="1322" t="s">
        <v>314</v>
      </c>
      <c r="J257" s="1322" t="s">
        <v>314</v>
      </c>
      <c r="K257" s="1322" t="s">
        <v>314</v>
      </c>
      <c r="L257" s="1322" t="s">
        <v>314</v>
      </c>
      <c r="M257" s="1322" t="s">
        <v>314</v>
      </c>
      <c r="N257" s="1322"/>
      <c r="O257" s="1322"/>
      <c r="P257" s="1322" t="s">
        <v>314</v>
      </c>
      <c r="Q257" s="1322" t="s">
        <v>314</v>
      </c>
      <c r="R257" s="1322" t="s">
        <v>314</v>
      </c>
      <c r="S257" s="1322" t="s">
        <v>314</v>
      </c>
      <c r="T257" s="1322" t="s">
        <v>314</v>
      </c>
      <c r="U257" s="1322"/>
      <c r="V257" s="1322"/>
      <c r="W257" s="1322" t="s">
        <v>314</v>
      </c>
      <c r="X257" s="1322" t="s">
        <v>314</v>
      </c>
      <c r="Y257" s="1322" t="s">
        <v>314</v>
      </c>
      <c r="Z257" s="1322" t="s">
        <v>314</v>
      </c>
      <c r="AA257" s="1322" t="s">
        <v>314</v>
      </c>
      <c r="AB257" s="1322"/>
      <c r="AC257" s="1322"/>
      <c r="AD257" s="1322" t="s">
        <v>314</v>
      </c>
      <c r="AE257" s="1322" t="s">
        <v>314</v>
      </c>
      <c r="AF257" s="1322" t="s">
        <v>314</v>
      </c>
      <c r="AG257" s="1466"/>
      <c r="AH257" s="181"/>
      <c r="AI257" s="182"/>
    </row>
    <row r="258" spans="1:35" ht="21" customHeight="1">
      <c r="A258" s="1169"/>
      <c r="B258" s="1132" t="s">
        <v>316</v>
      </c>
      <c r="C258" s="1322" t="s">
        <v>317</v>
      </c>
      <c r="D258" s="1322" t="s">
        <v>317</v>
      </c>
      <c r="E258" s="1322" t="s">
        <v>317</v>
      </c>
      <c r="F258" s="1322" t="s">
        <v>317</v>
      </c>
      <c r="G258" s="1322"/>
      <c r="H258" s="1322"/>
      <c r="I258" s="1322" t="s">
        <v>317</v>
      </c>
      <c r="J258" s="1322" t="s">
        <v>317</v>
      </c>
      <c r="K258" s="1322" t="s">
        <v>317</v>
      </c>
      <c r="L258" s="1322" t="s">
        <v>317</v>
      </c>
      <c r="M258" s="1322" t="s">
        <v>317</v>
      </c>
      <c r="N258" s="1322"/>
      <c r="O258" s="1322"/>
      <c r="P258" s="1322" t="s">
        <v>317</v>
      </c>
      <c r="Q258" s="1322" t="s">
        <v>317</v>
      </c>
      <c r="R258" s="1322" t="s">
        <v>317</v>
      </c>
      <c r="S258" s="1322" t="s">
        <v>317</v>
      </c>
      <c r="T258" s="1322" t="s">
        <v>317</v>
      </c>
      <c r="U258" s="1322"/>
      <c r="V258" s="1322"/>
      <c r="W258" s="1256" t="s">
        <v>317</v>
      </c>
      <c r="X258" s="1256" t="s">
        <v>317</v>
      </c>
      <c r="Y258" s="1256" t="s">
        <v>317</v>
      </c>
      <c r="Z258" s="1256" t="s">
        <v>317</v>
      </c>
      <c r="AA258" s="1253" t="s">
        <v>317</v>
      </c>
      <c r="AB258" s="1322"/>
      <c r="AC258" s="1322"/>
      <c r="AD258" s="1256" t="s">
        <v>317</v>
      </c>
      <c r="AE258" s="1176" t="s">
        <v>317</v>
      </c>
      <c r="AF258" s="1176" t="s">
        <v>317</v>
      </c>
      <c r="AG258" s="1466"/>
      <c r="AH258" s="181"/>
      <c r="AI258" s="182"/>
    </row>
    <row r="259" spans="1:35" ht="21" customHeight="1" thickBot="1">
      <c r="A259" s="1177"/>
      <c r="B259" s="1178" t="s">
        <v>318</v>
      </c>
      <c r="C259" s="1317" t="s">
        <v>319</v>
      </c>
      <c r="D259" s="1317" t="s">
        <v>319</v>
      </c>
      <c r="E259" s="1317" t="s">
        <v>319</v>
      </c>
      <c r="F259" s="1317" t="s">
        <v>319</v>
      </c>
      <c r="G259" s="1317"/>
      <c r="H259" s="1317"/>
      <c r="I259" s="1317" t="s">
        <v>319</v>
      </c>
      <c r="J259" s="1317" t="s">
        <v>319</v>
      </c>
      <c r="K259" s="1317" t="s">
        <v>319</v>
      </c>
      <c r="L259" s="1317" t="s">
        <v>319</v>
      </c>
      <c r="M259" s="1317" t="s">
        <v>319</v>
      </c>
      <c r="N259" s="1317"/>
      <c r="O259" s="1317"/>
      <c r="P259" s="1317" t="s">
        <v>319</v>
      </c>
      <c r="Q259" s="1317" t="s">
        <v>319</v>
      </c>
      <c r="R259" s="1317" t="s">
        <v>319</v>
      </c>
      <c r="S259" s="1317" t="s">
        <v>319</v>
      </c>
      <c r="T259" s="1317" t="s">
        <v>319</v>
      </c>
      <c r="U259" s="1317"/>
      <c r="V259" s="1317"/>
      <c r="W259" s="1317" t="s">
        <v>319</v>
      </c>
      <c r="X259" s="1317" t="s">
        <v>319</v>
      </c>
      <c r="Y259" s="1317" t="s">
        <v>319</v>
      </c>
      <c r="Z259" s="1317" t="s">
        <v>319</v>
      </c>
      <c r="AA259" s="1317" t="s">
        <v>319</v>
      </c>
      <c r="AB259" s="1317"/>
      <c r="AC259" s="1317"/>
      <c r="AD259" s="1333" t="s">
        <v>319</v>
      </c>
      <c r="AE259" s="1333" t="s">
        <v>319</v>
      </c>
      <c r="AF259" s="1333" t="s">
        <v>319</v>
      </c>
      <c r="AG259" s="1467"/>
      <c r="AH259" s="181"/>
      <c r="AI259" s="182"/>
    </row>
    <row r="260" spans="1:35" ht="21" customHeight="1"/>
    <row r="261" spans="1:35" ht="24" customHeight="1"/>
    <row r="262" spans="1:35" ht="25.5" customHeight="1" thickBot="1">
      <c r="A262" s="161" t="s">
        <v>320</v>
      </c>
    </row>
    <row r="263" spans="1:35" ht="21" customHeight="1">
      <c r="A263" s="1"/>
      <c r="B263" s="396" t="s">
        <v>266</v>
      </c>
      <c r="C263" s="368"/>
      <c r="D263" s="384" t="s">
        <v>94</v>
      </c>
      <c r="E263" s="357"/>
      <c r="F263" s="372"/>
      <c r="G263" s="368"/>
      <c r="H263" s="384" t="s">
        <v>95</v>
      </c>
      <c r="I263" s="357"/>
      <c r="J263" s="372"/>
      <c r="K263" s="368"/>
      <c r="L263" s="384" t="s">
        <v>96</v>
      </c>
      <c r="M263" s="357"/>
      <c r="N263" s="372"/>
      <c r="O263" s="368"/>
      <c r="P263" s="384" t="s">
        <v>97</v>
      </c>
      <c r="Q263" s="357"/>
      <c r="R263" s="372"/>
      <c r="S263" s="368"/>
      <c r="T263" s="384" t="s">
        <v>98</v>
      </c>
      <c r="U263" s="357"/>
      <c r="V263" s="372"/>
      <c r="W263" s="368"/>
      <c r="X263" s="384" t="s">
        <v>99</v>
      </c>
      <c r="Y263" s="357"/>
      <c r="Z263" s="372"/>
      <c r="AA263" s="368"/>
      <c r="AB263" s="384" t="s">
        <v>100</v>
      </c>
      <c r="AC263" s="357"/>
      <c r="AD263" s="357"/>
      <c r="AE263" s="387" t="s">
        <v>101</v>
      </c>
      <c r="AF263" s="357"/>
      <c r="AG263" s="357"/>
      <c r="AH263" s="357"/>
      <c r="AI263" s="358"/>
    </row>
    <row r="264" spans="1:35" ht="21" customHeight="1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>
      <c r="A265" s="110"/>
      <c r="B265" s="1162"/>
      <c r="C265" s="1344"/>
      <c r="D265" s="1222"/>
      <c r="E265" s="1222"/>
      <c r="F265" s="1409"/>
      <c r="G265" s="1344"/>
      <c r="H265" s="1222"/>
      <c r="I265" s="1222"/>
      <c r="J265" s="1409"/>
      <c r="K265" s="1344"/>
      <c r="L265" s="1222"/>
      <c r="M265" s="1222"/>
      <c r="N265" s="1409"/>
      <c r="O265" s="1344"/>
      <c r="P265" s="1222"/>
      <c r="Q265" s="1222"/>
      <c r="R265" s="1409"/>
      <c r="S265" s="1344"/>
      <c r="T265" s="1222"/>
      <c r="U265" s="1222"/>
      <c r="V265" s="1409"/>
      <c r="W265" s="1344"/>
      <c r="X265" s="1222"/>
      <c r="Y265" s="1222"/>
      <c r="Z265" s="1409"/>
      <c r="AA265" s="1165"/>
      <c r="AB265" s="1222"/>
      <c r="AC265" s="1222"/>
      <c r="AD265" s="1345"/>
      <c r="AE265" s="1180"/>
      <c r="AF265" s="1222"/>
      <c r="AG265" s="1222"/>
      <c r="AH265" s="1345"/>
      <c r="AI265" s="1231"/>
    </row>
    <row r="266" spans="1:35" ht="21" customHeight="1" thickBot="1">
      <c r="A266" s="1"/>
      <c r="B266" s="1419"/>
      <c r="C266" s="1167"/>
      <c r="D266" s="1298"/>
      <c r="E266" s="1298"/>
      <c r="F266" s="1440"/>
      <c r="G266" s="1167"/>
      <c r="H266" s="1298"/>
      <c r="I266" s="1298"/>
      <c r="J266" s="1440"/>
      <c r="K266" s="1167"/>
      <c r="L266" s="1298"/>
      <c r="M266" s="1298"/>
      <c r="N266" s="1440"/>
      <c r="O266" s="1167"/>
      <c r="P266" s="1298"/>
      <c r="Q266" s="1298"/>
      <c r="R266" s="1440"/>
      <c r="S266" s="1167"/>
      <c r="T266" s="1298"/>
      <c r="U266" s="1298"/>
      <c r="V266" s="1440"/>
      <c r="W266" s="1438"/>
      <c r="X266" s="1298"/>
      <c r="Y266" s="1298"/>
      <c r="Z266" s="1440"/>
      <c r="AA266" s="1438"/>
      <c r="AB266" s="1298"/>
      <c r="AC266" s="1298"/>
      <c r="AD266" s="1426"/>
      <c r="AE266" s="1438"/>
      <c r="AF266" s="1298"/>
      <c r="AG266" s="1298"/>
      <c r="AH266" s="1426"/>
      <c r="AI266" s="1305"/>
    </row>
    <row r="267" spans="1:35" ht="21" customHeight="1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>
      <c r="A269" s="1181" t="s">
        <v>28</v>
      </c>
      <c r="B269" s="1182" t="s">
        <v>29</v>
      </c>
      <c r="C269" s="1240">
        <v>1</v>
      </c>
      <c r="D269" s="1240">
        <v>2</v>
      </c>
      <c r="E269" s="1240">
        <v>3</v>
      </c>
      <c r="F269" s="1240">
        <v>4</v>
      </c>
      <c r="G269" s="1241">
        <v>5</v>
      </c>
      <c r="H269" s="1241">
        <v>6</v>
      </c>
      <c r="I269" s="1240">
        <v>7</v>
      </c>
      <c r="J269" s="1240">
        <v>8</v>
      </c>
      <c r="K269" s="1240">
        <v>9</v>
      </c>
      <c r="L269" s="1240">
        <v>10</v>
      </c>
      <c r="M269" s="1240">
        <v>11</v>
      </c>
      <c r="N269" s="1241">
        <v>12</v>
      </c>
      <c r="O269" s="1241">
        <v>13</v>
      </c>
      <c r="P269" s="1240">
        <v>14</v>
      </c>
      <c r="Q269" s="1240">
        <v>15</v>
      </c>
      <c r="R269" s="1240">
        <v>16</v>
      </c>
      <c r="S269" s="1240">
        <v>17</v>
      </c>
      <c r="T269" s="1240">
        <v>18</v>
      </c>
      <c r="U269" s="1241">
        <v>19</v>
      </c>
      <c r="V269" s="1241">
        <v>20</v>
      </c>
      <c r="W269" s="1240">
        <v>21</v>
      </c>
      <c r="X269" s="1240">
        <v>22</v>
      </c>
      <c r="Y269" s="1240">
        <v>23</v>
      </c>
      <c r="Z269" s="1240">
        <v>24</v>
      </c>
      <c r="AA269" s="1240">
        <v>25</v>
      </c>
      <c r="AB269" s="1241">
        <v>26</v>
      </c>
      <c r="AC269" s="1241">
        <v>27</v>
      </c>
      <c r="AD269" s="1240">
        <v>28</v>
      </c>
      <c r="AE269" s="1240">
        <v>29</v>
      </c>
      <c r="AF269" s="1240">
        <v>30</v>
      </c>
      <c r="AG269" s="1242"/>
      <c r="AH269" s="186"/>
      <c r="AI269" s="177"/>
    </row>
    <row r="270" spans="1:35" ht="21" customHeight="1">
      <c r="A270" s="88"/>
      <c r="B270" s="157" t="s">
        <v>322</v>
      </c>
      <c r="C270" s="1281" t="s">
        <v>32</v>
      </c>
      <c r="D270" s="1281" t="s">
        <v>32</v>
      </c>
      <c r="E270" s="1281" t="s">
        <v>32</v>
      </c>
      <c r="F270" s="1281" t="s">
        <v>32</v>
      </c>
      <c r="G270" s="1273"/>
      <c r="H270" s="1273"/>
      <c r="I270" s="1170" t="s">
        <v>32</v>
      </c>
      <c r="J270" s="1170" t="s">
        <v>32</v>
      </c>
      <c r="K270" s="1170" t="s">
        <v>32</v>
      </c>
      <c r="L270" s="1170" t="s">
        <v>32</v>
      </c>
      <c r="M270" s="1148" t="s">
        <v>32</v>
      </c>
      <c r="N270" s="1148"/>
      <c r="O270" s="1148"/>
      <c r="P270" s="1148" t="s">
        <v>32</v>
      </c>
      <c r="Q270" s="1148" t="s">
        <v>32</v>
      </c>
      <c r="R270" s="1148" t="s">
        <v>32</v>
      </c>
      <c r="S270" s="1148" t="s">
        <v>32</v>
      </c>
      <c r="T270" s="1148" t="s">
        <v>32</v>
      </c>
      <c r="U270" s="1278"/>
      <c r="V270" s="1278"/>
      <c r="W270" s="1278" t="s">
        <v>32</v>
      </c>
      <c r="X270" s="1273" t="s">
        <v>32</v>
      </c>
      <c r="Y270" s="1278" t="s">
        <v>32</v>
      </c>
      <c r="Z270" s="1278" t="s">
        <v>32</v>
      </c>
      <c r="AA270" s="1278" t="s">
        <v>32</v>
      </c>
      <c r="AB270" s="1273"/>
      <c r="AC270" s="1273"/>
      <c r="AD270" s="1273" t="s">
        <v>32</v>
      </c>
      <c r="AE270" s="1273" t="s">
        <v>32</v>
      </c>
      <c r="AF270" s="1273" t="s">
        <v>32</v>
      </c>
      <c r="AG270" s="1273"/>
      <c r="AH270" s="187"/>
      <c r="AI270" s="184"/>
    </row>
    <row r="271" spans="1:35" ht="21" customHeight="1">
      <c r="A271" s="1183"/>
      <c r="B271" s="1184" t="s">
        <v>323</v>
      </c>
      <c r="C271" s="1273" t="s">
        <v>32</v>
      </c>
      <c r="D271" s="1273" t="s">
        <v>32</v>
      </c>
      <c r="E271" s="1273" t="s">
        <v>32</v>
      </c>
      <c r="F271" s="1273" t="s">
        <v>32</v>
      </c>
      <c r="G271" s="1273"/>
      <c r="H271" s="1273"/>
      <c r="I271" s="1273" t="s">
        <v>32</v>
      </c>
      <c r="J271" s="1273" t="s">
        <v>32</v>
      </c>
      <c r="K271" s="1273" t="s">
        <v>32</v>
      </c>
      <c r="L271" s="1273" t="s">
        <v>32</v>
      </c>
      <c r="M271" s="1273" t="s">
        <v>32</v>
      </c>
      <c r="N271" s="1278"/>
      <c r="O271" s="1278"/>
      <c r="P271" s="1278" t="s">
        <v>32</v>
      </c>
      <c r="Q271" s="1274" t="s">
        <v>32</v>
      </c>
      <c r="R271" s="1278" t="s">
        <v>32</v>
      </c>
      <c r="S271" s="1273" t="s">
        <v>32</v>
      </c>
      <c r="T271" s="1273" t="s">
        <v>32</v>
      </c>
      <c r="U271" s="1278"/>
      <c r="V271" s="1278"/>
      <c r="W271" s="1278" t="s">
        <v>32</v>
      </c>
      <c r="X271" s="1273" t="s">
        <v>32</v>
      </c>
      <c r="Y271" s="1278" t="s">
        <v>32</v>
      </c>
      <c r="Z271" s="1278" t="s">
        <v>32</v>
      </c>
      <c r="AA271" s="1278" t="s">
        <v>32</v>
      </c>
      <c r="AB271" s="1273"/>
      <c r="AC271" s="1273"/>
      <c r="AD271" s="1273" t="s">
        <v>32</v>
      </c>
      <c r="AE271" s="1274" t="s">
        <v>32</v>
      </c>
      <c r="AF271" s="1274" t="s">
        <v>32</v>
      </c>
      <c r="AG271" s="1273"/>
      <c r="AH271" s="187"/>
      <c r="AI271" s="184"/>
    </row>
    <row r="272" spans="1:35" ht="21" customHeight="1">
      <c r="A272" s="1169"/>
      <c r="B272" s="1184" t="s">
        <v>324</v>
      </c>
      <c r="C272" s="1273" t="s">
        <v>32</v>
      </c>
      <c r="D272" s="1273" t="s">
        <v>32</v>
      </c>
      <c r="E272" s="1273" t="s">
        <v>32</v>
      </c>
      <c r="F272" s="1273" t="s">
        <v>32</v>
      </c>
      <c r="G272" s="1273"/>
      <c r="H272" s="1273"/>
      <c r="I272" s="1273" t="s">
        <v>32</v>
      </c>
      <c r="J272" s="1273" t="s">
        <v>32</v>
      </c>
      <c r="K272" s="1273" t="s">
        <v>32</v>
      </c>
      <c r="L272" s="1273" t="s">
        <v>32</v>
      </c>
      <c r="M272" s="1273" t="s">
        <v>32</v>
      </c>
      <c r="N272" s="1278"/>
      <c r="O272" s="1278"/>
      <c r="P272" s="1278" t="s">
        <v>32</v>
      </c>
      <c r="Q272" s="1274" t="s">
        <v>32</v>
      </c>
      <c r="R272" s="1278" t="s">
        <v>32</v>
      </c>
      <c r="S272" s="1273" t="s">
        <v>32</v>
      </c>
      <c r="T272" s="1273" t="s">
        <v>32</v>
      </c>
      <c r="U272" s="1278"/>
      <c r="V272" s="1278"/>
      <c r="W272" s="1278" t="s">
        <v>32</v>
      </c>
      <c r="X272" s="1273" t="s">
        <v>32</v>
      </c>
      <c r="Y272" s="1278" t="s">
        <v>32</v>
      </c>
      <c r="Z272" s="1278" t="s">
        <v>32</v>
      </c>
      <c r="AA272" s="1278" t="s">
        <v>32</v>
      </c>
      <c r="AB272" s="1273"/>
      <c r="AC272" s="1273"/>
      <c r="AD272" s="1148" t="s">
        <v>32</v>
      </c>
      <c r="AE272" s="1148" t="s">
        <v>32</v>
      </c>
      <c r="AF272" s="1148" t="s">
        <v>32</v>
      </c>
      <c r="AG272" s="1148"/>
      <c r="AH272" s="187"/>
      <c r="AI272" s="184"/>
    </row>
    <row r="273" spans="1:35" ht="21" customHeight="1">
      <c r="A273" s="1169"/>
      <c r="B273" s="1184" t="s">
        <v>325</v>
      </c>
      <c r="C273" s="1273" t="s">
        <v>32</v>
      </c>
      <c r="D273" s="1273" t="s">
        <v>32</v>
      </c>
      <c r="E273" s="1273" t="s">
        <v>32</v>
      </c>
      <c r="F273" s="1273" t="s">
        <v>32</v>
      </c>
      <c r="G273" s="1273"/>
      <c r="H273" s="1273"/>
      <c r="I273" s="1273" t="s">
        <v>32</v>
      </c>
      <c r="J273" s="1273" t="s">
        <v>32</v>
      </c>
      <c r="K273" s="1273" t="s">
        <v>32</v>
      </c>
      <c r="L273" s="1273" t="s">
        <v>32</v>
      </c>
      <c r="M273" s="1273" t="s">
        <v>32</v>
      </c>
      <c r="N273" s="1278"/>
      <c r="O273" s="1278"/>
      <c r="P273" s="1278" t="s">
        <v>32</v>
      </c>
      <c r="Q273" s="1274" t="s">
        <v>32</v>
      </c>
      <c r="R273" s="1278" t="s">
        <v>32</v>
      </c>
      <c r="S273" s="1273" t="s">
        <v>32</v>
      </c>
      <c r="T273" s="1273" t="s">
        <v>32</v>
      </c>
      <c r="U273" s="1278"/>
      <c r="V273" s="1278"/>
      <c r="W273" s="1149" t="s">
        <v>32</v>
      </c>
      <c r="X273" s="1273" t="s">
        <v>32</v>
      </c>
      <c r="Y273" s="1278" t="s">
        <v>32</v>
      </c>
      <c r="Z273" s="1278" t="s">
        <v>32</v>
      </c>
      <c r="AA273" s="1149" t="s">
        <v>32</v>
      </c>
      <c r="AB273" s="1273"/>
      <c r="AC273" s="1273"/>
      <c r="AD273" s="1273" t="s">
        <v>32</v>
      </c>
      <c r="AE273" s="1273" t="s">
        <v>32</v>
      </c>
      <c r="AF273" s="1149" t="s">
        <v>32</v>
      </c>
      <c r="AG273" s="1273"/>
      <c r="AH273" s="187"/>
      <c r="AI273" s="184"/>
    </row>
    <row r="274" spans="1:35" ht="21" customHeight="1">
      <c r="A274" s="1169"/>
      <c r="B274" s="1184" t="s">
        <v>326</v>
      </c>
      <c r="C274" s="1273" t="s">
        <v>32</v>
      </c>
      <c r="D274" s="1273" t="s">
        <v>32</v>
      </c>
      <c r="E274" s="1273" t="s">
        <v>32</v>
      </c>
      <c r="F274" s="1148" t="s">
        <v>32</v>
      </c>
      <c r="G274" s="1273"/>
      <c r="H274" s="1273"/>
      <c r="I274" s="1273" t="s">
        <v>32</v>
      </c>
      <c r="J274" s="1146" t="s">
        <v>32</v>
      </c>
      <c r="K274" s="1273" t="s">
        <v>32</v>
      </c>
      <c r="L274" s="1273" t="s">
        <v>32</v>
      </c>
      <c r="M274" s="1273" t="s">
        <v>32</v>
      </c>
      <c r="N274" s="1278"/>
      <c r="O274" s="1278"/>
      <c r="P274" s="1278" t="s">
        <v>32</v>
      </c>
      <c r="Q274" s="1274" t="s">
        <v>32</v>
      </c>
      <c r="R274" s="1278" t="s">
        <v>32</v>
      </c>
      <c r="S274" s="1273" t="s">
        <v>32</v>
      </c>
      <c r="T274" s="1273" t="s">
        <v>32</v>
      </c>
      <c r="U274" s="1278"/>
      <c r="V274" s="1278"/>
      <c r="W274" s="1278" t="s">
        <v>32</v>
      </c>
      <c r="X274" s="1273" t="s">
        <v>32</v>
      </c>
      <c r="Y274" s="1278" t="s">
        <v>32</v>
      </c>
      <c r="Z274" s="1278" t="s">
        <v>32</v>
      </c>
      <c r="AA274" s="1146" t="s">
        <v>32</v>
      </c>
      <c r="AB274" s="1273"/>
      <c r="AC274" s="1273"/>
      <c r="AD274" s="1146" t="s">
        <v>32</v>
      </c>
      <c r="AE274" s="1273" t="s">
        <v>32</v>
      </c>
      <c r="AF274" s="1273" t="s">
        <v>32</v>
      </c>
      <c r="AG274" s="1322"/>
      <c r="AH274" s="187"/>
      <c r="AI274" s="184"/>
    </row>
    <row r="275" spans="1:35" ht="21" customHeight="1">
      <c r="A275" s="1169"/>
      <c r="B275" s="1184" t="s">
        <v>327</v>
      </c>
      <c r="C275" s="1273" t="s">
        <v>32</v>
      </c>
      <c r="D275" s="1273" t="s">
        <v>32</v>
      </c>
      <c r="E275" s="1273" t="s">
        <v>32</v>
      </c>
      <c r="F275" s="1273" t="s">
        <v>32</v>
      </c>
      <c r="G275" s="1273"/>
      <c r="H275" s="1273"/>
      <c r="I275" s="1273" t="s">
        <v>32</v>
      </c>
      <c r="J275" s="1273" t="s">
        <v>32</v>
      </c>
      <c r="K275" s="1273" t="s">
        <v>32</v>
      </c>
      <c r="L275" s="1273" t="s">
        <v>32</v>
      </c>
      <c r="M275" s="1273" t="s">
        <v>32</v>
      </c>
      <c r="N275" s="1278"/>
      <c r="O275" s="1278"/>
      <c r="P275" s="1278" t="s">
        <v>32</v>
      </c>
      <c r="Q275" s="1274" t="s">
        <v>32</v>
      </c>
      <c r="R275" s="1278" t="s">
        <v>32</v>
      </c>
      <c r="S275" s="1273" t="s">
        <v>32</v>
      </c>
      <c r="T275" s="1273" t="s">
        <v>32</v>
      </c>
      <c r="U275" s="1278"/>
      <c r="V275" s="1278"/>
      <c r="W275" s="1278" t="s">
        <v>32</v>
      </c>
      <c r="X275" s="1273" t="s">
        <v>32</v>
      </c>
      <c r="Y275" s="1278" t="s">
        <v>32</v>
      </c>
      <c r="Z275" s="1278" t="s">
        <v>32</v>
      </c>
      <c r="AA275" s="1146" t="s">
        <v>32</v>
      </c>
      <c r="AB275" s="1273"/>
      <c r="AC275" s="1273"/>
      <c r="AD275" s="1273" t="s">
        <v>32</v>
      </c>
      <c r="AE275" s="1273" t="s">
        <v>32</v>
      </c>
      <c r="AF275" s="1273" t="s">
        <v>32</v>
      </c>
      <c r="AG275" s="1322"/>
      <c r="AH275" s="187"/>
      <c r="AI275" s="184"/>
    </row>
    <row r="276" spans="1:35" ht="21" customHeight="1">
      <c r="A276" s="1169"/>
      <c r="B276" s="1184" t="s">
        <v>328</v>
      </c>
      <c r="C276" s="1273" t="s">
        <v>32</v>
      </c>
      <c r="D276" s="1273" t="s">
        <v>32</v>
      </c>
      <c r="E276" s="1273" t="s">
        <v>32</v>
      </c>
      <c r="F276" s="1269" t="s">
        <v>32</v>
      </c>
      <c r="G276" s="1273"/>
      <c r="H276" s="1273"/>
      <c r="I276" s="1273" t="s">
        <v>32</v>
      </c>
      <c r="J276" s="1273" t="s">
        <v>32</v>
      </c>
      <c r="K276" s="1273" t="s">
        <v>32</v>
      </c>
      <c r="L276" s="1273" t="s">
        <v>32</v>
      </c>
      <c r="M276" s="1273" t="s">
        <v>32</v>
      </c>
      <c r="N276" s="1278"/>
      <c r="O276" s="1278"/>
      <c r="P276" s="1278" t="s">
        <v>32</v>
      </c>
      <c r="Q276" s="1274" t="s">
        <v>32</v>
      </c>
      <c r="R276" s="1278" t="s">
        <v>32</v>
      </c>
      <c r="S276" s="1273" t="s">
        <v>32</v>
      </c>
      <c r="T276" s="1273" t="s">
        <v>32</v>
      </c>
      <c r="U276" s="1278"/>
      <c r="V276" s="1278"/>
      <c r="W276" s="1278" t="s">
        <v>32</v>
      </c>
      <c r="X276" s="1273" t="s">
        <v>32</v>
      </c>
      <c r="Y276" s="1278" t="s">
        <v>32</v>
      </c>
      <c r="Z276" s="1278" t="s">
        <v>32</v>
      </c>
      <c r="AA276" s="1278" t="s">
        <v>32</v>
      </c>
      <c r="AB276" s="1273"/>
      <c r="AC276" s="1273"/>
      <c r="AD276" s="1273" t="s">
        <v>32</v>
      </c>
      <c r="AE276" s="1273" t="s">
        <v>32</v>
      </c>
      <c r="AF276" s="1273" t="s">
        <v>32</v>
      </c>
      <c r="AG276" s="1322"/>
      <c r="AH276" s="187"/>
      <c r="AI276" s="184"/>
    </row>
    <row r="277" spans="1:35" ht="21" customHeight="1">
      <c r="A277" s="1169"/>
      <c r="B277" s="1184" t="s">
        <v>329</v>
      </c>
      <c r="C277" s="1273" t="s">
        <v>32</v>
      </c>
      <c r="D277" s="1273" t="s">
        <v>32</v>
      </c>
      <c r="E277" s="1273" t="s">
        <v>32</v>
      </c>
      <c r="F277" s="1273" t="s">
        <v>32</v>
      </c>
      <c r="G277" s="1273"/>
      <c r="H277" s="1273"/>
      <c r="I277" s="1273" t="s">
        <v>32</v>
      </c>
      <c r="J277" s="1273" t="s">
        <v>32</v>
      </c>
      <c r="K277" s="1273" t="s">
        <v>32</v>
      </c>
      <c r="L277" s="1273" t="s">
        <v>32</v>
      </c>
      <c r="M277" s="1149" t="s">
        <v>32</v>
      </c>
      <c r="N277" s="1278"/>
      <c r="O277" s="1278"/>
      <c r="P277" s="1278" t="s">
        <v>32</v>
      </c>
      <c r="Q277" s="1274" t="s">
        <v>32</v>
      </c>
      <c r="R277" s="1278" t="s">
        <v>32</v>
      </c>
      <c r="S277" s="1273" t="s">
        <v>32</v>
      </c>
      <c r="T277" s="1273" t="s">
        <v>32</v>
      </c>
      <c r="U277" s="1278"/>
      <c r="V277" s="1278"/>
      <c r="W277" s="1278" t="s">
        <v>32</v>
      </c>
      <c r="X277" s="1273" t="s">
        <v>32</v>
      </c>
      <c r="Y277" s="1278" t="s">
        <v>32</v>
      </c>
      <c r="Z277" s="1278" t="s">
        <v>32</v>
      </c>
      <c r="AA277" s="1278" t="s">
        <v>32</v>
      </c>
      <c r="AB277" s="1273"/>
      <c r="AC277" s="1273"/>
      <c r="AD277" s="1149" t="s">
        <v>32</v>
      </c>
      <c r="AE277" s="1273" t="s">
        <v>32</v>
      </c>
      <c r="AF277" s="1273" t="s">
        <v>32</v>
      </c>
      <c r="AG277" s="1322"/>
      <c r="AH277" s="187"/>
      <c r="AI277" s="184"/>
    </row>
    <row r="278" spans="1:35" ht="21" customHeight="1">
      <c r="A278" s="1169"/>
      <c r="B278" s="1185" t="s">
        <v>330</v>
      </c>
      <c r="C278" s="1273" t="s">
        <v>32</v>
      </c>
      <c r="D278" s="1273" t="s">
        <v>32</v>
      </c>
      <c r="E278" s="1273" t="s">
        <v>32</v>
      </c>
      <c r="F278" s="1273" t="s">
        <v>32</v>
      </c>
      <c r="G278" s="1273"/>
      <c r="H278" s="1273"/>
      <c r="I278" s="1273" t="s">
        <v>32</v>
      </c>
      <c r="J278" s="1273" t="s">
        <v>32</v>
      </c>
      <c r="K278" s="1273" t="s">
        <v>32</v>
      </c>
      <c r="L278" s="1273" t="s">
        <v>32</v>
      </c>
      <c r="M278" s="1273" t="s">
        <v>32</v>
      </c>
      <c r="N278" s="1278"/>
      <c r="O278" s="1278"/>
      <c r="P278" s="1278" t="s">
        <v>32</v>
      </c>
      <c r="Q278" s="1274" t="s">
        <v>32</v>
      </c>
      <c r="R278" s="1278" t="s">
        <v>32</v>
      </c>
      <c r="S278" s="1273" t="s">
        <v>32</v>
      </c>
      <c r="T278" s="1273" t="s">
        <v>32</v>
      </c>
      <c r="U278" s="1278"/>
      <c r="V278" s="1278"/>
      <c r="W278" s="1278" t="s">
        <v>32</v>
      </c>
      <c r="X278" s="1273" t="s">
        <v>32</v>
      </c>
      <c r="Y278" s="1278" t="s">
        <v>32</v>
      </c>
      <c r="Z278" s="1278" t="s">
        <v>32</v>
      </c>
      <c r="AA278" s="1278" t="s">
        <v>32</v>
      </c>
      <c r="AB278" s="1273"/>
      <c r="AC278" s="1273"/>
      <c r="AD278" s="1273" t="s">
        <v>32</v>
      </c>
      <c r="AE278" s="1273" t="s">
        <v>32</v>
      </c>
      <c r="AF278" s="1273" t="s">
        <v>32</v>
      </c>
      <c r="AG278" s="1322"/>
      <c r="AH278" s="187"/>
      <c r="AI278" s="184"/>
    </row>
    <row r="279" spans="1:35" ht="21" customHeight="1">
      <c r="A279" s="1169"/>
      <c r="B279" s="1186" t="s">
        <v>331</v>
      </c>
      <c r="C279" s="1273" t="s">
        <v>32</v>
      </c>
      <c r="D279" s="1273" t="s">
        <v>32</v>
      </c>
      <c r="E279" s="1273" t="s">
        <v>32</v>
      </c>
      <c r="F279" s="1273" t="s">
        <v>32</v>
      </c>
      <c r="G279" s="1273"/>
      <c r="H279" s="1273"/>
      <c r="I279" s="1273" t="s">
        <v>32</v>
      </c>
      <c r="J279" s="1273" t="s">
        <v>32</v>
      </c>
      <c r="K279" s="1273" t="s">
        <v>32</v>
      </c>
      <c r="L279" s="1273" t="s">
        <v>32</v>
      </c>
      <c r="M279" s="1273" t="s">
        <v>32</v>
      </c>
      <c r="N279" s="1278"/>
      <c r="O279" s="1278"/>
      <c r="P279" s="1278" t="s">
        <v>32</v>
      </c>
      <c r="Q279" s="1274" t="s">
        <v>32</v>
      </c>
      <c r="R279" s="1278" t="s">
        <v>32</v>
      </c>
      <c r="S279" s="1273" t="s">
        <v>32</v>
      </c>
      <c r="T279" s="1273" t="s">
        <v>32</v>
      </c>
      <c r="U279" s="1278"/>
      <c r="V279" s="1278"/>
      <c r="W279" s="1278" t="s">
        <v>32</v>
      </c>
      <c r="X279" s="1273" t="s">
        <v>32</v>
      </c>
      <c r="Y279" s="1468" t="s">
        <v>32</v>
      </c>
      <c r="Z279" s="1468" t="s">
        <v>32</v>
      </c>
      <c r="AA279" s="1468" t="s">
        <v>32</v>
      </c>
      <c r="AB279" s="1273"/>
      <c r="AC279" s="1273"/>
      <c r="AD279" s="1273" t="s">
        <v>32</v>
      </c>
      <c r="AE279" s="1278" t="s">
        <v>32</v>
      </c>
      <c r="AF279" s="1278" t="s">
        <v>32</v>
      </c>
      <c r="AG279" s="1322"/>
      <c r="AH279" s="187"/>
      <c r="AI279" s="184"/>
    </row>
    <row r="280" spans="1:35" ht="21" customHeight="1">
      <c r="A280" s="1169"/>
      <c r="B280" s="1284" t="s">
        <v>332</v>
      </c>
      <c r="C280" s="1273" t="s">
        <v>32</v>
      </c>
      <c r="D280" s="1273" t="s">
        <v>32</v>
      </c>
      <c r="E280" s="1273" t="s">
        <v>32</v>
      </c>
      <c r="F280" s="1273" t="s">
        <v>32</v>
      </c>
      <c r="G280" s="1273"/>
      <c r="H280" s="1273"/>
      <c r="I280" s="1273" t="s">
        <v>32</v>
      </c>
      <c r="J280" s="1273" t="s">
        <v>32</v>
      </c>
      <c r="K280" s="1273" t="s">
        <v>32</v>
      </c>
      <c r="L280" s="1273" t="s">
        <v>32</v>
      </c>
      <c r="M280" s="1273" t="s">
        <v>32</v>
      </c>
      <c r="N280" s="1278"/>
      <c r="O280" s="1278"/>
      <c r="P280" s="1278" t="s">
        <v>32</v>
      </c>
      <c r="Q280" s="1274" t="s">
        <v>32</v>
      </c>
      <c r="R280" s="1278" t="s">
        <v>32</v>
      </c>
      <c r="S280" s="1273" t="s">
        <v>32</v>
      </c>
      <c r="T280" s="1273" t="s">
        <v>32</v>
      </c>
      <c r="U280" s="1278"/>
      <c r="V280" s="1278"/>
      <c r="W280" s="1278" t="s">
        <v>32</v>
      </c>
      <c r="X280" s="1273" t="s">
        <v>32</v>
      </c>
      <c r="Y280" s="1278" t="s">
        <v>32</v>
      </c>
      <c r="Z280" s="1278" t="s">
        <v>32</v>
      </c>
      <c r="AA280" s="1278" t="s">
        <v>32</v>
      </c>
      <c r="AB280" s="1273"/>
      <c r="AC280" s="1273"/>
      <c r="AD280" s="1273" t="s">
        <v>32</v>
      </c>
      <c r="AE280" s="1273" t="s">
        <v>32</v>
      </c>
      <c r="AF280" s="1273" t="s">
        <v>32</v>
      </c>
      <c r="AG280" s="1322"/>
      <c r="AH280" s="187"/>
      <c r="AI280" s="184"/>
    </row>
    <row r="281" spans="1:35" ht="21" customHeight="1">
      <c r="A281" s="1169"/>
      <c r="B281" s="1186"/>
      <c r="C281" s="1273"/>
      <c r="D281" s="1187"/>
      <c r="E281" s="1273"/>
      <c r="F281" s="1273"/>
      <c r="G281" s="1273"/>
      <c r="H281" s="1273"/>
      <c r="I281" s="1273"/>
      <c r="J281" s="1273"/>
      <c r="K281" s="1273"/>
      <c r="L281" s="1273"/>
      <c r="M281" s="1273"/>
      <c r="N281" s="1273"/>
      <c r="O281" s="1273"/>
      <c r="P281" s="1273"/>
      <c r="Q281" s="1273"/>
      <c r="R281" s="1273"/>
      <c r="S281" s="1273"/>
      <c r="T281" s="1273"/>
      <c r="U281" s="1273"/>
      <c r="V281" s="1273"/>
      <c r="W281" s="1273"/>
      <c r="X281" s="1273"/>
      <c r="Y281" s="1273"/>
      <c r="Z281" s="1273"/>
      <c r="AA281" s="1273"/>
      <c r="AB281" s="1273"/>
      <c r="AC281" s="1273"/>
      <c r="AD281" s="1273"/>
      <c r="AE281" s="1273"/>
      <c r="AF281" s="1273"/>
      <c r="AG281" s="1322"/>
      <c r="AH281" s="187"/>
      <c r="AI281" s="184"/>
    </row>
    <row r="282" spans="1:35" ht="21" customHeight="1">
      <c r="A282" s="1338"/>
      <c r="B282" s="1186"/>
      <c r="C282" s="1322"/>
      <c r="D282" s="1322"/>
      <c r="E282" s="1322"/>
      <c r="F282" s="1322"/>
      <c r="G282" s="1322"/>
      <c r="H282" s="1322"/>
      <c r="I282" s="1322"/>
      <c r="J282" s="1322"/>
      <c r="K282" s="1322"/>
      <c r="L282" s="1322"/>
      <c r="M282" s="1322"/>
      <c r="N282" s="1252"/>
      <c r="O282" s="1252"/>
      <c r="P282" s="1322"/>
      <c r="Q282" s="1322"/>
      <c r="R282" s="1322"/>
      <c r="S282" s="1322"/>
      <c r="T282" s="1322"/>
      <c r="U282" s="1322"/>
      <c r="V282" s="1322"/>
      <c r="W282" s="1322"/>
      <c r="X282" s="1322"/>
      <c r="Y282" s="1322"/>
      <c r="Z282" s="1322"/>
      <c r="AA282" s="1322"/>
      <c r="AB282" s="1252"/>
      <c r="AC282" s="1252"/>
      <c r="AD282" s="1322"/>
      <c r="AE282" s="1322"/>
      <c r="AF282" s="1322"/>
      <c r="AG282" s="1322"/>
      <c r="AH282" s="187"/>
      <c r="AI282" s="185"/>
    </row>
    <row r="283" spans="1:35" ht="21" customHeight="1" thickBot="1">
      <c r="A283" s="1126"/>
      <c r="B283" s="1188"/>
      <c r="C283" s="1189"/>
      <c r="D283" s="1190"/>
      <c r="E283" s="1190"/>
      <c r="F283" s="1190"/>
      <c r="G283" s="1190"/>
      <c r="H283" s="1190"/>
      <c r="I283" s="1190"/>
      <c r="J283" s="1190"/>
      <c r="K283" s="1190"/>
      <c r="L283" s="1190"/>
      <c r="M283" s="1190"/>
      <c r="N283" s="1191"/>
      <c r="O283" s="1191"/>
      <c r="P283" s="1190"/>
      <c r="Q283" s="1190"/>
      <c r="R283" s="1190"/>
      <c r="S283" s="1190"/>
      <c r="T283" s="1190"/>
      <c r="U283" s="1190"/>
      <c r="V283" s="1190"/>
      <c r="W283" s="1190"/>
      <c r="X283" s="1190"/>
      <c r="Y283" s="1190"/>
      <c r="Z283" s="1190"/>
      <c r="AA283" s="1190"/>
      <c r="AB283" s="1191"/>
      <c r="AC283" s="1191"/>
      <c r="AD283" s="1190"/>
      <c r="AE283" s="1190"/>
      <c r="AF283" s="1190"/>
      <c r="AG283" s="1190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EF6FE-3454-4129-9D20-AEFBB794D7E2}">
  <sheetPr codeName="Ark71"/>
  <dimension ref="A1:AN283"/>
  <sheetViews>
    <sheetView zoomScale="90" zoomScaleNormal="90" workbookViewId="0">
      <pane xSplit="2" ySplit="3" topLeftCell="C228" activePane="bottomRight" state="frozen"/>
      <selection pane="topRight" activeCell="AK175" sqref="AK175"/>
      <selection pane="bottomLeft" activeCell="AK175" sqref="AK175"/>
      <selection pane="bottomRight" activeCell="B122" sqref="B122"/>
    </sheetView>
  </sheetViews>
  <sheetFormatPr defaultColWidth="9.140625" defaultRowHeight="12"/>
  <cols>
    <col min="1" max="1" width="5.7109375" customWidth="1"/>
    <col min="2" max="2" width="27.710937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1192" t="s">
        <v>2</v>
      </c>
      <c r="C2" s="1193" t="s">
        <v>3</v>
      </c>
      <c r="D2" s="1194"/>
      <c r="E2" s="1195" t="s">
        <v>4</v>
      </c>
      <c r="F2" s="1196"/>
      <c r="G2" s="1197"/>
      <c r="H2" s="1197"/>
      <c r="I2" s="1197"/>
      <c r="J2" s="1197"/>
      <c r="K2" s="1198"/>
      <c r="L2" s="1199" t="s">
        <v>5</v>
      </c>
      <c r="M2" s="1200"/>
      <c r="N2" s="1201"/>
      <c r="O2" s="1202" t="s">
        <v>6</v>
      </c>
      <c r="P2" s="1203"/>
      <c r="Q2" s="1204"/>
      <c r="R2" s="1205"/>
      <c r="S2" s="1206" t="s">
        <v>7</v>
      </c>
      <c r="T2" s="1207"/>
      <c r="U2" s="1208"/>
      <c r="V2" s="1207"/>
      <c r="W2" s="1209" t="s">
        <v>8</v>
      </c>
      <c r="X2" s="1210"/>
      <c r="Y2" s="1211"/>
      <c r="Z2" s="163" t="s">
        <v>9</v>
      </c>
      <c r="AA2" s="1212"/>
      <c r="AB2" s="1213"/>
      <c r="AC2" s="1214"/>
      <c r="AD2" s="1215" t="s">
        <v>10</v>
      </c>
      <c r="AE2" s="1216"/>
      <c r="AF2" s="1216"/>
      <c r="AG2" s="1217"/>
    </row>
    <row r="3" spans="1:38" ht="13.35" customHeight="1">
      <c r="A3" s="1"/>
      <c r="B3" s="1218" t="s">
        <v>11</v>
      </c>
      <c r="C3" s="1219" t="s">
        <v>12</v>
      </c>
      <c r="D3" s="1220"/>
      <c r="E3" s="91"/>
      <c r="F3" s="92"/>
      <c r="G3" s="92"/>
      <c r="H3" s="164" t="s">
        <v>13</v>
      </c>
      <c r="I3" s="93"/>
      <c r="J3" s="93"/>
      <c r="K3" s="94"/>
      <c r="L3" s="1221" t="s">
        <v>14</v>
      </c>
      <c r="M3" s="1222"/>
      <c r="N3" s="1223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222"/>
      <c r="AA3" s="1222"/>
      <c r="AB3" s="1224"/>
      <c r="AC3" s="1225"/>
      <c r="AD3" s="1226" t="s">
        <v>17</v>
      </c>
      <c r="AE3" s="1227"/>
      <c r="AF3" s="1227"/>
      <c r="AG3" s="1228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1229" t="s">
        <v>20</v>
      </c>
      <c r="B6" s="1222"/>
      <c r="C6" s="1230"/>
      <c r="D6" s="1229" t="s">
        <v>21</v>
      </c>
      <c r="E6" s="1222"/>
      <c r="F6" s="1222"/>
      <c r="G6" s="1222"/>
      <c r="H6" s="1231"/>
      <c r="I6" s="1222"/>
      <c r="J6" s="1222"/>
      <c r="K6" s="1222"/>
      <c r="L6" s="1232" t="s">
        <v>22</v>
      </c>
      <c r="M6" s="1222"/>
      <c r="N6" s="1222"/>
      <c r="O6" s="1222"/>
      <c r="P6" s="1222"/>
      <c r="Q6" s="1222"/>
      <c r="R6" s="1222"/>
      <c r="S6" s="1230"/>
      <c r="T6" s="1233"/>
      <c r="U6" s="1222"/>
      <c r="V6" s="1222"/>
      <c r="W6" s="1222"/>
      <c r="X6" s="1222"/>
      <c r="Y6" s="1222"/>
      <c r="Z6" s="1222"/>
      <c r="AA6" s="1230"/>
      <c r="AB6" s="1234"/>
      <c r="AC6" s="1235"/>
      <c r="AD6" s="1235"/>
      <c r="AE6" s="1235"/>
      <c r="AF6" s="1235"/>
      <c r="AG6" s="1236"/>
    </row>
    <row r="7" spans="1:38" ht="22.35" customHeight="1">
      <c r="A7" s="1229" t="s">
        <v>23</v>
      </c>
      <c r="B7" s="1222"/>
      <c r="C7" s="1222"/>
      <c r="D7" s="1222"/>
      <c r="E7" s="1222"/>
      <c r="F7" s="1222"/>
      <c r="G7" s="1222"/>
      <c r="H7" s="1222"/>
      <c r="I7" s="1222"/>
      <c r="J7" s="1222"/>
      <c r="K7" s="1230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222"/>
      <c r="V7" s="1222"/>
      <c r="W7" s="1222"/>
      <c r="X7" s="1222"/>
      <c r="Y7" s="1222"/>
      <c r="Z7" s="1222"/>
      <c r="AA7" s="1222"/>
      <c r="AB7" s="1237"/>
      <c r="AC7" s="1222"/>
      <c r="AD7" s="1222"/>
      <c r="AE7" s="1222"/>
      <c r="AF7" s="1222"/>
      <c r="AG7" s="1230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1238" t="s">
        <v>28</v>
      </c>
      <c r="B11" s="1239" t="s">
        <v>29</v>
      </c>
      <c r="C11" s="1240">
        <v>1</v>
      </c>
      <c r="D11" s="1240">
        <v>2</v>
      </c>
      <c r="E11" s="1241">
        <v>3</v>
      </c>
      <c r="F11" s="1241">
        <v>4</v>
      </c>
      <c r="G11" s="1240">
        <v>5</v>
      </c>
      <c r="H11" s="1240">
        <v>6</v>
      </c>
      <c r="I11" s="1240">
        <v>7</v>
      </c>
      <c r="J11" s="1240">
        <v>8</v>
      </c>
      <c r="K11" s="1240">
        <v>9</v>
      </c>
      <c r="L11" s="1241">
        <v>10</v>
      </c>
      <c r="M11" s="1241">
        <v>11</v>
      </c>
      <c r="N11" s="1240">
        <v>12</v>
      </c>
      <c r="O11" s="1240">
        <v>13</v>
      </c>
      <c r="P11" s="1240">
        <v>14</v>
      </c>
      <c r="Q11" s="1240">
        <v>15</v>
      </c>
      <c r="R11" s="1240">
        <v>16</v>
      </c>
      <c r="S11" s="1241">
        <v>17</v>
      </c>
      <c r="T11" s="1241">
        <v>18</v>
      </c>
      <c r="U11" s="1240">
        <v>19</v>
      </c>
      <c r="V11" s="1240">
        <v>20</v>
      </c>
      <c r="W11" s="1240">
        <v>21</v>
      </c>
      <c r="X11" s="1240">
        <v>22</v>
      </c>
      <c r="Y11" s="1240">
        <v>23</v>
      </c>
      <c r="Z11" s="1241">
        <v>24</v>
      </c>
      <c r="AA11" s="1241">
        <v>25</v>
      </c>
      <c r="AB11" s="1240">
        <v>26</v>
      </c>
      <c r="AC11" s="1240">
        <v>27</v>
      </c>
      <c r="AD11" s="1240">
        <v>28</v>
      </c>
      <c r="AE11" s="1240">
        <v>29</v>
      </c>
      <c r="AF11" s="1240">
        <v>30</v>
      </c>
      <c r="AG11" s="1469">
        <v>31</v>
      </c>
      <c r="AH11" s="176"/>
      <c r="AI11" s="177"/>
      <c r="AJ11" s="1243" t="s">
        <v>30</v>
      </c>
    </row>
    <row r="12" spans="1:38" ht="22.35" customHeight="1">
      <c r="A12" s="506">
        <v>8500</v>
      </c>
      <c r="B12" s="389" t="s">
        <v>31</v>
      </c>
      <c r="C12" s="541" t="s">
        <v>32</v>
      </c>
      <c r="D12" s="541" t="s">
        <v>32</v>
      </c>
      <c r="E12" s="541"/>
      <c r="F12" s="541"/>
      <c r="G12" s="541" t="s">
        <v>32</v>
      </c>
      <c r="H12" s="541" t="s">
        <v>32</v>
      </c>
      <c r="I12" s="541" t="s">
        <v>32</v>
      </c>
      <c r="J12" s="541" t="s">
        <v>32</v>
      </c>
      <c r="K12" s="541" t="s">
        <v>32</v>
      </c>
      <c r="L12" s="541"/>
      <c r="M12" s="541"/>
      <c r="N12" s="541" t="s">
        <v>32</v>
      </c>
      <c r="O12" s="541" t="s">
        <v>32</v>
      </c>
      <c r="P12" s="541" t="s">
        <v>32</v>
      </c>
      <c r="Q12" s="541" t="s">
        <v>32</v>
      </c>
      <c r="R12" s="541" t="s">
        <v>32</v>
      </c>
      <c r="S12" s="541"/>
      <c r="T12" s="541"/>
      <c r="U12" s="349" t="s">
        <v>32</v>
      </c>
      <c r="V12" s="349">
        <v>1</v>
      </c>
      <c r="W12" s="349">
        <v>1</v>
      </c>
      <c r="X12" s="349" t="s">
        <v>32</v>
      </c>
      <c r="Y12" s="349" t="s">
        <v>32</v>
      </c>
      <c r="Z12" s="349"/>
      <c r="AA12" s="349"/>
      <c r="AB12" s="349" t="s">
        <v>32</v>
      </c>
      <c r="AC12" s="349" t="s">
        <v>32</v>
      </c>
      <c r="AD12" s="349" t="s">
        <v>32</v>
      </c>
      <c r="AE12" s="349" t="s">
        <v>32</v>
      </c>
      <c r="AF12" s="349" t="s">
        <v>32</v>
      </c>
      <c r="AG12" s="352"/>
      <c r="AH12" s="182"/>
      <c r="AI12" s="182"/>
      <c r="AJ12" s="1243">
        <v>160.33000000000001</v>
      </c>
    </row>
    <row r="13" spans="1:38" ht="22.35" customHeight="1">
      <c r="A13" s="1244" t="s">
        <v>33</v>
      </c>
      <c r="B13" s="1245"/>
      <c r="C13" s="1245"/>
      <c r="D13" s="1245"/>
      <c r="E13" s="1245"/>
      <c r="F13" s="1245"/>
      <c r="G13" s="1245"/>
      <c r="H13" s="1245"/>
      <c r="I13" s="1245"/>
      <c r="J13" s="1245"/>
      <c r="K13" s="1245"/>
      <c r="L13" s="1245"/>
      <c r="M13" s="1245"/>
      <c r="N13" s="1245"/>
      <c r="O13" s="1245"/>
      <c r="P13" s="1245"/>
      <c r="Q13" s="1245"/>
      <c r="R13" s="1245"/>
      <c r="S13" s="1245"/>
      <c r="T13" s="1245"/>
      <c r="U13" s="1245"/>
      <c r="V13" s="1245"/>
      <c r="W13" s="1245"/>
      <c r="X13" s="1245"/>
      <c r="Y13" s="1245"/>
      <c r="Z13" s="1245"/>
      <c r="AA13" s="1245"/>
      <c r="AB13" s="1245"/>
      <c r="AC13" s="1245"/>
      <c r="AD13" s="1245"/>
      <c r="AE13" s="1245"/>
      <c r="AF13" s="1245"/>
      <c r="AG13" s="1246"/>
      <c r="AH13" s="180"/>
      <c r="AI13" s="180"/>
    </row>
    <row r="14" spans="1:38" ht="22.35" customHeight="1">
      <c r="A14" s="1247">
        <v>8546</v>
      </c>
      <c r="B14" s="1248" t="s">
        <v>34</v>
      </c>
      <c r="C14" s="1253">
        <v>1</v>
      </c>
      <c r="D14" s="1253">
        <v>1</v>
      </c>
      <c r="E14" s="1253"/>
      <c r="F14" s="1253"/>
      <c r="G14" s="1249">
        <v>2</v>
      </c>
      <c r="H14" s="1250">
        <v>2</v>
      </c>
      <c r="I14" s="1250">
        <v>2</v>
      </c>
      <c r="J14" s="1250">
        <v>2</v>
      </c>
      <c r="K14" s="1251">
        <v>2</v>
      </c>
      <c r="L14" s="1250" t="s">
        <v>35</v>
      </c>
      <c r="M14" s="1252" t="s">
        <v>35</v>
      </c>
      <c r="N14" s="1249" t="s">
        <v>36</v>
      </c>
      <c r="O14" s="1249" t="s">
        <v>36</v>
      </c>
      <c r="P14" s="1256" t="s">
        <v>36</v>
      </c>
      <c r="Q14" s="1256" t="s">
        <v>36</v>
      </c>
      <c r="R14" s="1250" t="s">
        <v>36</v>
      </c>
      <c r="S14" s="1332"/>
      <c r="T14" s="1256"/>
      <c r="U14" s="1256">
        <v>4</v>
      </c>
      <c r="V14" s="1250">
        <v>4</v>
      </c>
      <c r="W14" s="1250">
        <v>4</v>
      </c>
      <c r="X14" s="1250">
        <v>4</v>
      </c>
      <c r="Y14" s="1250">
        <v>4</v>
      </c>
      <c r="Z14" s="1250" t="s">
        <v>37</v>
      </c>
      <c r="AA14" s="1250" t="s">
        <v>37</v>
      </c>
      <c r="AB14" s="1250" t="s">
        <v>36</v>
      </c>
      <c r="AC14" s="1250" t="s">
        <v>36</v>
      </c>
      <c r="AD14" s="1256" t="s">
        <v>36</v>
      </c>
      <c r="AE14" s="1250" t="s">
        <v>36</v>
      </c>
      <c r="AF14" s="1250" t="s">
        <v>36</v>
      </c>
      <c r="AG14" s="1254"/>
      <c r="AH14" s="182"/>
      <c r="AI14" s="182"/>
    </row>
    <row r="15" spans="1:38" ht="22.35" customHeight="1">
      <c r="A15" s="1247">
        <v>8546</v>
      </c>
      <c r="B15" s="1255" t="s">
        <v>38</v>
      </c>
      <c r="C15" s="1253" t="s">
        <v>36</v>
      </c>
      <c r="D15" s="1253" t="s">
        <v>36</v>
      </c>
      <c r="E15" s="1253"/>
      <c r="F15" s="1253"/>
      <c r="G15" s="1256">
        <v>1</v>
      </c>
      <c r="H15" s="1256">
        <v>1</v>
      </c>
      <c r="I15" s="1250">
        <v>1</v>
      </c>
      <c r="J15" s="1251">
        <v>1</v>
      </c>
      <c r="K15" s="1256">
        <v>1</v>
      </c>
      <c r="L15" s="1250"/>
      <c r="M15" s="1250"/>
      <c r="N15" s="1250">
        <v>2</v>
      </c>
      <c r="O15" s="1250">
        <v>2</v>
      </c>
      <c r="P15" s="1250">
        <v>2</v>
      </c>
      <c r="Q15" s="1250">
        <v>2</v>
      </c>
      <c r="R15" s="1250">
        <v>2</v>
      </c>
      <c r="S15" s="1250" t="s">
        <v>35</v>
      </c>
      <c r="T15" s="1250" t="s">
        <v>35</v>
      </c>
      <c r="U15" s="1250" t="s">
        <v>36</v>
      </c>
      <c r="V15" s="1250" t="s">
        <v>36</v>
      </c>
      <c r="W15" s="1250" t="s">
        <v>36</v>
      </c>
      <c r="X15" s="1250" t="s">
        <v>36</v>
      </c>
      <c r="Y15" s="1250" t="s">
        <v>36</v>
      </c>
      <c r="Z15" s="1250"/>
      <c r="AA15" s="1250"/>
      <c r="AB15" s="1250">
        <v>4</v>
      </c>
      <c r="AC15" s="1250">
        <v>4</v>
      </c>
      <c r="AD15" s="1250">
        <v>4</v>
      </c>
      <c r="AE15" s="1250">
        <v>4</v>
      </c>
      <c r="AF15" s="1250">
        <v>4</v>
      </c>
      <c r="AG15" s="1254" t="s">
        <v>37</v>
      </c>
      <c r="AH15" s="182"/>
      <c r="AI15" s="182"/>
      <c r="AL15" t="s">
        <v>0</v>
      </c>
    </row>
    <row r="16" spans="1:38" ht="22.35" customHeight="1">
      <c r="A16" s="1247">
        <v>8546</v>
      </c>
      <c r="B16" s="1248" t="s">
        <v>39</v>
      </c>
      <c r="C16" s="1257" t="s">
        <v>36</v>
      </c>
      <c r="D16" s="1258" t="s">
        <v>36</v>
      </c>
      <c r="E16" s="1258"/>
      <c r="F16" s="1258"/>
      <c r="G16" s="1258">
        <v>4</v>
      </c>
      <c r="H16" s="1258">
        <v>4</v>
      </c>
      <c r="I16" s="1258">
        <v>4</v>
      </c>
      <c r="J16" s="1258">
        <v>4</v>
      </c>
      <c r="K16" s="1258">
        <v>4</v>
      </c>
      <c r="L16" s="1258" t="s">
        <v>37</v>
      </c>
      <c r="M16" s="1258" t="s">
        <v>37</v>
      </c>
      <c r="N16" s="1257" t="s">
        <v>36</v>
      </c>
      <c r="O16" s="1257" t="s">
        <v>36</v>
      </c>
      <c r="P16" s="1257" t="s">
        <v>36</v>
      </c>
      <c r="Q16" s="1257" t="s">
        <v>36</v>
      </c>
      <c r="R16" s="1257" t="s">
        <v>36</v>
      </c>
      <c r="S16" s="1258"/>
      <c r="T16" s="1258"/>
      <c r="U16" s="1258">
        <v>1</v>
      </c>
      <c r="V16" s="1258">
        <v>1</v>
      </c>
      <c r="W16" s="1259">
        <v>1</v>
      </c>
      <c r="X16" s="1258">
        <v>1</v>
      </c>
      <c r="Y16" s="1257">
        <v>1</v>
      </c>
      <c r="Z16" s="1257"/>
      <c r="AA16" s="1257"/>
      <c r="AB16" s="1253">
        <v>2</v>
      </c>
      <c r="AC16" s="1253">
        <v>2</v>
      </c>
      <c r="AD16" s="1253">
        <v>2</v>
      </c>
      <c r="AE16" s="1253">
        <v>2</v>
      </c>
      <c r="AF16" s="1253">
        <v>2</v>
      </c>
      <c r="AG16" s="1470" t="s">
        <v>35</v>
      </c>
      <c r="AH16" s="182"/>
      <c r="AI16" s="182"/>
    </row>
    <row r="17" spans="1:40" ht="22.35" customHeight="1">
      <c r="A17" s="1247">
        <v>8546</v>
      </c>
      <c r="B17" s="1255" t="s">
        <v>40</v>
      </c>
      <c r="C17" s="1250">
        <v>2</v>
      </c>
      <c r="D17" s="1251">
        <v>2</v>
      </c>
      <c r="E17" s="1250" t="s">
        <v>35</v>
      </c>
      <c r="F17" s="1256" t="s">
        <v>35</v>
      </c>
      <c r="G17" s="1253" t="s">
        <v>36</v>
      </c>
      <c r="H17" s="1253" t="s">
        <v>36</v>
      </c>
      <c r="I17" s="1253" t="s">
        <v>36</v>
      </c>
      <c r="J17" s="1253" t="s">
        <v>36</v>
      </c>
      <c r="K17" s="1253" t="s">
        <v>36</v>
      </c>
      <c r="L17" s="1253"/>
      <c r="M17" s="1253"/>
      <c r="N17" s="1253">
        <v>4</v>
      </c>
      <c r="O17" s="1253">
        <v>4</v>
      </c>
      <c r="P17" s="1253">
        <v>4</v>
      </c>
      <c r="Q17" s="1253">
        <v>4</v>
      </c>
      <c r="R17" s="1253">
        <v>4</v>
      </c>
      <c r="S17" s="1253" t="s">
        <v>37</v>
      </c>
      <c r="T17" s="1253" t="s">
        <v>37</v>
      </c>
      <c r="U17" s="1253" t="s">
        <v>36</v>
      </c>
      <c r="V17" s="1253" t="s">
        <v>36</v>
      </c>
      <c r="W17" s="1253" t="s">
        <v>36</v>
      </c>
      <c r="X17" s="1253" t="s">
        <v>36</v>
      </c>
      <c r="Y17" s="1253" t="s">
        <v>36</v>
      </c>
      <c r="Z17" s="1253"/>
      <c r="AA17" s="1253"/>
      <c r="AB17" s="1260">
        <v>1</v>
      </c>
      <c r="AC17" s="1260">
        <v>1</v>
      </c>
      <c r="AD17" s="1260">
        <v>1</v>
      </c>
      <c r="AE17" s="1260">
        <v>1</v>
      </c>
      <c r="AF17" s="1260">
        <v>1</v>
      </c>
      <c r="AG17" s="1254"/>
      <c r="AH17" s="182"/>
      <c r="AI17" s="182"/>
    </row>
    <row r="18" spans="1:40" ht="22.35" customHeight="1">
      <c r="A18" s="1247">
        <v>8546</v>
      </c>
      <c r="B18" s="1248" t="s">
        <v>41</v>
      </c>
      <c r="C18" s="1250">
        <v>4</v>
      </c>
      <c r="D18" s="1251">
        <v>4</v>
      </c>
      <c r="E18" s="1250" t="s">
        <v>37</v>
      </c>
      <c r="F18" s="1250" t="s">
        <v>37</v>
      </c>
      <c r="G18" s="1253" t="s">
        <v>36</v>
      </c>
      <c r="H18" s="1253" t="s">
        <v>36</v>
      </c>
      <c r="I18" s="1253" t="s">
        <v>36</v>
      </c>
      <c r="J18" s="1253" t="s">
        <v>36</v>
      </c>
      <c r="K18" s="1253" t="s">
        <v>36</v>
      </c>
      <c r="L18" s="1253"/>
      <c r="M18" s="1253"/>
      <c r="N18" s="1253">
        <v>1</v>
      </c>
      <c r="O18" s="1253">
        <v>1</v>
      </c>
      <c r="P18" s="1253">
        <v>1</v>
      </c>
      <c r="Q18" s="1253">
        <v>1</v>
      </c>
      <c r="R18" s="1253">
        <v>1</v>
      </c>
      <c r="S18" s="1253"/>
      <c r="T18" s="1253"/>
      <c r="U18" s="1253">
        <v>2</v>
      </c>
      <c r="V18" s="1253">
        <v>2</v>
      </c>
      <c r="W18" s="1253">
        <v>2</v>
      </c>
      <c r="X18" s="1253">
        <v>2</v>
      </c>
      <c r="Y18" s="1253">
        <v>2</v>
      </c>
      <c r="Z18" s="1253" t="s">
        <v>35</v>
      </c>
      <c r="AA18" s="1253" t="s">
        <v>35</v>
      </c>
      <c r="AB18" s="1250" t="s">
        <v>36</v>
      </c>
      <c r="AC18" s="1264" t="s">
        <v>36</v>
      </c>
      <c r="AD18" s="1250" t="s">
        <v>36</v>
      </c>
      <c r="AE18" s="1250" t="s">
        <v>36</v>
      </c>
      <c r="AF18" s="1250" t="s">
        <v>36</v>
      </c>
      <c r="AG18" s="1254"/>
      <c r="AH18" s="182"/>
      <c r="AI18" s="182"/>
    </row>
    <row r="19" spans="1:40" ht="22.35" customHeight="1" thickBot="1">
      <c r="A19" s="1265" t="s">
        <v>42</v>
      </c>
      <c r="B19" s="1266"/>
      <c r="C19" s="1267"/>
      <c r="D19" s="1267"/>
      <c r="E19" s="1267"/>
      <c r="F19" s="1267"/>
      <c r="G19" s="1267"/>
      <c r="H19" s="1267"/>
      <c r="I19" s="1267"/>
      <c r="J19" s="1267"/>
      <c r="K19" s="1267"/>
      <c r="L19" s="1267"/>
      <c r="M19" s="1267"/>
      <c r="N19" s="1267"/>
      <c r="O19" s="1267"/>
      <c r="P19" s="1267"/>
      <c r="Q19" s="1267"/>
      <c r="R19" s="1267"/>
      <c r="S19" s="1267"/>
      <c r="T19" s="1267"/>
      <c r="U19" s="1267"/>
      <c r="V19" s="1267"/>
      <c r="W19" s="1267"/>
      <c r="X19" s="1267"/>
      <c r="Y19" s="1267"/>
      <c r="Z19" s="1267"/>
      <c r="AA19" s="1267"/>
      <c r="AB19" s="1267"/>
      <c r="AC19" s="1267"/>
      <c r="AD19" s="1267"/>
      <c r="AE19" s="1267"/>
      <c r="AF19" s="1267"/>
      <c r="AG19" s="1268"/>
      <c r="AH19" s="180"/>
      <c r="AI19" s="180"/>
      <c r="AJ19" s="1243" t="s">
        <v>30</v>
      </c>
      <c r="AK19" s="1243" t="s">
        <v>43</v>
      </c>
      <c r="AL19" s="1243" t="s">
        <v>44</v>
      </c>
      <c r="AM19" s="1243" t="s">
        <v>45</v>
      </c>
      <c r="AN19" s="1243" t="s">
        <v>46</v>
      </c>
    </row>
    <row r="20" spans="1:40" ht="22.35" customHeight="1">
      <c r="A20" s="353">
        <v>8500</v>
      </c>
      <c r="B20" s="354" t="s">
        <v>48</v>
      </c>
      <c r="C20" s="349" t="s">
        <v>32</v>
      </c>
      <c r="D20" s="349" t="s">
        <v>32</v>
      </c>
      <c r="E20" s="1269" t="s">
        <v>32</v>
      </c>
      <c r="F20" s="349"/>
      <c r="G20" s="349" t="s">
        <v>32</v>
      </c>
      <c r="H20" s="349" t="s">
        <v>32</v>
      </c>
      <c r="I20" s="349" t="s">
        <v>32</v>
      </c>
      <c r="J20" s="349" t="s">
        <v>32</v>
      </c>
      <c r="K20" s="349" t="s">
        <v>32</v>
      </c>
      <c r="L20" s="349"/>
      <c r="M20" s="349"/>
      <c r="N20" s="1273">
        <v>1</v>
      </c>
      <c r="O20" s="1273">
        <v>1</v>
      </c>
      <c r="P20" s="1273">
        <v>1</v>
      </c>
      <c r="Q20" s="349" t="s">
        <v>32</v>
      </c>
      <c r="R20" s="546" t="s">
        <v>32</v>
      </c>
      <c r="S20" s="349"/>
      <c r="T20" s="349"/>
      <c r="U20" s="349">
        <v>1</v>
      </c>
      <c r="V20" s="583" t="s">
        <v>135</v>
      </c>
      <c r="W20" s="583">
        <v>1</v>
      </c>
      <c r="X20" s="583" t="s">
        <v>32</v>
      </c>
      <c r="Y20" s="583" t="s">
        <v>32</v>
      </c>
      <c r="Z20" s="583" t="s">
        <v>315</v>
      </c>
      <c r="AA20" s="349"/>
      <c r="AB20" s="349" t="s">
        <v>32</v>
      </c>
      <c r="AC20" s="349" t="s">
        <v>32</v>
      </c>
      <c r="AD20" s="349" t="s">
        <v>32</v>
      </c>
      <c r="AE20" s="349" t="s">
        <v>32</v>
      </c>
      <c r="AF20" s="349" t="s">
        <v>32</v>
      </c>
      <c r="AG20" s="397"/>
      <c r="AH20" s="182"/>
      <c r="AI20" s="182"/>
      <c r="AJ20" s="1269"/>
      <c r="AK20" s="1269"/>
      <c r="AL20" s="1269" t="str">
        <f>IF(AJ20="","",SUM(AJ20:AK20))</f>
        <v/>
      </c>
      <c r="AM20" s="1270" t="str">
        <f>IF(AJ20="","",AL20-NormTid)</f>
        <v/>
      </c>
      <c r="AN20" s="1270" t="str">
        <f>IF(AM20="","",AM20+'Juni 2021'!AN20)</f>
        <v/>
      </c>
    </row>
    <row r="21" spans="1:40" ht="22.35" customHeight="1">
      <c r="A21" s="1271">
        <v>8500</v>
      </c>
      <c r="B21" s="1272" t="s">
        <v>49</v>
      </c>
      <c r="C21" s="1276" t="s">
        <v>32</v>
      </c>
      <c r="D21" s="1273" t="s">
        <v>50</v>
      </c>
      <c r="E21" s="1273"/>
      <c r="F21" s="1273"/>
      <c r="G21" s="1471">
        <v>4</v>
      </c>
      <c r="H21" s="1471">
        <v>4</v>
      </c>
      <c r="I21" s="1471">
        <v>4</v>
      </c>
      <c r="J21" s="1471">
        <v>4</v>
      </c>
      <c r="K21" s="1471">
        <v>4</v>
      </c>
      <c r="L21" s="1471" t="s">
        <v>37</v>
      </c>
      <c r="M21" s="1471" t="s">
        <v>37</v>
      </c>
      <c r="N21" s="1273" t="s">
        <v>36</v>
      </c>
      <c r="O21" s="1273" t="s">
        <v>36</v>
      </c>
      <c r="P21" s="1273" t="s">
        <v>36</v>
      </c>
      <c r="Q21" s="1273">
        <v>1</v>
      </c>
      <c r="R21" s="1273">
        <v>1</v>
      </c>
      <c r="S21" s="1273"/>
      <c r="T21" s="1273"/>
      <c r="U21" s="1273">
        <v>2</v>
      </c>
      <c r="V21" s="1273">
        <v>2</v>
      </c>
      <c r="W21" s="1273">
        <v>2</v>
      </c>
      <c r="X21" s="1273">
        <v>2</v>
      </c>
      <c r="Y21" s="1274">
        <v>2</v>
      </c>
      <c r="Z21" s="1274" t="s">
        <v>35</v>
      </c>
      <c r="AA21" s="1273" t="s">
        <v>35</v>
      </c>
      <c r="AB21" s="1148" t="s">
        <v>32</v>
      </c>
      <c r="AC21" s="1148" t="s">
        <v>32</v>
      </c>
      <c r="AD21" s="1148" t="s">
        <v>32</v>
      </c>
      <c r="AE21" s="1148" t="s">
        <v>32</v>
      </c>
      <c r="AF21" s="1148" t="s">
        <v>32</v>
      </c>
      <c r="AG21" s="1277"/>
      <c r="AH21" s="182"/>
      <c r="AI21" s="182"/>
      <c r="AJ21" s="1269">
        <v>204.75</v>
      </c>
      <c r="AK21" s="1269">
        <v>9.25</v>
      </c>
      <c r="AL21" s="1269">
        <f t="shared" ref="AL21:AL23" si="0">IF(AJ21="","",SUM(AJ21:AK21))</f>
        <v>214</v>
      </c>
      <c r="AM21" s="1270">
        <f>IF(AJ21="","",AL21-NormTid)</f>
        <v>53.669999999999987</v>
      </c>
      <c r="AN21" s="1270">
        <f>IF(AM21="","",AM21+'Juni 2021'!AN21)</f>
        <v>206.33999999999995</v>
      </c>
    </row>
    <row r="22" spans="1:40" ht="22.35" customHeight="1">
      <c r="A22" s="1271">
        <v>8500</v>
      </c>
      <c r="B22" s="1272" t="s">
        <v>51</v>
      </c>
      <c r="C22" s="1273">
        <v>1</v>
      </c>
      <c r="D22" s="1273">
        <v>1</v>
      </c>
      <c r="E22" s="1273"/>
      <c r="F22" s="1273"/>
      <c r="G22" s="1273" t="s">
        <v>50</v>
      </c>
      <c r="H22" s="1273" t="s">
        <v>50</v>
      </c>
      <c r="I22" s="1273" t="s">
        <v>50</v>
      </c>
      <c r="J22" s="1273" t="s">
        <v>50</v>
      </c>
      <c r="K22" s="1273" t="s">
        <v>50</v>
      </c>
      <c r="L22" s="1273"/>
      <c r="M22" s="1273"/>
      <c r="N22" s="1278">
        <v>4</v>
      </c>
      <c r="O22" s="1278">
        <v>4</v>
      </c>
      <c r="P22" s="1278">
        <v>4</v>
      </c>
      <c r="Q22" s="1274">
        <v>4</v>
      </c>
      <c r="R22" s="1278">
        <v>4</v>
      </c>
      <c r="S22" s="1273" t="s">
        <v>37</v>
      </c>
      <c r="T22" s="1273" t="s">
        <v>37</v>
      </c>
      <c r="U22" s="1278" t="s">
        <v>36</v>
      </c>
      <c r="V22" s="1472" t="s">
        <v>36</v>
      </c>
      <c r="W22" s="1278" t="s">
        <v>36</v>
      </c>
      <c r="X22" s="1279">
        <v>1</v>
      </c>
      <c r="Y22" s="1278">
        <v>1</v>
      </c>
      <c r="Z22" s="1273"/>
      <c r="AA22" s="1273"/>
      <c r="AB22" s="1273">
        <v>2</v>
      </c>
      <c r="AC22" s="1273">
        <v>2</v>
      </c>
      <c r="AD22" s="1273">
        <v>2</v>
      </c>
      <c r="AE22" s="1273">
        <v>2</v>
      </c>
      <c r="AF22" s="1273">
        <v>2</v>
      </c>
      <c r="AG22" s="1277" t="s">
        <v>35</v>
      </c>
      <c r="AH22" s="182"/>
      <c r="AI22" s="182"/>
      <c r="AJ22" s="1269">
        <v>188</v>
      </c>
      <c r="AK22" s="1269">
        <v>8.5</v>
      </c>
      <c r="AL22" s="1269">
        <f t="shared" si="0"/>
        <v>196.5</v>
      </c>
      <c r="AM22" s="1270">
        <f>IF(AJ22="","",AL22-NormTid)</f>
        <v>36.169999999999987</v>
      </c>
      <c r="AN22" s="1270">
        <f>IF(AM22="","",AM22+'Juni 2021'!AN22)</f>
        <v>123.18999999999997</v>
      </c>
    </row>
    <row r="23" spans="1:40" ht="22.35" customHeight="1">
      <c r="A23" s="1271"/>
      <c r="B23" s="1280"/>
      <c r="C23" s="1273"/>
      <c r="D23" s="1274"/>
      <c r="E23" s="1273"/>
      <c r="F23" s="1273"/>
      <c r="G23" s="1273"/>
      <c r="H23" s="1273"/>
      <c r="I23" s="1273"/>
      <c r="J23" s="1273"/>
      <c r="K23" s="1273"/>
      <c r="L23" s="1273"/>
      <c r="M23" s="1273"/>
      <c r="N23" s="1273"/>
      <c r="O23" s="1281"/>
      <c r="P23" s="1273"/>
      <c r="Q23" s="1273"/>
      <c r="R23" s="1282"/>
      <c r="S23" s="1282"/>
      <c r="T23" s="1273"/>
      <c r="U23" s="1273"/>
      <c r="V23" s="1273"/>
      <c r="W23" s="1273"/>
      <c r="X23" s="1273"/>
      <c r="Y23" s="1273"/>
      <c r="Z23" s="1273"/>
      <c r="AA23" s="1273"/>
      <c r="AB23" s="1273"/>
      <c r="AC23" s="1278"/>
      <c r="AD23" s="1278"/>
      <c r="AE23" s="1278"/>
      <c r="AF23" s="1278"/>
      <c r="AG23" s="1277"/>
      <c r="AJ23" s="1269"/>
      <c r="AK23" s="1269"/>
      <c r="AL23" s="1269" t="str">
        <f t="shared" si="0"/>
        <v/>
      </c>
      <c r="AM23" s="1270" t="str">
        <f>IF(AJ23="","",AL23-NormTid)</f>
        <v/>
      </c>
      <c r="AN23" s="1270" t="str">
        <f>IF(AM23="","",AM23+'Juni 2021'!AN23)</f>
        <v/>
      </c>
    </row>
    <row r="24" spans="1:40" ht="22.35" customHeight="1" thickBot="1">
      <c r="A24" s="1283"/>
      <c r="B24" s="1284" t="s">
        <v>54</v>
      </c>
      <c r="C24" s="1473" t="s">
        <v>32</v>
      </c>
      <c r="D24" s="1473" t="s">
        <v>32</v>
      </c>
      <c r="E24" s="1473"/>
      <c r="F24" s="1473"/>
      <c r="G24" s="1473" t="s">
        <v>32</v>
      </c>
      <c r="H24" s="1473" t="s">
        <v>32</v>
      </c>
      <c r="I24" s="1473" t="s">
        <v>32</v>
      </c>
      <c r="J24" s="1473" t="s">
        <v>32</v>
      </c>
      <c r="K24" s="1473" t="s">
        <v>32</v>
      </c>
      <c r="L24" s="1473"/>
      <c r="M24" s="1473"/>
      <c r="N24" s="1474" t="s">
        <v>32</v>
      </c>
      <c r="O24" s="1474" t="s">
        <v>32</v>
      </c>
      <c r="P24" s="1474" t="s">
        <v>32</v>
      </c>
      <c r="Q24" s="1475" t="s">
        <v>32</v>
      </c>
      <c r="R24" s="1474" t="s">
        <v>32</v>
      </c>
      <c r="S24" s="1473"/>
      <c r="T24" s="1473"/>
      <c r="U24" s="1474" t="s">
        <v>32</v>
      </c>
      <c r="V24" s="1474" t="s">
        <v>32</v>
      </c>
      <c r="W24" s="1474" t="s">
        <v>32</v>
      </c>
      <c r="X24" s="1473" t="s">
        <v>32</v>
      </c>
      <c r="Y24" s="1474" t="s">
        <v>32</v>
      </c>
      <c r="Z24" s="1473"/>
      <c r="AA24" s="1473"/>
      <c r="AB24" s="1473" t="s">
        <v>32</v>
      </c>
      <c r="AC24" s="1473" t="s">
        <v>32</v>
      </c>
      <c r="AD24" s="1473" t="s">
        <v>32</v>
      </c>
      <c r="AE24" s="1473" t="s">
        <v>32</v>
      </c>
      <c r="AF24" s="1473" t="s">
        <v>32</v>
      </c>
      <c r="AG24" s="1277"/>
    </row>
    <row r="25" spans="1:40" ht="22.35" customHeight="1">
      <c r="A25" s="102"/>
      <c r="C25" s="1273"/>
      <c r="D25" s="1273"/>
      <c r="G25" s="1273" t="s">
        <v>32</v>
      </c>
      <c r="H25" s="1273" t="s">
        <v>32</v>
      </c>
      <c r="I25" s="1273" t="s">
        <v>32</v>
      </c>
      <c r="J25" s="1273"/>
      <c r="K25" s="1273"/>
      <c r="L25" s="1269"/>
      <c r="M25" s="1269"/>
      <c r="N25" s="1273"/>
      <c r="O25" s="1273"/>
      <c r="P25" s="1273"/>
      <c r="Q25" s="1273"/>
      <c r="R25" s="1273"/>
      <c r="AF25" s="563"/>
    </row>
    <row r="26" spans="1:40" ht="22.35" customHeight="1">
      <c r="A26" s="102"/>
      <c r="C26">
        <v>79</v>
      </c>
      <c r="D26">
        <v>79</v>
      </c>
      <c r="E26" s="1269" t="s">
        <v>0</v>
      </c>
      <c r="F26" s="1269" t="s">
        <v>32</v>
      </c>
      <c r="I26" s="1273"/>
      <c r="L26" s="1269"/>
      <c r="M26" s="1269"/>
      <c r="N26" s="1273"/>
      <c r="O26" s="1273"/>
      <c r="P26" s="1273"/>
      <c r="Q26" s="1273"/>
      <c r="R26" s="1273"/>
      <c r="U26" s="1273"/>
      <c r="V26" s="1273"/>
      <c r="W26" s="1273"/>
      <c r="X26" s="1273"/>
      <c r="Y26" s="1273" t="s">
        <v>32</v>
      </c>
      <c r="AB26" s="1273"/>
      <c r="AC26" s="1273"/>
      <c r="AD26" s="1273"/>
      <c r="AE26" s="1273"/>
      <c r="AF26" s="1273"/>
    </row>
    <row r="27" spans="1:40" ht="22.35" customHeight="1">
      <c r="A27" s="102"/>
      <c r="C27" s="211"/>
      <c r="D27" s="211"/>
      <c r="AB27" t="s">
        <v>0</v>
      </c>
      <c r="AC27" t="s">
        <v>0</v>
      </c>
      <c r="AD27" t="s">
        <v>0</v>
      </c>
      <c r="AE27" t="s">
        <v>0</v>
      </c>
      <c r="AF27" t="s">
        <v>0</v>
      </c>
      <c r="AG27" t="s">
        <v>0</v>
      </c>
    </row>
    <row r="28" spans="1:40" ht="22.35" customHeight="1">
      <c r="A28" s="102"/>
      <c r="U28" t="s">
        <v>0</v>
      </c>
      <c r="V28" t="s">
        <v>0</v>
      </c>
      <c r="W28" t="s">
        <v>0</v>
      </c>
      <c r="X28" t="s">
        <v>0</v>
      </c>
      <c r="Y28" t="s">
        <v>0</v>
      </c>
    </row>
    <row r="29" spans="1:40" ht="22.35" customHeight="1">
      <c r="A29" s="102"/>
      <c r="U29" t="s">
        <v>0</v>
      </c>
      <c r="V29" t="s">
        <v>0</v>
      </c>
      <c r="W29" t="s">
        <v>0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1287" t="s">
        <v>61</v>
      </c>
      <c r="B32" s="1235"/>
      <c r="C32" s="1235"/>
      <c r="D32" s="1288" t="s">
        <v>62</v>
      </c>
      <c r="E32" s="1289"/>
      <c r="F32" s="1222"/>
      <c r="G32" s="1222"/>
      <c r="H32" s="1222"/>
      <c r="I32" s="1222"/>
      <c r="J32" s="1222"/>
      <c r="K32" s="1222"/>
      <c r="L32" s="1230"/>
      <c r="M32" s="1290" t="s">
        <v>63</v>
      </c>
      <c r="N32" s="1235"/>
      <c r="O32" s="1291"/>
      <c r="P32" s="1235"/>
      <c r="Q32" s="1235"/>
      <c r="R32" s="1235"/>
      <c r="S32" s="1292"/>
      <c r="T32" s="1288" t="s">
        <v>64</v>
      </c>
      <c r="U32" s="1222"/>
      <c r="V32" s="1289"/>
      <c r="W32" s="1222"/>
      <c r="X32" s="1222"/>
      <c r="Y32" s="1222"/>
      <c r="Z32" s="1230"/>
      <c r="AA32" s="162" t="s">
        <v>65</v>
      </c>
      <c r="AD32" s="100"/>
      <c r="AG32" s="103"/>
      <c r="AK32" s="1"/>
    </row>
    <row r="33" spans="1:38" ht="22.35" customHeight="1">
      <c r="A33" s="1293" t="s">
        <v>66</v>
      </c>
      <c r="B33" s="1222"/>
      <c r="C33" s="1222"/>
      <c r="D33" s="1294"/>
      <c r="E33" s="1222"/>
      <c r="F33" s="1222"/>
      <c r="G33" s="1230"/>
      <c r="H33" s="1237" t="s">
        <v>67</v>
      </c>
      <c r="I33" s="1222"/>
      <c r="J33" s="1222"/>
      <c r="K33" s="1222"/>
      <c r="L33" s="1222"/>
      <c r="M33" s="1295"/>
      <c r="N33" s="1222"/>
      <c r="O33" s="1222"/>
      <c r="P33" s="1222"/>
      <c r="Q33" s="1222"/>
      <c r="R33" s="1222"/>
      <c r="S33" s="1222"/>
      <c r="T33" s="1294"/>
      <c r="U33" s="161" t="s">
        <v>68</v>
      </c>
      <c r="AA33" s="1291"/>
      <c r="AB33" s="1235"/>
      <c r="AC33" s="1235"/>
      <c r="AD33" s="1235"/>
      <c r="AE33" s="1235"/>
      <c r="AF33" s="1235"/>
      <c r="AG33" s="1296"/>
      <c r="AK33" s="64"/>
    </row>
    <row r="34" spans="1:38" ht="22.35" customHeight="1" thickBot="1">
      <c r="A34" s="1297" t="s">
        <v>69</v>
      </c>
      <c r="B34" s="1298"/>
      <c r="C34" s="1298"/>
      <c r="D34" s="1299"/>
      <c r="E34" s="1298"/>
      <c r="F34" s="1298"/>
      <c r="G34" s="1300"/>
      <c r="H34" s="1301" t="s">
        <v>70</v>
      </c>
      <c r="I34" s="1300"/>
      <c r="J34" s="1298"/>
      <c r="K34" s="1298"/>
      <c r="L34" s="1298"/>
      <c r="M34" s="1302"/>
      <c r="N34" s="1298"/>
      <c r="O34" s="1298"/>
      <c r="P34" s="1298"/>
      <c r="Q34" s="1303"/>
      <c r="R34" s="1303"/>
      <c r="S34" s="1303"/>
      <c r="T34" s="1299"/>
      <c r="U34" s="1304" t="s">
        <v>71</v>
      </c>
      <c r="V34" s="1298"/>
      <c r="W34" s="1298"/>
      <c r="X34" s="1298"/>
      <c r="Y34" s="1298"/>
      <c r="Z34" s="1298"/>
      <c r="AA34" s="1298"/>
      <c r="AB34" s="1298"/>
      <c r="AC34" s="1298"/>
      <c r="AD34" s="1298"/>
      <c r="AE34" s="1298"/>
      <c r="AF34" s="1298"/>
      <c r="AG34" s="1305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1306" t="s">
        <v>28</v>
      </c>
      <c r="B36" s="1307" t="s">
        <v>29</v>
      </c>
      <c r="C36" s="1240">
        <v>1</v>
      </c>
      <c r="D36" s="1240">
        <v>2</v>
      </c>
      <c r="E36" s="1241">
        <v>3</v>
      </c>
      <c r="F36" s="1241">
        <v>4</v>
      </c>
      <c r="G36" s="1240">
        <v>5</v>
      </c>
      <c r="H36" s="1240">
        <v>6</v>
      </c>
      <c r="I36" s="1240">
        <v>7</v>
      </c>
      <c r="J36" s="1240">
        <v>8</v>
      </c>
      <c r="K36" s="1240">
        <v>9</v>
      </c>
      <c r="L36" s="1241">
        <v>10</v>
      </c>
      <c r="M36" s="1241">
        <v>11</v>
      </c>
      <c r="N36" s="1240">
        <v>12</v>
      </c>
      <c r="O36" s="1240">
        <v>13</v>
      </c>
      <c r="P36" s="1240">
        <v>14</v>
      </c>
      <c r="Q36" s="1240">
        <v>15</v>
      </c>
      <c r="R36" s="1240">
        <v>16</v>
      </c>
      <c r="S36" s="1241">
        <v>17</v>
      </c>
      <c r="T36" s="1241">
        <v>18</v>
      </c>
      <c r="U36" s="1240">
        <v>19</v>
      </c>
      <c r="V36" s="1240">
        <v>20</v>
      </c>
      <c r="W36" s="1240">
        <v>21</v>
      </c>
      <c r="X36" s="1240">
        <v>22</v>
      </c>
      <c r="Y36" s="1240">
        <v>23</v>
      </c>
      <c r="Z36" s="1241">
        <v>24</v>
      </c>
      <c r="AA36" s="1241">
        <v>25</v>
      </c>
      <c r="AB36" s="1240">
        <v>26</v>
      </c>
      <c r="AC36" s="1240">
        <v>27</v>
      </c>
      <c r="AD36" s="1240">
        <v>28</v>
      </c>
      <c r="AE36" s="1240">
        <v>29</v>
      </c>
      <c r="AF36" s="1240">
        <v>30</v>
      </c>
      <c r="AG36" s="1469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 t="s">
        <v>36</v>
      </c>
      <c r="D37" s="349" t="s">
        <v>36</v>
      </c>
      <c r="E37" s="361" t="s">
        <v>78</v>
      </c>
      <c r="F37" s="361" t="s">
        <v>74</v>
      </c>
      <c r="G37" s="541">
        <v>6</v>
      </c>
      <c r="H37" s="541">
        <v>6</v>
      </c>
      <c r="I37" s="541">
        <v>6</v>
      </c>
      <c r="J37" s="541">
        <v>6</v>
      </c>
      <c r="K37" s="541">
        <v>6</v>
      </c>
      <c r="L37" s="541"/>
      <c r="M37" s="541"/>
      <c r="N37" s="541" t="s">
        <v>36</v>
      </c>
      <c r="O37" s="541" t="s">
        <v>36</v>
      </c>
      <c r="P37" s="541" t="s">
        <v>36</v>
      </c>
      <c r="Q37" s="541" t="s">
        <v>36</v>
      </c>
      <c r="R37" s="541" t="s">
        <v>36</v>
      </c>
      <c r="S37" s="541"/>
      <c r="T37" s="541"/>
      <c r="U37" s="541">
        <v>5</v>
      </c>
      <c r="V37" s="541">
        <v>5</v>
      </c>
      <c r="W37" s="541">
        <v>5</v>
      </c>
      <c r="X37" s="541">
        <v>5</v>
      </c>
      <c r="Y37" s="541">
        <v>5</v>
      </c>
      <c r="Z37" s="541"/>
      <c r="AA37" s="541"/>
      <c r="AB37" s="350">
        <v>10</v>
      </c>
      <c r="AC37" s="350">
        <v>10</v>
      </c>
      <c r="AD37" s="350">
        <v>10</v>
      </c>
      <c r="AE37" s="361">
        <v>10</v>
      </c>
      <c r="AF37" s="361">
        <v>10</v>
      </c>
      <c r="AG37" s="362" t="s">
        <v>77</v>
      </c>
      <c r="AH37" s="181"/>
      <c r="AI37" s="182"/>
    </row>
    <row r="38" spans="1:38" ht="22.35" customHeight="1">
      <c r="A38" s="1308">
        <v>6</v>
      </c>
      <c r="B38" s="1284" t="s">
        <v>75</v>
      </c>
      <c r="C38" s="1249" t="s">
        <v>36</v>
      </c>
      <c r="D38" s="1249" t="s">
        <v>36</v>
      </c>
      <c r="E38" s="1476" t="s">
        <v>80</v>
      </c>
      <c r="F38" s="1476" t="s">
        <v>80</v>
      </c>
      <c r="G38" s="1253">
        <v>7</v>
      </c>
      <c r="H38" s="1253">
        <v>7</v>
      </c>
      <c r="I38" s="1253">
        <v>7</v>
      </c>
      <c r="J38" s="1253">
        <v>7</v>
      </c>
      <c r="K38" s="1253">
        <v>7</v>
      </c>
      <c r="L38" s="1253"/>
      <c r="M38" s="1253"/>
      <c r="N38" s="1253">
        <v>4</v>
      </c>
      <c r="O38" s="1253">
        <v>4</v>
      </c>
      <c r="P38" s="1253">
        <v>4</v>
      </c>
      <c r="Q38" s="1253">
        <v>4</v>
      </c>
      <c r="R38" s="1253">
        <v>4</v>
      </c>
      <c r="S38" s="1253"/>
      <c r="T38" s="1253"/>
      <c r="U38" s="1253">
        <v>3</v>
      </c>
      <c r="V38" s="1253">
        <v>3</v>
      </c>
      <c r="W38" s="1253">
        <v>3</v>
      </c>
      <c r="X38" s="1253">
        <v>3</v>
      </c>
      <c r="Y38" s="1253">
        <v>3</v>
      </c>
      <c r="Z38" s="1253"/>
      <c r="AA38" s="1253"/>
      <c r="AB38" s="1249">
        <v>11</v>
      </c>
      <c r="AC38" s="1249">
        <v>11</v>
      </c>
      <c r="AD38" s="1249">
        <v>11</v>
      </c>
      <c r="AE38" s="1249">
        <v>11</v>
      </c>
      <c r="AF38" s="1249">
        <v>11</v>
      </c>
      <c r="AG38" s="1314" t="s">
        <v>73</v>
      </c>
      <c r="AH38" s="181"/>
      <c r="AI38" s="182"/>
    </row>
    <row r="39" spans="1:38" ht="22.35" customHeight="1" thickBot="1">
      <c r="A39" s="1315">
        <v>11</v>
      </c>
      <c r="B39" s="1316" t="s">
        <v>79</v>
      </c>
      <c r="C39" s="1320" t="s">
        <v>36</v>
      </c>
      <c r="D39" s="1320" t="s">
        <v>36</v>
      </c>
      <c r="E39" s="1320" t="s">
        <v>74</v>
      </c>
      <c r="F39" s="1320" t="s">
        <v>74</v>
      </c>
      <c r="G39" s="1317">
        <v>8</v>
      </c>
      <c r="H39" s="1317">
        <v>8</v>
      </c>
      <c r="I39" s="1318">
        <v>8</v>
      </c>
      <c r="J39" s="1318">
        <v>8</v>
      </c>
      <c r="K39" s="1318">
        <v>8</v>
      </c>
      <c r="L39" s="1477">
        <v>23</v>
      </c>
      <c r="M39" s="1318"/>
      <c r="N39" s="1318" t="s">
        <v>36</v>
      </c>
      <c r="O39" s="1318" t="s">
        <v>36</v>
      </c>
      <c r="P39" s="1317" t="s">
        <v>36</v>
      </c>
      <c r="Q39" s="1240" t="s">
        <v>36</v>
      </c>
      <c r="R39" s="1240" t="s">
        <v>36</v>
      </c>
      <c r="S39" s="1317"/>
      <c r="T39" s="1478"/>
      <c r="U39" s="1478">
        <v>1</v>
      </c>
      <c r="V39" s="1478">
        <v>1</v>
      </c>
      <c r="W39" s="1478">
        <v>1</v>
      </c>
      <c r="X39" s="1478">
        <v>1</v>
      </c>
      <c r="Y39" s="1317">
        <v>1</v>
      </c>
      <c r="Z39" s="1317"/>
      <c r="AA39" s="1317"/>
      <c r="AB39" s="1333">
        <v>9</v>
      </c>
      <c r="AC39" s="1333">
        <v>9</v>
      </c>
      <c r="AD39" s="1333">
        <v>9</v>
      </c>
      <c r="AE39" s="1317">
        <v>9</v>
      </c>
      <c r="AF39" s="1317">
        <v>9</v>
      </c>
      <c r="AG39" s="1321" t="s">
        <v>76</v>
      </c>
      <c r="AH39" s="181"/>
      <c r="AI39" s="182"/>
    </row>
    <row r="40" spans="1:38" ht="22.35" customHeight="1">
      <c r="A40" s="359">
        <v>2</v>
      </c>
      <c r="B40" s="175" t="s">
        <v>81</v>
      </c>
      <c r="C40" s="349">
        <v>6</v>
      </c>
      <c r="D40" s="349">
        <v>6</v>
      </c>
      <c r="E40" s="349"/>
      <c r="F40" s="349"/>
      <c r="G40" s="349" t="s">
        <v>36</v>
      </c>
      <c r="H40" s="361" t="s">
        <v>36</v>
      </c>
      <c r="I40" s="361" t="s">
        <v>36</v>
      </c>
      <c r="J40" s="349" t="s">
        <v>36</v>
      </c>
      <c r="K40" s="349" t="s">
        <v>36</v>
      </c>
      <c r="L40" s="361"/>
      <c r="M40" s="361"/>
      <c r="N40" s="361">
        <v>5</v>
      </c>
      <c r="O40" s="350">
        <v>5</v>
      </c>
      <c r="P40" s="361">
        <v>5</v>
      </c>
      <c r="Q40" s="350">
        <v>5</v>
      </c>
      <c r="R40" s="350">
        <v>5</v>
      </c>
      <c r="S40" s="349"/>
      <c r="T40" s="350"/>
      <c r="U40" s="350">
        <v>10</v>
      </c>
      <c r="V40" s="350">
        <v>10</v>
      </c>
      <c r="W40" s="350">
        <v>10</v>
      </c>
      <c r="X40" s="350">
        <v>10</v>
      </c>
      <c r="Y40" s="361">
        <v>10</v>
      </c>
      <c r="Z40" s="361" t="s">
        <v>77</v>
      </c>
      <c r="AA40" s="361" t="s">
        <v>77</v>
      </c>
      <c r="AB40" s="541" t="s">
        <v>36</v>
      </c>
      <c r="AC40" s="541" t="s">
        <v>36</v>
      </c>
      <c r="AD40" s="541" t="s">
        <v>36</v>
      </c>
      <c r="AE40" s="541" t="s">
        <v>36</v>
      </c>
      <c r="AF40" s="541" t="s">
        <v>36</v>
      </c>
      <c r="AG40" s="531" t="s">
        <v>80</v>
      </c>
      <c r="AH40" s="181"/>
      <c r="AI40" s="182"/>
    </row>
    <row r="41" spans="1:38" ht="22.35" customHeight="1">
      <c r="A41" s="1308">
        <v>7</v>
      </c>
      <c r="B41" s="1255" t="s">
        <v>82</v>
      </c>
      <c r="C41" s="1256">
        <v>7</v>
      </c>
      <c r="D41" s="1256">
        <v>7</v>
      </c>
      <c r="E41" s="1256"/>
      <c r="F41" s="1256"/>
      <c r="G41" s="1253">
        <v>4</v>
      </c>
      <c r="H41" s="1253">
        <v>4</v>
      </c>
      <c r="I41" s="1253">
        <v>4</v>
      </c>
      <c r="J41" s="1253">
        <v>4</v>
      </c>
      <c r="K41" s="1253">
        <v>4</v>
      </c>
      <c r="L41" s="1253"/>
      <c r="M41" s="1253"/>
      <c r="N41" s="1253">
        <v>3</v>
      </c>
      <c r="O41" s="1253">
        <v>3</v>
      </c>
      <c r="P41" s="1253">
        <v>3</v>
      </c>
      <c r="Q41" s="1253">
        <v>3</v>
      </c>
      <c r="R41" s="1253">
        <v>3</v>
      </c>
      <c r="S41" s="1253"/>
      <c r="T41" s="1253"/>
      <c r="U41" s="1253">
        <v>11</v>
      </c>
      <c r="V41" s="1253">
        <v>11</v>
      </c>
      <c r="W41" s="1253">
        <v>11</v>
      </c>
      <c r="X41" s="1253">
        <v>11</v>
      </c>
      <c r="Y41" s="1263">
        <v>11</v>
      </c>
      <c r="Z41" s="1263" t="s">
        <v>73</v>
      </c>
      <c r="AA41" s="1263" t="s">
        <v>73</v>
      </c>
      <c r="AB41" s="1322" t="s">
        <v>36</v>
      </c>
      <c r="AC41" s="1322" t="s">
        <v>36</v>
      </c>
      <c r="AD41" s="1322" t="s">
        <v>36</v>
      </c>
      <c r="AE41" s="1322" t="s">
        <v>36</v>
      </c>
      <c r="AF41" s="1322" t="s">
        <v>36</v>
      </c>
      <c r="AG41" s="1326" t="s">
        <v>74</v>
      </c>
      <c r="AH41" s="181"/>
      <c r="AI41" s="182"/>
    </row>
    <row r="42" spans="1:38" ht="22.35" customHeight="1" thickBot="1">
      <c r="A42" s="1315">
        <v>12</v>
      </c>
      <c r="B42" s="1327" t="s">
        <v>83</v>
      </c>
      <c r="C42" s="1328">
        <v>8</v>
      </c>
      <c r="D42" s="1328">
        <v>8</v>
      </c>
      <c r="E42" s="1328"/>
      <c r="F42" s="1328"/>
      <c r="G42" s="1328" t="s">
        <v>36</v>
      </c>
      <c r="H42" s="1328" t="s">
        <v>36</v>
      </c>
      <c r="I42" s="1329" t="s">
        <v>36</v>
      </c>
      <c r="J42" s="1329" t="s">
        <v>36</v>
      </c>
      <c r="K42" s="1330" t="s">
        <v>36</v>
      </c>
      <c r="L42" s="1329"/>
      <c r="M42" s="1329"/>
      <c r="N42" s="1329">
        <v>1</v>
      </c>
      <c r="O42" s="1329">
        <v>1</v>
      </c>
      <c r="P42" s="1329">
        <v>1</v>
      </c>
      <c r="Q42" s="1329">
        <v>1</v>
      </c>
      <c r="R42" s="1329">
        <v>1</v>
      </c>
      <c r="S42" s="1329"/>
      <c r="T42" s="1329"/>
      <c r="U42" s="1331">
        <v>9</v>
      </c>
      <c r="V42" s="1331">
        <v>9</v>
      </c>
      <c r="W42" s="1331">
        <v>9</v>
      </c>
      <c r="X42" s="1329">
        <v>9</v>
      </c>
      <c r="Y42" s="1329">
        <v>9</v>
      </c>
      <c r="Z42" s="1329" t="s">
        <v>76</v>
      </c>
      <c r="AA42" s="1329" t="s">
        <v>77</v>
      </c>
      <c r="AB42" s="1329" t="s">
        <v>36</v>
      </c>
      <c r="AC42" s="1330" t="s">
        <v>36</v>
      </c>
      <c r="AD42" s="1330" t="s">
        <v>36</v>
      </c>
      <c r="AE42" s="1330" t="s">
        <v>36</v>
      </c>
      <c r="AF42" s="1330" t="s">
        <v>36</v>
      </c>
      <c r="AG42" s="1479" t="s">
        <v>78</v>
      </c>
      <c r="AH42" s="181"/>
      <c r="AI42" s="182"/>
    </row>
    <row r="43" spans="1:38" ht="22.35" customHeight="1">
      <c r="A43" s="359">
        <v>3</v>
      </c>
      <c r="B43" s="363" t="s">
        <v>84</v>
      </c>
      <c r="C43" s="349" t="s">
        <v>36</v>
      </c>
      <c r="D43" s="350" t="s">
        <v>36</v>
      </c>
      <c r="E43" s="361"/>
      <c r="F43" s="361"/>
      <c r="G43" s="361">
        <v>5</v>
      </c>
      <c r="H43" s="361">
        <v>5</v>
      </c>
      <c r="I43" s="361">
        <v>5</v>
      </c>
      <c r="J43" s="350">
        <v>5</v>
      </c>
      <c r="K43" s="350">
        <v>5</v>
      </c>
      <c r="L43" s="350"/>
      <c r="M43" s="350"/>
      <c r="N43" s="350">
        <v>10</v>
      </c>
      <c r="O43" s="350">
        <v>10</v>
      </c>
      <c r="P43" s="581">
        <v>10</v>
      </c>
      <c r="Q43" s="581">
        <v>10</v>
      </c>
      <c r="R43" s="361">
        <v>10</v>
      </c>
      <c r="S43" s="361" t="s">
        <v>77</v>
      </c>
      <c r="T43" s="361" t="s">
        <v>77</v>
      </c>
      <c r="U43" s="361" t="s">
        <v>36</v>
      </c>
      <c r="V43" s="350" t="s">
        <v>36</v>
      </c>
      <c r="W43" s="350" t="s">
        <v>36</v>
      </c>
      <c r="X43" s="349" t="s">
        <v>36</v>
      </c>
      <c r="Y43" s="361" t="s">
        <v>36</v>
      </c>
      <c r="Z43" s="361" t="s">
        <v>80</v>
      </c>
      <c r="AA43" s="361" t="s">
        <v>80</v>
      </c>
      <c r="AB43" s="361">
        <v>7</v>
      </c>
      <c r="AC43" s="364">
        <v>7</v>
      </c>
      <c r="AD43" s="361">
        <v>7</v>
      </c>
      <c r="AE43" s="361">
        <v>7</v>
      </c>
      <c r="AF43" s="361">
        <v>7</v>
      </c>
      <c r="AG43" s="362"/>
      <c r="AH43" s="181"/>
      <c r="AI43" s="182"/>
    </row>
    <row r="44" spans="1:38" ht="22.35" customHeight="1">
      <c r="A44" s="1308">
        <v>8</v>
      </c>
      <c r="B44" s="1255" t="s">
        <v>85</v>
      </c>
      <c r="C44" s="1332">
        <v>4</v>
      </c>
      <c r="D44" s="1332">
        <v>4</v>
      </c>
      <c r="E44" s="1332"/>
      <c r="F44" s="1332"/>
      <c r="G44" s="1256">
        <v>3</v>
      </c>
      <c r="H44" s="1256">
        <v>3</v>
      </c>
      <c r="I44" s="1256">
        <v>3</v>
      </c>
      <c r="J44" s="1256">
        <v>3</v>
      </c>
      <c r="K44" s="1256">
        <v>3</v>
      </c>
      <c r="L44" s="1249"/>
      <c r="M44" s="1249"/>
      <c r="N44" s="1256">
        <v>11</v>
      </c>
      <c r="O44" s="1322">
        <v>11</v>
      </c>
      <c r="P44" s="1322">
        <v>11</v>
      </c>
      <c r="Q44" s="1322">
        <v>11</v>
      </c>
      <c r="R44" s="1322">
        <v>11</v>
      </c>
      <c r="S44" s="1322" t="s">
        <v>73</v>
      </c>
      <c r="T44" s="1322" t="s">
        <v>73</v>
      </c>
      <c r="U44" s="1322" t="s">
        <v>36</v>
      </c>
      <c r="V44" s="1322" t="s">
        <v>36</v>
      </c>
      <c r="W44" s="1322" t="s">
        <v>36</v>
      </c>
      <c r="X44" s="1252" t="s">
        <v>36</v>
      </c>
      <c r="Y44" s="1322" t="s">
        <v>36</v>
      </c>
      <c r="Z44" s="1322" t="s">
        <v>74</v>
      </c>
      <c r="AA44" s="1322" t="s">
        <v>74</v>
      </c>
      <c r="AB44" s="1322">
        <v>8</v>
      </c>
      <c r="AC44" s="1322">
        <v>8</v>
      </c>
      <c r="AD44" s="1256">
        <v>8</v>
      </c>
      <c r="AE44" s="1256">
        <v>8</v>
      </c>
      <c r="AF44" s="1332">
        <v>8</v>
      </c>
      <c r="AG44" s="1326"/>
      <c r="AH44" s="181"/>
      <c r="AI44" s="182"/>
    </row>
    <row r="45" spans="1:38" ht="22.35" customHeight="1" thickBot="1">
      <c r="A45" s="1315">
        <v>13</v>
      </c>
      <c r="B45" s="1316" t="s">
        <v>86</v>
      </c>
      <c r="C45" s="1240" t="s">
        <v>36</v>
      </c>
      <c r="D45" s="1240" t="s">
        <v>36</v>
      </c>
      <c r="E45" s="1317"/>
      <c r="F45" s="1317"/>
      <c r="G45" s="1317">
        <v>1</v>
      </c>
      <c r="H45" s="1317">
        <v>1</v>
      </c>
      <c r="I45" s="1317" t="s">
        <v>118</v>
      </c>
      <c r="J45" s="1240">
        <v>1</v>
      </c>
      <c r="K45" s="1317">
        <v>1</v>
      </c>
      <c r="L45" s="1333"/>
      <c r="M45" s="1317"/>
      <c r="N45" s="1333">
        <v>9</v>
      </c>
      <c r="O45" s="1333">
        <v>9</v>
      </c>
      <c r="P45" s="1333">
        <v>9</v>
      </c>
      <c r="Q45" s="1317">
        <v>9</v>
      </c>
      <c r="R45" s="1317">
        <v>9</v>
      </c>
      <c r="S45" s="1317" t="s">
        <v>76</v>
      </c>
      <c r="T45" s="1317" t="s">
        <v>77</v>
      </c>
      <c r="U45" s="1317" t="s">
        <v>36</v>
      </c>
      <c r="V45" s="1317" t="s">
        <v>36</v>
      </c>
      <c r="W45" s="1317" t="s">
        <v>36</v>
      </c>
      <c r="X45" s="1317" t="s">
        <v>36</v>
      </c>
      <c r="Y45" s="1240" t="s">
        <v>36</v>
      </c>
      <c r="Z45" s="1480" t="s">
        <v>78</v>
      </c>
      <c r="AA45" s="1480" t="s">
        <v>74</v>
      </c>
      <c r="AB45" s="1320">
        <v>6</v>
      </c>
      <c r="AC45" s="1320">
        <v>6</v>
      </c>
      <c r="AD45" s="1320">
        <v>6</v>
      </c>
      <c r="AE45" s="1320">
        <v>6</v>
      </c>
      <c r="AF45" s="1320">
        <v>6</v>
      </c>
      <c r="AG45" s="1321"/>
      <c r="AH45" s="181"/>
      <c r="AI45" s="182"/>
    </row>
    <row r="46" spans="1:38" ht="22.35" customHeight="1">
      <c r="A46" s="359">
        <v>4</v>
      </c>
      <c r="B46" s="360" t="s">
        <v>87</v>
      </c>
      <c r="C46" s="361">
        <v>5</v>
      </c>
      <c r="D46" s="350">
        <v>5</v>
      </c>
      <c r="E46" s="361"/>
      <c r="F46" s="349"/>
      <c r="G46" s="349">
        <v>10</v>
      </c>
      <c r="H46" s="349">
        <v>10</v>
      </c>
      <c r="I46" s="349">
        <v>10</v>
      </c>
      <c r="J46" s="349">
        <v>10</v>
      </c>
      <c r="K46" s="349">
        <v>10</v>
      </c>
      <c r="L46" s="349" t="s">
        <v>77</v>
      </c>
      <c r="M46" s="349" t="s">
        <v>77</v>
      </c>
      <c r="N46" s="349" t="s">
        <v>36</v>
      </c>
      <c r="O46" s="349" t="s">
        <v>36</v>
      </c>
      <c r="P46" s="349" t="s">
        <v>36</v>
      </c>
      <c r="Q46" s="349" t="s">
        <v>36</v>
      </c>
      <c r="R46" s="349" t="s">
        <v>36</v>
      </c>
      <c r="S46" s="349" t="s">
        <v>80</v>
      </c>
      <c r="T46" s="361" t="s">
        <v>80</v>
      </c>
      <c r="U46" s="361">
        <v>7</v>
      </c>
      <c r="V46" s="364">
        <v>7</v>
      </c>
      <c r="W46" s="361">
        <v>7</v>
      </c>
      <c r="X46" s="361">
        <v>7</v>
      </c>
      <c r="Y46" s="349">
        <v>7</v>
      </c>
      <c r="Z46" s="361"/>
      <c r="AA46" s="361"/>
      <c r="AB46" s="361">
        <v>4</v>
      </c>
      <c r="AC46" s="361">
        <v>4</v>
      </c>
      <c r="AD46" s="361">
        <v>4</v>
      </c>
      <c r="AE46" s="350">
        <v>4</v>
      </c>
      <c r="AF46" s="361">
        <v>4</v>
      </c>
      <c r="AG46" s="362"/>
      <c r="AH46" s="181"/>
      <c r="AI46" s="182"/>
    </row>
    <row r="47" spans="1:38" ht="22.35" customHeight="1">
      <c r="A47" s="1308">
        <v>9</v>
      </c>
      <c r="B47" s="1255" t="s">
        <v>88</v>
      </c>
      <c r="C47" s="1481">
        <v>3</v>
      </c>
      <c r="D47" s="1481">
        <v>3</v>
      </c>
      <c r="E47" s="1322"/>
      <c r="F47" s="1322"/>
      <c r="G47" s="1322">
        <v>11</v>
      </c>
      <c r="H47" s="1322">
        <v>11</v>
      </c>
      <c r="I47" s="1322">
        <v>11</v>
      </c>
      <c r="J47" s="1322">
        <v>11</v>
      </c>
      <c r="K47" s="1322">
        <v>11</v>
      </c>
      <c r="L47" s="1322" t="s">
        <v>73</v>
      </c>
      <c r="M47" s="1322" t="s">
        <v>73</v>
      </c>
      <c r="N47" s="1322" t="s">
        <v>36</v>
      </c>
      <c r="O47" s="1322" t="s">
        <v>36</v>
      </c>
      <c r="P47" s="1322" t="s">
        <v>36</v>
      </c>
      <c r="Q47" s="1252" t="s">
        <v>36</v>
      </c>
      <c r="R47" s="1322" t="s">
        <v>36</v>
      </c>
      <c r="S47" s="1322" t="s">
        <v>74</v>
      </c>
      <c r="T47" s="1322" t="s">
        <v>74</v>
      </c>
      <c r="U47" s="1322">
        <v>8</v>
      </c>
      <c r="V47" s="1322">
        <v>8</v>
      </c>
      <c r="W47" s="1322">
        <v>8</v>
      </c>
      <c r="X47" s="1322">
        <v>8</v>
      </c>
      <c r="Y47" s="1322">
        <v>8</v>
      </c>
      <c r="Z47" s="1322"/>
      <c r="AA47" s="1322"/>
      <c r="AB47" s="1322" t="s">
        <v>36</v>
      </c>
      <c r="AC47" s="1322" t="s">
        <v>36</v>
      </c>
      <c r="AD47" s="1322" t="s">
        <v>36</v>
      </c>
      <c r="AE47" s="1322" t="s">
        <v>36</v>
      </c>
      <c r="AF47" s="1322" t="s">
        <v>36</v>
      </c>
      <c r="AG47" s="1326"/>
      <c r="AH47" s="181"/>
      <c r="AI47" s="182"/>
    </row>
    <row r="48" spans="1:38" ht="22.35" customHeight="1" thickBot="1">
      <c r="A48" s="1315">
        <v>14</v>
      </c>
      <c r="B48" s="1316" t="s">
        <v>89</v>
      </c>
      <c r="C48" s="1320">
        <v>1</v>
      </c>
      <c r="D48" s="1320">
        <v>1</v>
      </c>
      <c r="E48" s="1320"/>
      <c r="F48" s="1320"/>
      <c r="G48" s="1333">
        <v>9</v>
      </c>
      <c r="H48" s="1333">
        <v>9</v>
      </c>
      <c r="I48" s="1333">
        <v>9</v>
      </c>
      <c r="J48" s="1317">
        <v>9</v>
      </c>
      <c r="K48" s="1317">
        <v>9</v>
      </c>
      <c r="L48" s="1317" t="s">
        <v>76</v>
      </c>
      <c r="M48" s="1317" t="s">
        <v>77</v>
      </c>
      <c r="N48" s="1317" t="s">
        <v>36</v>
      </c>
      <c r="O48" s="1240" t="s">
        <v>36</v>
      </c>
      <c r="P48" s="1317" t="s">
        <v>36</v>
      </c>
      <c r="Q48" s="1317" t="s">
        <v>36</v>
      </c>
      <c r="R48" s="1240" t="s">
        <v>36</v>
      </c>
      <c r="S48" s="1317" t="s">
        <v>78</v>
      </c>
      <c r="T48" s="1317" t="s">
        <v>74</v>
      </c>
      <c r="U48" s="1317">
        <v>6</v>
      </c>
      <c r="V48" s="1317">
        <v>6</v>
      </c>
      <c r="W48" s="1317">
        <v>6</v>
      </c>
      <c r="X48" s="1240">
        <v>6</v>
      </c>
      <c r="Y48" s="1317">
        <v>6</v>
      </c>
      <c r="Z48" s="1317"/>
      <c r="AA48" s="1317"/>
      <c r="AB48" s="1317" t="s">
        <v>36</v>
      </c>
      <c r="AC48" s="1240" t="s">
        <v>36</v>
      </c>
      <c r="AD48" s="1317" t="s">
        <v>36</v>
      </c>
      <c r="AE48" s="1317" t="s">
        <v>36</v>
      </c>
      <c r="AF48" s="1240" t="s">
        <v>36</v>
      </c>
      <c r="AG48" s="1242"/>
      <c r="AH48" s="181"/>
      <c r="AI48" s="182"/>
    </row>
    <row r="49" spans="1:40" ht="22.35" customHeight="1">
      <c r="A49" s="359">
        <v>5</v>
      </c>
      <c r="B49" s="1255" t="s">
        <v>90</v>
      </c>
      <c r="C49" s="350">
        <v>10</v>
      </c>
      <c r="D49" s="361">
        <v>10</v>
      </c>
      <c r="E49" s="361" t="s">
        <v>77</v>
      </c>
      <c r="F49" s="350" t="s">
        <v>77</v>
      </c>
      <c r="G49" s="350" t="s">
        <v>36</v>
      </c>
      <c r="H49" s="350" t="s">
        <v>36</v>
      </c>
      <c r="I49" s="350" t="s">
        <v>36</v>
      </c>
      <c r="J49" s="350" t="s">
        <v>36</v>
      </c>
      <c r="K49" s="361" t="s">
        <v>36</v>
      </c>
      <c r="L49" s="361" t="s">
        <v>80</v>
      </c>
      <c r="M49" s="361" t="s">
        <v>80</v>
      </c>
      <c r="N49" s="351">
        <v>7</v>
      </c>
      <c r="O49" s="349">
        <v>7</v>
      </c>
      <c r="P49" s="361">
        <v>7</v>
      </c>
      <c r="Q49" s="361">
        <v>7</v>
      </c>
      <c r="R49" s="349">
        <v>7</v>
      </c>
      <c r="S49" s="361"/>
      <c r="T49" s="361"/>
      <c r="U49" s="350">
        <v>4</v>
      </c>
      <c r="V49" s="350">
        <v>4</v>
      </c>
      <c r="W49" s="350">
        <v>4</v>
      </c>
      <c r="X49" s="350">
        <v>4</v>
      </c>
      <c r="Y49" s="351">
        <v>4</v>
      </c>
      <c r="Z49" s="350"/>
      <c r="AA49" s="350"/>
      <c r="AB49" s="350">
        <v>3</v>
      </c>
      <c r="AC49" s="350">
        <v>3</v>
      </c>
      <c r="AD49" s="361">
        <v>3</v>
      </c>
      <c r="AE49" s="361">
        <v>3</v>
      </c>
      <c r="AF49" s="349">
        <v>3</v>
      </c>
      <c r="AG49" s="352"/>
      <c r="AH49" s="181"/>
      <c r="AI49" s="182"/>
    </row>
    <row r="50" spans="1:40" ht="22.35" customHeight="1">
      <c r="A50" s="1308">
        <v>10</v>
      </c>
      <c r="B50" s="1255" t="s">
        <v>91</v>
      </c>
      <c r="C50" s="1253">
        <v>11</v>
      </c>
      <c r="D50" s="1253">
        <v>11</v>
      </c>
      <c r="E50" s="1253" t="s">
        <v>73</v>
      </c>
      <c r="F50" s="1253" t="s">
        <v>73</v>
      </c>
      <c r="G50" s="1249" t="s">
        <v>36</v>
      </c>
      <c r="H50" s="1249" t="s">
        <v>36</v>
      </c>
      <c r="I50" s="1249" t="s">
        <v>36</v>
      </c>
      <c r="J50" s="1249" t="s">
        <v>36</v>
      </c>
      <c r="K50" s="1249" t="s">
        <v>36</v>
      </c>
      <c r="L50" s="1249" t="s">
        <v>74</v>
      </c>
      <c r="M50" s="1249" t="s">
        <v>74</v>
      </c>
      <c r="N50" s="1249">
        <v>8</v>
      </c>
      <c r="O50" s="1249">
        <v>8</v>
      </c>
      <c r="P50" s="1249">
        <v>8</v>
      </c>
      <c r="Q50" s="1249">
        <v>8</v>
      </c>
      <c r="R50" s="1249">
        <v>8</v>
      </c>
      <c r="S50" s="1249"/>
      <c r="T50" s="1249"/>
      <c r="U50" s="1249" t="s">
        <v>36</v>
      </c>
      <c r="V50" s="1249" t="s">
        <v>36</v>
      </c>
      <c r="W50" s="1256" t="s">
        <v>36</v>
      </c>
      <c r="X50" s="1322" t="s">
        <v>36</v>
      </c>
      <c r="Y50" s="1252" t="s">
        <v>36</v>
      </c>
      <c r="Z50" s="1322"/>
      <c r="AA50" s="1322"/>
      <c r="AB50" s="1322">
        <v>1</v>
      </c>
      <c r="AC50" s="1322">
        <v>1</v>
      </c>
      <c r="AD50" s="1322">
        <v>1</v>
      </c>
      <c r="AE50" s="1322">
        <v>1</v>
      </c>
      <c r="AF50" s="1322">
        <v>1</v>
      </c>
      <c r="AG50" s="1326"/>
      <c r="AH50" s="181"/>
      <c r="AI50" s="182"/>
    </row>
    <row r="51" spans="1:40" ht="22.35" customHeight="1" thickBot="1">
      <c r="A51" s="1315">
        <v>15</v>
      </c>
      <c r="B51" s="1316" t="s">
        <v>92</v>
      </c>
      <c r="C51" s="1317">
        <v>9</v>
      </c>
      <c r="D51" s="1317">
        <v>9</v>
      </c>
      <c r="E51" s="1317" t="s">
        <v>76</v>
      </c>
      <c r="F51" s="1333" t="s">
        <v>77</v>
      </c>
      <c r="G51" s="1333" t="s">
        <v>36</v>
      </c>
      <c r="H51" s="1333" t="s">
        <v>36</v>
      </c>
      <c r="I51" s="1333" t="s">
        <v>36</v>
      </c>
      <c r="J51" s="1333" t="s">
        <v>36</v>
      </c>
      <c r="K51" s="1240" t="s">
        <v>36</v>
      </c>
      <c r="L51" s="1317" t="s">
        <v>78</v>
      </c>
      <c r="M51" s="1317" t="s">
        <v>74</v>
      </c>
      <c r="N51" s="1317">
        <v>6</v>
      </c>
      <c r="O51" s="1317">
        <v>6</v>
      </c>
      <c r="P51" s="1317">
        <v>6</v>
      </c>
      <c r="Q51" s="1240">
        <v>6</v>
      </c>
      <c r="R51" s="1317">
        <v>6</v>
      </c>
      <c r="S51" s="1317"/>
      <c r="T51" s="1317"/>
      <c r="U51" s="1317" t="s">
        <v>36</v>
      </c>
      <c r="V51" s="1317" t="s">
        <v>36</v>
      </c>
      <c r="W51" s="1317" t="s">
        <v>36</v>
      </c>
      <c r="X51" s="1317" t="s">
        <v>36</v>
      </c>
      <c r="Y51" s="1240" t="s">
        <v>36</v>
      </c>
      <c r="Z51" s="1317"/>
      <c r="AA51" s="1317"/>
      <c r="AB51" s="1317">
        <v>5</v>
      </c>
      <c r="AC51" s="1317">
        <v>5</v>
      </c>
      <c r="AD51" s="1317">
        <v>5</v>
      </c>
      <c r="AE51" s="1240">
        <v>5</v>
      </c>
      <c r="AF51" s="1333">
        <v>5</v>
      </c>
      <c r="AG51" s="1334"/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1335" t="s">
        <v>28</v>
      </c>
      <c r="B54" s="1335"/>
      <c r="C54" s="1336"/>
      <c r="D54" s="1335" t="s">
        <v>94</v>
      </c>
      <c r="E54" s="1337"/>
      <c r="F54" s="1336"/>
      <c r="G54" s="1335" t="s">
        <v>95</v>
      </c>
      <c r="H54" s="1337"/>
      <c r="I54" s="1336"/>
      <c r="J54" s="1335" t="s">
        <v>96</v>
      </c>
      <c r="K54" s="1337"/>
      <c r="L54" s="1336"/>
      <c r="M54" s="1335" t="s">
        <v>97</v>
      </c>
      <c r="N54" s="1337"/>
      <c r="O54" s="1336"/>
      <c r="P54" s="1335" t="s">
        <v>98</v>
      </c>
      <c r="Q54" s="1337"/>
      <c r="R54" s="1338"/>
      <c r="S54" s="1339" t="s">
        <v>99</v>
      </c>
      <c r="T54" s="1337"/>
      <c r="U54" s="1336"/>
      <c r="V54" s="1335" t="s">
        <v>100</v>
      </c>
      <c r="W54" s="1337"/>
      <c r="X54" s="1340" t="s">
        <v>101</v>
      </c>
      <c r="Y54" s="1337"/>
      <c r="Z54" s="1337"/>
      <c r="AA54" s="1341"/>
      <c r="AB54" s="1224"/>
      <c r="AC54" s="1224"/>
      <c r="AD54" s="1224"/>
      <c r="AE54" s="1224"/>
      <c r="AF54" s="1224"/>
      <c r="AG54" s="1225"/>
      <c r="AH54" s="1"/>
    </row>
    <row r="55" spans="1:40" ht="22.35" customHeight="1">
      <c r="A55" s="1342">
        <v>8517</v>
      </c>
      <c r="B55" s="1343"/>
      <c r="C55" s="1344"/>
      <c r="D55" s="1345"/>
      <c r="E55" s="1223"/>
      <c r="F55" s="1344"/>
      <c r="G55" s="1345"/>
      <c r="H55" s="1223"/>
      <c r="I55" s="1344"/>
      <c r="J55" s="1345"/>
      <c r="K55" s="1223"/>
      <c r="L55" s="1344"/>
      <c r="M55" s="1345"/>
      <c r="N55" s="1223"/>
      <c r="O55" s="1344"/>
      <c r="P55" s="1345"/>
      <c r="Q55" s="1223"/>
      <c r="R55" s="1344"/>
      <c r="S55" s="1345"/>
      <c r="T55" s="1223"/>
      <c r="U55" s="1344"/>
      <c r="V55" s="1345"/>
      <c r="W55" s="1223"/>
      <c r="X55" s="1221"/>
      <c r="Y55" s="1224"/>
      <c r="Z55" s="1224"/>
      <c r="AA55" s="1224"/>
      <c r="AB55" s="1224"/>
      <c r="AC55" s="1224"/>
      <c r="AD55" s="1224"/>
      <c r="AE55" s="1224"/>
      <c r="AF55" s="1224"/>
      <c r="AG55" s="1225"/>
      <c r="AH55" s="1"/>
    </row>
    <row r="56" spans="1:40" ht="22.35" customHeight="1">
      <c r="B56" s="1247" t="s">
        <v>102</v>
      </c>
      <c r="C56" s="1346" t="s">
        <v>103</v>
      </c>
      <c r="D56" s="1347"/>
      <c r="E56" s="1348"/>
      <c r="F56" s="1346" t="s">
        <v>103</v>
      </c>
      <c r="G56" s="1349"/>
      <c r="H56" s="1348"/>
      <c r="I56" s="1344" t="s">
        <v>103</v>
      </c>
      <c r="J56" s="1345"/>
      <c r="K56" s="1350"/>
      <c r="L56" s="1344" t="s">
        <v>103</v>
      </c>
      <c r="M56" s="1345"/>
      <c r="N56" s="1350"/>
      <c r="O56" s="1344" t="s">
        <v>104</v>
      </c>
      <c r="P56" s="1345"/>
      <c r="Q56" s="1223"/>
      <c r="R56" s="1351" t="s">
        <v>0</v>
      </c>
      <c r="S56" s="1345"/>
      <c r="T56" s="1350"/>
      <c r="U56" s="1345" t="s">
        <v>0</v>
      </c>
      <c r="V56" s="1345"/>
      <c r="W56" s="1223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1352"/>
      <c r="B57" s="1343" t="s">
        <v>105</v>
      </c>
      <c r="C57" s="1344" t="s">
        <v>106</v>
      </c>
      <c r="D57" s="1345"/>
      <c r="E57" s="1223"/>
      <c r="F57" s="1344" t="s">
        <v>106</v>
      </c>
      <c r="G57" s="1345"/>
      <c r="H57" s="1350"/>
      <c r="I57" s="1344" t="s">
        <v>106</v>
      </c>
      <c r="J57" s="1345"/>
      <c r="K57" s="1350"/>
      <c r="L57" s="1344" t="s">
        <v>106</v>
      </c>
      <c r="M57" s="1345"/>
      <c r="N57" s="1350"/>
      <c r="O57" s="1344" t="s">
        <v>106</v>
      </c>
      <c r="P57" s="1345"/>
      <c r="Q57" s="1223"/>
      <c r="R57" s="112"/>
      <c r="S57" s="113"/>
      <c r="T57" s="1350"/>
      <c r="U57" s="1345"/>
      <c r="V57" s="1345"/>
      <c r="W57" s="1223"/>
      <c r="X57" s="1221"/>
      <c r="Y57" s="1224"/>
      <c r="Z57" s="1224"/>
      <c r="AA57" s="1224"/>
      <c r="AB57" s="1224"/>
      <c r="AC57" s="1224"/>
      <c r="AD57" s="1224"/>
      <c r="AE57" s="1224"/>
      <c r="AF57" s="1224"/>
      <c r="AG57" s="1225"/>
      <c r="AH57" s="1"/>
    </row>
    <row r="58" spans="1:40" ht="22.35" customHeight="1">
      <c r="A58" s="1335"/>
      <c r="B58" s="1247"/>
      <c r="C58" s="1353"/>
      <c r="D58" s="1353"/>
      <c r="E58" s="1354"/>
      <c r="F58" s="1353"/>
      <c r="G58" s="1353"/>
      <c r="H58" s="1354"/>
      <c r="I58" s="1353"/>
      <c r="J58" s="1353"/>
      <c r="K58" s="1354"/>
      <c r="L58" s="1353"/>
      <c r="M58" s="1353"/>
      <c r="N58" s="1354"/>
      <c r="O58" s="1353"/>
      <c r="P58" s="1353"/>
      <c r="Q58" s="1354"/>
      <c r="R58" s="1353"/>
      <c r="S58" s="1353"/>
      <c r="T58" s="1354"/>
      <c r="U58" s="1353"/>
      <c r="V58" s="1353"/>
      <c r="W58" s="1354"/>
      <c r="X58" s="1221"/>
      <c r="Y58" s="1224"/>
      <c r="Z58" s="1224"/>
      <c r="AA58" s="1224"/>
      <c r="AB58" s="1224"/>
      <c r="AC58" s="1224"/>
      <c r="AD58" s="1224"/>
      <c r="AE58" s="1224"/>
      <c r="AF58" s="1224"/>
      <c r="AG58" s="1225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1355"/>
      <c r="B60" s="1239" t="s">
        <v>29</v>
      </c>
      <c r="C60" s="1240">
        <v>1</v>
      </c>
      <c r="D60" s="1240">
        <v>2</v>
      </c>
      <c r="E60" s="1241">
        <v>3</v>
      </c>
      <c r="F60" s="1241">
        <v>4</v>
      </c>
      <c r="G60" s="1240">
        <v>5</v>
      </c>
      <c r="H60" s="1240">
        <v>6</v>
      </c>
      <c r="I60" s="1240">
        <v>7</v>
      </c>
      <c r="J60" s="1240">
        <v>8</v>
      </c>
      <c r="K60" s="1240">
        <v>9</v>
      </c>
      <c r="L60" s="1241">
        <v>10</v>
      </c>
      <c r="M60" s="1241">
        <v>11</v>
      </c>
      <c r="N60" s="1240">
        <v>12</v>
      </c>
      <c r="O60" s="1240">
        <v>13</v>
      </c>
      <c r="P60" s="1240">
        <v>14</v>
      </c>
      <c r="Q60" s="1240">
        <v>15</v>
      </c>
      <c r="R60" s="1240">
        <v>16</v>
      </c>
      <c r="S60" s="1241">
        <v>17</v>
      </c>
      <c r="T60" s="1241">
        <v>18</v>
      </c>
      <c r="U60" s="1240">
        <v>19</v>
      </c>
      <c r="V60" s="1240">
        <v>20</v>
      </c>
      <c r="W60" s="1240">
        <v>21</v>
      </c>
      <c r="X60" s="1240">
        <v>22</v>
      </c>
      <c r="Y60" s="1240">
        <v>23</v>
      </c>
      <c r="Z60" s="1241">
        <v>24</v>
      </c>
      <c r="AA60" s="1241">
        <v>25</v>
      </c>
      <c r="AB60" s="1240">
        <v>26</v>
      </c>
      <c r="AC60" s="1240">
        <v>27</v>
      </c>
      <c r="AD60" s="1240">
        <v>28</v>
      </c>
      <c r="AE60" s="1240">
        <v>29</v>
      </c>
      <c r="AF60" s="1240">
        <v>30</v>
      </c>
      <c r="AG60" s="1469">
        <v>31</v>
      </c>
      <c r="AH60" s="1"/>
      <c r="AJ60" s="1243" t="s">
        <v>30</v>
      </c>
      <c r="AK60" s="1243" t="s">
        <v>43</v>
      </c>
      <c r="AL60" s="1243" t="s">
        <v>44</v>
      </c>
      <c r="AM60" s="1243" t="s">
        <v>45</v>
      </c>
      <c r="AN60" s="1243" t="s">
        <v>46</v>
      </c>
    </row>
    <row r="61" spans="1:40" ht="22.35" customHeight="1">
      <c r="A61" s="303"/>
      <c r="B61" s="304" t="s">
        <v>107</v>
      </c>
      <c r="C61" s="349">
        <v>21</v>
      </c>
      <c r="D61" s="349">
        <v>21</v>
      </c>
      <c r="E61" s="349">
        <v>21</v>
      </c>
      <c r="F61" s="349">
        <v>21</v>
      </c>
      <c r="G61" s="541" t="s">
        <v>32</v>
      </c>
      <c r="H61" s="541" t="s">
        <v>32</v>
      </c>
      <c r="I61" s="541" t="s">
        <v>32</v>
      </c>
      <c r="J61" s="541" t="s">
        <v>32</v>
      </c>
      <c r="K61" s="541" t="s">
        <v>32</v>
      </c>
      <c r="L61" s="541"/>
      <c r="M61" s="541"/>
      <c r="N61" s="541" t="s">
        <v>32</v>
      </c>
      <c r="O61" s="541" t="s">
        <v>32</v>
      </c>
      <c r="P61" s="541" t="s">
        <v>32</v>
      </c>
      <c r="Q61" s="541" t="s">
        <v>32</v>
      </c>
      <c r="R61" s="541" t="s">
        <v>32</v>
      </c>
      <c r="S61" s="541"/>
      <c r="T61" s="541"/>
      <c r="U61" s="541" t="s">
        <v>32</v>
      </c>
      <c r="V61" s="541" t="s">
        <v>32</v>
      </c>
      <c r="W61" s="541" t="s">
        <v>32</v>
      </c>
      <c r="X61" s="541" t="s">
        <v>32</v>
      </c>
      <c r="Y61" s="541" t="s">
        <v>32</v>
      </c>
      <c r="Z61" s="541"/>
      <c r="AA61" s="541"/>
      <c r="AB61" s="1273" t="s">
        <v>32</v>
      </c>
      <c r="AC61" s="1273" t="s">
        <v>32</v>
      </c>
      <c r="AD61" s="1273" t="s">
        <v>32</v>
      </c>
      <c r="AE61" s="1273" t="s">
        <v>32</v>
      </c>
      <c r="AF61" s="1273" t="s">
        <v>32</v>
      </c>
      <c r="AG61" s="352"/>
      <c r="AH61" s="1"/>
      <c r="AJ61" s="1269">
        <v>187</v>
      </c>
      <c r="AK61" s="1269">
        <v>3</v>
      </c>
      <c r="AL61" s="1269">
        <f>IF(AJ61="","",SUM(AJ61:AK61))</f>
        <v>190</v>
      </c>
      <c r="AM61" s="1270">
        <f t="shared" ref="AM61:AM75" si="1">IF(AJ61="","",AL61-NormTid)</f>
        <v>29.669999999999987</v>
      </c>
      <c r="AN61" s="1270">
        <f>IF(AM61="","",AM61+'Juni 2021'!AN61)</f>
        <v>82.439999999999969</v>
      </c>
    </row>
    <row r="62" spans="1:40" ht="22.35" customHeight="1">
      <c r="A62" s="1356"/>
      <c r="B62" s="1357" t="s">
        <v>110</v>
      </c>
      <c r="C62" s="1273">
        <v>1</v>
      </c>
      <c r="D62" s="1273">
        <v>1</v>
      </c>
      <c r="E62" s="1273" t="s">
        <v>80</v>
      </c>
      <c r="F62" s="1273" t="s">
        <v>80</v>
      </c>
      <c r="G62" s="1273" t="s">
        <v>36</v>
      </c>
      <c r="H62" s="1273" t="s">
        <v>36</v>
      </c>
      <c r="I62" s="1358" t="s">
        <v>36</v>
      </c>
      <c r="J62" s="1273" t="s">
        <v>32</v>
      </c>
      <c r="K62" s="1273" t="s">
        <v>32</v>
      </c>
      <c r="L62" s="1358"/>
      <c r="M62" s="1482" t="s">
        <v>347</v>
      </c>
      <c r="N62" s="1358" t="s">
        <v>348</v>
      </c>
      <c r="O62" s="1358" t="s">
        <v>348</v>
      </c>
      <c r="P62" s="1359">
        <v>25</v>
      </c>
      <c r="Q62" s="1372">
        <v>25</v>
      </c>
      <c r="R62" s="1359">
        <v>25</v>
      </c>
      <c r="S62" s="1273" t="s">
        <v>109</v>
      </c>
      <c r="T62" s="1273" t="s">
        <v>109</v>
      </c>
      <c r="U62" s="1359" t="s">
        <v>36</v>
      </c>
      <c r="V62" s="1359" t="s">
        <v>36</v>
      </c>
      <c r="W62" s="1273">
        <v>25</v>
      </c>
      <c r="X62" s="1273">
        <v>25</v>
      </c>
      <c r="Y62" s="1273">
        <v>25</v>
      </c>
      <c r="Z62" s="1273"/>
      <c r="AA62" s="1273"/>
      <c r="AB62" s="1370" t="s">
        <v>32</v>
      </c>
      <c r="AC62" s="1370" t="s">
        <v>32</v>
      </c>
      <c r="AD62" s="1370" t="s">
        <v>32</v>
      </c>
      <c r="AE62" s="1370" t="s">
        <v>32</v>
      </c>
      <c r="AF62" s="1370" t="s">
        <v>32</v>
      </c>
      <c r="AG62" s="981"/>
      <c r="AH62" s="1"/>
      <c r="AJ62" s="1269">
        <v>169.5</v>
      </c>
      <c r="AK62" s="1269">
        <v>9.5</v>
      </c>
      <c r="AL62" s="1269">
        <f t="shared" ref="AL62:AL75" si="2">IF(AJ62="","",SUM(AJ62:AK62))</f>
        <v>179</v>
      </c>
      <c r="AM62" s="1270">
        <f t="shared" si="1"/>
        <v>18.669999999999987</v>
      </c>
      <c r="AN62" s="1270">
        <f>IF(AM62="","",AM62+'Juni 2021'!AN62)</f>
        <v>47.429999999999964</v>
      </c>
    </row>
    <row r="63" spans="1:40" ht="22.35" customHeight="1">
      <c r="A63" s="1356"/>
      <c r="B63" s="1356" t="s">
        <v>112</v>
      </c>
      <c r="C63" s="1361" t="s">
        <v>36</v>
      </c>
      <c r="D63" s="1361" t="s">
        <v>36</v>
      </c>
      <c r="E63" s="1361" t="s">
        <v>111</v>
      </c>
      <c r="F63" s="1361" t="s">
        <v>111</v>
      </c>
      <c r="G63" s="1370" t="s">
        <v>32</v>
      </c>
      <c r="H63" s="1370" t="s">
        <v>32</v>
      </c>
      <c r="I63" s="1370" t="s">
        <v>32</v>
      </c>
      <c r="J63" s="1370" t="s">
        <v>32</v>
      </c>
      <c r="K63" s="1370" t="s">
        <v>32</v>
      </c>
      <c r="L63" s="1370"/>
      <c r="M63" s="1370"/>
      <c r="N63" s="1370" t="s">
        <v>32</v>
      </c>
      <c r="O63" s="1370" t="s">
        <v>32</v>
      </c>
      <c r="P63" s="1370" t="s">
        <v>32</v>
      </c>
      <c r="Q63" s="1370" t="s">
        <v>32</v>
      </c>
      <c r="R63" s="1370" t="s">
        <v>32</v>
      </c>
      <c r="S63" s="1370"/>
      <c r="T63" s="1370"/>
      <c r="U63" s="1370" t="s">
        <v>32</v>
      </c>
      <c r="V63" s="1370" t="s">
        <v>32</v>
      </c>
      <c r="W63" s="1370" t="s">
        <v>32</v>
      </c>
      <c r="X63" s="1370" t="s">
        <v>32</v>
      </c>
      <c r="Y63" s="1370" t="s">
        <v>32</v>
      </c>
      <c r="Z63" s="1370"/>
      <c r="AA63" s="1370"/>
      <c r="AB63" s="1361" t="s">
        <v>36</v>
      </c>
      <c r="AC63" s="1361" t="s">
        <v>36</v>
      </c>
      <c r="AD63" s="1361" t="s">
        <v>36</v>
      </c>
      <c r="AE63" s="1361" t="s">
        <v>36</v>
      </c>
      <c r="AF63" s="1361" t="s">
        <v>36</v>
      </c>
      <c r="AG63" s="1277" t="s">
        <v>111</v>
      </c>
      <c r="AH63" s="1"/>
      <c r="AJ63" s="1269">
        <v>111</v>
      </c>
      <c r="AK63" s="1269">
        <v>0</v>
      </c>
      <c r="AL63" s="1269">
        <f t="shared" si="2"/>
        <v>111</v>
      </c>
      <c r="AM63" s="1270">
        <f t="shared" si="1"/>
        <v>-49.330000000000013</v>
      </c>
      <c r="AN63" s="1270">
        <f>IF(AM63="","",AM63+'Juni 2021'!AN63)</f>
        <v>3.9299999999999642</v>
      </c>
    </row>
    <row r="64" spans="1:40" ht="22.35" customHeight="1">
      <c r="A64" s="1356"/>
      <c r="B64" s="1356" t="s">
        <v>114</v>
      </c>
      <c r="C64" s="1273" t="s">
        <v>36</v>
      </c>
      <c r="D64" s="1273" t="s">
        <v>36</v>
      </c>
      <c r="E64" s="1273" t="s">
        <v>74</v>
      </c>
      <c r="F64" s="1273" t="s">
        <v>74</v>
      </c>
      <c r="G64" s="1273">
        <v>6</v>
      </c>
      <c r="H64" s="1273">
        <v>6</v>
      </c>
      <c r="I64" s="1273">
        <v>6</v>
      </c>
      <c r="J64" s="1273">
        <v>6</v>
      </c>
      <c r="K64" s="1273">
        <v>6</v>
      </c>
      <c r="L64" s="1273"/>
      <c r="M64" s="1365" t="s">
        <v>109</v>
      </c>
      <c r="N64" s="1359" t="s">
        <v>108</v>
      </c>
      <c r="O64" s="1359" t="s">
        <v>116</v>
      </c>
      <c r="P64" s="1359" t="s">
        <v>116</v>
      </c>
      <c r="Q64" s="1359" t="s">
        <v>116</v>
      </c>
      <c r="R64" s="1359" t="s">
        <v>116</v>
      </c>
      <c r="S64" s="1359"/>
      <c r="T64" s="1359"/>
      <c r="U64">
        <v>5</v>
      </c>
      <c r="V64">
        <v>5</v>
      </c>
      <c r="W64">
        <v>5</v>
      </c>
      <c r="X64">
        <v>5</v>
      </c>
      <c r="Y64">
        <v>5</v>
      </c>
      <c r="Z64" s="1273" t="s">
        <v>0</v>
      </c>
      <c r="AA64" s="1273" t="s">
        <v>0</v>
      </c>
      <c r="AB64">
        <v>25</v>
      </c>
      <c r="AC64">
        <v>25</v>
      </c>
      <c r="AD64">
        <v>25</v>
      </c>
      <c r="AE64">
        <v>25</v>
      </c>
      <c r="AF64">
        <v>25</v>
      </c>
      <c r="AG64" s="979"/>
      <c r="AH64" s="1"/>
      <c r="AJ64" s="1269">
        <v>179.5</v>
      </c>
      <c r="AK64" s="1269">
        <v>13</v>
      </c>
      <c r="AL64" s="1269">
        <f t="shared" si="2"/>
        <v>192.5</v>
      </c>
      <c r="AM64" s="1270">
        <f t="shared" si="1"/>
        <v>32.169999999999987</v>
      </c>
      <c r="AN64" s="1270">
        <f>IF(AM64="","",AM64+'Juni 2021'!AN64)</f>
        <v>114.67999999999996</v>
      </c>
    </row>
    <row r="65" spans="1:40" ht="22.35" customHeight="1">
      <c r="A65" s="1356"/>
      <c r="B65" s="1356" t="s">
        <v>117</v>
      </c>
      <c r="C65" s="1273" t="s">
        <v>124</v>
      </c>
      <c r="D65" s="1273" t="s">
        <v>124</v>
      </c>
      <c r="E65" s="1273" t="s">
        <v>111</v>
      </c>
      <c r="F65" s="1273" t="s">
        <v>111</v>
      </c>
      <c r="G65" s="1370" t="s">
        <v>32</v>
      </c>
      <c r="H65" s="1370" t="s">
        <v>32</v>
      </c>
      <c r="I65" s="1370" t="s">
        <v>32</v>
      </c>
      <c r="J65" s="1370" t="s">
        <v>32</v>
      </c>
      <c r="K65" s="1370" t="s">
        <v>32</v>
      </c>
      <c r="L65" s="1370"/>
      <c r="M65" s="1370"/>
      <c r="N65" s="1370" t="s">
        <v>32</v>
      </c>
      <c r="O65" s="1370" t="s">
        <v>32</v>
      </c>
      <c r="P65" s="1370" t="s">
        <v>32</v>
      </c>
      <c r="Q65" s="1370" t="s">
        <v>32</v>
      </c>
      <c r="R65" s="1370" t="s">
        <v>32</v>
      </c>
      <c r="S65" s="1370"/>
      <c r="T65" s="1370"/>
      <c r="U65" s="1370" t="s">
        <v>32</v>
      </c>
      <c r="V65" s="1370" t="s">
        <v>32</v>
      </c>
      <c r="W65" s="1370" t="s">
        <v>32</v>
      </c>
      <c r="X65" s="1370" t="s">
        <v>32</v>
      </c>
      <c r="Y65" s="1370" t="s">
        <v>32</v>
      </c>
      <c r="Z65" s="1370"/>
      <c r="AA65" s="1370"/>
      <c r="AB65" s="1359" t="s">
        <v>108</v>
      </c>
      <c r="AC65" s="1359" t="s">
        <v>116</v>
      </c>
      <c r="AD65" s="1359" t="s">
        <v>116</v>
      </c>
      <c r="AE65" s="1359" t="s">
        <v>116</v>
      </c>
      <c r="AF65" s="1359" t="s">
        <v>116</v>
      </c>
      <c r="AG65" s="1277" t="s">
        <v>109</v>
      </c>
      <c r="AH65" s="1"/>
      <c r="AJ65" s="1269">
        <v>182</v>
      </c>
      <c r="AK65" s="1269">
        <v>4.25</v>
      </c>
      <c r="AL65" s="1269">
        <f t="shared" si="2"/>
        <v>186.25</v>
      </c>
      <c r="AM65" s="1270">
        <f t="shared" si="1"/>
        <v>25.919999999999987</v>
      </c>
      <c r="AN65" s="1270">
        <f>IF(AM65="","",AM65+'Juni 2021'!AN65)</f>
        <v>27.179999999999964</v>
      </c>
    </row>
    <row r="66" spans="1:40" ht="22.35" customHeight="1">
      <c r="A66" s="1356"/>
      <c r="B66" s="1356" t="s">
        <v>119</v>
      </c>
      <c r="C66" s="1366" t="s">
        <v>32</v>
      </c>
      <c r="D66" s="1366" t="s">
        <v>32</v>
      </c>
      <c r="E66" s="1366"/>
      <c r="F66" s="1366"/>
      <c r="G66" s="1366" t="s">
        <v>32</v>
      </c>
      <c r="H66" s="1366" t="s">
        <v>32</v>
      </c>
      <c r="I66" s="1367" t="s">
        <v>32</v>
      </c>
      <c r="J66" s="1367" t="s">
        <v>32</v>
      </c>
      <c r="K66" s="1367" t="s">
        <v>32</v>
      </c>
      <c r="L66" s="1367"/>
      <c r="M66" s="1367"/>
      <c r="N66" s="1366" t="s">
        <v>32</v>
      </c>
      <c r="O66" s="1366" t="s">
        <v>32</v>
      </c>
      <c r="P66" s="1366" t="s">
        <v>32</v>
      </c>
      <c r="Q66" s="1368" t="s">
        <v>32</v>
      </c>
      <c r="R66" s="1366" t="s">
        <v>32</v>
      </c>
      <c r="S66" s="1367"/>
      <c r="T66" s="1367"/>
      <c r="U66" s="1366" t="s">
        <v>32</v>
      </c>
      <c r="V66" s="1366" t="s">
        <v>32</v>
      </c>
      <c r="W66" s="1366" t="s">
        <v>32</v>
      </c>
      <c r="X66" s="1367" t="s">
        <v>32</v>
      </c>
      <c r="Y66" s="1366" t="s">
        <v>32</v>
      </c>
      <c r="Z66" s="1367"/>
      <c r="AA66" s="1367"/>
      <c r="AB66" s="1367" t="s">
        <v>32</v>
      </c>
      <c r="AC66" s="1367" t="s">
        <v>32</v>
      </c>
      <c r="AD66" s="1367" t="s">
        <v>32</v>
      </c>
      <c r="AE66" s="1367" t="s">
        <v>32</v>
      </c>
      <c r="AF66" s="1367" t="s">
        <v>32</v>
      </c>
      <c r="AG66" s="1277"/>
      <c r="AH66" s="1"/>
      <c r="AJ66" s="1269"/>
      <c r="AK66" s="1269"/>
      <c r="AL66" s="1269" t="str">
        <f t="shared" si="2"/>
        <v/>
      </c>
      <c r="AM66" s="1270" t="str">
        <f t="shared" si="1"/>
        <v/>
      </c>
      <c r="AN66" s="1270" t="str">
        <f>IF(AM66="","",AM66+'Juni 2021'!AN66)</f>
        <v/>
      </c>
    </row>
    <row r="67" spans="1:40" ht="22.35" customHeight="1">
      <c r="A67" s="1356"/>
      <c r="B67" s="1356" t="s">
        <v>120</v>
      </c>
      <c r="C67" s="1273" t="s">
        <v>122</v>
      </c>
      <c r="D67" s="1273" t="s">
        <v>122</v>
      </c>
      <c r="E67" s="1273"/>
      <c r="F67" s="1273"/>
      <c r="G67" s="1273" t="s">
        <v>122</v>
      </c>
      <c r="H67" s="1273" t="s">
        <v>122</v>
      </c>
      <c r="I67" s="1359" t="s">
        <v>122</v>
      </c>
      <c r="J67" s="1359" t="s">
        <v>122</v>
      </c>
      <c r="K67" s="1359" t="s">
        <v>122</v>
      </c>
      <c r="L67" s="1359"/>
      <c r="M67" s="1359"/>
      <c r="N67" s="1366" t="s">
        <v>122</v>
      </c>
      <c r="O67" s="1366" t="s">
        <v>122</v>
      </c>
      <c r="P67" s="1366" t="s">
        <v>122</v>
      </c>
      <c r="Q67" s="1366" t="s">
        <v>122</v>
      </c>
      <c r="R67" s="1366" t="s">
        <v>122</v>
      </c>
      <c r="S67" s="1376"/>
      <c r="T67" s="1376"/>
      <c r="U67" s="1376" t="s">
        <v>122</v>
      </c>
      <c r="V67" s="1376" t="s">
        <v>122</v>
      </c>
      <c r="W67" s="1366" t="s">
        <v>122</v>
      </c>
      <c r="X67" s="1367" t="s">
        <v>122</v>
      </c>
      <c r="Y67" s="1366" t="s">
        <v>121</v>
      </c>
      <c r="Z67" s="1273"/>
      <c r="AA67" s="1273"/>
      <c r="AB67" s="1273" t="s">
        <v>122</v>
      </c>
      <c r="AC67" s="1273" t="s">
        <v>122</v>
      </c>
      <c r="AD67" s="1273" t="s">
        <v>122</v>
      </c>
      <c r="AE67" s="1273" t="s">
        <v>122</v>
      </c>
      <c r="AF67" s="1273" t="s">
        <v>122</v>
      </c>
      <c r="AG67" s="1277"/>
      <c r="AH67" s="1"/>
      <c r="AJ67" s="1269">
        <v>161.75</v>
      </c>
      <c r="AK67" s="1269">
        <v>0</v>
      </c>
      <c r="AL67" s="1269">
        <f t="shared" si="2"/>
        <v>161.75</v>
      </c>
      <c r="AM67" s="1270">
        <f t="shared" si="1"/>
        <v>1.4199999999999875</v>
      </c>
      <c r="AN67" s="1270">
        <f>IF(AM67="","",AM67+'Juni 2021'!AN67)</f>
        <v>9.9999999999624833E-3</v>
      </c>
    </row>
    <row r="68" spans="1:40" ht="22.35" customHeight="1">
      <c r="A68" s="1369"/>
      <c r="B68" s="1357" t="s">
        <v>123</v>
      </c>
      <c r="C68" s="1376">
        <v>25</v>
      </c>
      <c r="D68" s="1376">
        <v>25</v>
      </c>
      <c r="E68" s="1376"/>
      <c r="F68" s="1376"/>
      <c r="G68" s="1376">
        <v>25</v>
      </c>
      <c r="H68" s="1376">
        <v>25</v>
      </c>
      <c r="I68" s="1376">
        <v>25</v>
      </c>
      <c r="J68" s="1376">
        <v>25</v>
      </c>
      <c r="K68" s="1376">
        <v>25</v>
      </c>
      <c r="L68" s="1376" t="s">
        <v>109</v>
      </c>
      <c r="M68" s="1376" t="s">
        <v>166</v>
      </c>
      <c r="N68" s="1273" t="s">
        <v>122</v>
      </c>
      <c r="O68" s="1273" t="s">
        <v>50</v>
      </c>
      <c r="P68" s="1273" t="s">
        <v>50</v>
      </c>
      <c r="Q68" s="1273" t="s">
        <v>50</v>
      </c>
      <c r="R68" s="1273" t="s">
        <v>50</v>
      </c>
      <c r="S68" s="1273"/>
      <c r="T68" s="1273"/>
      <c r="U68" s="1359" t="s">
        <v>115</v>
      </c>
      <c r="V68" s="1359" t="s">
        <v>50</v>
      </c>
      <c r="W68" s="1359" t="s">
        <v>50</v>
      </c>
      <c r="X68" s="1359" t="s">
        <v>50</v>
      </c>
      <c r="Y68" s="1359" t="s">
        <v>50</v>
      </c>
      <c r="Z68" s="1273"/>
      <c r="AA68" s="1273"/>
      <c r="AB68" s="1273" t="s">
        <v>50</v>
      </c>
      <c r="AC68" s="1273" t="s">
        <v>50</v>
      </c>
      <c r="AD68" s="1273" t="s">
        <v>50</v>
      </c>
      <c r="AE68" s="1273" t="s">
        <v>50</v>
      </c>
      <c r="AF68" s="1273" t="s">
        <v>50</v>
      </c>
      <c r="AG68" s="1277" t="s">
        <v>0</v>
      </c>
      <c r="AH68" s="1"/>
      <c r="AJ68" s="1269">
        <v>181.5</v>
      </c>
      <c r="AK68" s="1269">
        <v>6.25</v>
      </c>
      <c r="AL68" s="1269">
        <f t="shared" si="2"/>
        <v>187.75</v>
      </c>
      <c r="AM68" s="1270">
        <f t="shared" si="1"/>
        <v>27.419999999999987</v>
      </c>
      <c r="AN68" s="1270">
        <f>IF(AM68="","",AM68+'Juni 2021'!AN68)</f>
        <v>63.179999999999964</v>
      </c>
    </row>
    <row r="69" spans="1:40" ht="22.35" customHeight="1">
      <c r="A69" s="1356"/>
      <c r="B69" s="1356" t="s">
        <v>128</v>
      </c>
      <c r="C69" s="1483" t="s">
        <v>118</v>
      </c>
      <c r="D69" s="1483" t="s">
        <v>118</v>
      </c>
      <c r="E69" s="1361"/>
      <c r="F69" s="1361"/>
      <c r="G69" s="1273" t="s">
        <v>118</v>
      </c>
      <c r="H69" s="1273" t="s">
        <v>118</v>
      </c>
      <c r="I69" s="1484" t="s">
        <v>118</v>
      </c>
      <c r="J69" s="1273" t="s">
        <v>118</v>
      </c>
      <c r="K69" s="1273" t="s">
        <v>118</v>
      </c>
      <c r="L69" s="1273"/>
      <c r="M69" s="1273"/>
      <c r="N69" s="1359" t="s">
        <v>118</v>
      </c>
      <c r="O69" s="1359" t="s">
        <v>118</v>
      </c>
      <c r="P69" s="1359" t="s">
        <v>118</v>
      </c>
      <c r="Q69" s="1359" t="s">
        <v>118</v>
      </c>
      <c r="R69" s="1359" t="s">
        <v>118</v>
      </c>
      <c r="S69" s="1359"/>
      <c r="T69" s="1359"/>
      <c r="U69" s="1359" t="s">
        <v>50</v>
      </c>
      <c r="V69" s="1359" t="s">
        <v>115</v>
      </c>
      <c r="W69" s="1359" t="s">
        <v>115</v>
      </c>
      <c r="X69" s="1359" t="s">
        <v>115</v>
      </c>
      <c r="Y69" s="1359" t="s">
        <v>115</v>
      </c>
      <c r="Z69" s="1273"/>
      <c r="AA69" s="1273"/>
      <c r="AB69" s="1370" t="s">
        <v>32</v>
      </c>
      <c r="AC69" s="1370" t="s">
        <v>32</v>
      </c>
      <c r="AD69" s="1370" t="s">
        <v>32</v>
      </c>
      <c r="AE69" s="1370" t="s">
        <v>32</v>
      </c>
      <c r="AF69" s="1370" t="s">
        <v>32</v>
      </c>
      <c r="AG69" s="981"/>
      <c r="AH69" s="1"/>
      <c r="AJ69" s="1269">
        <v>163.25</v>
      </c>
      <c r="AK69" s="1269">
        <v>0.5</v>
      </c>
      <c r="AL69" s="1269">
        <f t="shared" si="2"/>
        <v>163.75</v>
      </c>
      <c r="AM69" s="1270">
        <f t="shared" si="1"/>
        <v>3.4199999999999875</v>
      </c>
      <c r="AN69" s="1270">
        <f>IF(AM69="","",AM69+'Juni 2021'!AN69)</f>
        <v>1.6799999999999624</v>
      </c>
    </row>
    <row r="70" spans="1:40" ht="22.35" customHeight="1">
      <c r="A70" s="1356"/>
      <c r="B70" s="1356" t="s">
        <v>130</v>
      </c>
      <c r="C70" s="1273" t="s">
        <v>173</v>
      </c>
      <c r="D70" s="1273" t="s">
        <v>173</v>
      </c>
      <c r="E70" s="1273"/>
      <c r="F70" s="1273"/>
      <c r="G70">
        <v>25</v>
      </c>
      <c r="H70">
        <v>25</v>
      </c>
      <c r="I70">
        <v>25</v>
      </c>
      <c r="J70">
        <v>25</v>
      </c>
      <c r="K70">
        <v>25</v>
      </c>
      <c r="L70" s="1365" t="s">
        <v>109</v>
      </c>
      <c r="M70" s="1273" t="s">
        <v>0</v>
      </c>
      <c r="N70" s="1273" t="s">
        <v>32</v>
      </c>
      <c r="O70" s="1273" t="s">
        <v>32</v>
      </c>
      <c r="P70" s="1273" t="s">
        <v>32</v>
      </c>
      <c r="Q70" s="1273" t="s">
        <v>32</v>
      </c>
      <c r="R70" s="1273" t="s">
        <v>32</v>
      </c>
      <c r="S70" s="1273"/>
      <c r="T70" s="1273"/>
      <c r="U70" t="s">
        <v>32</v>
      </c>
      <c r="V70" t="s">
        <v>32</v>
      </c>
      <c r="W70" s="585" t="s">
        <v>121</v>
      </c>
      <c r="X70" s="584" t="s">
        <v>32</v>
      </c>
      <c r="Y70" s="584" t="s">
        <v>32</v>
      </c>
      <c r="Z70" s="1485" t="s">
        <v>76</v>
      </c>
      <c r="AA70" s="1485" t="s">
        <v>77</v>
      </c>
      <c r="AB70" s="1273" t="s">
        <v>36</v>
      </c>
      <c r="AC70" s="1273" t="s">
        <v>36</v>
      </c>
      <c r="AD70" s="1273" t="s">
        <v>36</v>
      </c>
      <c r="AE70" s="1273" t="s">
        <v>127</v>
      </c>
      <c r="AF70" s="1273" t="s">
        <v>50</v>
      </c>
      <c r="AG70" s="1277"/>
      <c r="AH70" s="1"/>
      <c r="AJ70" s="1269">
        <v>161.5</v>
      </c>
      <c r="AK70" s="1269">
        <v>8</v>
      </c>
      <c r="AL70" s="1269">
        <f t="shared" si="2"/>
        <v>169.5</v>
      </c>
      <c r="AM70" s="1270">
        <f t="shared" si="1"/>
        <v>9.1699999999999875</v>
      </c>
      <c r="AN70" s="1270">
        <f>IF(AM70="","",AM70+'Juni 2021'!AN70)</f>
        <v>36.429999999999964</v>
      </c>
    </row>
    <row r="71" spans="1:40" ht="22.35" customHeight="1">
      <c r="A71" s="1356"/>
      <c r="B71" s="1356" t="s">
        <v>131</v>
      </c>
      <c r="C71" s="1370" t="s">
        <v>32</v>
      </c>
      <c r="D71" s="1370" t="s">
        <v>32</v>
      </c>
      <c r="E71" s="1370"/>
      <c r="F71" s="1370"/>
      <c r="G71" s="1273" t="s">
        <v>173</v>
      </c>
      <c r="H71" s="1273" t="s">
        <v>173</v>
      </c>
      <c r="I71" s="1273" t="s">
        <v>173</v>
      </c>
      <c r="J71" s="1273" t="s">
        <v>173</v>
      </c>
      <c r="K71" s="1273" t="s">
        <v>173</v>
      </c>
      <c r="L71" s="1273"/>
      <c r="M71" s="1273"/>
      <c r="N71" s="1273">
        <v>23</v>
      </c>
      <c r="O71" s="1273">
        <v>23</v>
      </c>
      <c r="P71" s="1273">
        <v>23</v>
      </c>
      <c r="Q71" s="1273">
        <v>23</v>
      </c>
      <c r="R71" s="1273">
        <v>23</v>
      </c>
      <c r="S71" s="1273">
        <v>23</v>
      </c>
      <c r="T71" s="1273">
        <v>23</v>
      </c>
      <c r="U71" s="1273" t="s">
        <v>36</v>
      </c>
      <c r="V71" s="1362" t="s">
        <v>36</v>
      </c>
      <c r="W71" s="1273" t="s">
        <v>36</v>
      </c>
      <c r="X71">
        <v>9</v>
      </c>
      <c r="Y71">
        <v>9</v>
      </c>
      <c r="Z71" s="1273"/>
      <c r="AA71" s="1273"/>
      <c r="AB71" s="1359" t="s">
        <v>115</v>
      </c>
      <c r="AC71" s="1359" t="s">
        <v>115</v>
      </c>
      <c r="AD71" s="1359" t="s">
        <v>115</v>
      </c>
      <c r="AE71" s="1359" t="s">
        <v>115</v>
      </c>
      <c r="AF71" s="1359" t="s">
        <v>115</v>
      </c>
      <c r="AG71" s="1277" t="s">
        <v>80</v>
      </c>
      <c r="AH71" s="1"/>
      <c r="AJ71" s="1269">
        <v>180</v>
      </c>
      <c r="AK71" s="1269">
        <v>7.25</v>
      </c>
      <c r="AL71" s="1269">
        <f t="shared" si="2"/>
        <v>187.25</v>
      </c>
      <c r="AM71" s="1270">
        <f t="shared" si="1"/>
        <v>26.919999999999987</v>
      </c>
      <c r="AN71" s="1270">
        <f>IF(AM71="","",AM71+'Juni 2021'!AN71)</f>
        <v>51.439999999999962</v>
      </c>
    </row>
    <row r="72" spans="1:40" ht="22.35" customHeight="1" thickBot="1">
      <c r="A72" s="1356"/>
      <c r="B72" s="1356" t="s">
        <v>133</v>
      </c>
      <c r="C72" s="1273" t="s">
        <v>50</v>
      </c>
      <c r="D72" s="1273" t="s">
        <v>50</v>
      </c>
      <c r="E72" s="1273"/>
      <c r="F72" s="1273"/>
      <c r="G72" s="1273" t="s">
        <v>50</v>
      </c>
      <c r="H72" s="1273" t="s">
        <v>50</v>
      </c>
      <c r="I72" s="1273" t="s">
        <v>50</v>
      </c>
      <c r="J72" s="1273" t="s">
        <v>50</v>
      </c>
      <c r="K72" s="1273" t="s">
        <v>50</v>
      </c>
      <c r="L72" s="1273"/>
      <c r="M72" s="1273"/>
      <c r="N72" s="1273" t="s">
        <v>50</v>
      </c>
      <c r="O72" s="1273" t="s">
        <v>50</v>
      </c>
      <c r="P72" s="1273" t="s">
        <v>50</v>
      </c>
      <c r="Q72" s="1273" t="s">
        <v>50</v>
      </c>
      <c r="R72" s="1273" t="s">
        <v>50</v>
      </c>
      <c r="S72" s="1273"/>
      <c r="T72" s="1273"/>
      <c r="U72" s="1365" t="s">
        <v>50</v>
      </c>
      <c r="V72" s="1273" t="s">
        <v>50</v>
      </c>
      <c r="W72" s="1273" t="s">
        <v>50</v>
      </c>
      <c r="X72" s="1273" t="s">
        <v>50</v>
      </c>
      <c r="Y72" s="1273" t="s">
        <v>50</v>
      </c>
      <c r="Z72" s="1273"/>
      <c r="AA72" s="1273"/>
      <c r="AB72" s="1370" t="s">
        <v>32</v>
      </c>
      <c r="AC72" s="1370" t="s">
        <v>32</v>
      </c>
      <c r="AD72" s="1370" t="s">
        <v>32</v>
      </c>
      <c r="AE72" s="1370" t="s">
        <v>32</v>
      </c>
      <c r="AF72" s="1370" t="s">
        <v>32</v>
      </c>
      <c r="AG72" s="981"/>
      <c r="AH72" s="1"/>
      <c r="AJ72" s="1269">
        <v>162.5</v>
      </c>
      <c r="AK72" s="1269">
        <v>0.75</v>
      </c>
      <c r="AL72" s="1269">
        <f t="shared" si="2"/>
        <v>163.25</v>
      </c>
      <c r="AM72" s="1270">
        <f t="shared" si="1"/>
        <v>2.9199999999999875</v>
      </c>
      <c r="AN72" s="1270">
        <f>IF(AM72="","",AM72+'Juni 2021'!AN72)</f>
        <v>-2.0600000000000378</v>
      </c>
    </row>
    <row r="73" spans="1:40" ht="22.35" customHeight="1">
      <c r="A73" s="1374"/>
      <c r="B73" s="1369" t="s">
        <v>134</v>
      </c>
      <c r="C73" s="574">
        <v>5</v>
      </c>
      <c r="D73" s="574">
        <v>5</v>
      </c>
      <c r="E73" s="1273"/>
      <c r="F73" s="1273"/>
      <c r="G73" s="349">
        <v>10</v>
      </c>
      <c r="H73" s="349">
        <v>10</v>
      </c>
      <c r="I73" s="349">
        <v>10</v>
      </c>
      <c r="J73" s="349">
        <v>10</v>
      </c>
      <c r="K73" s="349">
        <v>10</v>
      </c>
      <c r="L73" s="349" t="s">
        <v>77</v>
      </c>
      <c r="M73" s="349" t="s">
        <v>77</v>
      </c>
      <c r="N73" s="349" t="s">
        <v>36</v>
      </c>
      <c r="O73" s="1365" t="s">
        <v>122</v>
      </c>
      <c r="P73" s="1365" t="s">
        <v>122</v>
      </c>
      <c r="Q73" s="1365" t="s">
        <v>122</v>
      </c>
      <c r="R73" s="1365" t="s">
        <v>122</v>
      </c>
      <c r="S73" s="349" t="s">
        <v>80</v>
      </c>
      <c r="T73" s="361" t="s">
        <v>80</v>
      </c>
      <c r="U73" s="574">
        <v>7</v>
      </c>
      <c r="V73" s="574">
        <v>7</v>
      </c>
      <c r="W73" s="361">
        <v>7</v>
      </c>
      <c r="X73" s="574">
        <v>7</v>
      </c>
      <c r="Y73" s="574">
        <v>7</v>
      </c>
      <c r="Z73" s="361"/>
      <c r="AA73" s="361"/>
      <c r="AB73" s="361">
        <v>4</v>
      </c>
      <c r="AC73" s="361">
        <v>4</v>
      </c>
      <c r="AD73" s="361">
        <v>4</v>
      </c>
      <c r="AE73" s="350">
        <v>4</v>
      </c>
      <c r="AF73" s="361">
        <v>4</v>
      </c>
      <c r="AG73" s="1486" t="s">
        <v>349</v>
      </c>
      <c r="AH73" s="1"/>
      <c r="AJ73" s="1269"/>
      <c r="AK73" s="1269"/>
      <c r="AL73" s="1269" t="str">
        <f t="shared" si="2"/>
        <v/>
      </c>
      <c r="AM73" s="1270" t="str">
        <f t="shared" si="1"/>
        <v/>
      </c>
      <c r="AN73" s="1270" t="str">
        <f>IF(AM73="","",AM73+'Juni 2021'!AN73)</f>
        <v/>
      </c>
    </row>
    <row r="74" spans="1:40" ht="22.35" customHeight="1">
      <c r="A74" s="1356"/>
      <c r="B74" s="1356" t="s">
        <v>340</v>
      </c>
      <c r="C74" s="1273">
        <v>11</v>
      </c>
      <c r="D74" s="1273">
        <v>11</v>
      </c>
      <c r="E74" s="1273" t="s">
        <v>73</v>
      </c>
      <c r="F74" s="1273" t="s">
        <v>73</v>
      </c>
      <c r="G74" s="1273" t="s">
        <v>36</v>
      </c>
      <c r="H74" s="1273" t="s">
        <v>36</v>
      </c>
      <c r="I74" s="1273" t="s">
        <v>36</v>
      </c>
      <c r="J74" s="1273" t="s">
        <v>36</v>
      </c>
      <c r="K74" s="1273" t="s">
        <v>36</v>
      </c>
      <c r="L74" s="1273"/>
      <c r="M74" s="1273"/>
      <c r="N74" s="1273">
        <v>3</v>
      </c>
      <c r="O74" s="1273">
        <v>3</v>
      </c>
      <c r="P74" s="1273">
        <v>3</v>
      </c>
      <c r="Q74" s="1273">
        <v>3</v>
      </c>
      <c r="R74" s="1273">
        <v>3</v>
      </c>
      <c r="S74" s="1273"/>
      <c r="T74" s="1273"/>
      <c r="U74" s="567" t="s">
        <v>32</v>
      </c>
      <c r="V74" s="567" t="s">
        <v>32</v>
      </c>
      <c r="W74" s="567" t="s">
        <v>32</v>
      </c>
      <c r="X74" s="567" t="s">
        <v>32</v>
      </c>
      <c r="Y74" s="567" t="s">
        <v>32</v>
      </c>
      <c r="Z74" s="567"/>
      <c r="AA74" s="567"/>
      <c r="AB74" s="1487" t="s">
        <v>32</v>
      </c>
      <c r="AC74" s="1487" t="s">
        <v>32</v>
      </c>
      <c r="AD74" s="1487" t="s">
        <v>32</v>
      </c>
      <c r="AE74" s="1487" t="s">
        <v>32</v>
      </c>
      <c r="AF74" s="1488" t="s">
        <v>32</v>
      </c>
      <c r="AG74" s="1277"/>
      <c r="AH74" s="1"/>
      <c r="AJ74" s="1269"/>
      <c r="AK74" s="1269"/>
      <c r="AL74" s="1269" t="str">
        <f t="shared" si="2"/>
        <v/>
      </c>
      <c r="AM74" s="1270" t="str">
        <f t="shared" si="1"/>
        <v/>
      </c>
      <c r="AN74" s="1270" t="str">
        <f>IF(AM74="","",AM74+'Juni 2021'!AN74)</f>
        <v/>
      </c>
    </row>
    <row r="75" spans="1:40" ht="22.35" customHeight="1">
      <c r="B75" t="s">
        <v>137</v>
      </c>
      <c r="C75" s="1378" t="s">
        <v>32</v>
      </c>
      <c r="D75" s="1378" t="s">
        <v>32</v>
      </c>
      <c r="G75" s="1378" t="s">
        <v>32</v>
      </c>
      <c r="H75" s="1377" t="s">
        <v>32</v>
      </c>
      <c r="I75" s="1378" t="s">
        <v>32</v>
      </c>
      <c r="J75" s="1378" t="s">
        <v>32</v>
      </c>
      <c r="K75" s="1378" t="s">
        <v>32</v>
      </c>
      <c r="N75" s="1378" t="s">
        <v>32</v>
      </c>
      <c r="O75" s="1377" t="s">
        <v>32</v>
      </c>
      <c r="P75" s="1378" t="s">
        <v>32</v>
      </c>
      <c r="Q75" s="1378" t="s">
        <v>32</v>
      </c>
      <c r="R75" s="1378" t="s">
        <v>32</v>
      </c>
      <c r="U75" s="1378" t="s">
        <v>32</v>
      </c>
      <c r="V75" s="1377" t="s">
        <v>32</v>
      </c>
      <c r="W75" s="1378" t="s">
        <v>32</v>
      </c>
      <c r="X75" s="1378" t="s">
        <v>32</v>
      </c>
      <c r="Y75" s="1378" t="s">
        <v>32</v>
      </c>
      <c r="AB75" s="1378" t="s">
        <v>32</v>
      </c>
      <c r="AC75" s="1377" t="s">
        <v>32</v>
      </c>
      <c r="AD75" s="1378" t="s">
        <v>32</v>
      </c>
      <c r="AE75" s="1378" t="s">
        <v>32</v>
      </c>
      <c r="AF75" s="1378" t="s">
        <v>32</v>
      </c>
      <c r="AJ75" s="1269"/>
      <c r="AK75" s="1269"/>
      <c r="AL75" s="1269" t="str">
        <f t="shared" si="2"/>
        <v/>
      </c>
      <c r="AM75" s="1270" t="str">
        <f t="shared" si="1"/>
        <v/>
      </c>
      <c r="AN75" s="1270" t="str">
        <f>IF(AM75="","",AM75+'Juni 2021'!AN75)</f>
        <v/>
      </c>
    </row>
    <row r="76" spans="1:40" ht="22.35" customHeight="1">
      <c r="AJ76" s="1269"/>
      <c r="AK76" s="1269"/>
      <c r="AL76" s="1269" t="str">
        <f t="shared" ref="AL76" si="3">IF(AJ76="","",SUM(AJ76:AK76))</f>
        <v/>
      </c>
      <c r="AM76" s="1270" t="str">
        <f t="shared" ref="AM76" si="4">IF(AJ76="","",AL76-NormTid)</f>
        <v/>
      </c>
      <c r="AN76" s="1270" t="str">
        <f>IF(AM76="","",AM76+'Juni 2021'!AN76)</f>
        <v/>
      </c>
    </row>
    <row r="77" spans="1:40" ht="22.35" customHeight="1" thickBot="1">
      <c r="A77" s="786"/>
      <c r="B77" s="787" t="s">
        <v>138</v>
      </c>
      <c r="C77" s="1489">
        <v>1</v>
      </c>
      <c r="D77" s="1489">
        <v>2</v>
      </c>
      <c r="E77" s="1490">
        <v>3</v>
      </c>
      <c r="F77" s="1490">
        <v>4</v>
      </c>
      <c r="G77" s="1489">
        <v>5</v>
      </c>
      <c r="H77" s="1489">
        <v>6</v>
      </c>
      <c r="I77" s="1489">
        <v>7</v>
      </c>
      <c r="J77" s="1489">
        <v>8</v>
      </c>
      <c r="K77" s="1489">
        <v>9</v>
      </c>
      <c r="L77" s="1490">
        <v>10</v>
      </c>
      <c r="M77" s="1490">
        <v>11</v>
      </c>
      <c r="N77" s="1489">
        <v>12</v>
      </c>
      <c r="O77" s="1489">
        <v>13</v>
      </c>
      <c r="P77" s="1489">
        <v>14</v>
      </c>
      <c r="Q77" s="1489">
        <v>15</v>
      </c>
      <c r="R77" s="1489">
        <v>16</v>
      </c>
      <c r="S77" s="1490">
        <v>17</v>
      </c>
      <c r="T77" s="1490">
        <v>18</v>
      </c>
      <c r="U77" s="1489">
        <v>19</v>
      </c>
      <c r="V77" s="1489">
        <v>20</v>
      </c>
      <c r="W77" s="1489">
        <v>21</v>
      </c>
      <c r="X77" s="1489">
        <v>22</v>
      </c>
      <c r="Y77" s="1489">
        <v>23</v>
      </c>
      <c r="Z77" s="1490">
        <v>24</v>
      </c>
      <c r="AA77" s="1490">
        <v>25</v>
      </c>
      <c r="AB77" s="1489">
        <v>26</v>
      </c>
      <c r="AC77" s="1489">
        <v>27</v>
      </c>
      <c r="AD77" s="1489">
        <v>28</v>
      </c>
      <c r="AE77" s="1489">
        <v>29</v>
      </c>
      <c r="AF77" s="1489">
        <v>30</v>
      </c>
      <c r="AG77" s="1491">
        <v>31</v>
      </c>
      <c r="AH77" s="1"/>
    </row>
    <row r="78" spans="1:40" ht="22.35" customHeight="1">
      <c r="A78" s="308"/>
      <c r="B78" s="308" t="s">
        <v>139</v>
      </c>
      <c r="C78" s="1273">
        <v>8</v>
      </c>
      <c r="D78" s="1273">
        <v>8</v>
      </c>
      <c r="E78" s="1273"/>
      <c r="F78" s="1273"/>
      <c r="G78" s="1492">
        <v>4</v>
      </c>
      <c r="H78" s="1492">
        <v>4</v>
      </c>
      <c r="I78" s="1492">
        <v>4</v>
      </c>
      <c r="J78" s="1492">
        <v>4</v>
      </c>
      <c r="K78" s="1492">
        <v>4</v>
      </c>
      <c r="L78" s="1492"/>
      <c r="M78" s="1492"/>
      <c r="N78" s="1492">
        <v>1</v>
      </c>
      <c r="O78" s="1492">
        <v>1</v>
      </c>
      <c r="P78" s="1253">
        <v>1</v>
      </c>
      <c r="Q78" s="1492">
        <v>1</v>
      </c>
      <c r="R78" s="1492">
        <v>1</v>
      </c>
      <c r="S78" s="1492"/>
      <c r="T78" s="1492"/>
      <c r="U78" s="1492">
        <v>11</v>
      </c>
      <c r="V78" s="1492">
        <v>11</v>
      </c>
      <c r="W78" s="1492">
        <v>11</v>
      </c>
      <c r="X78" s="1492">
        <v>11</v>
      </c>
      <c r="Y78" s="1492">
        <v>11</v>
      </c>
      <c r="Z78" s="1492" t="s">
        <v>73</v>
      </c>
      <c r="AA78" s="1492" t="s">
        <v>73</v>
      </c>
      <c r="AB78" s="1273" t="s">
        <v>36</v>
      </c>
      <c r="AC78" s="1273" t="s">
        <v>36</v>
      </c>
      <c r="AD78" s="1273" t="s">
        <v>36</v>
      </c>
      <c r="AE78" s="1273" t="s">
        <v>36</v>
      </c>
      <c r="AF78" s="1273" t="s">
        <v>36</v>
      </c>
      <c r="AG78" s="311" t="s">
        <v>78</v>
      </c>
      <c r="AH78" s="1"/>
    </row>
    <row r="79" spans="1:40" ht="22.35" customHeight="1">
      <c r="A79" s="1357"/>
      <c r="B79" s="1357" t="s">
        <v>140</v>
      </c>
      <c r="C79" s="1493" t="s">
        <v>32</v>
      </c>
      <c r="D79" s="1273" t="s">
        <v>32</v>
      </c>
      <c r="E79" s="1273"/>
      <c r="F79" s="1273"/>
      <c r="G79" s="1273" t="s">
        <v>116</v>
      </c>
      <c r="H79" s="1273" t="s">
        <v>116</v>
      </c>
      <c r="I79" s="1273" t="s">
        <v>116</v>
      </c>
      <c r="J79" s="1273" t="s">
        <v>116</v>
      </c>
      <c r="K79" s="1281" t="s">
        <v>116</v>
      </c>
      <c r="L79" s="1281">
        <v>89</v>
      </c>
      <c r="M79" s="1281" t="s">
        <v>111</v>
      </c>
      <c r="N79" s="1281" t="s">
        <v>141</v>
      </c>
      <c r="O79" s="1281" t="s">
        <v>141</v>
      </c>
      <c r="P79" s="1269" t="s">
        <v>141</v>
      </c>
      <c r="Q79" s="1269" t="s">
        <v>141</v>
      </c>
      <c r="R79" s="1269" t="s">
        <v>141</v>
      </c>
      <c r="S79" s="1269"/>
      <c r="T79" s="1269"/>
      <c r="U79" s="557" t="s">
        <v>135</v>
      </c>
      <c r="V79" s="557" t="s">
        <v>108</v>
      </c>
      <c r="W79" t="s">
        <v>108</v>
      </c>
      <c r="X79" s="557" t="s">
        <v>108</v>
      </c>
      <c r="Y79" s="557" t="s">
        <v>108</v>
      </c>
      <c r="Z79" s="1482" t="s">
        <v>109</v>
      </c>
      <c r="AA79" s="1482" t="s">
        <v>109</v>
      </c>
      <c r="AB79" s="1273" t="s">
        <v>126</v>
      </c>
      <c r="AC79" s="1273" t="s">
        <v>126</v>
      </c>
      <c r="AD79" s="1273" t="s">
        <v>126</v>
      </c>
      <c r="AE79" s="1273" t="s">
        <v>126</v>
      </c>
      <c r="AF79" s="1273" t="s">
        <v>126</v>
      </c>
      <c r="AG79" s="1277"/>
      <c r="AH79" s="1"/>
    </row>
    <row r="80" spans="1:40" ht="22.35" customHeight="1">
      <c r="A80" s="1494"/>
      <c r="B80" s="1357" t="s">
        <v>342</v>
      </c>
      <c r="C80" s="1273" t="s">
        <v>135</v>
      </c>
      <c r="D80" s="1273" t="s">
        <v>135</v>
      </c>
      <c r="E80" s="1273"/>
      <c r="F80" s="1273"/>
      <c r="G80" s="1273">
        <v>7</v>
      </c>
      <c r="H80" s="1273">
        <v>7</v>
      </c>
      <c r="I80" s="1273">
        <v>7</v>
      </c>
      <c r="J80" s="1273">
        <v>7</v>
      </c>
      <c r="K80" s="1273">
        <v>7</v>
      </c>
      <c r="L80" s="1269"/>
      <c r="M80" s="1269"/>
      <c r="N80" s="1273" t="s">
        <v>50</v>
      </c>
      <c r="O80" s="1273" t="s">
        <v>36</v>
      </c>
      <c r="P80" s="1273" t="s">
        <v>36</v>
      </c>
      <c r="Q80" s="1495" t="s">
        <v>141</v>
      </c>
      <c r="R80" s="1495" t="s">
        <v>141</v>
      </c>
      <c r="S80" s="1273"/>
      <c r="T80" s="1273"/>
      <c r="U80" s="1273" t="s">
        <v>141</v>
      </c>
      <c r="V80" s="1273" t="s">
        <v>141</v>
      </c>
      <c r="W80" s="1273" t="s">
        <v>141</v>
      </c>
      <c r="X80" s="1273" t="s">
        <v>141</v>
      </c>
      <c r="Y80" s="1273" t="s">
        <v>141</v>
      </c>
      <c r="Z80" s="1273"/>
      <c r="AA80" s="1273"/>
      <c r="AB80" s="1273">
        <v>22</v>
      </c>
      <c r="AC80" s="1273">
        <v>22</v>
      </c>
      <c r="AD80" s="1273">
        <v>22</v>
      </c>
      <c r="AE80" s="1273">
        <v>22</v>
      </c>
      <c r="AF80" s="1273">
        <v>22</v>
      </c>
      <c r="AG80" s="979" t="s">
        <v>111</v>
      </c>
      <c r="AH80" s="1"/>
    </row>
    <row r="81" spans="1:35" ht="22.35" customHeight="1" thickBot="1">
      <c r="A81" s="994"/>
      <c r="B81" s="995" t="s">
        <v>350</v>
      </c>
      <c r="C81" s="996"/>
      <c r="D81" s="997"/>
      <c r="E81" s="997"/>
      <c r="F81" s="997"/>
      <c r="G81" s="1496">
        <v>89</v>
      </c>
      <c r="H81" s="1496">
        <v>89</v>
      </c>
      <c r="I81" s="1496">
        <v>89</v>
      </c>
      <c r="J81" s="1496">
        <v>89</v>
      </c>
      <c r="K81" s="1496">
        <v>89</v>
      </c>
      <c r="L81" s="997"/>
      <c r="M81" s="997"/>
      <c r="N81" s="1497">
        <v>8</v>
      </c>
      <c r="O81" s="1497">
        <v>8</v>
      </c>
      <c r="P81" s="1498" t="s">
        <v>341</v>
      </c>
      <c r="Q81" s="1498" t="s">
        <v>341</v>
      </c>
      <c r="R81" s="1499">
        <v>8</v>
      </c>
      <c r="S81" s="998"/>
      <c r="T81" s="998"/>
      <c r="U81" s="996">
        <v>9</v>
      </c>
      <c r="V81" s="996">
        <v>9</v>
      </c>
      <c r="W81" s="996">
        <v>9</v>
      </c>
      <c r="X81" s="996" t="s">
        <v>36</v>
      </c>
      <c r="Y81" s="998" t="s">
        <v>36</v>
      </c>
      <c r="Z81" s="998" t="s">
        <v>78</v>
      </c>
      <c r="AA81" s="998" t="s">
        <v>74</v>
      </c>
      <c r="AB81" s="998" t="s">
        <v>351</v>
      </c>
      <c r="AC81" s="996">
        <v>6</v>
      </c>
      <c r="AD81" s="998" t="s">
        <v>351</v>
      </c>
      <c r="AE81" s="998" t="s">
        <v>351</v>
      </c>
      <c r="AF81" s="996">
        <v>6</v>
      </c>
      <c r="AG81" s="999"/>
      <c r="AH81" s="1"/>
    </row>
    <row r="82" spans="1:35" ht="22.35" customHeight="1" thickBot="1">
      <c r="A82" s="205"/>
      <c r="B82" s="576" t="s">
        <v>352</v>
      </c>
      <c r="C82" s="203"/>
      <c r="D82" s="1500">
        <v>69</v>
      </c>
      <c r="E82" s="207"/>
      <c r="F82" s="207"/>
      <c r="G82" s="207">
        <v>22</v>
      </c>
      <c r="H82" s="207">
        <v>22</v>
      </c>
      <c r="I82" s="203">
        <v>22</v>
      </c>
      <c r="J82" s="203">
        <v>22</v>
      </c>
      <c r="K82" s="207">
        <v>22</v>
      </c>
      <c r="L82" s="207">
        <v>22</v>
      </c>
      <c r="M82" s="207">
        <v>22</v>
      </c>
      <c r="N82" s="207" t="s">
        <v>36</v>
      </c>
      <c r="O82" s="207" t="s">
        <v>36</v>
      </c>
      <c r="P82" s="203" t="s">
        <v>36</v>
      </c>
      <c r="Q82" s="203" t="s">
        <v>36</v>
      </c>
      <c r="R82" s="203" t="s">
        <v>36</v>
      </c>
      <c r="S82" s="208"/>
      <c r="T82" s="208"/>
      <c r="U82" s="208">
        <v>23</v>
      </c>
      <c r="V82" s="203">
        <v>23</v>
      </c>
      <c r="W82" s="203">
        <v>23</v>
      </c>
      <c r="X82" s="203">
        <v>23</v>
      </c>
      <c r="Y82" s="203">
        <v>23</v>
      </c>
      <c r="Z82" s="203">
        <v>23</v>
      </c>
      <c r="AA82" s="203">
        <v>23</v>
      </c>
      <c r="AB82" s="203" t="s">
        <v>36</v>
      </c>
      <c r="AC82" s="203" t="s">
        <v>36</v>
      </c>
      <c r="AD82" s="203" t="s">
        <v>36</v>
      </c>
      <c r="AE82" s="203" t="s">
        <v>36</v>
      </c>
      <c r="AF82" s="203" t="s">
        <v>36</v>
      </c>
      <c r="AG82" s="1273">
        <v>22</v>
      </c>
      <c r="AH82" s="1"/>
    </row>
    <row r="83" spans="1:35" ht="22.35" customHeight="1" thickBot="1">
      <c r="A83" s="204"/>
      <c r="B83" s="575" t="s">
        <v>142</v>
      </c>
      <c r="C83" s="203" t="s">
        <v>32</v>
      </c>
      <c r="D83" s="203" t="s">
        <v>32</v>
      </c>
      <c r="E83" s="203" t="s">
        <v>32</v>
      </c>
      <c r="F83" s="203" t="s">
        <v>32</v>
      </c>
      <c r="G83" s="203"/>
      <c r="H83" s="203"/>
      <c r="I83" s="203" t="s">
        <v>32</v>
      </c>
      <c r="J83" s="203" t="s">
        <v>32</v>
      </c>
      <c r="K83" s="203" t="s">
        <v>32</v>
      </c>
      <c r="L83" s="203" t="s">
        <v>32</v>
      </c>
      <c r="M83" s="203" t="s">
        <v>32</v>
      </c>
      <c r="N83" s="509"/>
      <c r="O83" s="509"/>
      <c r="P83" s="509" t="s">
        <v>32</v>
      </c>
      <c r="Q83" s="510" t="s">
        <v>32</v>
      </c>
      <c r="R83" s="509" t="s">
        <v>32</v>
      </c>
      <c r="S83" s="203" t="s">
        <v>32</v>
      </c>
      <c r="T83" s="203" t="s">
        <v>32</v>
      </c>
      <c r="U83" s="509"/>
      <c r="V83" s="509"/>
      <c r="W83" s="509" t="s">
        <v>32</v>
      </c>
      <c r="X83" s="203" t="s">
        <v>32</v>
      </c>
      <c r="Y83" s="509" t="s">
        <v>32</v>
      </c>
      <c r="Z83" s="203"/>
      <c r="AA83" s="203"/>
      <c r="AB83" s="203"/>
      <c r="AC83" s="203"/>
      <c r="AD83" s="203" t="s">
        <v>32</v>
      </c>
      <c r="AE83" s="203" t="s">
        <v>32</v>
      </c>
      <c r="AF83" s="203" t="s">
        <v>32</v>
      </c>
      <c r="AG83" s="225"/>
      <c r="AH83" s="1"/>
    </row>
    <row r="84" spans="1:35" ht="22.35" customHeight="1">
      <c r="A84" s="64" t="s">
        <v>143</v>
      </c>
      <c r="AH84" s="1"/>
    </row>
    <row r="85" spans="1:35" ht="22.35" customHeight="1" thickBot="1">
      <c r="A85" s="1501"/>
      <c r="B85" s="1307" t="s">
        <v>29</v>
      </c>
      <c r="C85" s="1240">
        <v>1</v>
      </c>
      <c r="D85" s="1240">
        <v>2</v>
      </c>
      <c r="E85" s="1241">
        <v>3</v>
      </c>
      <c r="F85" s="1241">
        <v>4</v>
      </c>
      <c r="G85" s="1240">
        <v>5</v>
      </c>
      <c r="H85" s="1240">
        <v>6</v>
      </c>
      <c r="I85" s="1240">
        <v>7</v>
      </c>
      <c r="J85" s="1240">
        <v>8</v>
      </c>
      <c r="K85" s="1240">
        <v>9</v>
      </c>
      <c r="L85" s="1241">
        <v>10</v>
      </c>
      <c r="M85" s="1241">
        <v>11</v>
      </c>
      <c r="N85" s="1240">
        <v>12</v>
      </c>
      <c r="O85" s="1240">
        <v>13</v>
      </c>
      <c r="P85" s="1240">
        <v>14</v>
      </c>
      <c r="Q85" s="1240">
        <v>15</v>
      </c>
      <c r="R85" s="1240">
        <v>16</v>
      </c>
      <c r="S85" s="1241">
        <v>17</v>
      </c>
      <c r="T85" s="1241">
        <v>18</v>
      </c>
      <c r="U85" s="1240">
        <v>19</v>
      </c>
      <c r="V85" s="1240">
        <v>20</v>
      </c>
      <c r="W85" s="1240">
        <v>21</v>
      </c>
      <c r="X85" s="1240">
        <v>22</v>
      </c>
      <c r="Y85" s="1240">
        <v>23</v>
      </c>
      <c r="Z85" s="1241">
        <v>24</v>
      </c>
      <c r="AA85" s="1241">
        <v>25</v>
      </c>
      <c r="AB85" s="1240">
        <v>26</v>
      </c>
      <c r="AC85" s="1240">
        <v>27</v>
      </c>
      <c r="AD85" s="1240">
        <v>28</v>
      </c>
      <c r="AE85" s="1240">
        <v>29</v>
      </c>
      <c r="AF85" s="1240">
        <v>30</v>
      </c>
      <c r="AG85" s="1469">
        <v>31</v>
      </c>
      <c r="AH85" s="1"/>
    </row>
    <row r="86" spans="1:35" ht="22.35" customHeight="1">
      <c r="A86" s="365"/>
      <c r="B86" s="366" t="s">
        <v>144</v>
      </c>
      <c r="C86" s="349"/>
      <c r="D86" s="364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52"/>
      <c r="AH86" s="1"/>
    </row>
    <row r="87" spans="1:35" ht="22.35" customHeight="1">
      <c r="A87" s="1502">
        <v>2</v>
      </c>
      <c r="B87" s="1255"/>
      <c r="C87" s="1273"/>
      <c r="D87" s="1273"/>
      <c r="E87" s="1273"/>
      <c r="F87" s="1273"/>
      <c r="G87" s="1273"/>
      <c r="H87" s="1273"/>
      <c r="I87" s="1273"/>
      <c r="J87" s="1273"/>
      <c r="K87" s="1273"/>
      <c r="L87" s="1273"/>
      <c r="M87" s="1273"/>
      <c r="N87" s="1273"/>
      <c r="O87" s="1273"/>
      <c r="P87" s="1273"/>
      <c r="Q87" s="1273"/>
      <c r="R87" s="1273"/>
      <c r="S87" s="1273"/>
      <c r="T87" s="1273"/>
      <c r="U87" s="1273"/>
      <c r="V87" s="1273"/>
      <c r="W87" s="1273"/>
      <c r="X87" s="1273"/>
      <c r="Y87" s="1273"/>
      <c r="Z87" s="1273"/>
      <c r="AA87" s="1273"/>
      <c r="AB87" s="1273"/>
      <c r="AC87" s="1273"/>
      <c r="AD87" s="1273"/>
      <c r="AE87" s="1273"/>
      <c r="AF87" s="1273"/>
      <c r="AG87" s="1277"/>
      <c r="AH87" s="1"/>
    </row>
    <row r="88" spans="1:35" ht="22.35" customHeight="1">
      <c r="A88" s="1502">
        <v>3</v>
      </c>
      <c r="B88" s="1255"/>
      <c r="C88" s="1273"/>
      <c r="D88" s="1273"/>
      <c r="E88" s="1273"/>
      <c r="F88" s="1273"/>
      <c r="G88" s="1273"/>
      <c r="H88" s="1273"/>
      <c r="I88" s="1273"/>
      <c r="J88" s="1273"/>
      <c r="K88" s="1273"/>
      <c r="L88" s="1273"/>
      <c r="M88" s="1273"/>
      <c r="N88" s="1273"/>
      <c r="O88" s="1273"/>
      <c r="P88" s="1273"/>
      <c r="Q88" s="1273"/>
      <c r="R88" s="1273"/>
      <c r="S88" s="1273"/>
      <c r="T88" s="1273"/>
      <c r="U88" s="1273"/>
      <c r="V88" s="1273"/>
      <c r="W88" s="1273"/>
      <c r="X88" s="1273"/>
      <c r="Y88" s="1359"/>
      <c r="Z88" s="1273"/>
      <c r="AA88" s="1273"/>
      <c r="AB88" s="1273"/>
      <c r="AC88" s="1273"/>
      <c r="AD88" s="1273"/>
      <c r="AE88" s="1273"/>
      <c r="AF88" s="1273"/>
      <c r="AG88" s="1277"/>
      <c r="AH88" s="1"/>
    </row>
    <row r="89" spans="1:35" ht="22.35" customHeight="1" thickBot="1">
      <c r="A89" s="1355">
        <v>4</v>
      </c>
      <c r="B89" s="1316"/>
      <c r="C89" s="996"/>
      <c r="D89" s="996"/>
      <c r="E89" s="996"/>
      <c r="F89" s="996"/>
      <c r="G89" s="996"/>
      <c r="H89" s="996"/>
      <c r="I89" s="996"/>
      <c r="J89" s="996"/>
      <c r="K89" s="996"/>
      <c r="L89" s="996"/>
      <c r="M89" s="996"/>
      <c r="N89" s="1503"/>
      <c r="O89" s="1503"/>
      <c r="P89" s="996"/>
      <c r="Q89" s="996"/>
      <c r="R89" s="996"/>
      <c r="S89" s="996"/>
      <c r="T89" s="996"/>
      <c r="U89" s="1503"/>
      <c r="V89" s="1503"/>
      <c r="W89" s="996"/>
      <c r="X89" s="996"/>
      <c r="Y89" s="996"/>
      <c r="Z89" s="996"/>
      <c r="AA89" s="996"/>
      <c r="AB89" s="996"/>
      <c r="AC89" s="996"/>
      <c r="AD89" s="996"/>
      <c r="AE89" s="996"/>
      <c r="AF89" s="996"/>
      <c r="AG89" s="1504"/>
      <c r="AH89" s="1"/>
    </row>
    <row r="90" spans="1:35" ht="22.35" customHeight="1">
      <c r="A90" s="209"/>
      <c r="B90" s="21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  <c r="AA90" s="211"/>
      <c r="AB90" s="211"/>
      <c r="AC90" s="211"/>
      <c r="AD90" s="211"/>
      <c r="AE90" s="211"/>
      <c r="AF90" s="211"/>
      <c r="AG90" s="211"/>
      <c r="AH90" s="1"/>
    </row>
    <row r="91" spans="1:35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</row>
    <row r="92" spans="1:35" ht="22.35" customHeight="1" thickBot="1">
      <c r="A92" t="s">
        <v>145</v>
      </c>
    </row>
    <row r="93" spans="1:35" ht="22.35" customHeight="1" thickBot="1">
      <c r="B93" s="323" t="s">
        <v>146</v>
      </c>
      <c r="C93" s="252"/>
      <c r="D93" s="314" t="s">
        <v>94</v>
      </c>
      <c r="E93" s="314"/>
      <c r="F93" s="279"/>
      <c r="G93" s="252"/>
      <c r="H93" s="314" t="s">
        <v>95</v>
      </c>
      <c r="I93" s="314"/>
      <c r="J93" s="279"/>
      <c r="K93" s="252"/>
      <c r="L93" s="314" t="s">
        <v>96</v>
      </c>
      <c r="M93" s="314"/>
      <c r="N93" s="279"/>
      <c r="O93" s="252"/>
      <c r="P93" s="314" t="s">
        <v>97</v>
      </c>
      <c r="Q93" s="314"/>
      <c r="R93" s="279"/>
      <c r="S93" s="252"/>
      <c r="T93" s="314" t="s">
        <v>98</v>
      </c>
      <c r="U93" s="314"/>
      <c r="V93" s="279"/>
      <c r="W93" s="252"/>
      <c r="X93" s="314" t="s">
        <v>99</v>
      </c>
      <c r="Y93" s="314"/>
      <c r="Z93" s="279"/>
      <c r="AA93" s="252"/>
      <c r="AB93" s="314" t="s">
        <v>100</v>
      </c>
      <c r="AC93" s="314"/>
      <c r="AD93" s="314"/>
      <c r="AE93" s="314" t="s">
        <v>147</v>
      </c>
      <c r="AF93" s="314"/>
      <c r="AG93" s="314"/>
      <c r="AH93" s="314"/>
      <c r="AI93" s="267"/>
    </row>
    <row r="94" spans="1:35" ht="22.35" customHeight="1">
      <c r="B94" s="441" t="s">
        <v>148</v>
      </c>
      <c r="C94" s="368" t="s">
        <v>149</v>
      </c>
      <c r="D94" s="314"/>
      <c r="E94" s="357"/>
      <c r="F94" s="372"/>
      <c r="G94" s="368" t="s">
        <v>149</v>
      </c>
      <c r="H94" s="357"/>
      <c r="I94" s="357"/>
      <c r="J94" s="372"/>
      <c r="K94" s="252" t="s">
        <v>149</v>
      </c>
      <c r="L94" s="314"/>
      <c r="M94" s="314"/>
      <c r="N94" s="279"/>
      <c r="O94" s="252" t="s">
        <v>150</v>
      </c>
      <c r="P94" s="314"/>
      <c r="Q94" s="357"/>
      <c r="R94" s="372"/>
      <c r="S94" s="368" t="s">
        <v>151</v>
      </c>
      <c r="T94" s="357"/>
      <c r="U94" s="357"/>
      <c r="V94" s="357"/>
      <c r="W94" s="523"/>
      <c r="X94" s="524"/>
      <c r="Y94" s="524"/>
      <c r="Z94" s="525"/>
      <c r="AA94" s="357"/>
      <c r="AB94" s="357"/>
      <c r="AC94" s="357"/>
      <c r="AD94" s="357"/>
      <c r="AE94" s="368">
        <v>37</v>
      </c>
      <c r="AF94" s="314"/>
      <c r="AG94" s="357"/>
      <c r="AH94" s="357"/>
      <c r="AI94" s="358"/>
    </row>
    <row r="95" spans="1:35" ht="22.35" customHeight="1">
      <c r="B95" s="1505" t="s">
        <v>152</v>
      </c>
      <c r="C95" s="1506" t="s">
        <v>153</v>
      </c>
      <c r="D95" s="1222"/>
      <c r="E95" s="1222"/>
      <c r="F95" s="1230"/>
      <c r="G95" s="1506" t="s">
        <v>154</v>
      </c>
      <c r="H95" s="1222"/>
      <c r="I95" s="1222"/>
      <c r="J95" s="1230"/>
      <c r="K95" s="1506" t="s">
        <v>155</v>
      </c>
      <c r="L95" s="1222" t="s">
        <v>156</v>
      </c>
      <c r="M95" s="1222"/>
      <c r="N95" s="1230"/>
      <c r="O95" s="1506" t="s">
        <v>155</v>
      </c>
      <c r="P95" s="1222" t="s">
        <v>156</v>
      </c>
      <c r="Q95" s="1222"/>
      <c r="R95" s="1230"/>
      <c r="S95" s="1506" t="s">
        <v>154</v>
      </c>
      <c r="T95" s="1222" t="s">
        <v>157</v>
      </c>
      <c r="U95" s="1222"/>
      <c r="V95" s="1230"/>
      <c r="W95" s="8" t="s">
        <v>109</v>
      </c>
      <c r="X95" s="14" t="s">
        <v>158</v>
      </c>
      <c r="Y95" s="14"/>
      <c r="Z95" s="14"/>
      <c r="AA95" s="1506" t="s">
        <v>109</v>
      </c>
      <c r="AB95" s="1222" t="s">
        <v>158</v>
      </c>
      <c r="AC95" s="1506"/>
      <c r="AD95" s="1506"/>
      <c r="AE95" s="1506">
        <v>68</v>
      </c>
      <c r="AF95" s="1222"/>
      <c r="AG95" s="1222"/>
      <c r="AH95" s="1222"/>
      <c r="AI95" s="1231"/>
    </row>
    <row r="96" spans="1:35" ht="22.35" customHeight="1">
      <c r="B96" s="1505" t="s">
        <v>159</v>
      </c>
      <c r="C96" s="1507" t="s">
        <v>160</v>
      </c>
      <c r="D96" s="1222"/>
      <c r="E96" s="1222"/>
      <c r="F96" s="1230"/>
      <c r="G96" s="1222" t="s">
        <v>160</v>
      </c>
      <c r="H96" s="1222"/>
      <c r="I96" s="1222"/>
      <c r="J96" s="1230"/>
      <c r="K96" s="1222" t="s">
        <v>160</v>
      </c>
      <c r="L96" s="1222"/>
      <c r="M96" s="1222"/>
      <c r="N96" s="1230"/>
      <c r="O96" s="1222" t="s">
        <v>160</v>
      </c>
      <c r="P96" s="1222"/>
      <c r="Q96" s="1222"/>
      <c r="R96" s="1230"/>
      <c r="S96" s="1222" t="s">
        <v>160</v>
      </c>
      <c r="T96" s="1222"/>
      <c r="U96" s="1222"/>
      <c r="V96" s="1230"/>
      <c r="W96" s="1506"/>
      <c r="X96" s="1222"/>
      <c r="Y96" s="1222"/>
      <c r="Z96" s="1230"/>
      <c r="AA96" s="1506"/>
      <c r="AB96" s="1222"/>
      <c r="AC96" s="1222"/>
      <c r="AD96" s="1222"/>
      <c r="AE96" s="1506">
        <v>0</v>
      </c>
      <c r="AF96" s="1222"/>
      <c r="AG96" s="1222"/>
      <c r="AH96" s="1222"/>
      <c r="AI96" s="1231"/>
    </row>
    <row r="97" spans="1:35" ht="22.35" customHeight="1" thickBot="1">
      <c r="B97" s="1508" t="s">
        <v>161</v>
      </c>
      <c r="C97" s="1509" t="s">
        <v>149</v>
      </c>
      <c r="D97" s="516"/>
      <c r="E97" s="1298"/>
      <c r="F97" s="1300"/>
      <c r="G97" s="1509" t="s">
        <v>149</v>
      </c>
      <c r="H97" s="516"/>
      <c r="I97" s="1298"/>
      <c r="J97" s="1300"/>
      <c r="K97" s="1509" t="s">
        <v>149</v>
      </c>
      <c r="L97" s="516"/>
      <c r="M97" s="1298"/>
      <c r="N97" s="1300"/>
      <c r="O97" s="1509" t="s">
        <v>150</v>
      </c>
      <c r="P97" s="1298"/>
      <c r="Q97" s="1298"/>
      <c r="R97" s="1300"/>
      <c r="S97" s="1509" t="s">
        <v>151</v>
      </c>
      <c r="T97" s="1298"/>
      <c r="U97" s="1298"/>
      <c r="V97" s="1298"/>
      <c r="W97" s="1510"/>
      <c r="X97" s="1298"/>
      <c r="Y97" s="1298"/>
      <c r="Z97" s="1511"/>
      <c r="AA97" s="1298"/>
      <c r="AB97" s="1298"/>
      <c r="AC97" s="1298"/>
      <c r="AD97" s="1298"/>
      <c r="AE97" s="1509">
        <v>37</v>
      </c>
      <c r="AF97" s="1298"/>
      <c r="AG97" s="1298"/>
      <c r="AH97" s="1298"/>
      <c r="AI97" s="1305"/>
    </row>
    <row r="98" spans="1:35" ht="22.35" customHeight="1">
      <c r="D98" s="14"/>
    </row>
    <row r="99" spans="1:35" ht="22.35" customHeight="1" thickBot="1">
      <c r="A99" s="1338"/>
      <c r="B99" s="1338" t="s">
        <v>29</v>
      </c>
      <c r="C99" s="1240">
        <v>1</v>
      </c>
      <c r="D99" s="1240">
        <v>2</v>
      </c>
      <c r="E99" s="1241">
        <v>3</v>
      </c>
      <c r="F99" s="1241">
        <v>4</v>
      </c>
      <c r="G99" s="1240">
        <v>5</v>
      </c>
      <c r="H99" s="1240">
        <v>6</v>
      </c>
      <c r="I99" s="1240">
        <v>7</v>
      </c>
      <c r="J99" s="1240">
        <v>8</v>
      </c>
      <c r="K99" s="1240">
        <v>9</v>
      </c>
      <c r="L99" s="1241">
        <v>10</v>
      </c>
      <c r="M99" s="1241">
        <v>11</v>
      </c>
      <c r="N99" s="1240">
        <v>12</v>
      </c>
      <c r="O99" s="1240">
        <v>13</v>
      </c>
      <c r="P99" s="1240">
        <v>14</v>
      </c>
      <c r="Q99" s="1240">
        <v>15</v>
      </c>
      <c r="R99" s="1240">
        <v>16</v>
      </c>
      <c r="S99" s="1241">
        <v>17</v>
      </c>
      <c r="T99" s="1241">
        <v>18</v>
      </c>
      <c r="U99" s="1240">
        <v>19</v>
      </c>
      <c r="V99" s="1240">
        <v>20</v>
      </c>
      <c r="W99" s="1240">
        <v>21</v>
      </c>
      <c r="X99" s="1240">
        <v>22</v>
      </c>
      <c r="Y99" s="1240">
        <v>23</v>
      </c>
      <c r="Z99" s="1241">
        <v>24</v>
      </c>
      <c r="AA99" s="1241">
        <v>25</v>
      </c>
      <c r="AB99" s="1240">
        <v>26</v>
      </c>
      <c r="AC99" s="1240">
        <v>27</v>
      </c>
      <c r="AD99" s="1240">
        <v>28</v>
      </c>
      <c r="AE99" s="1240">
        <v>29</v>
      </c>
      <c r="AF99" s="1240">
        <v>30</v>
      </c>
      <c r="AG99" s="1469">
        <v>31</v>
      </c>
      <c r="AH99" s="176"/>
      <c r="AI99" s="177"/>
    </row>
    <row r="100" spans="1:35" ht="22.35" customHeight="1">
      <c r="A100" s="367">
        <v>1</v>
      </c>
      <c r="B100" s="526" t="s">
        <v>162</v>
      </c>
      <c r="C100" s="349" t="s">
        <v>36</v>
      </c>
      <c r="D100" s="349" t="s">
        <v>36</v>
      </c>
      <c r="E100" s="349"/>
      <c r="F100" s="349"/>
      <c r="G100" s="349" t="s">
        <v>163</v>
      </c>
      <c r="H100" s="349" t="s">
        <v>163</v>
      </c>
      <c r="I100" s="349" t="s">
        <v>163</v>
      </c>
      <c r="J100" s="349" t="s">
        <v>163</v>
      </c>
      <c r="K100" s="349" t="s">
        <v>163</v>
      </c>
      <c r="L100" s="349"/>
      <c r="M100" s="349"/>
      <c r="N100" s="349" t="s">
        <v>163</v>
      </c>
      <c r="O100" s="349" t="s">
        <v>163</v>
      </c>
      <c r="P100" s="511" t="s">
        <v>163</v>
      </c>
      <c r="Q100" s="349" t="s">
        <v>163</v>
      </c>
      <c r="R100" s="349" t="s">
        <v>163</v>
      </c>
      <c r="S100" s="349"/>
      <c r="T100" s="349"/>
      <c r="U100" s="349" t="s">
        <v>108</v>
      </c>
      <c r="V100" s="349" t="s">
        <v>108</v>
      </c>
      <c r="W100" s="349" t="s">
        <v>108</v>
      </c>
      <c r="X100" s="512" t="s">
        <v>108</v>
      </c>
      <c r="Y100" s="512" t="s">
        <v>108</v>
      </c>
      <c r="Z100" s="512" t="s">
        <v>109</v>
      </c>
      <c r="AA100" s="512" t="s">
        <v>109</v>
      </c>
      <c r="AB100" s="349" t="s">
        <v>36</v>
      </c>
      <c r="AC100" s="349" t="s">
        <v>36</v>
      </c>
      <c r="AD100" s="349" t="s">
        <v>36</v>
      </c>
      <c r="AE100" s="349" t="s">
        <v>36</v>
      </c>
      <c r="AF100" s="349" t="s">
        <v>36</v>
      </c>
      <c r="AG100" s="352"/>
      <c r="AH100" s="181"/>
      <c r="AI100" s="182"/>
    </row>
    <row r="101" spans="1:35" ht="22.35" customHeight="1">
      <c r="A101" s="1512">
        <v>2</v>
      </c>
      <c r="B101" s="1513" t="s">
        <v>164</v>
      </c>
      <c r="C101" s="1514" t="s">
        <v>108</v>
      </c>
      <c r="D101" s="1514" t="s">
        <v>108</v>
      </c>
      <c r="E101" s="1514" t="s">
        <v>109</v>
      </c>
      <c r="F101" s="1514" t="s">
        <v>109</v>
      </c>
      <c r="G101" s="1514" t="s">
        <v>36</v>
      </c>
      <c r="H101" s="1514" t="s">
        <v>36</v>
      </c>
      <c r="I101" s="1273" t="s">
        <v>36</v>
      </c>
      <c r="J101" s="1273" t="s">
        <v>36</v>
      </c>
      <c r="K101" s="1273" t="s">
        <v>36</v>
      </c>
      <c r="L101" s="1273"/>
      <c r="M101" s="1273"/>
      <c r="N101" s="1515" t="s">
        <v>163</v>
      </c>
      <c r="O101" s="1515" t="s">
        <v>163</v>
      </c>
      <c r="P101" s="1515" t="s">
        <v>163</v>
      </c>
      <c r="Q101" s="1515" t="s">
        <v>163</v>
      </c>
      <c r="R101" s="1515" t="s">
        <v>163</v>
      </c>
      <c r="S101" s="1515"/>
      <c r="T101" s="1515"/>
      <c r="U101" s="1515" t="s">
        <v>163</v>
      </c>
      <c r="V101" s="1515" t="s">
        <v>163</v>
      </c>
      <c r="W101" s="1516" t="s">
        <v>163</v>
      </c>
      <c r="X101" s="1515" t="s">
        <v>163</v>
      </c>
      <c r="Y101" s="1515" t="s">
        <v>163</v>
      </c>
      <c r="Z101" s="1515"/>
      <c r="AA101" s="1515"/>
      <c r="AB101" s="1253" t="s">
        <v>108</v>
      </c>
      <c r="AC101" s="1253" t="s">
        <v>108</v>
      </c>
      <c r="AD101" s="1253" t="s">
        <v>108</v>
      </c>
      <c r="AE101" s="1253" t="s">
        <v>108</v>
      </c>
      <c r="AF101" s="1253" t="s">
        <v>108</v>
      </c>
      <c r="AG101" s="1470" t="s">
        <v>109</v>
      </c>
      <c r="AH101" s="181"/>
      <c r="AI101" s="182"/>
    </row>
    <row r="102" spans="1:35" ht="22.35" customHeight="1">
      <c r="A102" s="1512">
        <v>3</v>
      </c>
      <c r="B102" s="1513" t="s">
        <v>165</v>
      </c>
      <c r="C102" s="1252" t="s">
        <v>163</v>
      </c>
      <c r="D102" s="1517" t="s">
        <v>163</v>
      </c>
      <c r="E102" s="1279" t="s">
        <v>32</v>
      </c>
      <c r="F102" s="1518"/>
      <c r="G102" s="1518" t="s">
        <v>108</v>
      </c>
      <c r="H102" s="1518" t="s">
        <v>108</v>
      </c>
      <c r="I102" s="1518" t="s">
        <v>108</v>
      </c>
      <c r="J102" s="1518" t="s">
        <v>108</v>
      </c>
      <c r="K102" s="1518" t="s">
        <v>108</v>
      </c>
      <c r="L102" s="1518" t="s">
        <v>109</v>
      </c>
      <c r="M102" s="1518" t="s">
        <v>109</v>
      </c>
      <c r="N102" s="1518" t="s">
        <v>36</v>
      </c>
      <c r="O102" s="1518" t="s">
        <v>36</v>
      </c>
      <c r="P102" s="1518" t="s">
        <v>36</v>
      </c>
      <c r="Q102" s="1518" t="s">
        <v>36</v>
      </c>
      <c r="R102" s="1518" t="s">
        <v>36</v>
      </c>
      <c r="S102" s="1252"/>
      <c r="T102" s="1252"/>
      <c r="U102" s="1515" t="s">
        <v>163</v>
      </c>
      <c r="V102" s="1515" t="s">
        <v>163</v>
      </c>
      <c r="W102" s="1515" t="s">
        <v>163</v>
      </c>
      <c r="X102" s="1515" t="s">
        <v>163</v>
      </c>
      <c r="Y102" s="1515" t="s">
        <v>163</v>
      </c>
      <c r="Z102" s="1515"/>
      <c r="AA102" s="1515"/>
      <c r="AB102" s="1515" t="s">
        <v>163</v>
      </c>
      <c r="AC102" s="1515" t="s">
        <v>163</v>
      </c>
      <c r="AD102" s="1515" t="s">
        <v>163</v>
      </c>
      <c r="AE102" s="1515" t="s">
        <v>163</v>
      </c>
      <c r="AF102" s="1515" t="s">
        <v>163</v>
      </c>
      <c r="AG102" s="1519"/>
      <c r="AH102" s="181"/>
      <c r="AI102" s="182"/>
    </row>
    <row r="103" spans="1:35" ht="22.35" customHeight="1" thickBot="1">
      <c r="A103" s="1520">
        <v>4</v>
      </c>
      <c r="B103" s="1327" t="s">
        <v>162</v>
      </c>
      <c r="C103" s="1521" t="s">
        <v>163</v>
      </c>
      <c r="D103" s="1521" t="s">
        <v>163</v>
      </c>
      <c r="E103" s="1521"/>
      <c r="F103" s="1521"/>
      <c r="G103" s="1521" t="s">
        <v>163</v>
      </c>
      <c r="H103" s="1521" t="s">
        <v>163</v>
      </c>
      <c r="I103" s="1521" t="s">
        <v>163</v>
      </c>
      <c r="J103" s="1521" t="s">
        <v>163</v>
      </c>
      <c r="K103" s="1521" t="s">
        <v>163</v>
      </c>
      <c r="L103" s="1521" t="s">
        <v>0</v>
      </c>
      <c r="M103" s="1521" t="s">
        <v>0</v>
      </c>
      <c r="N103" s="1521" t="s">
        <v>108</v>
      </c>
      <c r="O103" s="1521" t="s">
        <v>108</v>
      </c>
      <c r="P103" s="1521" t="s">
        <v>108</v>
      </c>
      <c r="Q103" s="1521" t="s">
        <v>108</v>
      </c>
      <c r="R103" s="1521" t="s">
        <v>108</v>
      </c>
      <c r="S103" s="1521" t="s">
        <v>109</v>
      </c>
      <c r="T103" s="1521" t="s">
        <v>109</v>
      </c>
      <c r="U103" s="1521" t="s">
        <v>36</v>
      </c>
      <c r="V103" s="1521" t="s">
        <v>36</v>
      </c>
      <c r="W103" s="1521" t="s">
        <v>36</v>
      </c>
      <c r="X103" s="1521" t="s">
        <v>36</v>
      </c>
      <c r="Y103" s="1521" t="s">
        <v>36</v>
      </c>
      <c r="Z103" s="1521"/>
      <c r="AA103" s="1240"/>
      <c r="AB103" s="1240" t="s">
        <v>163</v>
      </c>
      <c r="AC103" s="1240" t="s">
        <v>163</v>
      </c>
      <c r="AD103" s="1240" t="s">
        <v>163</v>
      </c>
      <c r="AE103" s="1240" t="s">
        <v>163</v>
      </c>
      <c r="AF103" s="1521" t="s">
        <v>163</v>
      </c>
      <c r="AG103" s="1242"/>
      <c r="AH103" s="181"/>
      <c r="AI103" s="182"/>
    </row>
    <row r="104" spans="1:35" ht="22.35" customHeight="1" thickBot="1">
      <c r="A104" s="212"/>
      <c r="B104" s="200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  <c r="U104" s="21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13"/>
      <c r="AF104" s="213"/>
      <c r="AG104" s="214"/>
      <c r="AH104" s="215"/>
      <c r="AI104" s="182"/>
    </row>
    <row r="105" spans="1:35" ht="22.35" customHeight="1">
      <c r="A105" s="72"/>
      <c r="B105" s="248" t="s">
        <v>167</v>
      </c>
      <c r="C105" s="368"/>
      <c r="D105" s="369" t="s">
        <v>94</v>
      </c>
      <c r="E105" s="370"/>
      <c r="F105" s="368"/>
      <c r="G105" s="371" t="s">
        <v>95</v>
      </c>
      <c r="H105" s="372"/>
      <c r="I105" s="373"/>
      <c r="J105" s="371" t="s">
        <v>96</v>
      </c>
      <c r="K105" s="374"/>
      <c r="L105" s="373"/>
      <c r="M105" s="375" t="s">
        <v>97</v>
      </c>
      <c r="N105" s="374"/>
      <c r="O105" s="373"/>
      <c r="P105" s="371" t="s">
        <v>98</v>
      </c>
      <c r="Q105" s="376"/>
      <c r="R105" s="373"/>
      <c r="S105" s="371" t="s">
        <v>99</v>
      </c>
      <c r="T105" s="377"/>
      <c r="U105" s="373"/>
      <c r="V105" s="371" t="s">
        <v>100</v>
      </c>
      <c r="W105" s="376"/>
      <c r="X105" s="378" t="s">
        <v>147</v>
      </c>
      <c r="Y105" s="379"/>
      <c r="Z105" s="379"/>
      <c r="AA105" s="380"/>
      <c r="AB105" s="235" t="s">
        <v>101</v>
      </c>
      <c r="AC105" s="236"/>
      <c r="AD105" s="236"/>
      <c r="AE105" s="237"/>
      <c r="AF105" s="237"/>
      <c r="AG105" s="238"/>
      <c r="AH105" s="215"/>
      <c r="AI105" s="182"/>
    </row>
    <row r="106" spans="1:35" ht="22.35" customHeight="1">
      <c r="A106" s="72"/>
      <c r="B106" s="1522" t="s">
        <v>169</v>
      </c>
      <c r="C106" s="1523" t="s">
        <v>170</v>
      </c>
      <c r="D106" s="1224"/>
      <c r="E106" s="1225"/>
      <c r="F106" s="1523" t="s">
        <v>170</v>
      </c>
      <c r="G106" s="1224"/>
      <c r="H106" s="1225"/>
      <c r="I106" s="1523" t="s">
        <v>170</v>
      </c>
      <c r="J106" s="1224"/>
      <c r="K106" s="1225"/>
      <c r="L106" s="1523" t="s">
        <v>170</v>
      </c>
      <c r="M106" s="1224"/>
      <c r="N106" s="1225"/>
      <c r="O106" s="1523" t="s">
        <v>171</v>
      </c>
      <c r="P106" s="1224"/>
      <c r="Q106" s="1225"/>
      <c r="R106" s="1523"/>
      <c r="S106" s="1224"/>
      <c r="T106" s="1225"/>
      <c r="U106" s="1523"/>
      <c r="V106" s="1224"/>
      <c r="W106" s="1225"/>
      <c r="X106" s="1523"/>
      <c r="Y106" s="1524"/>
      <c r="Z106" s="1524"/>
      <c r="AA106" s="1524"/>
      <c r="AB106" s="1221"/>
      <c r="AC106" s="1524"/>
      <c r="AD106" s="1524"/>
      <c r="AE106" s="1524"/>
      <c r="AF106" s="1524"/>
      <c r="AG106" s="1525"/>
      <c r="AH106" s="215"/>
      <c r="AI106" s="182"/>
    </row>
    <row r="107" spans="1:35" ht="22.35" customHeight="1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5"/>
      <c r="AI107" s="182"/>
    </row>
    <row r="108" spans="1:35" ht="22.35" customHeight="1" thickBot="1">
      <c r="A108" s="1501" t="s">
        <v>28</v>
      </c>
      <c r="B108" s="1307" t="s">
        <v>29</v>
      </c>
      <c r="C108" s="1240">
        <v>1</v>
      </c>
      <c r="D108" s="1240">
        <v>2</v>
      </c>
      <c r="E108" s="1241">
        <v>3</v>
      </c>
      <c r="F108" s="1241">
        <v>4</v>
      </c>
      <c r="G108" s="1240">
        <v>5</v>
      </c>
      <c r="H108" s="1240">
        <v>6</v>
      </c>
      <c r="I108" s="1240">
        <v>7</v>
      </c>
      <c r="J108" s="1240">
        <v>8</v>
      </c>
      <c r="K108" s="1240">
        <v>9</v>
      </c>
      <c r="L108" s="1241">
        <v>10</v>
      </c>
      <c r="M108" s="1241">
        <v>11</v>
      </c>
      <c r="N108" s="1240">
        <v>12</v>
      </c>
      <c r="O108" s="1240">
        <v>13</v>
      </c>
      <c r="P108" s="1240">
        <v>14</v>
      </c>
      <c r="Q108" s="1240">
        <v>15</v>
      </c>
      <c r="R108" s="1240">
        <v>16</v>
      </c>
      <c r="S108" s="1241">
        <v>17</v>
      </c>
      <c r="T108" s="1241">
        <v>18</v>
      </c>
      <c r="U108" s="1240">
        <v>19</v>
      </c>
      <c r="V108" s="1240">
        <v>20</v>
      </c>
      <c r="W108" s="1240">
        <v>21</v>
      </c>
      <c r="X108" s="1240">
        <v>22</v>
      </c>
      <c r="Y108" s="1240">
        <v>23</v>
      </c>
      <c r="Z108" s="1241">
        <v>24</v>
      </c>
      <c r="AA108" s="1241">
        <v>25</v>
      </c>
      <c r="AB108" s="1240">
        <v>26</v>
      </c>
      <c r="AC108" s="1240">
        <v>27</v>
      </c>
      <c r="AD108" s="1240">
        <v>28</v>
      </c>
      <c r="AE108" s="1240">
        <v>29</v>
      </c>
      <c r="AF108" s="1240">
        <v>30</v>
      </c>
      <c r="AG108" s="1469">
        <v>31</v>
      </c>
      <c r="AH108" s="215"/>
      <c r="AI108" s="182"/>
    </row>
    <row r="109" spans="1:35" ht="22.35" customHeight="1">
      <c r="A109" s="381">
        <v>8520</v>
      </c>
      <c r="B109" s="382" t="s">
        <v>172</v>
      </c>
      <c r="C109" s="541" t="s">
        <v>173</v>
      </c>
      <c r="D109" s="541" t="s">
        <v>173</v>
      </c>
      <c r="E109" s="541"/>
      <c r="F109" s="541"/>
      <c r="G109" s="541" t="s">
        <v>173</v>
      </c>
      <c r="H109" s="541" t="s">
        <v>173</v>
      </c>
      <c r="I109" s="541" t="s">
        <v>173</v>
      </c>
      <c r="J109" s="541" t="s">
        <v>173</v>
      </c>
      <c r="K109" s="541" t="s">
        <v>173</v>
      </c>
      <c r="L109" s="541"/>
      <c r="M109" s="541"/>
      <c r="N109" s="541" t="s">
        <v>173</v>
      </c>
      <c r="O109" s="541" t="s">
        <v>173</v>
      </c>
      <c r="P109" s="541" t="s">
        <v>173</v>
      </c>
      <c r="Q109" s="541" t="s">
        <v>173</v>
      </c>
      <c r="R109" s="541" t="s">
        <v>173</v>
      </c>
      <c r="S109" s="541"/>
      <c r="T109" s="541"/>
      <c r="U109" s="349" t="s">
        <v>173</v>
      </c>
      <c r="V109" s="349" t="s">
        <v>173</v>
      </c>
      <c r="W109" s="349" t="s">
        <v>173</v>
      </c>
      <c r="X109" s="349" t="s">
        <v>173</v>
      </c>
      <c r="Y109" s="349" t="s">
        <v>173</v>
      </c>
      <c r="Z109" s="349"/>
      <c r="AA109" s="349"/>
      <c r="AB109" s="349" t="s">
        <v>173</v>
      </c>
      <c r="AC109" s="349" t="s">
        <v>173</v>
      </c>
      <c r="AD109" s="349" t="s">
        <v>173</v>
      </c>
      <c r="AE109" s="349" t="s">
        <v>173</v>
      </c>
      <c r="AF109" s="349" t="s">
        <v>173</v>
      </c>
      <c r="AG109" s="352"/>
      <c r="AH109" s="215"/>
      <c r="AI109" s="182"/>
    </row>
    <row r="110" spans="1:35" ht="22.35" customHeight="1">
      <c r="A110" s="221"/>
      <c r="B110" s="22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5"/>
      <c r="AI110" s="182"/>
    </row>
    <row r="111" spans="1:35" ht="22.35" customHeight="1">
      <c r="AH111" s="107"/>
      <c r="AI111" s="107"/>
    </row>
    <row r="112" spans="1:35" ht="22.35" customHeight="1" thickBot="1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>
      <c r="A113" s="172"/>
      <c r="B113" s="248" t="s">
        <v>175</v>
      </c>
      <c r="C113" s="383"/>
      <c r="D113" s="384" t="s">
        <v>94</v>
      </c>
      <c r="E113" s="385"/>
      <c r="F113" s="386"/>
      <c r="G113" s="383"/>
      <c r="H113" s="384" t="s">
        <v>95</v>
      </c>
      <c r="I113" s="385"/>
      <c r="J113" s="386"/>
      <c r="K113" s="383"/>
      <c r="L113" s="384" t="s">
        <v>96</v>
      </c>
      <c r="M113" s="385"/>
      <c r="N113" s="386"/>
      <c r="O113" s="383"/>
      <c r="P113" s="384" t="s">
        <v>97</v>
      </c>
      <c r="Q113" s="385"/>
      <c r="R113" s="386"/>
      <c r="S113" s="383"/>
      <c r="T113" s="384" t="s">
        <v>98</v>
      </c>
      <c r="U113" s="385"/>
      <c r="V113" s="386"/>
      <c r="W113" s="383"/>
      <c r="X113" s="384" t="s">
        <v>99</v>
      </c>
      <c r="Y113" s="385"/>
      <c r="Z113" s="386"/>
      <c r="AA113" s="383"/>
      <c r="AB113" s="384" t="s">
        <v>100</v>
      </c>
      <c r="AC113" s="385"/>
      <c r="AD113" s="385"/>
      <c r="AE113" s="387" t="s">
        <v>101</v>
      </c>
      <c r="AF113" s="385"/>
      <c r="AG113" s="385"/>
      <c r="AH113" s="385"/>
      <c r="AI113" s="388"/>
    </row>
    <row r="114" spans="1:35" ht="22.35" customHeight="1">
      <c r="A114" s="172"/>
      <c r="B114" s="1526" t="s">
        <v>148</v>
      </c>
      <c r="C114" s="1527">
        <v>69</v>
      </c>
      <c r="D114" s="1528" t="s">
        <v>176</v>
      </c>
      <c r="E114" s="1528"/>
      <c r="F114" s="1529"/>
      <c r="G114" s="1527">
        <v>69</v>
      </c>
      <c r="H114" s="1528" t="s">
        <v>176</v>
      </c>
      <c r="I114" s="1528"/>
      <c r="J114" s="1529"/>
      <c r="K114" s="1527">
        <v>69</v>
      </c>
      <c r="L114" s="1528" t="s">
        <v>176</v>
      </c>
      <c r="M114" s="1528"/>
      <c r="N114" s="1529"/>
      <c r="O114" s="1527">
        <v>69</v>
      </c>
      <c r="P114" s="1528" t="s">
        <v>176</v>
      </c>
      <c r="Q114" s="1528"/>
      <c r="R114" s="1529"/>
      <c r="S114" s="1527">
        <v>69</v>
      </c>
      <c r="T114" s="1528" t="s">
        <v>176</v>
      </c>
      <c r="U114" s="1528"/>
      <c r="V114" s="1529"/>
      <c r="W114" s="1527"/>
      <c r="X114" s="1530"/>
      <c r="Y114" s="1530"/>
      <c r="Z114" s="1531"/>
      <c r="AA114" s="1527"/>
      <c r="AB114" s="1528"/>
      <c r="AC114" s="1528"/>
      <c r="AD114" s="1345"/>
      <c r="AE114" s="1532">
        <v>35</v>
      </c>
      <c r="AF114" s="1528"/>
      <c r="AG114" s="1528"/>
      <c r="AH114" s="1345"/>
      <c r="AI114" s="1533"/>
    </row>
    <row r="115" spans="1:35" ht="22.35" customHeight="1">
      <c r="A115" s="172"/>
      <c r="B115" s="1526" t="s">
        <v>152</v>
      </c>
      <c r="C115" s="1527">
        <v>79</v>
      </c>
      <c r="D115" s="1528" t="s">
        <v>177</v>
      </c>
      <c r="E115" s="1528"/>
      <c r="F115" s="1529"/>
      <c r="G115" s="1527">
        <v>79</v>
      </c>
      <c r="H115" s="1528" t="s">
        <v>177</v>
      </c>
      <c r="I115" s="1528"/>
      <c r="J115" s="1529"/>
      <c r="K115" s="1527">
        <v>79</v>
      </c>
      <c r="L115" s="1528" t="s">
        <v>177</v>
      </c>
      <c r="M115" s="1528"/>
      <c r="N115" s="1529"/>
      <c r="O115" s="1527">
        <v>79</v>
      </c>
      <c r="P115" s="1528" t="s">
        <v>177</v>
      </c>
      <c r="Q115" s="1528"/>
      <c r="R115" s="1529"/>
      <c r="S115" s="1527">
        <v>79</v>
      </c>
      <c r="T115" s="1528" t="s">
        <v>177</v>
      </c>
      <c r="U115" s="1528"/>
      <c r="V115" s="1529"/>
      <c r="W115" s="1527"/>
      <c r="X115" s="1528"/>
      <c r="Y115" s="1528"/>
      <c r="Z115" s="1529"/>
      <c r="AA115" s="1528"/>
      <c r="AB115" s="1528"/>
      <c r="AC115" s="1528"/>
      <c r="AD115" s="1345"/>
      <c r="AE115" s="1532">
        <v>40</v>
      </c>
      <c r="AF115" s="1528"/>
      <c r="AG115" s="1528"/>
      <c r="AH115" s="1345"/>
      <c r="AI115" s="1533"/>
    </row>
    <row r="116" spans="1:35" ht="22.35" customHeight="1">
      <c r="A116" s="172"/>
      <c r="B116" s="1526" t="s">
        <v>159</v>
      </c>
      <c r="C116" s="1527">
        <v>89</v>
      </c>
      <c r="D116" s="1528" t="s">
        <v>178</v>
      </c>
      <c r="E116" s="1528"/>
      <c r="F116" s="1529"/>
      <c r="G116" s="1527">
        <v>89</v>
      </c>
      <c r="H116" s="1528" t="s">
        <v>178</v>
      </c>
      <c r="I116" s="1528"/>
      <c r="J116" s="1529"/>
      <c r="K116" s="1527">
        <v>89</v>
      </c>
      <c r="L116" s="1528" t="s">
        <v>178</v>
      </c>
      <c r="M116" s="1528"/>
      <c r="N116" s="1529"/>
      <c r="O116" s="1527">
        <v>89</v>
      </c>
      <c r="P116" s="1528" t="s">
        <v>178</v>
      </c>
      <c r="Q116" s="1528"/>
      <c r="R116" s="1529"/>
      <c r="S116" s="1527">
        <v>89</v>
      </c>
      <c r="T116" s="1528" t="s">
        <v>179</v>
      </c>
      <c r="U116" s="1528"/>
      <c r="V116" s="1529"/>
      <c r="W116" s="1534"/>
      <c r="X116" s="1535" t="s">
        <v>180</v>
      </c>
      <c r="Y116" s="1535"/>
      <c r="Z116" s="1536"/>
      <c r="AA116" s="1534"/>
      <c r="AB116" s="1535"/>
      <c r="AC116" s="1535"/>
      <c r="AD116" s="1347"/>
      <c r="AE116" s="1532">
        <v>44</v>
      </c>
      <c r="AF116" s="1528"/>
      <c r="AG116" s="1528"/>
      <c r="AH116" s="1345"/>
      <c r="AI116" s="1533"/>
    </row>
    <row r="117" spans="1:35" ht="22.35" customHeight="1">
      <c r="A117" s="172"/>
      <c r="B117" s="38" t="s">
        <v>161</v>
      </c>
      <c r="C117" s="1534">
        <v>99</v>
      </c>
      <c r="D117" s="1535" t="s">
        <v>181</v>
      </c>
      <c r="E117" s="1535"/>
      <c r="F117" s="1536"/>
      <c r="G117" s="1534">
        <v>99</v>
      </c>
      <c r="H117" s="1535" t="s">
        <v>181</v>
      </c>
      <c r="I117" s="1535"/>
      <c r="J117" s="1536"/>
      <c r="K117" s="1534">
        <v>99</v>
      </c>
      <c r="L117" s="1535" t="s">
        <v>181</v>
      </c>
      <c r="M117" s="1535"/>
      <c r="N117" s="1536"/>
      <c r="O117" s="1534">
        <v>99</v>
      </c>
      <c r="P117" s="1535" t="s">
        <v>181</v>
      </c>
      <c r="Q117" s="1535"/>
      <c r="R117" s="1536"/>
      <c r="S117" s="1534">
        <v>99</v>
      </c>
      <c r="T117" s="1535" t="s">
        <v>160</v>
      </c>
      <c r="U117" s="1535"/>
      <c r="V117" s="1347"/>
      <c r="W117" s="1346"/>
      <c r="X117" s="1347"/>
      <c r="Y117" s="1535"/>
      <c r="Z117" s="1536"/>
      <c r="AA117" s="1346"/>
      <c r="AB117" s="1347"/>
      <c r="AC117" s="1535"/>
      <c r="AD117" s="1536"/>
      <c r="AE117" s="1537">
        <v>28</v>
      </c>
      <c r="AF117" s="1535"/>
      <c r="AG117" s="1535"/>
      <c r="AH117" s="1347"/>
      <c r="AI117" s="1538"/>
    </row>
    <row r="118" spans="1:35" ht="22.35" customHeight="1" thickBot="1">
      <c r="A118" s="172"/>
      <c r="B118" s="1539" t="s">
        <v>182</v>
      </c>
      <c r="C118" s="1540" t="s">
        <v>183</v>
      </c>
      <c r="D118" s="1541" t="s">
        <v>184</v>
      </c>
      <c r="E118" s="1542"/>
      <c r="F118" s="1300"/>
      <c r="G118" s="1540" t="s">
        <v>183</v>
      </c>
      <c r="H118" s="1541" t="s">
        <v>184</v>
      </c>
      <c r="I118" s="1298"/>
      <c r="J118" s="1542"/>
      <c r="K118" s="1540" t="s">
        <v>183</v>
      </c>
      <c r="L118" s="1541" t="s">
        <v>184</v>
      </c>
      <c r="M118" s="1542"/>
      <c r="N118" s="1543"/>
      <c r="O118" s="1540" t="s">
        <v>183</v>
      </c>
      <c r="P118" s="1541" t="s">
        <v>184</v>
      </c>
      <c r="Q118" s="1542"/>
      <c r="R118" s="1541"/>
      <c r="S118" s="1540" t="s">
        <v>183</v>
      </c>
      <c r="T118" s="1302" t="s">
        <v>185</v>
      </c>
      <c r="U118" s="1541"/>
      <c r="V118" s="1543"/>
      <c r="W118" s="1542"/>
      <c r="X118" s="1541"/>
      <c r="Y118" s="1541"/>
      <c r="Z118" s="1541"/>
      <c r="AA118" s="1544"/>
      <c r="AB118" s="1545"/>
      <c r="AC118" s="1541"/>
      <c r="AD118" s="1546"/>
      <c r="AE118" s="1541"/>
      <c r="AF118" s="1541"/>
      <c r="AG118" s="1541"/>
      <c r="AH118" s="1547"/>
      <c r="AI118" s="1548"/>
    </row>
    <row r="119" spans="1:35" ht="22.35" customHeight="1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>
      <c r="A120" s="1501"/>
      <c r="B120" s="1307" t="s">
        <v>29</v>
      </c>
      <c r="C120" s="1240">
        <v>1</v>
      </c>
      <c r="D120" s="1240">
        <v>2</v>
      </c>
      <c r="E120" s="1241">
        <v>3</v>
      </c>
      <c r="F120" s="1241">
        <v>4</v>
      </c>
      <c r="G120" s="1240">
        <v>5</v>
      </c>
      <c r="H120" s="1240">
        <v>6</v>
      </c>
      <c r="I120" s="1240">
        <v>7</v>
      </c>
      <c r="J120" s="1240">
        <v>8</v>
      </c>
      <c r="K120" s="1240">
        <v>9</v>
      </c>
      <c r="L120" s="1241">
        <v>10</v>
      </c>
      <c r="M120" s="1241">
        <v>11</v>
      </c>
      <c r="N120" s="1240">
        <v>12</v>
      </c>
      <c r="O120" s="1240">
        <v>13</v>
      </c>
      <c r="P120" s="1240">
        <v>14</v>
      </c>
      <c r="Q120" s="1240">
        <v>15</v>
      </c>
      <c r="R120" s="1240">
        <v>16</v>
      </c>
      <c r="S120" s="1241">
        <v>17</v>
      </c>
      <c r="T120" s="1241">
        <v>18</v>
      </c>
      <c r="U120" s="1240">
        <v>19</v>
      </c>
      <c r="V120" s="1240">
        <v>20</v>
      </c>
      <c r="W120" s="1240">
        <v>21</v>
      </c>
      <c r="X120" s="1240">
        <v>22</v>
      </c>
      <c r="Y120" s="1240">
        <v>23</v>
      </c>
      <c r="Z120" s="1241">
        <v>24</v>
      </c>
      <c r="AA120" s="1241">
        <v>25</v>
      </c>
      <c r="AB120" s="1240">
        <v>26</v>
      </c>
      <c r="AC120" s="1240">
        <v>27</v>
      </c>
      <c r="AD120" s="1240">
        <v>28</v>
      </c>
      <c r="AE120" s="1240">
        <v>29</v>
      </c>
      <c r="AF120" s="1240">
        <v>30</v>
      </c>
      <c r="AG120" s="1469">
        <v>31</v>
      </c>
      <c r="AH120" s="176"/>
      <c r="AI120" s="177"/>
    </row>
    <row r="121" spans="1:35" ht="22.35" customHeight="1">
      <c r="A121" s="367">
        <v>1</v>
      </c>
      <c r="B121" s="389" t="s">
        <v>186</v>
      </c>
      <c r="C121" s="349">
        <v>69</v>
      </c>
      <c r="D121" s="349">
        <v>69</v>
      </c>
      <c r="E121" s="349"/>
      <c r="F121" s="349"/>
      <c r="G121" s="361">
        <v>79</v>
      </c>
      <c r="H121" s="361">
        <v>79</v>
      </c>
      <c r="I121" s="349">
        <v>79</v>
      </c>
      <c r="J121" s="349">
        <v>79</v>
      </c>
      <c r="K121" s="349">
        <v>79</v>
      </c>
      <c r="L121" s="349"/>
      <c r="M121" s="349"/>
      <c r="N121" s="361">
        <v>89</v>
      </c>
      <c r="O121" s="361">
        <v>89</v>
      </c>
      <c r="P121" s="349">
        <v>89</v>
      </c>
      <c r="Q121" s="349">
        <v>89</v>
      </c>
      <c r="R121" s="349">
        <v>89</v>
      </c>
      <c r="S121" s="349">
        <v>89</v>
      </c>
      <c r="T121" s="349"/>
      <c r="U121" s="349">
        <v>99</v>
      </c>
      <c r="V121" s="361">
        <v>99</v>
      </c>
      <c r="W121" s="349">
        <v>99</v>
      </c>
      <c r="X121" s="349">
        <v>99</v>
      </c>
      <c r="Y121" s="349" t="s">
        <v>36</v>
      </c>
      <c r="Z121" s="349"/>
      <c r="AA121" s="349"/>
      <c r="AB121" s="349" t="s">
        <v>183</v>
      </c>
      <c r="AC121" s="349" t="s">
        <v>183</v>
      </c>
      <c r="AD121" s="349" t="s">
        <v>183</v>
      </c>
      <c r="AE121" s="349" t="s">
        <v>183</v>
      </c>
      <c r="AF121" s="349" t="s">
        <v>183</v>
      </c>
      <c r="AG121" s="352"/>
      <c r="AH121" s="201"/>
      <c r="AI121" s="107"/>
    </row>
    <row r="122" spans="1:35" ht="22.35" customHeight="1">
      <c r="A122" s="1512">
        <v>2</v>
      </c>
      <c r="B122" s="1549" t="s">
        <v>188</v>
      </c>
      <c r="C122" s="1253">
        <v>79</v>
      </c>
      <c r="D122" s="1253">
        <v>79</v>
      </c>
      <c r="E122" s="1253"/>
      <c r="F122" s="1253"/>
      <c r="G122" s="1550">
        <v>89</v>
      </c>
      <c r="H122" s="1550">
        <v>89</v>
      </c>
      <c r="I122" s="1515">
        <v>89</v>
      </c>
      <c r="J122" s="1515">
        <v>89</v>
      </c>
      <c r="K122" s="1515">
        <v>89</v>
      </c>
      <c r="L122" s="1515">
        <v>89</v>
      </c>
      <c r="M122" s="1515"/>
      <c r="N122" s="1252">
        <v>99</v>
      </c>
      <c r="O122" s="1322">
        <v>99</v>
      </c>
      <c r="P122" s="1252">
        <v>99</v>
      </c>
      <c r="Q122" s="1252">
        <v>99</v>
      </c>
      <c r="R122" s="1252" t="s">
        <v>36</v>
      </c>
      <c r="S122" s="1252"/>
      <c r="T122" s="1252"/>
      <c r="U122" s="1252" t="s">
        <v>183</v>
      </c>
      <c r="V122" s="1551" t="s">
        <v>183</v>
      </c>
      <c r="W122" s="1252" t="s">
        <v>183</v>
      </c>
      <c r="X122" s="1252" t="s">
        <v>183</v>
      </c>
      <c r="Y122" s="1252" t="s">
        <v>183</v>
      </c>
      <c r="Z122" s="1252"/>
      <c r="AA122" s="1252"/>
      <c r="AB122" s="1322">
        <v>69</v>
      </c>
      <c r="AC122" s="1322">
        <v>69</v>
      </c>
      <c r="AD122" s="1322">
        <v>69</v>
      </c>
      <c r="AE122" s="1322">
        <v>69</v>
      </c>
      <c r="AF122" s="1322">
        <v>69</v>
      </c>
      <c r="AG122" s="1326"/>
      <c r="AH122" s="202"/>
      <c r="AI122" s="171"/>
    </row>
    <row r="123" spans="1:35" ht="22.35" customHeight="1">
      <c r="A123" s="1512">
        <v>3</v>
      </c>
      <c r="B123" s="1549" t="s">
        <v>353</v>
      </c>
      <c r="C123" s="1552" t="s">
        <v>187</v>
      </c>
      <c r="D123" s="1336">
        <v>89</v>
      </c>
      <c r="E123" s="1336">
        <v>89</v>
      </c>
      <c r="F123" s="1336"/>
      <c r="G123" s="1252">
        <v>99</v>
      </c>
      <c r="H123" s="1322">
        <v>99</v>
      </c>
      <c r="I123" s="1252">
        <v>99</v>
      </c>
      <c r="J123" s="1252">
        <v>99</v>
      </c>
      <c r="K123" s="1252" t="s">
        <v>36</v>
      </c>
      <c r="L123" s="1252"/>
      <c r="M123" s="1252"/>
      <c r="N123" s="1322" t="s">
        <v>183</v>
      </c>
      <c r="O123" s="1322" t="s">
        <v>183</v>
      </c>
      <c r="P123" s="1322" t="s">
        <v>183</v>
      </c>
      <c r="Q123" s="1252" t="s">
        <v>183</v>
      </c>
      <c r="R123" s="1336" t="s">
        <v>183</v>
      </c>
      <c r="S123" s="1252"/>
      <c r="T123" s="1252"/>
      <c r="U123" s="1550">
        <v>69</v>
      </c>
      <c r="V123" s="1550">
        <v>69</v>
      </c>
      <c r="W123" s="1515">
        <v>69</v>
      </c>
      <c r="X123" s="1515">
        <v>69</v>
      </c>
      <c r="Y123" s="1515">
        <v>69</v>
      </c>
      <c r="Z123" s="1515"/>
      <c r="AA123" s="1515"/>
      <c r="AB123" s="1322">
        <v>79</v>
      </c>
      <c r="AC123" s="1322">
        <v>79</v>
      </c>
      <c r="AD123" s="1322">
        <v>79</v>
      </c>
      <c r="AE123" s="1322">
        <v>79</v>
      </c>
      <c r="AF123" s="1553">
        <v>79</v>
      </c>
      <c r="AG123" s="1326"/>
      <c r="AH123" s="201"/>
      <c r="AI123" s="107"/>
    </row>
    <row r="124" spans="1:35" ht="22.35" customHeight="1">
      <c r="A124" s="1512">
        <v>4</v>
      </c>
      <c r="B124" s="1549"/>
      <c r="C124" s="1252" t="s">
        <v>36</v>
      </c>
      <c r="D124" s="1252" t="s">
        <v>36</v>
      </c>
      <c r="E124" s="1252"/>
      <c r="F124" s="1252"/>
      <c r="G124" s="1322" t="s">
        <v>183</v>
      </c>
      <c r="H124" s="1322" t="s">
        <v>183</v>
      </c>
      <c r="I124" s="1252" t="s">
        <v>183</v>
      </c>
      <c r="J124" s="1252" t="s">
        <v>343</v>
      </c>
      <c r="K124" s="1252" t="s">
        <v>343</v>
      </c>
      <c r="L124" s="1252"/>
      <c r="M124" s="1252"/>
      <c r="N124" s="1322">
        <v>69</v>
      </c>
      <c r="O124" s="1322">
        <v>69</v>
      </c>
      <c r="P124" s="1252">
        <v>69</v>
      </c>
      <c r="Q124" s="1252">
        <v>69</v>
      </c>
      <c r="R124" s="1252">
        <v>69</v>
      </c>
      <c r="S124" s="1252"/>
      <c r="T124" s="1252"/>
      <c r="U124" s="1322">
        <v>79</v>
      </c>
      <c r="V124" s="1322">
        <v>79</v>
      </c>
      <c r="W124" s="1252">
        <v>79</v>
      </c>
      <c r="X124" s="1252">
        <v>79</v>
      </c>
      <c r="Y124" s="1252">
        <v>79</v>
      </c>
      <c r="Z124" s="1252"/>
      <c r="AA124" s="1252"/>
      <c r="AB124" s="1252">
        <v>89</v>
      </c>
      <c r="AC124" s="1322">
        <v>89</v>
      </c>
      <c r="AD124" s="1322">
        <v>89</v>
      </c>
      <c r="AE124" s="1322">
        <v>89</v>
      </c>
      <c r="AF124" s="1322">
        <v>89</v>
      </c>
      <c r="AG124" s="1326">
        <v>89</v>
      </c>
      <c r="AH124" s="201"/>
      <c r="AI124" s="107"/>
    </row>
    <row r="125" spans="1:35" ht="22.35" customHeight="1" thickBot="1">
      <c r="A125" s="1520">
        <v>5</v>
      </c>
      <c r="B125" s="1554" t="s">
        <v>190</v>
      </c>
      <c r="C125" s="1240" t="s">
        <v>183</v>
      </c>
      <c r="D125" s="1240" t="s">
        <v>183</v>
      </c>
      <c r="E125" s="1240"/>
      <c r="F125" s="1240"/>
      <c r="G125" s="1240">
        <v>69</v>
      </c>
      <c r="H125" s="1240">
        <v>69</v>
      </c>
      <c r="I125" s="1240">
        <v>69</v>
      </c>
      <c r="J125" s="1240">
        <v>69</v>
      </c>
      <c r="K125" s="1240">
        <v>69</v>
      </c>
      <c r="L125" s="1240"/>
      <c r="M125" s="1240"/>
      <c r="N125" s="1240">
        <v>79</v>
      </c>
      <c r="O125" s="1240">
        <v>79</v>
      </c>
      <c r="P125" s="1240">
        <v>79</v>
      </c>
      <c r="Q125" s="1240">
        <v>79</v>
      </c>
      <c r="R125" s="1240">
        <v>79</v>
      </c>
      <c r="S125" s="1240"/>
      <c r="T125" s="1240"/>
      <c r="U125" s="1240">
        <v>89</v>
      </c>
      <c r="V125" s="1240">
        <v>89</v>
      </c>
      <c r="W125" s="1240">
        <v>89</v>
      </c>
      <c r="X125" s="1240">
        <v>89</v>
      </c>
      <c r="Y125" s="1240">
        <v>89</v>
      </c>
      <c r="Z125" s="1240">
        <v>89</v>
      </c>
      <c r="AA125" s="1240"/>
      <c r="AB125" s="1320">
        <v>99</v>
      </c>
      <c r="AC125" s="1320">
        <v>99</v>
      </c>
      <c r="AD125" s="1320">
        <v>99</v>
      </c>
      <c r="AE125" s="1320">
        <v>99</v>
      </c>
      <c r="AF125" s="1320" t="s">
        <v>36</v>
      </c>
      <c r="AG125" s="1555"/>
      <c r="AH125" s="201"/>
      <c r="AI125" s="107"/>
    </row>
    <row r="126" spans="1:35" ht="22.35" customHeight="1">
      <c r="A126" s="212"/>
      <c r="B126" s="229"/>
      <c r="C126" s="230"/>
      <c r="D126" s="230"/>
      <c r="E126" s="230"/>
      <c r="F126" s="211"/>
      <c r="G126" s="228"/>
      <c r="H126" s="228"/>
      <c r="I126" s="228"/>
      <c r="J126" s="228"/>
      <c r="K126" s="228"/>
      <c r="L126" s="211"/>
      <c r="M126" s="211"/>
      <c r="N126" s="230"/>
      <c r="O126" s="230"/>
      <c r="P126" s="230"/>
      <c r="Q126" s="230"/>
      <c r="R126" s="230"/>
      <c r="S126" s="211"/>
      <c r="T126" s="231"/>
      <c r="U126" s="230"/>
      <c r="V126" s="230"/>
      <c r="W126" s="230"/>
      <c r="X126" s="230"/>
      <c r="Y126" s="230"/>
      <c r="Z126" s="232"/>
      <c r="AA126" s="232"/>
      <c r="AB126" s="230"/>
      <c r="AC126" s="230"/>
      <c r="AD126" s="230"/>
      <c r="AE126" s="230"/>
      <c r="AF126" s="230"/>
      <c r="AG126" s="232"/>
      <c r="AH126" s="201"/>
      <c r="AI126" s="107"/>
    </row>
    <row r="127" spans="1:35" ht="22.35" customHeight="1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>
      <c r="A129" s="172"/>
      <c r="B129" s="248" t="s">
        <v>175</v>
      </c>
      <c r="C129" s="383"/>
      <c r="D129" s="384" t="s">
        <v>94</v>
      </c>
      <c r="E129" s="385"/>
      <c r="F129" s="386"/>
      <c r="G129" s="383"/>
      <c r="H129" s="384" t="s">
        <v>95</v>
      </c>
      <c r="I129" s="385"/>
      <c r="J129" s="386"/>
      <c r="K129" s="383"/>
      <c r="L129" s="384" t="s">
        <v>96</v>
      </c>
      <c r="M129" s="385"/>
      <c r="N129" s="386"/>
      <c r="O129" s="383"/>
      <c r="P129" s="384" t="s">
        <v>97</v>
      </c>
      <c r="Q129" s="385"/>
      <c r="R129" s="386"/>
      <c r="S129" s="383"/>
      <c r="T129" s="384" t="s">
        <v>98</v>
      </c>
      <c r="U129" s="385"/>
      <c r="V129" s="386"/>
      <c r="W129" s="383"/>
      <c r="X129" s="384" t="s">
        <v>99</v>
      </c>
      <c r="Y129" s="385"/>
      <c r="Z129" s="386"/>
      <c r="AA129" s="383"/>
      <c r="AB129" s="384" t="s">
        <v>100</v>
      </c>
      <c r="AC129" s="385"/>
      <c r="AD129" s="385"/>
      <c r="AE129" s="387" t="s">
        <v>101</v>
      </c>
      <c r="AF129" s="385"/>
      <c r="AG129" s="385"/>
      <c r="AH129" s="385"/>
      <c r="AI129" s="388"/>
    </row>
    <row r="130" spans="1:35" ht="22.35" customHeight="1">
      <c r="A130" s="172"/>
      <c r="B130" s="1526" t="s">
        <v>192</v>
      </c>
      <c r="C130" s="1344" t="s">
        <v>193</v>
      </c>
      <c r="D130" s="1528"/>
      <c r="E130" s="1528"/>
      <c r="F130" s="1529"/>
      <c r="G130" s="1344" t="s">
        <v>193</v>
      </c>
      <c r="H130" s="1528"/>
      <c r="I130" s="1528"/>
      <c r="J130" s="1529"/>
      <c r="K130" s="1344" t="s">
        <v>193</v>
      </c>
      <c r="L130" s="1528"/>
      <c r="M130" s="1528"/>
      <c r="N130" s="1529"/>
      <c r="O130" s="1344" t="s">
        <v>193</v>
      </c>
      <c r="P130" s="1528"/>
      <c r="Q130" s="1528"/>
      <c r="R130" s="1529"/>
      <c r="S130" s="1344" t="s">
        <v>193</v>
      </c>
      <c r="T130" s="1528"/>
      <c r="U130" s="1528"/>
      <c r="V130" s="1529"/>
      <c r="W130" s="1344" t="s">
        <v>194</v>
      </c>
      <c r="X130" s="1530"/>
      <c r="Y130" s="1530"/>
      <c r="Z130" s="1531"/>
      <c r="AA130" s="1344" t="s">
        <v>194</v>
      </c>
      <c r="AB130" s="1528"/>
      <c r="AC130" s="1528"/>
      <c r="AD130" s="1345"/>
      <c r="AE130" s="1532">
        <v>69</v>
      </c>
      <c r="AF130" s="194"/>
      <c r="AG130" s="194"/>
      <c r="AH130" s="194"/>
      <c r="AI130" s="195"/>
    </row>
    <row r="131" spans="1:35" ht="22.35" customHeight="1">
      <c r="A131" s="172"/>
      <c r="B131" s="1526" t="s">
        <v>152</v>
      </c>
      <c r="C131" s="1344" t="s">
        <v>160</v>
      </c>
      <c r="D131" s="1528"/>
      <c r="E131" s="1528"/>
      <c r="F131" s="1529"/>
      <c r="G131" s="1344" t="s">
        <v>160</v>
      </c>
      <c r="H131" s="1528"/>
      <c r="I131" s="1528"/>
      <c r="J131" s="1529"/>
      <c r="K131" s="1344" t="s">
        <v>160</v>
      </c>
      <c r="L131" s="1528"/>
      <c r="M131" s="1528"/>
      <c r="N131" s="1529"/>
      <c r="O131" s="1344" t="s">
        <v>160</v>
      </c>
      <c r="P131" s="1528"/>
      <c r="Q131" s="1528"/>
      <c r="R131" s="1529"/>
      <c r="S131" s="1344" t="s">
        <v>160</v>
      </c>
      <c r="T131" s="1528"/>
      <c r="U131" s="1528"/>
      <c r="V131" s="1529"/>
      <c r="W131" s="1344" t="s">
        <v>160</v>
      </c>
      <c r="X131" s="1528"/>
      <c r="Y131" s="1528"/>
      <c r="Z131" s="1529"/>
      <c r="AA131" s="1528" t="s">
        <v>160</v>
      </c>
      <c r="AB131" s="1528"/>
      <c r="AC131" s="1528"/>
      <c r="AD131" s="1345"/>
      <c r="AE131" s="1532">
        <v>0</v>
      </c>
      <c r="AF131" s="194"/>
      <c r="AG131" s="194"/>
      <c r="AH131" s="194"/>
      <c r="AI131" s="195"/>
    </row>
    <row r="132" spans="1:35" ht="22.35" customHeight="1">
      <c r="A132" s="172"/>
      <c r="B132" s="1526" t="s">
        <v>195</v>
      </c>
      <c r="C132" s="1344" t="s">
        <v>193</v>
      </c>
      <c r="D132" s="1528"/>
      <c r="E132" s="1528"/>
      <c r="F132" s="1529"/>
      <c r="G132" s="1344" t="s">
        <v>193</v>
      </c>
      <c r="H132" s="1528"/>
      <c r="I132" s="1528"/>
      <c r="J132" s="1529"/>
      <c r="K132" s="1344" t="s">
        <v>193</v>
      </c>
      <c r="L132" s="1528"/>
      <c r="M132" s="1528"/>
      <c r="N132" s="1529"/>
      <c r="O132" s="1344" t="s">
        <v>193</v>
      </c>
      <c r="P132" s="1528"/>
      <c r="Q132" s="1528"/>
      <c r="R132" s="1529"/>
      <c r="S132" s="1344" t="s">
        <v>193</v>
      </c>
      <c r="T132" s="1528"/>
      <c r="U132" s="1528"/>
      <c r="V132" s="1529"/>
      <c r="W132" s="1344" t="s">
        <v>194</v>
      </c>
      <c r="X132" s="1530"/>
      <c r="Y132" s="1530"/>
      <c r="Z132" s="1531"/>
      <c r="AA132" s="1344" t="s">
        <v>194</v>
      </c>
      <c r="AB132" s="1528"/>
      <c r="AC132" s="1528"/>
      <c r="AD132" s="1345"/>
      <c r="AE132" s="1532">
        <v>69</v>
      </c>
      <c r="AF132" s="1528"/>
      <c r="AG132" s="1528" t="s">
        <v>0</v>
      </c>
      <c r="AH132" s="1345"/>
      <c r="AI132" s="1533"/>
    </row>
    <row r="133" spans="1:35" ht="22.35" customHeight="1">
      <c r="A133" s="172"/>
      <c r="B133" s="1526" t="s">
        <v>161</v>
      </c>
      <c r="C133" s="1344" t="s">
        <v>160</v>
      </c>
      <c r="D133" s="1528"/>
      <c r="E133" s="1528"/>
      <c r="F133" s="1529"/>
      <c r="G133" s="1344" t="s">
        <v>160</v>
      </c>
      <c r="H133" s="1528"/>
      <c r="I133" s="1528"/>
      <c r="J133" s="1529"/>
      <c r="K133" s="1344" t="s">
        <v>160</v>
      </c>
      <c r="L133" s="1528"/>
      <c r="M133" s="1528"/>
      <c r="N133" s="1529"/>
      <c r="O133" s="1344" t="s">
        <v>160</v>
      </c>
      <c r="P133" s="1528"/>
      <c r="Q133" s="1528"/>
      <c r="R133" s="1529"/>
      <c r="S133" s="1344" t="s">
        <v>160</v>
      </c>
      <c r="T133" s="1528"/>
      <c r="U133" s="1528"/>
      <c r="V133" s="1529"/>
      <c r="W133" s="1344" t="s">
        <v>160</v>
      </c>
      <c r="X133" s="1528"/>
      <c r="Y133" s="1528"/>
      <c r="Z133" s="1529"/>
      <c r="AA133" s="1528" t="s">
        <v>160</v>
      </c>
      <c r="AB133" s="1528"/>
      <c r="AC133" s="1528"/>
      <c r="AD133" s="1345"/>
      <c r="AE133" s="1532">
        <v>0</v>
      </c>
      <c r="AF133" s="1528"/>
      <c r="AG133" s="1528"/>
      <c r="AH133" s="1345"/>
      <c r="AI133" s="1533"/>
    </row>
    <row r="134" spans="1:35" ht="22.35" customHeight="1">
      <c r="A134" s="172"/>
      <c r="B134" s="1526" t="s">
        <v>196</v>
      </c>
      <c r="C134" s="1344" t="s">
        <v>193</v>
      </c>
      <c r="D134" s="1528"/>
      <c r="E134" s="1528"/>
      <c r="F134" s="1529"/>
      <c r="G134" s="1344" t="s">
        <v>193</v>
      </c>
      <c r="H134" s="1528"/>
      <c r="I134" s="1528"/>
      <c r="J134" s="1529"/>
      <c r="K134" s="1344" t="s">
        <v>193</v>
      </c>
      <c r="L134" s="1528"/>
      <c r="M134" s="1528"/>
      <c r="N134" s="1529"/>
      <c r="O134" s="1344" t="s">
        <v>193</v>
      </c>
      <c r="P134" s="1528"/>
      <c r="Q134" s="1528"/>
      <c r="R134" s="1529"/>
      <c r="S134" s="1344" t="s">
        <v>193</v>
      </c>
      <c r="T134" s="1528"/>
      <c r="U134" s="1528"/>
      <c r="V134" s="1529"/>
      <c r="W134" s="1344" t="s">
        <v>197</v>
      </c>
      <c r="X134" s="1535"/>
      <c r="Y134" s="1535"/>
      <c r="Z134" s="1536"/>
      <c r="AA134" s="1344" t="s">
        <v>197</v>
      </c>
      <c r="AB134" s="1535"/>
      <c r="AC134" s="1535"/>
      <c r="AD134" s="1347"/>
      <c r="AE134" s="1532">
        <v>66</v>
      </c>
      <c r="AF134" s="1528"/>
      <c r="AG134" s="1528"/>
      <c r="AH134" s="1345"/>
      <c r="AI134" s="1533"/>
    </row>
    <row r="135" spans="1:35" ht="22.35" customHeight="1" thickBot="1">
      <c r="A135" s="172"/>
      <c r="B135" s="1526" t="s">
        <v>198</v>
      </c>
      <c r="C135" s="1556" t="s">
        <v>160</v>
      </c>
      <c r="D135" s="1557"/>
      <c r="E135" s="1557"/>
      <c r="F135" s="1558"/>
      <c r="G135" s="1556" t="s">
        <v>160</v>
      </c>
      <c r="H135" s="1557"/>
      <c r="I135" s="1557"/>
      <c r="J135" s="1558"/>
      <c r="K135" s="1556" t="s">
        <v>160</v>
      </c>
      <c r="L135" s="1557"/>
      <c r="M135" s="1557"/>
      <c r="N135" s="1558"/>
      <c r="O135" s="1556" t="s">
        <v>160</v>
      </c>
      <c r="P135" s="1557"/>
      <c r="Q135" s="1557"/>
      <c r="R135" s="1558"/>
      <c r="S135" s="1556" t="s">
        <v>160</v>
      </c>
      <c r="T135" s="1557"/>
      <c r="U135" s="1557"/>
      <c r="V135" s="1547"/>
      <c r="W135" s="1556" t="s">
        <v>160</v>
      </c>
      <c r="X135" s="1547"/>
      <c r="Y135" s="1557"/>
      <c r="Z135" s="1558"/>
      <c r="AA135" s="1556" t="s">
        <v>160</v>
      </c>
      <c r="AB135" s="1547"/>
      <c r="AC135" s="1557"/>
      <c r="AD135" s="1558"/>
      <c r="AE135" s="1559" t="s">
        <v>168</v>
      </c>
      <c r="AF135" s="1557"/>
      <c r="AG135" s="1557"/>
      <c r="AH135" s="1547"/>
      <c r="AI135" s="1548"/>
    </row>
    <row r="136" spans="1:35" ht="22.35" customHeight="1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>
      <c r="A137" s="1501"/>
      <c r="B137" s="1239" t="s">
        <v>29</v>
      </c>
      <c r="C137" s="1240">
        <v>1</v>
      </c>
      <c r="D137" s="1240">
        <v>2</v>
      </c>
      <c r="E137" s="1241">
        <v>3</v>
      </c>
      <c r="F137" s="1241">
        <v>4</v>
      </c>
      <c r="G137" s="1240">
        <v>5</v>
      </c>
      <c r="H137" s="1240">
        <v>6</v>
      </c>
      <c r="I137" s="1240">
        <v>7</v>
      </c>
      <c r="J137" s="1240">
        <v>8</v>
      </c>
      <c r="K137" s="1240">
        <v>9</v>
      </c>
      <c r="L137" s="1241">
        <v>10</v>
      </c>
      <c r="M137" s="1241">
        <v>11</v>
      </c>
      <c r="N137" s="1240">
        <v>12</v>
      </c>
      <c r="O137" s="1240">
        <v>13</v>
      </c>
      <c r="P137" s="1240">
        <v>14</v>
      </c>
      <c r="Q137" s="1240">
        <v>15</v>
      </c>
      <c r="R137" s="1240">
        <v>16</v>
      </c>
      <c r="S137" s="1241">
        <v>17</v>
      </c>
      <c r="T137" s="1241">
        <v>18</v>
      </c>
      <c r="U137" s="1240">
        <v>19</v>
      </c>
      <c r="V137" s="1240">
        <v>20</v>
      </c>
      <c r="W137" s="1240">
        <v>21</v>
      </c>
      <c r="X137" s="1240">
        <v>22</v>
      </c>
      <c r="Y137" s="1240">
        <v>23</v>
      </c>
      <c r="Z137" s="1241">
        <v>24</v>
      </c>
      <c r="AA137" s="1241">
        <v>25</v>
      </c>
      <c r="AB137" s="1240">
        <v>26</v>
      </c>
      <c r="AC137" s="1240">
        <v>27</v>
      </c>
      <c r="AD137" s="1240">
        <v>28</v>
      </c>
      <c r="AE137" s="1240">
        <v>29</v>
      </c>
      <c r="AF137" s="1240">
        <v>30</v>
      </c>
      <c r="AG137" s="1469">
        <v>31</v>
      </c>
      <c r="AH137" s="176"/>
      <c r="AI137" s="177"/>
    </row>
    <row r="138" spans="1:35" ht="22.35" customHeight="1">
      <c r="A138" s="317">
        <v>1</v>
      </c>
      <c r="B138" s="227" t="s">
        <v>199</v>
      </c>
      <c r="C138" s="309" t="s">
        <v>36</v>
      </c>
      <c r="D138" s="309" t="s">
        <v>36</v>
      </c>
      <c r="E138" s="309"/>
      <c r="F138" s="309"/>
      <c r="G138" s="542">
        <v>22</v>
      </c>
      <c r="H138" s="542">
        <v>22</v>
      </c>
      <c r="I138" s="542">
        <v>22</v>
      </c>
      <c r="J138" s="542">
        <v>22</v>
      </c>
      <c r="K138" s="542">
        <v>22</v>
      </c>
      <c r="L138" s="542">
        <v>22</v>
      </c>
      <c r="M138" s="542">
        <v>22</v>
      </c>
      <c r="N138" s="542" t="s">
        <v>36</v>
      </c>
      <c r="O138" s="542" t="s">
        <v>36</v>
      </c>
      <c r="P138" s="542" t="s">
        <v>36</v>
      </c>
      <c r="Q138" s="542" t="s">
        <v>36</v>
      </c>
      <c r="R138" s="542" t="s">
        <v>36</v>
      </c>
      <c r="S138" s="542"/>
      <c r="T138" s="542"/>
      <c r="U138" s="542">
        <v>23</v>
      </c>
      <c r="V138" s="542">
        <v>23</v>
      </c>
      <c r="W138" s="542">
        <v>23</v>
      </c>
      <c r="X138" s="542">
        <v>23</v>
      </c>
      <c r="Y138" s="587">
        <v>23</v>
      </c>
      <c r="Z138" s="587">
        <v>23</v>
      </c>
      <c r="AA138" s="587">
        <v>23</v>
      </c>
      <c r="AB138" s="309" t="s">
        <v>36</v>
      </c>
      <c r="AC138" s="309" t="s">
        <v>36</v>
      </c>
      <c r="AD138" s="309" t="s">
        <v>36</v>
      </c>
      <c r="AE138" s="309" t="s">
        <v>36</v>
      </c>
      <c r="AF138" s="309" t="s">
        <v>36</v>
      </c>
      <c r="AG138" s="311"/>
      <c r="AH138" s="107"/>
      <c r="AI138" s="107"/>
    </row>
    <row r="139" spans="1:35" ht="22.35" customHeight="1">
      <c r="A139" s="1560">
        <v>2</v>
      </c>
      <c r="B139" s="1272" t="s">
        <v>200</v>
      </c>
      <c r="C139" s="1273" t="s">
        <v>36</v>
      </c>
      <c r="D139" s="1273" t="s">
        <v>36</v>
      </c>
      <c r="E139" s="1273"/>
      <c r="F139" s="1273"/>
      <c r="G139" s="1273">
        <v>23</v>
      </c>
      <c r="H139" s="1273">
        <v>23</v>
      </c>
      <c r="I139" s="1358">
        <v>23</v>
      </c>
      <c r="J139" s="1273">
        <v>23</v>
      </c>
      <c r="K139" s="1273">
        <v>23</v>
      </c>
      <c r="L139" s="1561">
        <v>23</v>
      </c>
      <c r="M139" s="1562">
        <v>23</v>
      </c>
      <c r="N139" s="1274" t="s">
        <v>36</v>
      </c>
      <c r="O139" s="1274" t="s">
        <v>36</v>
      </c>
      <c r="P139" s="1274" t="s">
        <v>36</v>
      </c>
      <c r="Q139" s="1274" t="s">
        <v>36</v>
      </c>
      <c r="R139" s="1274" t="s">
        <v>36</v>
      </c>
      <c r="S139" s="1274"/>
      <c r="T139" s="1274"/>
      <c r="U139" s="1274">
        <v>21</v>
      </c>
      <c r="V139" s="1274">
        <v>21</v>
      </c>
      <c r="W139" s="1358">
        <v>21</v>
      </c>
      <c r="X139" s="1273">
        <v>21</v>
      </c>
      <c r="Y139" s="1273">
        <v>21</v>
      </c>
      <c r="Z139" s="1358">
        <v>21</v>
      </c>
      <c r="AA139" s="1274">
        <v>21</v>
      </c>
      <c r="AB139" s="1274" t="s">
        <v>36</v>
      </c>
      <c r="AC139" s="1274" t="s">
        <v>36</v>
      </c>
      <c r="AD139" s="1274" t="s">
        <v>36</v>
      </c>
      <c r="AE139" s="1274" t="s">
        <v>36</v>
      </c>
      <c r="AF139" s="1274" t="s">
        <v>36</v>
      </c>
      <c r="AG139" s="1277"/>
      <c r="AH139" s="107"/>
      <c r="AI139" s="107"/>
    </row>
    <row r="140" spans="1:35" ht="22.35" customHeight="1">
      <c r="A140" s="1560">
        <v>3</v>
      </c>
      <c r="B140" s="1272" t="s">
        <v>201</v>
      </c>
      <c r="C140" s="1273" t="s">
        <v>36</v>
      </c>
      <c r="D140" s="1273" t="s">
        <v>36</v>
      </c>
      <c r="E140" s="1273"/>
      <c r="F140" s="1273"/>
      <c r="G140" s="1274">
        <v>21</v>
      </c>
      <c r="H140" s="1274">
        <v>21</v>
      </c>
      <c r="I140" s="1278">
        <v>21</v>
      </c>
      <c r="J140" s="1278">
        <v>21</v>
      </c>
      <c r="K140" s="1278">
        <v>21</v>
      </c>
      <c r="L140" s="1278">
        <v>21</v>
      </c>
      <c r="M140" s="1278">
        <v>21</v>
      </c>
      <c r="N140" s="1278" t="s">
        <v>36</v>
      </c>
      <c r="O140" s="1278" t="s">
        <v>36</v>
      </c>
      <c r="P140" s="1273" t="s">
        <v>36</v>
      </c>
      <c r="Q140" s="1273" t="s">
        <v>36</v>
      </c>
      <c r="R140" s="1282" t="s">
        <v>36</v>
      </c>
      <c r="S140" s="1282"/>
      <c r="T140" s="1273"/>
      <c r="U140" s="1274">
        <v>22</v>
      </c>
      <c r="V140" s="1274">
        <v>22</v>
      </c>
      <c r="W140" s="1358">
        <v>22</v>
      </c>
      <c r="X140" s="1273">
        <v>22</v>
      </c>
      <c r="Y140" s="1273">
        <v>22</v>
      </c>
      <c r="Z140" s="1358">
        <v>22</v>
      </c>
      <c r="AA140" s="1273">
        <v>22</v>
      </c>
      <c r="AB140" s="1273" t="s">
        <v>36</v>
      </c>
      <c r="AC140" s="1273" t="s">
        <v>36</v>
      </c>
      <c r="AD140" s="1273" t="s">
        <v>36</v>
      </c>
      <c r="AE140" s="1273" t="s">
        <v>36</v>
      </c>
      <c r="AF140" s="1273" t="s">
        <v>36</v>
      </c>
      <c r="AG140" s="1277"/>
      <c r="AH140" s="107"/>
      <c r="AI140" s="107"/>
    </row>
    <row r="141" spans="1:35" ht="22.35" customHeight="1">
      <c r="A141" s="1560">
        <v>4</v>
      </c>
      <c r="B141" s="1272" t="s">
        <v>202</v>
      </c>
      <c r="C141" s="1148">
        <v>21</v>
      </c>
      <c r="D141" s="1148">
        <v>21</v>
      </c>
      <c r="E141" s="1370">
        <v>21</v>
      </c>
      <c r="F141" s="1148">
        <v>21</v>
      </c>
      <c r="G141" s="1273" t="s">
        <v>36</v>
      </c>
      <c r="H141" s="1273" t="s">
        <v>36</v>
      </c>
      <c r="I141" s="1273" t="s">
        <v>36</v>
      </c>
      <c r="J141" s="1273" t="s">
        <v>36</v>
      </c>
      <c r="K141" s="1273" t="s">
        <v>36</v>
      </c>
      <c r="L141" s="1273"/>
      <c r="M141" s="1273"/>
      <c r="N141" s="1273">
        <v>22</v>
      </c>
      <c r="O141" s="1563">
        <v>22</v>
      </c>
      <c r="P141" s="1278">
        <v>22</v>
      </c>
      <c r="Q141" s="1278">
        <v>22</v>
      </c>
      <c r="R141" s="1278">
        <v>22</v>
      </c>
      <c r="S141" s="1278">
        <v>22</v>
      </c>
      <c r="T141" s="1278">
        <v>22</v>
      </c>
      <c r="U141" s="1278" t="s">
        <v>36</v>
      </c>
      <c r="V141" s="1278" t="s">
        <v>36</v>
      </c>
      <c r="W141" s="1273" t="s">
        <v>36</v>
      </c>
      <c r="X141" s="1273" t="s">
        <v>36</v>
      </c>
      <c r="Y141" s="1273" t="s">
        <v>36</v>
      </c>
      <c r="Z141" s="1273"/>
      <c r="AA141" s="1273"/>
      <c r="AB141" s="1273">
        <v>23</v>
      </c>
      <c r="AC141" s="1273">
        <v>23</v>
      </c>
      <c r="AD141" s="1358">
        <v>23</v>
      </c>
      <c r="AE141" s="1273">
        <v>23</v>
      </c>
      <c r="AF141" s="1273">
        <v>23</v>
      </c>
      <c r="AG141" s="979">
        <v>23</v>
      </c>
      <c r="AH141" s="107"/>
      <c r="AI141" s="107"/>
    </row>
    <row r="142" spans="1:35" ht="22.35" customHeight="1">
      <c r="A142" s="1560">
        <v>5</v>
      </c>
      <c r="B142" s="1272" t="s">
        <v>203</v>
      </c>
      <c r="C142" s="1273">
        <v>22</v>
      </c>
      <c r="D142" s="1273">
        <v>22</v>
      </c>
      <c r="E142" s="1358">
        <v>22</v>
      </c>
      <c r="F142" s="1274">
        <v>22</v>
      </c>
      <c r="G142" s="1148" t="s">
        <v>36</v>
      </c>
      <c r="H142" s="1148" t="s">
        <v>36</v>
      </c>
      <c r="I142" s="1148" t="s">
        <v>36</v>
      </c>
      <c r="J142" s="1148" t="s">
        <v>36</v>
      </c>
      <c r="K142" s="1148" t="s">
        <v>36</v>
      </c>
      <c r="L142" s="1148"/>
      <c r="M142" s="1148"/>
      <c r="N142" s="1148">
        <v>23</v>
      </c>
      <c r="O142" s="1148">
        <v>23</v>
      </c>
      <c r="P142" s="1370">
        <v>23</v>
      </c>
      <c r="Q142" s="1148">
        <v>23</v>
      </c>
      <c r="R142" s="1148">
        <v>23</v>
      </c>
      <c r="S142" s="1370">
        <v>23</v>
      </c>
      <c r="T142" s="1148">
        <v>23</v>
      </c>
      <c r="U142" s="1148" t="s">
        <v>36</v>
      </c>
      <c r="V142" s="1148" t="s">
        <v>36</v>
      </c>
      <c r="W142" s="1148" t="s">
        <v>36</v>
      </c>
      <c r="X142" s="1148" t="s">
        <v>36</v>
      </c>
      <c r="Y142" s="1148" t="s">
        <v>36</v>
      </c>
      <c r="Z142" s="1148"/>
      <c r="AA142" s="1148"/>
      <c r="AB142" s="1273">
        <v>21</v>
      </c>
      <c r="AC142" s="1274">
        <v>21</v>
      </c>
      <c r="AD142" s="1274">
        <v>21</v>
      </c>
      <c r="AE142" s="1274">
        <v>21</v>
      </c>
      <c r="AF142" s="1273">
        <v>21</v>
      </c>
      <c r="AG142" s="979">
        <v>21</v>
      </c>
      <c r="AH142" s="107"/>
      <c r="AI142" s="107"/>
    </row>
    <row r="143" spans="1:35" ht="22.35" customHeight="1" thickBot="1">
      <c r="A143" s="1068">
        <v>6</v>
      </c>
      <c r="B143" s="1069" t="s">
        <v>204</v>
      </c>
      <c r="C143" s="996">
        <v>23</v>
      </c>
      <c r="D143" s="996">
        <v>23</v>
      </c>
      <c r="E143" s="998">
        <v>23</v>
      </c>
      <c r="F143" s="996">
        <v>23</v>
      </c>
      <c r="G143" s="996" t="s">
        <v>36</v>
      </c>
      <c r="H143" s="1070" t="s">
        <v>36</v>
      </c>
      <c r="I143" s="1070" t="s">
        <v>36</v>
      </c>
      <c r="J143" s="1070" t="s">
        <v>36</v>
      </c>
      <c r="K143" s="1070" t="s">
        <v>36</v>
      </c>
      <c r="L143" s="1070"/>
      <c r="M143" s="1070"/>
      <c r="N143" s="1072">
        <v>21</v>
      </c>
      <c r="O143" s="1072">
        <v>21</v>
      </c>
      <c r="P143" s="998">
        <v>21</v>
      </c>
      <c r="Q143" s="996">
        <v>21</v>
      </c>
      <c r="R143" s="996">
        <v>21</v>
      </c>
      <c r="S143" s="998">
        <v>21</v>
      </c>
      <c r="T143" s="996">
        <v>21</v>
      </c>
      <c r="U143" s="996" t="s">
        <v>36</v>
      </c>
      <c r="V143" s="996" t="s">
        <v>36</v>
      </c>
      <c r="W143" s="996" t="s">
        <v>36</v>
      </c>
      <c r="X143" s="996" t="s">
        <v>36</v>
      </c>
      <c r="Y143" s="996" t="s">
        <v>36</v>
      </c>
      <c r="Z143" s="996"/>
      <c r="AA143" s="996"/>
      <c r="AB143" s="1564">
        <v>22</v>
      </c>
      <c r="AC143" s="1564">
        <v>22</v>
      </c>
      <c r="AD143" s="1564">
        <v>22</v>
      </c>
      <c r="AE143" s="1564">
        <v>22</v>
      </c>
      <c r="AF143" s="1564">
        <v>22</v>
      </c>
      <c r="AG143" s="1565">
        <v>22</v>
      </c>
      <c r="AH143" s="107"/>
      <c r="AI143" s="107"/>
    </row>
    <row r="144" spans="1:35" ht="22.35" customHeight="1">
      <c r="A144" s="212"/>
      <c r="B144" s="210"/>
      <c r="C144" s="211"/>
      <c r="D144" s="211"/>
      <c r="E144" s="228"/>
      <c r="F144" s="211"/>
      <c r="G144" s="211"/>
      <c r="H144" s="233"/>
      <c r="I144" s="233"/>
      <c r="J144" s="233"/>
      <c r="K144" s="233"/>
      <c r="L144" s="233"/>
      <c r="M144" s="233"/>
      <c r="N144" s="202"/>
      <c r="O144" s="202"/>
      <c r="P144" s="228"/>
      <c r="Q144" s="211"/>
      <c r="R144" s="211"/>
      <c r="S144" s="228"/>
      <c r="T144" s="211"/>
      <c r="U144" s="211"/>
      <c r="V144" s="211"/>
      <c r="W144" s="211"/>
      <c r="X144" s="211"/>
      <c r="Y144" s="211"/>
      <c r="Z144" s="211"/>
      <c r="AA144" s="211"/>
      <c r="AB144" s="202"/>
      <c r="AC144" s="202"/>
      <c r="AD144" s="228"/>
      <c r="AE144" s="211"/>
      <c r="AF144" s="211"/>
      <c r="AG144" s="228"/>
      <c r="AH144" s="107"/>
      <c r="AI144" s="107"/>
    </row>
    <row r="145" spans="1:36" ht="22.35" customHeight="1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6" ht="22.35" customHeight="1" thickBot="1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6" ht="22.35" customHeight="1">
      <c r="A147" s="1"/>
      <c r="B147" s="248" t="s">
        <v>175</v>
      </c>
      <c r="C147" s="368"/>
      <c r="D147" s="384" t="s">
        <v>94</v>
      </c>
      <c r="E147" s="357"/>
      <c r="F147" s="372"/>
      <c r="G147" s="368"/>
      <c r="H147" s="384" t="s">
        <v>95</v>
      </c>
      <c r="I147" s="357"/>
      <c r="J147" s="372"/>
      <c r="K147" s="368"/>
      <c r="L147" s="384" t="s">
        <v>96</v>
      </c>
      <c r="M147" s="357"/>
      <c r="N147" s="372"/>
      <c r="O147" s="368"/>
      <c r="P147" s="384" t="s">
        <v>97</v>
      </c>
      <c r="Q147" s="357"/>
      <c r="R147" s="372"/>
      <c r="S147" s="368"/>
      <c r="T147" s="384" t="s">
        <v>98</v>
      </c>
      <c r="U147" s="357"/>
      <c r="V147" s="372"/>
      <c r="W147" s="368"/>
      <c r="X147" s="384" t="s">
        <v>99</v>
      </c>
      <c r="Y147" s="357"/>
      <c r="Z147" s="372"/>
      <c r="AA147" s="368"/>
      <c r="AB147" s="384" t="s">
        <v>100</v>
      </c>
      <c r="AC147" s="357"/>
      <c r="AD147" s="357"/>
      <c r="AE147" s="387" t="s">
        <v>101</v>
      </c>
      <c r="AF147" s="357"/>
      <c r="AG147" s="357"/>
      <c r="AH147" s="357"/>
      <c r="AI147" s="358"/>
    </row>
    <row r="148" spans="1:36" ht="22.35" customHeight="1">
      <c r="A148" s="1"/>
      <c r="B148" s="1526" t="s">
        <v>148</v>
      </c>
      <c r="C148" s="1344" t="s">
        <v>176</v>
      </c>
      <c r="D148" s="1222"/>
      <c r="E148" s="1222"/>
      <c r="F148" s="1529"/>
      <c r="G148" s="1344" t="s">
        <v>176</v>
      </c>
      <c r="H148" s="1222"/>
      <c r="I148" s="1222"/>
      <c r="J148" s="1529"/>
      <c r="K148" s="1344" t="s">
        <v>176</v>
      </c>
      <c r="L148" s="1222"/>
      <c r="M148" s="1222"/>
      <c r="N148" s="1529"/>
      <c r="O148" s="1344" t="s">
        <v>206</v>
      </c>
      <c r="P148" s="1222"/>
      <c r="Q148" s="1222"/>
      <c r="R148" s="1529"/>
      <c r="S148" s="1344" t="s">
        <v>160</v>
      </c>
      <c r="T148" s="1222"/>
      <c r="U148" s="1222"/>
      <c r="V148" s="1529"/>
      <c r="W148" s="1566"/>
      <c r="X148" s="1567"/>
      <c r="Y148" s="1567"/>
      <c r="Z148" s="1531"/>
      <c r="AA148" s="1527"/>
      <c r="AB148" s="1222"/>
      <c r="AC148" s="1222"/>
      <c r="AD148" s="1345"/>
      <c r="AE148" s="1532">
        <v>27</v>
      </c>
      <c r="AF148" s="1222"/>
      <c r="AG148" s="1222"/>
      <c r="AH148" s="1345"/>
      <c r="AI148" s="1231"/>
    </row>
    <row r="149" spans="1:36" ht="22.35" customHeight="1">
      <c r="A149" s="1"/>
      <c r="B149" s="1526" t="s">
        <v>152</v>
      </c>
      <c r="C149" s="1344" t="s">
        <v>207</v>
      </c>
      <c r="D149" s="1222"/>
      <c r="E149" s="1222"/>
      <c r="F149" s="1529"/>
      <c r="G149" s="1344" t="s">
        <v>207</v>
      </c>
      <c r="H149" s="1222"/>
      <c r="I149" s="1222"/>
      <c r="J149" s="1529"/>
      <c r="K149" s="1344" t="s">
        <v>207</v>
      </c>
      <c r="L149" s="1222"/>
      <c r="M149" s="1222"/>
      <c r="N149" s="1529"/>
      <c r="O149" s="1344" t="s">
        <v>207</v>
      </c>
      <c r="P149" s="1222"/>
      <c r="Q149" s="1222"/>
      <c r="R149" s="1529"/>
      <c r="S149" s="1344" t="s">
        <v>176</v>
      </c>
      <c r="T149" s="1222"/>
      <c r="U149" s="1222"/>
      <c r="V149" s="1529"/>
      <c r="W149" s="1344"/>
      <c r="X149" s="1222"/>
      <c r="Y149" s="1222"/>
      <c r="Z149" s="1529"/>
      <c r="AA149" s="1222"/>
      <c r="AB149" s="1222"/>
      <c r="AC149" s="1222"/>
      <c r="AD149" s="1345"/>
      <c r="AE149" s="1532">
        <v>39</v>
      </c>
      <c r="AF149" s="1222"/>
      <c r="AG149" s="1222"/>
      <c r="AH149" s="1345"/>
      <c r="AI149" s="1231"/>
    </row>
    <row r="150" spans="1:36" ht="22.35" customHeight="1">
      <c r="A150" s="1"/>
      <c r="B150" s="1526" t="s">
        <v>159</v>
      </c>
      <c r="C150" s="1344" t="s">
        <v>207</v>
      </c>
      <c r="D150" s="1222"/>
      <c r="E150" s="1222"/>
      <c r="F150" s="1529"/>
      <c r="G150" s="1344" t="s">
        <v>207</v>
      </c>
      <c r="H150" s="1222"/>
      <c r="I150" s="1222"/>
      <c r="J150" s="1529"/>
      <c r="K150" s="1344" t="s">
        <v>207</v>
      </c>
      <c r="L150" s="1222"/>
      <c r="M150" s="1222"/>
      <c r="N150" s="1529"/>
      <c r="O150" s="1344" t="s">
        <v>207</v>
      </c>
      <c r="P150" s="1222"/>
      <c r="Q150" s="1222"/>
      <c r="R150" s="1529"/>
      <c r="S150" s="1344" t="s">
        <v>207</v>
      </c>
      <c r="T150" s="1222"/>
      <c r="U150" s="1222"/>
      <c r="V150" s="1529"/>
      <c r="W150" s="1346" t="s">
        <v>208</v>
      </c>
      <c r="X150" s="1235"/>
      <c r="Y150" s="1235"/>
      <c r="Z150" s="1536"/>
      <c r="AA150" s="1534"/>
      <c r="AB150" s="1235"/>
      <c r="AC150" s="1235"/>
      <c r="AD150" s="1347"/>
      <c r="AE150" s="1532">
        <v>45</v>
      </c>
      <c r="AF150" s="1222"/>
      <c r="AG150" s="1222"/>
      <c r="AH150" s="1345"/>
      <c r="AI150" s="1231"/>
    </row>
    <row r="151" spans="1:36" ht="22.35" customHeight="1" thickBot="1">
      <c r="A151" s="1"/>
      <c r="B151" s="454" t="s">
        <v>161</v>
      </c>
      <c r="C151" s="1556"/>
      <c r="D151" s="1298"/>
      <c r="E151" s="1298"/>
      <c r="F151" s="1558"/>
      <c r="G151" s="1556"/>
      <c r="H151" s="1298"/>
      <c r="I151" s="1298"/>
      <c r="J151" s="1558"/>
      <c r="K151" s="1556"/>
      <c r="L151" s="1298"/>
      <c r="M151" s="1298"/>
      <c r="N151" s="1558"/>
      <c r="O151" s="1556"/>
      <c r="P151" s="1298"/>
      <c r="Q151" s="1298"/>
      <c r="R151" s="1558"/>
      <c r="S151" s="1556"/>
      <c r="T151" s="1298"/>
      <c r="U151" s="1298"/>
      <c r="V151" s="1547"/>
      <c r="W151" s="1556"/>
      <c r="X151" s="1547"/>
      <c r="Y151" s="1298"/>
      <c r="Z151" s="1558"/>
      <c r="AA151" s="1556"/>
      <c r="AB151" s="1547"/>
      <c r="AC151" s="1298"/>
      <c r="AD151" s="1558"/>
      <c r="AE151" s="1568"/>
      <c r="AF151" s="1298"/>
      <c r="AG151" s="1298"/>
      <c r="AH151" s="1547"/>
      <c r="AI151" s="1305"/>
    </row>
    <row r="152" spans="1:36" ht="22.35" customHeight="1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6" ht="22.35" customHeight="1" thickBot="1">
      <c r="A153" s="1501"/>
      <c r="B153" s="1307" t="s">
        <v>29</v>
      </c>
      <c r="C153" s="1240">
        <v>1</v>
      </c>
      <c r="D153" s="1240">
        <v>2</v>
      </c>
      <c r="E153" s="1241">
        <v>3</v>
      </c>
      <c r="F153" s="1241">
        <v>4</v>
      </c>
      <c r="G153" s="1240">
        <v>5</v>
      </c>
      <c r="H153" s="1240">
        <v>6</v>
      </c>
      <c r="I153" s="1240">
        <v>7</v>
      </c>
      <c r="J153" s="1240">
        <v>8</v>
      </c>
      <c r="K153" s="1240">
        <v>9</v>
      </c>
      <c r="L153" s="1241">
        <v>10</v>
      </c>
      <c r="M153" s="1241">
        <v>11</v>
      </c>
      <c r="N153" s="1240">
        <v>12</v>
      </c>
      <c r="O153" s="1240">
        <v>13</v>
      </c>
      <c r="P153" s="1240">
        <v>14</v>
      </c>
      <c r="Q153" s="1240">
        <v>15</v>
      </c>
      <c r="R153" s="1240">
        <v>16</v>
      </c>
      <c r="S153" s="1241">
        <v>17</v>
      </c>
      <c r="T153" s="1241">
        <v>18</v>
      </c>
      <c r="U153" s="1240">
        <v>19</v>
      </c>
      <c r="V153" s="1240">
        <v>20</v>
      </c>
      <c r="W153" s="1240">
        <v>21</v>
      </c>
      <c r="X153" s="1240">
        <v>22</v>
      </c>
      <c r="Y153" s="1240">
        <v>23</v>
      </c>
      <c r="Z153" s="1241">
        <v>24</v>
      </c>
      <c r="AA153" s="1241">
        <v>25</v>
      </c>
      <c r="AB153" s="1240">
        <v>26</v>
      </c>
      <c r="AC153" s="1240">
        <v>27</v>
      </c>
      <c r="AD153" s="1240">
        <v>28</v>
      </c>
      <c r="AE153" s="1240">
        <v>29</v>
      </c>
      <c r="AF153" s="1240">
        <v>30</v>
      </c>
      <c r="AG153" s="1469">
        <v>31</v>
      </c>
      <c r="AH153" s="176"/>
      <c r="AI153" s="177"/>
    </row>
    <row r="154" spans="1:36" ht="22.35" customHeight="1">
      <c r="A154" s="367">
        <v>1</v>
      </c>
      <c r="B154" s="390" t="s">
        <v>209</v>
      </c>
      <c r="C154" s="350" t="s">
        <v>32</v>
      </c>
      <c r="D154" s="349" t="s">
        <v>32</v>
      </c>
      <c r="E154" s="349"/>
      <c r="F154" s="349"/>
      <c r="G154" s="349" t="s">
        <v>32</v>
      </c>
      <c r="H154" s="349" t="s">
        <v>32</v>
      </c>
      <c r="I154" s="349" t="s">
        <v>32</v>
      </c>
      <c r="J154" s="349" t="s">
        <v>32</v>
      </c>
      <c r="K154" s="349" t="s">
        <v>32</v>
      </c>
      <c r="L154" s="349"/>
      <c r="M154" s="349"/>
      <c r="N154" s="349" t="s">
        <v>32</v>
      </c>
      <c r="O154" s="349" t="s">
        <v>32</v>
      </c>
      <c r="P154" s="349" t="s">
        <v>32</v>
      </c>
      <c r="Q154" s="349" t="s">
        <v>32</v>
      </c>
      <c r="R154" s="349" t="s">
        <v>32</v>
      </c>
      <c r="S154" s="349"/>
      <c r="T154" s="350"/>
      <c r="U154" s="349" t="s">
        <v>32</v>
      </c>
      <c r="V154" s="349" t="s">
        <v>32</v>
      </c>
      <c r="W154" s="350" t="s">
        <v>32</v>
      </c>
      <c r="X154" s="350" t="s">
        <v>32</v>
      </c>
      <c r="Y154" s="350" t="s">
        <v>32</v>
      </c>
      <c r="Z154" s="349"/>
      <c r="AA154" s="351"/>
      <c r="AB154" s="350" t="s">
        <v>32</v>
      </c>
      <c r="AC154" s="349" t="s">
        <v>32</v>
      </c>
      <c r="AD154" s="351" t="s">
        <v>32</v>
      </c>
      <c r="AE154" s="351" t="s">
        <v>32</v>
      </c>
      <c r="AF154" s="351" t="s">
        <v>32</v>
      </c>
      <c r="AG154" s="352"/>
      <c r="AH154" s="215"/>
      <c r="AI154" s="182"/>
    </row>
    <row r="155" spans="1:36" ht="22.35" customHeight="1">
      <c r="A155" s="1512">
        <v>2</v>
      </c>
      <c r="B155" s="1569" t="s">
        <v>210</v>
      </c>
      <c r="C155" s="1336" t="s">
        <v>212</v>
      </c>
      <c r="D155" s="1336" t="s">
        <v>212</v>
      </c>
      <c r="E155" s="1336" t="s">
        <v>212</v>
      </c>
      <c r="F155" s="1336"/>
      <c r="G155" s="1515" t="s">
        <v>213</v>
      </c>
      <c r="H155" s="1515" t="s">
        <v>213</v>
      </c>
      <c r="I155" s="1515" t="s">
        <v>213</v>
      </c>
      <c r="J155" s="1515" t="s">
        <v>213</v>
      </c>
      <c r="K155" s="1515" t="s">
        <v>36</v>
      </c>
      <c r="L155" s="1253"/>
      <c r="M155" s="1253"/>
      <c r="N155" s="1515" t="s">
        <v>211</v>
      </c>
      <c r="O155" s="1515" t="s">
        <v>211</v>
      </c>
      <c r="P155" s="1515" t="s">
        <v>211</v>
      </c>
      <c r="Q155" s="1515" t="s">
        <v>211</v>
      </c>
      <c r="R155" s="1515" t="s">
        <v>211</v>
      </c>
      <c r="S155" s="1253"/>
      <c r="T155" s="1253"/>
      <c r="U155" s="1515" t="s">
        <v>212</v>
      </c>
      <c r="V155" s="1515" t="s">
        <v>212</v>
      </c>
      <c r="W155" s="1515" t="s">
        <v>212</v>
      </c>
      <c r="X155" s="1515" t="s">
        <v>212</v>
      </c>
      <c r="Y155" s="1515" t="s">
        <v>212</v>
      </c>
      <c r="Z155" s="1515" t="s">
        <v>212</v>
      </c>
      <c r="AA155" s="1252"/>
      <c r="AB155" s="1252" t="s">
        <v>213</v>
      </c>
      <c r="AC155" s="1252" t="s">
        <v>213</v>
      </c>
      <c r="AD155" s="1252" t="s">
        <v>213</v>
      </c>
      <c r="AE155" s="1252" t="s">
        <v>213</v>
      </c>
      <c r="AF155" s="1252" t="s">
        <v>36</v>
      </c>
      <c r="AG155" s="1314"/>
      <c r="AH155" s="215"/>
      <c r="AI155" s="182"/>
    </row>
    <row r="156" spans="1:36" ht="22.35" customHeight="1">
      <c r="A156" s="1512">
        <v>3</v>
      </c>
      <c r="B156" s="1570" t="s">
        <v>214</v>
      </c>
      <c r="C156" s="1252" t="s">
        <v>213</v>
      </c>
      <c r="D156" s="1252" t="s">
        <v>213</v>
      </c>
      <c r="E156" s="1252"/>
      <c r="F156" s="1252"/>
      <c r="G156" s="1336" t="s">
        <v>211</v>
      </c>
      <c r="H156" s="1336" t="s">
        <v>211</v>
      </c>
      <c r="I156" s="1336" t="s">
        <v>211</v>
      </c>
      <c r="J156" s="1336" t="s">
        <v>211</v>
      </c>
      <c r="K156" s="1336" t="s">
        <v>211</v>
      </c>
      <c r="L156" s="1252"/>
      <c r="M156" s="1252"/>
      <c r="N156" s="1336" t="s">
        <v>212</v>
      </c>
      <c r="O156" s="1336" t="s">
        <v>212</v>
      </c>
      <c r="P156" s="1336" t="s">
        <v>212</v>
      </c>
      <c r="Q156" s="1336" t="s">
        <v>212</v>
      </c>
      <c r="R156" s="1336" t="s">
        <v>212</v>
      </c>
      <c r="S156" s="1336" t="s">
        <v>212</v>
      </c>
      <c r="T156" s="1252"/>
      <c r="U156" s="1515" t="s">
        <v>213</v>
      </c>
      <c r="V156" s="1515" t="s">
        <v>213</v>
      </c>
      <c r="W156" s="1515" t="s">
        <v>213</v>
      </c>
      <c r="X156" s="1515" t="s">
        <v>213</v>
      </c>
      <c r="Y156" s="1515" t="s">
        <v>36</v>
      </c>
      <c r="Z156" s="1515"/>
      <c r="AA156" s="1516"/>
      <c r="AB156" s="1515" t="s">
        <v>211</v>
      </c>
      <c r="AC156" s="1515" t="s">
        <v>211</v>
      </c>
      <c r="AD156" s="1515" t="s">
        <v>211</v>
      </c>
      <c r="AE156" s="1515" t="s">
        <v>211</v>
      </c>
      <c r="AF156" s="1515" t="s">
        <v>211</v>
      </c>
      <c r="AG156" s="1571"/>
      <c r="AH156" s="215"/>
      <c r="AI156" s="182"/>
      <c r="AJ156" s="200"/>
    </row>
    <row r="157" spans="1:36" ht="22.35" customHeight="1">
      <c r="A157" s="1512">
        <v>4</v>
      </c>
      <c r="B157" s="1570" t="s">
        <v>215</v>
      </c>
      <c r="C157" s="1252"/>
      <c r="D157" s="1252" t="s">
        <v>32</v>
      </c>
      <c r="E157" s="1252"/>
      <c r="F157" s="1252"/>
      <c r="G157" s="1252"/>
      <c r="H157" s="1252" t="s">
        <v>125</v>
      </c>
      <c r="I157" s="1252"/>
      <c r="J157" s="1252"/>
      <c r="K157" s="1252" t="s">
        <v>32</v>
      </c>
      <c r="L157" s="1252" t="s">
        <v>125</v>
      </c>
      <c r="M157" s="1252"/>
      <c r="N157" s="1252"/>
      <c r="O157" s="1252" t="s">
        <v>125</v>
      </c>
      <c r="P157" s="1252" t="s">
        <v>32</v>
      </c>
      <c r="Q157" s="1249"/>
      <c r="R157" s="1249" t="s">
        <v>32</v>
      </c>
      <c r="S157" s="1249"/>
      <c r="T157" s="1249"/>
      <c r="U157" s="1249"/>
      <c r="V157" s="1252" t="s">
        <v>125</v>
      </c>
      <c r="W157" s="1252" t="s">
        <v>32</v>
      </c>
      <c r="X157" s="1252"/>
      <c r="Y157" s="1252" t="s">
        <v>32</v>
      </c>
      <c r="Z157" s="1252"/>
      <c r="AA157" s="1252"/>
      <c r="AB157" s="1252"/>
      <c r="AC157" s="1252" t="s">
        <v>125</v>
      </c>
      <c r="AD157" s="1252"/>
      <c r="AE157" s="1252"/>
      <c r="AF157" s="1252" t="s">
        <v>32</v>
      </c>
      <c r="AG157" s="1336" t="s">
        <v>212</v>
      </c>
      <c r="AH157" s="215"/>
      <c r="AI157" s="182"/>
    </row>
    <row r="158" spans="1:36" ht="22.35" customHeight="1">
      <c r="A158" s="1512">
        <v>5</v>
      </c>
      <c r="B158" s="1570" t="s">
        <v>216</v>
      </c>
      <c r="C158" s="1252" t="s">
        <v>32</v>
      </c>
      <c r="D158" s="1252"/>
      <c r="E158" s="1252"/>
      <c r="F158" s="1252"/>
      <c r="G158" s="1252" t="s">
        <v>125</v>
      </c>
      <c r="H158" s="1252"/>
      <c r="I158" s="1252"/>
      <c r="J158" s="1252" t="s">
        <v>32</v>
      </c>
      <c r="K158" s="1252"/>
      <c r="L158" s="1252"/>
      <c r="M158" s="1252"/>
      <c r="N158" s="1252" t="s">
        <v>125</v>
      </c>
      <c r="O158" s="1252"/>
      <c r="P158" s="1252"/>
      <c r="Q158" s="1252" t="s">
        <v>32</v>
      </c>
      <c r="R158" s="1252"/>
      <c r="S158" s="1252"/>
      <c r="T158" s="1252"/>
      <c r="U158" s="1253" t="s">
        <v>125</v>
      </c>
      <c r="V158" s="1253"/>
      <c r="W158" s="1253"/>
      <c r="X158" s="1253" t="s">
        <v>32</v>
      </c>
      <c r="Y158" s="1253"/>
      <c r="Z158" s="1252"/>
      <c r="AA158" s="1252"/>
      <c r="AB158" s="1253" t="s">
        <v>125</v>
      </c>
      <c r="AC158" s="1253"/>
      <c r="AD158" s="1253"/>
      <c r="AE158" s="1253" t="s">
        <v>32</v>
      </c>
      <c r="AF158" s="1253"/>
      <c r="AG158" s="1314"/>
      <c r="AH158" s="215"/>
      <c r="AI158" s="182"/>
    </row>
    <row r="159" spans="1:36" ht="22.35" customHeight="1">
      <c r="A159" s="1512">
        <v>6</v>
      </c>
      <c r="B159" s="1255" t="s">
        <v>217</v>
      </c>
      <c r="C159" s="1252" t="s">
        <v>32</v>
      </c>
      <c r="D159" s="1252" t="s">
        <v>32</v>
      </c>
      <c r="E159" s="1252"/>
      <c r="F159" s="1252"/>
      <c r="G159" s="1252" t="s">
        <v>32</v>
      </c>
      <c r="H159" s="1252" t="s">
        <v>32</v>
      </c>
      <c r="I159" s="1252" t="s">
        <v>32</v>
      </c>
      <c r="J159" s="1256" t="s">
        <v>32</v>
      </c>
      <c r="K159" s="1252" t="s">
        <v>32</v>
      </c>
      <c r="L159" s="1252"/>
      <c r="M159" s="1252"/>
      <c r="N159" s="1252" t="s">
        <v>32</v>
      </c>
      <c r="O159" s="1252" t="s">
        <v>32</v>
      </c>
      <c r="P159" s="1252" t="s">
        <v>32</v>
      </c>
      <c r="Q159" s="1253" t="s">
        <v>32</v>
      </c>
      <c r="R159" s="1252" t="s">
        <v>32</v>
      </c>
      <c r="S159" s="1252"/>
      <c r="T159" s="1249"/>
      <c r="U159" s="1249" t="s">
        <v>32</v>
      </c>
      <c r="V159" s="1249" t="s">
        <v>32</v>
      </c>
      <c r="W159" s="1249" t="s">
        <v>32</v>
      </c>
      <c r="X159" s="1253" t="s">
        <v>32</v>
      </c>
      <c r="Y159" s="1253" t="s">
        <v>32</v>
      </c>
      <c r="Z159" s="1253"/>
      <c r="AA159" s="1253"/>
      <c r="AB159" s="1253" t="s">
        <v>32</v>
      </c>
      <c r="AC159" s="1253" t="s">
        <v>32</v>
      </c>
      <c r="AD159" s="1253" t="s">
        <v>32</v>
      </c>
      <c r="AE159" s="1253" t="s">
        <v>32</v>
      </c>
      <c r="AF159" s="1253" t="s">
        <v>32</v>
      </c>
      <c r="AG159" s="1470"/>
      <c r="AH159" s="201"/>
      <c r="AI159" s="107"/>
    </row>
    <row r="160" spans="1:36" ht="22.35" customHeight="1" thickBot="1">
      <c r="A160" s="1520"/>
      <c r="B160" s="1316"/>
      <c r="C160" s="1240"/>
      <c r="D160" s="1240"/>
      <c r="E160" s="1240"/>
      <c r="F160" s="1240"/>
      <c r="G160" s="1240"/>
      <c r="H160" s="1240"/>
      <c r="I160" s="1240"/>
      <c r="J160" s="1240"/>
      <c r="K160" s="1240"/>
      <c r="L160" s="1240"/>
      <c r="M160" s="1240"/>
      <c r="N160" s="1240"/>
      <c r="O160" s="1240"/>
      <c r="P160" s="1240"/>
      <c r="Q160" s="1240"/>
      <c r="R160" s="1240"/>
      <c r="S160" s="1240"/>
      <c r="T160" s="1240"/>
      <c r="U160" s="1240"/>
      <c r="V160" s="1240"/>
      <c r="W160" s="1240"/>
      <c r="X160" s="1240"/>
      <c r="Y160" s="1240"/>
      <c r="Z160" s="1240"/>
      <c r="AA160" s="1240"/>
      <c r="AB160" s="1240"/>
      <c r="AC160" s="1240"/>
      <c r="AD160" s="1240"/>
      <c r="AE160" s="1240"/>
      <c r="AF160" s="1240"/>
      <c r="AG160" s="1242"/>
      <c r="AH160" s="107"/>
      <c r="AI160" s="107"/>
    </row>
    <row r="161" spans="1:36" ht="22.35" customHeight="1">
      <c r="A161" s="212"/>
      <c r="B161" s="210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 thickBot="1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>
      <c r="A164" s="109"/>
      <c r="B164" s="239" t="s">
        <v>220</v>
      </c>
      <c r="C164" s="240"/>
      <c r="D164" s="241" t="s">
        <v>94</v>
      </c>
      <c r="E164" s="242"/>
      <c r="F164" s="243"/>
      <c r="G164" s="244"/>
      <c r="H164" s="241" t="s">
        <v>95</v>
      </c>
      <c r="I164" s="242"/>
      <c r="J164" s="243"/>
      <c r="K164" s="244"/>
      <c r="L164" s="241" t="s">
        <v>96</v>
      </c>
      <c r="M164" s="242"/>
      <c r="N164" s="243"/>
      <c r="O164" s="244"/>
      <c r="P164" s="241" t="s">
        <v>97</v>
      </c>
      <c r="Q164" s="242"/>
      <c r="R164" s="243"/>
      <c r="S164" s="244"/>
      <c r="T164" s="241" t="s">
        <v>98</v>
      </c>
      <c r="U164" s="242"/>
      <c r="V164" s="243"/>
      <c r="W164" s="244"/>
      <c r="X164" s="241" t="s">
        <v>99</v>
      </c>
      <c r="Y164" s="242"/>
      <c r="Z164" s="243"/>
      <c r="AA164" s="244"/>
      <c r="AB164" s="241" t="s">
        <v>100</v>
      </c>
      <c r="AC164" s="242"/>
      <c r="AD164" s="242"/>
      <c r="AE164" s="245" t="s">
        <v>101</v>
      </c>
      <c r="AF164" s="242"/>
      <c r="AG164" s="242"/>
      <c r="AH164" s="242"/>
      <c r="AI164" s="246"/>
    </row>
    <row r="165" spans="1:36" ht="22.35" customHeight="1">
      <c r="A165" s="109"/>
      <c r="B165" s="1572" t="s">
        <v>221</v>
      </c>
      <c r="C165" s="1573" t="s">
        <v>113</v>
      </c>
      <c r="D165" s="1447" t="s">
        <v>222</v>
      </c>
      <c r="E165" s="1448"/>
      <c r="F165" s="1449"/>
      <c r="G165" s="1574"/>
      <c r="H165" s="1447" t="s">
        <v>222</v>
      </c>
      <c r="I165" s="1448"/>
      <c r="J165" s="1449"/>
      <c r="K165" s="1574"/>
      <c r="L165" s="1447" t="s">
        <v>222</v>
      </c>
      <c r="M165" s="1448"/>
      <c r="N165" s="1449"/>
      <c r="O165" s="1574"/>
      <c r="P165" s="1447" t="s">
        <v>223</v>
      </c>
      <c r="Q165" s="1448"/>
      <c r="R165" s="1449"/>
      <c r="S165" s="1574"/>
      <c r="T165" s="1447" t="s">
        <v>224</v>
      </c>
      <c r="U165" s="1449"/>
      <c r="V165" s="1449"/>
      <c r="W165" s="1575"/>
      <c r="X165" s="1450"/>
      <c r="Y165" s="1450"/>
      <c r="Z165" s="1451"/>
      <c r="AA165" s="1575"/>
      <c r="AB165" s="1450"/>
      <c r="AC165" s="1450"/>
      <c r="AD165" s="1450"/>
      <c r="AE165" s="1575"/>
      <c r="AF165" s="1450"/>
      <c r="AG165" s="1450"/>
      <c r="AH165" s="1452"/>
      <c r="AI165" s="1576"/>
    </row>
    <row r="166" spans="1:36" ht="22.35" customHeight="1">
      <c r="A166" s="109"/>
      <c r="B166" s="1572" t="s">
        <v>221</v>
      </c>
      <c r="C166" s="1573" t="s">
        <v>118</v>
      </c>
      <c r="D166" s="1447" t="s">
        <v>222</v>
      </c>
      <c r="E166" s="1448"/>
      <c r="F166" s="1449"/>
      <c r="G166" s="1574"/>
      <c r="H166" s="1447" t="s">
        <v>222</v>
      </c>
      <c r="I166" s="1448"/>
      <c r="J166" s="1449"/>
      <c r="K166" s="1574"/>
      <c r="L166" s="1447" t="s">
        <v>222</v>
      </c>
      <c r="M166" s="1448"/>
      <c r="N166" s="1449"/>
      <c r="O166" s="1574"/>
      <c r="P166" s="1447" t="s">
        <v>223</v>
      </c>
      <c r="Q166" s="1448"/>
      <c r="R166" s="1449"/>
      <c r="S166" s="1574"/>
      <c r="T166" s="1447" t="s">
        <v>224</v>
      </c>
      <c r="U166" s="1449"/>
      <c r="V166" s="1449"/>
      <c r="W166" s="1575"/>
      <c r="X166" s="1450"/>
      <c r="Y166" s="1450"/>
      <c r="Z166" s="1451"/>
      <c r="AA166" s="1575"/>
      <c r="AB166" s="1450"/>
      <c r="AC166" s="1450"/>
      <c r="AD166" s="1450"/>
      <c r="AE166" s="1575"/>
      <c r="AF166" s="1450"/>
      <c r="AG166" s="1450"/>
      <c r="AH166" s="1452"/>
      <c r="AI166" s="1576"/>
    </row>
    <row r="167" spans="1:36" ht="22.35" customHeight="1">
      <c r="A167" s="109"/>
      <c r="B167" s="1572" t="s">
        <v>225</v>
      </c>
      <c r="C167" s="1573" t="s">
        <v>126</v>
      </c>
      <c r="D167" s="1447" t="s">
        <v>222</v>
      </c>
      <c r="E167" s="1448"/>
      <c r="F167" s="1449"/>
      <c r="G167" s="1574"/>
      <c r="H167" s="1447" t="s">
        <v>222</v>
      </c>
      <c r="I167" s="1448"/>
      <c r="J167" s="1449"/>
      <c r="K167" s="1574"/>
      <c r="L167" s="1447" t="s">
        <v>222</v>
      </c>
      <c r="M167" s="1448"/>
      <c r="N167" s="1449"/>
      <c r="O167" s="1574"/>
      <c r="P167" s="1447" t="s">
        <v>223</v>
      </c>
      <c r="Q167" s="1448"/>
      <c r="R167" s="1449"/>
      <c r="S167" s="1574"/>
      <c r="T167" s="1447" t="s">
        <v>224</v>
      </c>
      <c r="U167" s="1449"/>
      <c r="V167" s="1449"/>
      <c r="W167" s="1575"/>
      <c r="X167" s="1450"/>
      <c r="Y167" s="1450"/>
      <c r="Z167" s="1451"/>
      <c r="AA167" s="1575"/>
      <c r="AB167" s="1450"/>
      <c r="AC167" s="1450"/>
      <c r="AD167" s="1450"/>
      <c r="AE167" s="1575"/>
      <c r="AF167" s="1450"/>
      <c r="AG167" s="1450"/>
      <c r="AH167" s="1452"/>
      <c r="AI167" s="1576"/>
    </row>
    <row r="168" spans="1:36" ht="22.35" customHeight="1">
      <c r="A168" s="109"/>
      <c r="B168" s="1572" t="s">
        <v>226</v>
      </c>
      <c r="C168" s="1573" t="s">
        <v>50</v>
      </c>
      <c r="D168" s="1447" t="s">
        <v>227</v>
      </c>
      <c r="E168" s="1448"/>
      <c r="F168" s="1449"/>
      <c r="G168" s="1574"/>
      <c r="H168" s="1447" t="s">
        <v>227</v>
      </c>
      <c r="I168" s="1448"/>
      <c r="J168" s="1449"/>
      <c r="K168" s="1574"/>
      <c r="L168" s="1447" t="s">
        <v>228</v>
      </c>
      <c r="M168" s="1448"/>
      <c r="N168" s="1449"/>
      <c r="O168" s="1574"/>
      <c r="P168" s="1447" t="s">
        <v>229</v>
      </c>
      <c r="Q168" s="1448"/>
      <c r="R168" s="1449"/>
      <c r="S168" s="1574"/>
      <c r="T168" s="1447" t="s">
        <v>230</v>
      </c>
      <c r="U168" s="1449"/>
      <c r="V168" s="1449"/>
      <c r="W168" s="1575"/>
      <c r="X168" s="1450"/>
      <c r="Y168" s="1450"/>
      <c r="Z168" s="1451"/>
      <c r="AA168" s="1575"/>
      <c r="AB168" s="1450"/>
      <c r="AC168" s="1450"/>
      <c r="AD168" s="1450"/>
      <c r="AE168" s="1575"/>
      <c r="AF168" s="1450"/>
      <c r="AG168" s="1450"/>
      <c r="AH168" s="1452"/>
      <c r="AI168" s="1576"/>
    </row>
    <row r="169" spans="1:36" ht="22.35" customHeight="1">
      <c r="A169" s="109"/>
      <c r="B169" s="1572" t="s">
        <v>231</v>
      </c>
      <c r="C169" s="1573" t="s">
        <v>115</v>
      </c>
      <c r="D169" s="1447" t="s">
        <v>232</v>
      </c>
      <c r="E169" s="1448"/>
      <c r="F169" s="1449"/>
      <c r="G169" s="1574"/>
      <c r="H169" s="1447" t="s">
        <v>232</v>
      </c>
      <c r="I169" s="1448"/>
      <c r="J169" s="1449"/>
      <c r="K169" s="1574"/>
      <c r="L169" s="1447" t="s">
        <v>233</v>
      </c>
      <c r="M169" s="1448"/>
      <c r="N169" s="1449"/>
      <c r="O169" s="1574"/>
      <c r="P169" s="1447" t="s">
        <v>234</v>
      </c>
      <c r="Q169" s="1448"/>
      <c r="R169" s="1449"/>
      <c r="S169" s="1574"/>
      <c r="T169" s="1447" t="s">
        <v>235</v>
      </c>
      <c r="U169" s="1449"/>
      <c r="V169" s="1449"/>
      <c r="W169" s="1575"/>
      <c r="X169" s="1450"/>
      <c r="Y169" s="1450"/>
      <c r="Z169" s="1451"/>
      <c r="AA169" s="1575"/>
      <c r="AB169" s="1450"/>
      <c r="AC169" s="1450"/>
      <c r="AD169" s="1450"/>
      <c r="AE169" s="1575"/>
      <c r="AF169" s="1450"/>
      <c r="AG169" s="1450"/>
      <c r="AH169" s="1452"/>
      <c r="AI169" s="1576"/>
    </row>
    <row r="170" spans="1:36" ht="22.35" customHeight="1">
      <c r="A170" s="109"/>
      <c r="B170" s="1572" t="s">
        <v>236</v>
      </c>
      <c r="C170" s="1573" t="s">
        <v>132</v>
      </c>
      <c r="D170" s="1447" t="s">
        <v>222</v>
      </c>
      <c r="E170" s="1448"/>
      <c r="F170" s="1449"/>
      <c r="G170" s="1574"/>
      <c r="H170" s="1447" t="s">
        <v>222</v>
      </c>
      <c r="I170" s="1448"/>
      <c r="J170" s="1449"/>
      <c r="K170" s="1574"/>
      <c r="L170" s="1447" t="s">
        <v>222</v>
      </c>
      <c r="M170" s="1448"/>
      <c r="N170" s="1449"/>
      <c r="O170" s="1574"/>
      <c r="P170" s="1447" t="s">
        <v>222</v>
      </c>
      <c r="Q170" s="1448"/>
      <c r="R170" s="1449"/>
      <c r="S170" s="1574"/>
      <c r="T170" s="1447" t="s">
        <v>232</v>
      </c>
      <c r="U170" s="1449"/>
      <c r="V170" s="1449"/>
      <c r="W170" s="1575"/>
      <c r="X170" s="1450"/>
      <c r="Y170" s="1450"/>
      <c r="Z170" s="1451"/>
      <c r="AA170" s="1575"/>
      <c r="AB170" s="1450"/>
      <c r="AC170" s="1450"/>
      <c r="AD170" s="1450"/>
      <c r="AE170" s="1575"/>
      <c r="AF170" s="1450"/>
      <c r="AG170" s="1450"/>
      <c r="AH170" s="1452"/>
      <c r="AI170" s="1576"/>
    </row>
    <row r="171" spans="1:36" ht="22.35" customHeight="1">
      <c r="A171" s="109"/>
      <c r="B171" s="1572" t="s">
        <v>237</v>
      </c>
      <c r="C171" s="1573" t="s">
        <v>135</v>
      </c>
      <c r="D171" s="1447" t="s">
        <v>222</v>
      </c>
      <c r="E171" s="1448"/>
      <c r="F171" s="1449"/>
      <c r="G171" s="1574"/>
      <c r="H171" s="1447" t="s">
        <v>222</v>
      </c>
      <c r="I171" s="1448"/>
      <c r="J171" s="1449"/>
      <c r="K171" s="1574"/>
      <c r="L171" s="1447" t="s">
        <v>222</v>
      </c>
      <c r="M171" s="1448"/>
      <c r="N171" s="1449"/>
      <c r="O171" s="1574"/>
      <c r="P171" s="1447" t="s">
        <v>223</v>
      </c>
      <c r="Q171" s="1448"/>
      <c r="R171" s="1449"/>
      <c r="S171" s="1574"/>
      <c r="T171" s="1447" t="s">
        <v>224</v>
      </c>
      <c r="U171" s="1449"/>
      <c r="V171" s="1449"/>
      <c r="W171" s="1575"/>
      <c r="X171" s="1450"/>
      <c r="Y171" s="1450"/>
      <c r="Z171" s="1451"/>
      <c r="AA171" s="1575"/>
      <c r="AB171" s="1450"/>
      <c r="AC171" s="1450"/>
      <c r="AD171" s="1450"/>
      <c r="AE171" s="1575"/>
      <c r="AF171" s="1450"/>
      <c r="AG171" s="1450"/>
      <c r="AH171" s="1452"/>
      <c r="AI171" s="1576"/>
    </row>
    <row r="172" spans="1:36" ht="22.35" customHeight="1">
      <c r="A172" s="109"/>
      <c r="B172" s="1572" t="s">
        <v>237</v>
      </c>
      <c r="C172" s="1573" t="s">
        <v>52</v>
      </c>
      <c r="D172" s="1447" t="s">
        <v>222</v>
      </c>
      <c r="E172" s="1448"/>
      <c r="F172" s="1449"/>
      <c r="G172" s="1574"/>
      <c r="H172" s="1447" t="s">
        <v>222</v>
      </c>
      <c r="I172" s="1448"/>
      <c r="J172" s="1449"/>
      <c r="K172" s="1574"/>
      <c r="L172" s="1447" t="s">
        <v>222</v>
      </c>
      <c r="M172" s="1448"/>
      <c r="N172" s="1449"/>
      <c r="O172" s="1574"/>
      <c r="P172" s="1447" t="s">
        <v>223</v>
      </c>
      <c r="Q172" s="1448"/>
      <c r="R172" s="1449"/>
      <c r="S172" s="1574"/>
      <c r="T172" s="1447" t="s">
        <v>224</v>
      </c>
      <c r="U172" s="1449"/>
      <c r="V172" s="1449"/>
      <c r="W172" s="1575"/>
      <c r="X172" s="1450"/>
      <c r="Y172" s="1450"/>
      <c r="Z172" s="1451"/>
      <c r="AA172" s="1575"/>
      <c r="AB172" s="1450"/>
      <c r="AC172" s="1450"/>
      <c r="AD172" s="1450"/>
      <c r="AE172" s="1575"/>
      <c r="AF172" s="1450"/>
      <c r="AG172" s="1450"/>
      <c r="AH172" s="1452"/>
      <c r="AI172" s="1576"/>
    </row>
    <row r="173" spans="1:36" ht="22.35" customHeight="1">
      <c r="A173" s="109"/>
      <c r="B173" s="1572" t="s">
        <v>238</v>
      </c>
      <c r="C173" s="1573" t="s">
        <v>141</v>
      </c>
      <c r="D173" s="1447" t="s">
        <v>222</v>
      </c>
      <c r="E173" s="1448"/>
      <c r="F173" s="1449"/>
      <c r="G173" s="1574"/>
      <c r="H173" s="1447" t="s">
        <v>222</v>
      </c>
      <c r="I173" s="1448"/>
      <c r="J173" s="1449"/>
      <c r="K173" s="1574"/>
      <c r="L173" s="1447" t="s">
        <v>222</v>
      </c>
      <c r="M173" s="1448"/>
      <c r="N173" s="1449"/>
      <c r="O173" s="1574"/>
      <c r="P173" s="1447" t="s">
        <v>239</v>
      </c>
      <c r="Q173" s="1448"/>
      <c r="R173" s="1449"/>
      <c r="S173" s="1574"/>
      <c r="T173" s="1447" t="s">
        <v>235</v>
      </c>
      <c r="U173" s="1449"/>
      <c r="V173" s="1449"/>
      <c r="W173" s="1575"/>
      <c r="X173" s="1450"/>
      <c r="Y173" s="1450"/>
      <c r="Z173" s="1451"/>
      <c r="AA173" s="1575"/>
      <c r="AB173" s="1450"/>
      <c r="AC173" s="1450"/>
      <c r="AD173" s="1450"/>
      <c r="AE173" s="1575"/>
      <c r="AF173" s="1450"/>
      <c r="AG173" s="1450"/>
      <c r="AH173" s="1452"/>
      <c r="AI173" s="1576"/>
    </row>
    <row r="174" spans="1:36" ht="22.35" customHeight="1">
      <c r="A174" s="109"/>
      <c r="B174" s="1577" t="s">
        <v>240</v>
      </c>
      <c r="C174" s="1578" t="s">
        <v>124</v>
      </c>
      <c r="D174" s="1579" t="s">
        <v>222</v>
      </c>
      <c r="E174" s="1580"/>
      <c r="F174" s="1581"/>
      <c r="G174" s="1582"/>
      <c r="H174" s="1579" t="s">
        <v>222</v>
      </c>
      <c r="I174" s="1580"/>
      <c r="J174" s="1581"/>
      <c r="K174" s="1582"/>
      <c r="L174" s="1579" t="s">
        <v>222</v>
      </c>
      <c r="M174" s="1580"/>
      <c r="N174" s="1581"/>
      <c r="O174" s="1582"/>
      <c r="P174" s="1579" t="s">
        <v>223</v>
      </c>
      <c r="Q174" s="1580"/>
      <c r="R174" s="1581"/>
      <c r="S174" s="1582"/>
      <c r="T174" s="1579" t="s">
        <v>224</v>
      </c>
      <c r="U174" s="1581"/>
      <c r="V174" s="198"/>
      <c r="W174" s="1583"/>
      <c r="X174" s="197"/>
      <c r="Y174" s="197"/>
      <c r="Z174" s="198"/>
      <c r="AA174" s="1583"/>
      <c r="AB174" s="197"/>
      <c r="AC174" s="197"/>
      <c r="AD174" s="197"/>
      <c r="AE174" s="1583"/>
      <c r="AF174" s="197"/>
      <c r="AG174" s="197"/>
      <c r="AH174" s="199"/>
      <c r="AI174" s="673"/>
      <c r="AJ174" s="200"/>
    </row>
    <row r="175" spans="1:36" ht="22.35" customHeight="1">
      <c r="A175" s="109"/>
      <c r="B175" s="1572" t="s">
        <v>241</v>
      </c>
      <c r="C175" s="1573" t="s">
        <v>242</v>
      </c>
      <c r="D175" s="1447" t="s">
        <v>222</v>
      </c>
      <c r="E175" s="1448"/>
      <c r="F175" s="1449"/>
      <c r="G175" s="1574"/>
      <c r="H175" s="1447" t="s">
        <v>222</v>
      </c>
      <c r="I175" s="1448"/>
      <c r="J175" s="1449"/>
      <c r="K175" s="1574"/>
      <c r="L175" s="1447" t="s">
        <v>222</v>
      </c>
      <c r="M175" s="1448"/>
      <c r="N175" s="1449"/>
      <c r="O175" s="1574"/>
      <c r="P175" s="1447" t="s">
        <v>223</v>
      </c>
      <c r="Q175" s="1448"/>
      <c r="R175" s="1449"/>
      <c r="S175" s="1574"/>
      <c r="T175" s="1447" t="s">
        <v>224</v>
      </c>
      <c r="U175" s="1449"/>
      <c r="V175" s="1448"/>
      <c r="W175" s="1575"/>
      <c r="X175" s="1450"/>
      <c r="Y175" s="1450"/>
      <c r="Z175" s="1450"/>
      <c r="AA175" s="1575"/>
      <c r="AB175" s="1450"/>
      <c r="AC175" s="1450"/>
      <c r="AD175" s="1450"/>
      <c r="AE175" s="1575"/>
      <c r="AF175" s="1450"/>
      <c r="AG175" s="1450"/>
      <c r="AH175" s="1452"/>
      <c r="AI175" s="1576"/>
      <c r="AJ175" s="200"/>
    </row>
    <row r="176" spans="1:36" ht="22.35" customHeight="1">
      <c r="A176" s="109"/>
      <c r="B176" s="1572" t="s">
        <v>243</v>
      </c>
      <c r="C176" s="1573" t="s">
        <v>122</v>
      </c>
      <c r="D176" s="1447" t="s">
        <v>244</v>
      </c>
      <c r="E176" s="1448"/>
      <c r="F176" s="1449"/>
      <c r="G176" s="1574"/>
      <c r="H176" s="1447" t="s">
        <v>244</v>
      </c>
      <c r="I176" s="1448"/>
      <c r="J176" s="1449"/>
      <c r="K176" s="1574"/>
      <c r="L176" s="1447" t="s">
        <v>244</v>
      </c>
      <c r="M176" s="1448"/>
      <c r="N176" s="1448"/>
      <c r="O176" s="1574"/>
      <c r="P176" s="1447" t="s">
        <v>244</v>
      </c>
      <c r="Q176" s="1448"/>
      <c r="R176" s="1448"/>
      <c r="S176" s="1574"/>
      <c r="T176" s="1447" t="s">
        <v>235</v>
      </c>
      <c r="U176" s="1449"/>
      <c r="V176" s="1448"/>
      <c r="W176" s="1584"/>
      <c r="X176" s="1450"/>
      <c r="Y176" s="1450"/>
      <c r="Z176" s="1450"/>
      <c r="AA176" s="1575"/>
      <c r="AB176" s="1450"/>
      <c r="AC176" s="1450"/>
      <c r="AD176" s="1450"/>
      <c r="AE176" s="1575"/>
      <c r="AF176" s="1450"/>
      <c r="AG176" s="1450"/>
      <c r="AH176" s="1452"/>
      <c r="AI176" s="1576"/>
      <c r="AJ176" s="200"/>
    </row>
    <row r="177" spans="1:36" ht="22.35" customHeight="1">
      <c r="A177" s="109"/>
      <c r="B177" s="1572" t="s">
        <v>245</v>
      </c>
      <c r="C177" s="1573" t="s">
        <v>246</v>
      </c>
      <c r="D177" s="1447" t="s">
        <v>244</v>
      </c>
      <c r="E177" s="1448"/>
      <c r="F177" s="1449"/>
      <c r="G177" s="1574"/>
      <c r="H177" s="1447" t="s">
        <v>244</v>
      </c>
      <c r="I177" s="1448"/>
      <c r="J177" s="1449"/>
      <c r="K177" s="1574"/>
      <c r="L177" s="1447" t="s">
        <v>244</v>
      </c>
      <c r="M177" s="1448"/>
      <c r="N177" s="1448"/>
      <c r="O177" s="1574"/>
      <c r="P177" s="1447" t="s">
        <v>244</v>
      </c>
      <c r="Q177" s="1448" t="s">
        <v>354</v>
      </c>
      <c r="R177" s="1448"/>
      <c r="S177" s="1574"/>
      <c r="T177" s="1447" t="s">
        <v>235</v>
      </c>
      <c r="U177" s="1449"/>
      <c r="V177" s="1448"/>
      <c r="W177" s="1584"/>
      <c r="X177" s="1450"/>
      <c r="Y177" s="1450"/>
      <c r="Z177" s="1451"/>
      <c r="AA177" s="1585"/>
      <c r="AB177" s="1450"/>
      <c r="AC177" s="1450"/>
      <c r="AD177" s="1450"/>
      <c r="AE177" s="1575"/>
      <c r="AF177" s="1450"/>
      <c r="AG177" s="1450"/>
      <c r="AH177" s="1452"/>
      <c r="AI177" s="1576"/>
      <c r="AJ177" s="200"/>
    </row>
    <row r="178" spans="1:36" ht="22.35" customHeight="1" thickBot="1">
      <c r="A178" s="109"/>
      <c r="B178" s="1100" t="s">
        <v>247</v>
      </c>
      <c r="C178" s="1101" t="s">
        <v>127</v>
      </c>
      <c r="D178" s="1586" t="s">
        <v>244</v>
      </c>
      <c r="E178" s="1587"/>
      <c r="F178" s="1104"/>
      <c r="G178" s="1105"/>
      <c r="H178" s="1586" t="s">
        <v>244</v>
      </c>
      <c r="I178" s="1587"/>
      <c r="J178" s="1104"/>
      <c r="K178" s="1105"/>
      <c r="L178" s="1586" t="s">
        <v>244</v>
      </c>
      <c r="M178" s="1587"/>
      <c r="N178" s="1587"/>
      <c r="O178" s="1105"/>
      <c r="P178" s="1586" t="s">
        <v>244</v>
      </c>
      <c r="Q178" s="1587"/>
      <c r="R178" s="1587"/>
      <c r="S178" s="1105"/>
      <c r="T178" s="1586" t="s">
        <v>235</v>
      </c>
      <c r="U178" s="1104"/>
      <c r="V178" s="1587"/>
      <c r="W178" s="1106"/>
      <c r="X178" s="1588"/>
      <c r="Y178" s="1588"/>
      <c r="Z178" s="1108"/>
      <c r="AA178" s="1589"/>
      <c r="AB178" s="1588"/>
      <c r="AC178" s="1588"/>
      <c r="AD178" s="1588"/>
      <c r="AE178" s="1110"/>
      <c r="AF178" s="1588"/>
      <c r="AG178" s="1588"/>
      <c r="AH178" s="1590"/>
      <c r="AI178" s="1112"/>
      <c r="AJ178" s="200"/>
    </row>
    <row r="179" spans="1:36" ht="22.35" customHeight="1">
      <c r="A179" s="109"/>
      <c r="B179" s="218"/>
      <c r="C179" s="219"/>
      <c r="D179" s="220"/>
      <c r="E179" s="221"/>
      <c r="F179" s="221"/>
      <c r="G179" s="222"/>
      <c r="H179" s="220"/>
      <c r="I179" s="221"/>
      <c r="J179" s="221"/>
      <c r="K179" s="222"/>
      <c r="L179" s="220"/>
      <c r="M179" s="221"/>
      <c r="N179" s="221"/>
      <c r="O179" s="222"/>
      <c r="P179" s="210"/>
      <c r="Q179" s="221"/>
      <c r="R179" s="221"/>
      <c r="S179" s="222"/>
      <c r="T179" s="210"/>
      <c r="U179" s="221"/>
      <c r="V179" s="221"/>
      <c r="W179" s="221"/>
      <c r="X179" s="221"/>
      <c r="Y179" s="221"/>
      <c r="Z179" s="221"/>
      <c r="AA179" s="222"/>
      <c r="AB179" s="221"/>
      <c r="AC179" s="221"/>
      <c r="AD179" s="221"/>
      <c r="AE179" s="222"/>
      <c r="AF179" s="221"/>
      <c r="AG179" s="221"/>
      <c r="AH179" s="201"/>
      <c r="AI179" s="201"/>
      <c r="AJ179" s="200"/>
    </row>
    <row r="180" spans="1:36" ht="22.35" customHeight="1" thickBot="1">
      <c r="A180" s="148"/>
      <c r="B180" s="1591" t="s">
        <v>29</v>
      </c>
      <c r="C180" s="1240">
        <v>1</v>
      </c>
      <c r="D180" s="1240">
        <v>2</v>
      </c>
      <c r="E180" s="1241">
        <v>3</v>
      </c>
      <c r="F180" s="1241">
        <v>4</v>
      </c>
      <c r="G180" s="1240">
        <v>5</v>
      </c>
      <c r="H180" s="1240">
        <v>6</v>
      </c>
      <c r="I180" s="1240">
        <v>7</v>
      </c>
      <c r="J180" s="1240">
        <v>8</v>
      </c>
      <c r="K180" s="1240">
        <v>9</v>
      </c>
      <c r="L180" s="1241">
        <v>10</v>
      </c>
      <c r="M180" s="1241">
        <v>11</v>
      </c>
      <c r="N180" s="1240">
        <v>12</v>
      </c>
      <c r="O180" s="1240">
        <v>13</v>
      </c>
      <c r="P180" s="1240">
        <v>14</v>
      </c>
      <c r="Q180" s="1240">
        <v>15</v>
      </c>
      <c r="R180" s="1240">
        <v>16</v>
      </c>
      <c r="S180" s="1241">
        <v>17</v>
      </c>
      <c r="T180" s="1241">
        <v>18</v>
      </c>
      <c r="U180" s="1240">
        <v>19</v>
      </c>
      <c r="V180" s="1240">
        <v>20</v>
      </c>
      <c r="W180" s="1240">
        <v>21</v>
      </c>
      <c r="X180" s="1240">
        <v>22</v>
      </c>
      <c r="Y180" s="1240">
        <v>23</v>
      </c>
      <c r="Z180" s="1241">
        <v>24</v>
      </c>
      <c r="AA180" s="1241">
        <v>25</v>
      </c>
      <c r="AB180" s="1240">
        <v>26</v>
      </c>
      <c r="AC180" s="1240">
        <v>27</v>
      </c>
      <c r="AD180" s="1240">
        <v>28</v>
      </c>
      <c r="AE180" s="1240">
        <v>29</v>
      </c>
      <c r="AF180" s="1240">
        <v>30</v>
      </c>
      <c r="AG180" s="1469">
        <v>31</v>
      </c>
      <c r="AH180" s="183"/>
      <c r="AI180" s="177"/>
    </row>
    <row r="181" spans="1:36" ht="22.35" customHeight="1">
      <c r="A181" s="109"/>
      <c r="B181" s="318" t="s">
        <v>248</v>
      </c>
      <c r="C181" s="514" t="s">
        <v>113</v>
      </c>
      <c r="D181" s="514" t="s">
        <v>113</v>
      </c>
      <c r="E181" s="514"/>
      <c r="F181" s="514"/>
      <c r="G181" s="514" t="s">
        <v>113</v>
      </c>
      <c r="H181" s="514" t="s">
        <v>113</v>
      </c>
      <c r="I181" s="514" t="s">
        <v>113</v>
      </c>
      <c r="J181" s="514" t="s">
        <v>113</v>
      </c>
      <c r="K181" s="514" t="s">
        <v>113</v>
      </c>
      <c r="L181" s="514"/>
      <c r="M181" s="514"/>
      <c r="N181" s="514" t="s">
        <v>113</v>
      </c>
      <c r="O181" s="514" t="s">
        <v>113</v>
      </c>
      <c r="P181" s="514" t="s">
        <v>113</v>
      </c>
      <c r="Q181" s="514" t="s">
        <v>113</v>
      </c>
      <c r="R181" s="514" t="s">
        <v>113</v>
      </c>
      <c r="S181" s="514"/>
      <c r="T181" s="514"/>
      <c r="U181" s="514" t="s">
        <v>113</v>
      </c>
      <c r="V181" s="514" t="s">
        <v>113</v>
      </c>
      <c r="W181" s="514" t="s">
        <v>113</v>
      </c>
      <c r="X181" s="514" t="s">
        <v>113</v>
      </c>
      <c r="Y181" s="514" t="s">
        <v>113</v>
      </c>
      <c r="Z181" s="514"/>
      <c r="AA181" s="514"/>
      <c r="AB181" s="514" t="s">
        <v>113</v>
      </c>
      <c r="AC181" s="514" t="s">
        <v>113</v>
      </c>
      <c r="AD181" s="514" t="s">
        <v>113</v>
      </c>
      <c r="AE181" s="514" t="s">
        <v>113</v>
      </c>
      <c r="AF181" s="514" t="s">
        <v>113</v>
      </c>
      <c r="AG181" s="515"/>
      <c r="AH181" s="182"/>
      <c r="AI181" s="182"/>
    </row>
    <row r="182" spans="1:36" ht="22.35" customHeight="1">
      <c r="A182" s="109"/>
      <c r="B182" s="1592" t="s">
        <v>249</v>
      </c>
      <c r="C182" s="1593" t="s">
        <v>113</v>
      </c>
      <c r="D182" s="1593" t="s">
        <v>113</v>
      </c>
      <c r="E182" s="1593"/>
      <c r="F182" s="1593"/>
      <c r="G182" s="1594" t="s">
        <v>113</v>
      </c>
      <c r="H182" s="1594" t="s">
        <v>113</v>
      </c>
      <c r="I182" s="1594" t="s">
        <v>113</v>
      </c>
      <c r="J182" s="1594" t="s">
        <v>113</v>
      </c>
      <c r="K182" s="1594" t="s">
        <v>113</v>
      </c>
      <c r="L182" s="1593"/>
      <c r="M182" s="1593"/>
      <c r="N182" s="1593" t="s">
        <v>113</v>
      </c>
      <c r="O182" s="1593" t="s">
        <v>113</v>
      </c>
      <c r="P182" s="1593" t="s">
        <v>113</v>
      </c>
      <c r="Q182" s="1593" t="s">
        <v>113</v>
      </c>
      <c r="R182" s="1593" t="s">
        <v>113</v>
      </c>
      <c r="S182" s="1593"/>
      <c r="T182" s="1593"/>
      <c r="U182" s="1593" t="s">
        <v>113</v>
      </c>
      <c r="V182" s="1593" t="s">
        <v>113</v>
      </c>
      <c r="W182" s="1593" t="s">
        <v>113</v>
      </c>
      <c r="X182" s="1593" t="s">
        <v>113</v>
      </c>
      <c r="Y182" s="1593" t="s">
        <v>113</v>
      </c>
      <c r="Z182" s="1593"/>
      <c r="AA182" s="1593"/>
      <c r="AB182" s="1593" t="s">
        <v>113</v>
      </c>
      <c r="AC182" s="1593" t="s">
        <v>113</v>
      </c>
      <c r="AD182" s="1593" t="s">
        <v>113</v>
      </c>
      <c r="AE182" s="1593" t="s">
        <v>113</v>
      </c>
      <c r="AF182" s="1593" t="s">
        <v>113</v>
      </c>
      <c r="AG182" s="1595"/>
      <c r="AH182" s="182"/>
      <c r="AI182" s="182"/>
    </row>
    <row r="183" spans="1:36" ht="22.35" customHeight="1">
      <c r="A183" s="109"/>
      <c r="B183" s="1592" t="s">
        <v>250</v>
      </c>
      <c r="C183" s="1596" t="s">
        <v>118</v>
      </c>
      <c r="D183" s="1596" t="s">
        <v>118</v>
      </c>
      <c r="E183" s="1596"/>
      <c r="F183" s="1596"/>
      <c r="G183" s="1596" t="s">
        <v>118</v>
      </c>
      <c r="H183" s="1596" t="s">
        <v>118</v>
      </c>
      <c r="I183" s="1596" t="s">
        <v>118</v>
      </c>
      <c r="J183" s="1596" t="s">
        <v>118</v>
      </c>
      <c r="K183" s="1596" t="s">
        <v>118</v>
      </c>
      <c r="L183" s="1596"/>
      <c r="M183" s="1596"/>
      <c r="N183" s="1596" t="s">
        <v>118</v>
      </c>
      <c r="O183" s="1596" t="s">
        <v>118</v>
      </c>
      <c r="P183" s="1596" t="s">
        <v>118</v>
      </c>
      <c r="Q183" s="1596" t="s">
        <v>118</v>
      </c>
      <c r="R183" s="1596" t="s">
        <v>118</v>
      </c>
      <c r="S183" s="1596"/>
      <c r="T183" s="1596"/>
      <c r="U183" s="1596" t="s">
        <v>118</v>
      </c>
      <c r="V183" s="1596" t="s">
        <v>118</v>
      </c>
      <c r="W183" s="1596" t="s">
        <v>118</v>
      </c>
      <c r="X183" s="1596" t="s">
        <v>118</v>
      </c>
      <c r="Y183" s="1596" t="s">
        <v>118</v>
      </c>
      <c r="Z183" s="1596"/>
      <c r="AA183" s="1596"/>
      <c r="AB183" s="1596" t="s">
        <v>118</v>
      </c>
      <c r="AC183" s="1596" t="s">
        <v>118</v>
      </c>
      <c r="AD183" s="1596" t="s">
        <v>118</v>
      </c>
      <c r="AE183" s="1596" t="s">
        <v>118</v>
      </c>
      <c r="AF183" s="1596" t="s">
        <v>113</v>
      </c>
      <c r="AG183" s="1595"/>
      <c r="AH183" s="182"/>
      <c r="AI183" s="182"/>
    </row>
    <row r="184" spans="1:36" ht="22.35" customHeight="1">
      <c r="A184" s="109"/>
      <c r="B184" s="1592" t="s">
        <v>251</v>
      </c>
      <c r="C184" s="1593" t="s">
        <v>126</v>
      </c>
      <c r="D184" s="1593" t="s">
        <v>126</v>
      </c>
      <c r="E184" s="1593"/>
      <c r="F184" s="1593"/>
      <c r="G184" s="1593" t="s">
        <v>126</v>
      </c>
      <c r="H184" s="1593" t="s">
        <v>126</v>
      </c>
      <c r="I184" s="1593" t="s">
        <v>126</v>
      </c>
      <c r="J184" s="1593" t="s">
        <v>126</v>
      </c>
      <c r="K184" s="1593" t="s">
        <v>126</v>
      </c>
      <c r="L184" s="1593"/>
      <c r="M184" s="1593"/>
      <c r="N184" s="1593" t="s">
        <v>126</v>
      </c>
      <c r="O184" s="1593" t="s">
        <v>126</v>
      </c>
      <c r="P184" s="1593" t="s">
        <v>126</v>
      </c>
      <c r="Q184" s="1593" t="s">
        <v>126</v>
      </c>
      <c r="R184" s="1593" t="s">
        <v>126</v>
      </c>
      <c r="S184" s="1593"/>
      <c r="T184" s="1593"/>
      <c r="U184" s="1593" t="s">
        <v>126</v>
      </c>
      <c r="V184" s="1593" t="s">
        <v>126</v>
      </c>
      <c r="W184" s="1593" t="s">
        <v>126</v>
      </c>
      <c r="X184" s="1593" t="s">
        <v>126</v>
      </c>
      <c r="Y184" s="1593" t="s">
        <v>126</v>
      </c>
      <c r="Z184" s="1593"/>
      <c r="AA184" s="1593"/>
      <c r="AB184" s="1597" t="s">
        <v>126</v>
      </c>
      <c r="AC184" s="1597" t="s">
        <v>126</v>
      </c>
      <c r="AD184" s="1597" t="s">
        <v>126</v>
      </c>
      <c r="AE184" s="1597" t="s">
        <v>126</v>
      </c>
      <c r="AF184" s="1597" t="s">
        <v>126</v>
      </c>
      <c r="AG184" s="1598"/>
      <c r="AH184" s="182"/>
      <c r="AI184" s="182"/>
    </row>
    <row r="185" spans="1:36" ht="22.35" customHeight="1">
      <c r="A185" s="109"/>
      <c r="B185" s="1284" t="s">
        <v>252</v>
      </c>
      <c r="C185" s="1593" t="s">
        <v>50</v>
      </c>
      <c r="D185" s="1593" t="s">
        <v>50</v>
      </c>
      <c r="E185" s="1593"/>
      <c r="F185" s="1593"/>
      <c r="G185" s="1597" t="s">
        <v>50</v>
      </c>
      <c r="H185" s="1597" t="s">
        <v>50</v>
      </c>
      <c r="I185" s="1597" t="s">
        <v>50</v>
      </c>
      <c r="J185" s="1597" t="s">
        <v>50</v>
      </c>
      <c r="K185" s="1597" t="s">
        <v>50</v>
      </c>
      <c r="L185" s="1597"/>
      <c r="M185" s="1597"/>
      <c r="N185" s="1597" t="s">
        <v>50</v>
      </c>
      <c r="O185" s="1597" t="s">
        <v>50</v>
      </c>
      <c r="P185" s="1597" t="s">
        <v>50</v>
      </c>
      <c r="Q185" s="1597" t="s">
        <v>50</v>
      </c>
      <c r="R185" s="1597" t="s">
        <v>50</v>
      </c>
      <c r="S185" s="1597"/>
      <c r="T185" s="1597"/>
      <c r="U185" s="1597" t="s">
        <v>50</v>
      </c>
      <c r="V185" s="1597" t="s">
        <v>50</v>
      </c>
      <c r="W185" s="1597" t="s">
        <v>50</v>
      </c>
      <c r="X185" s="1597" t="s">
        <v>50</v>
      </c>
      <c r="Y185" s="1597" t="s">
        <v>50</v>
      </c>
      <c r="Z185" s="1597"/>
      <c r="AA185" s="1597"/>
      <c r="AB185" s="1593" t="s">
        <v>50</v>
      </c>
      <c r="AC185" s="1593" t="s">
        <v>50</v>
      </c>
      <c r="AD185" s="1593" t="s">
        <v>50</v>
      </c>
      <c r="AE185" s="1593" t="s">
        <v>50</v>
      </c>
      <c r="AF185" s="1593" t="s">
        <v>50</v>
      </c>
      <c r="AG185" s="1595"/>
      <c r="AH185" s="182"/>
      <c r="AI185" s="182"/>
    </row>
    <row r="186" spans="1:36" ht="22.35" customHeight="1">
      <c r="A186" s="109"/>
      <c r="B186" s="1356" t="s">
        <v>344</v>
      </c>
      <c r="C186" s="1593" t="s">
        <v>115</v>
      </c>
      <c r="D186" s="1593" t="s">
        <v>115</v>
      </c>
      <c r="E186" s="1593"/>
      <c r="F186" s="1593"/>
      <c r="G186" s="1593" t="s">
        <v>115</v>
      </c>
      <c r="H186" s="1593" t="s">
        <v>115</v>
      </c>
      <c r="I186" s="1593" t="s">
        <v>115</v>
      </c>
      <c r="J186" s="1593" t="s">
        <v>115</v>
      </c>
      <c r="K186" s="1593" t="s">
        <v>115</v>
      </c>
      <c r="L186" s="1593"/>
      <c r="M186" s="1593"/>
      <c r="N186" s="1593" t="s">
        <v>115</v>
      </c>
      <c r="O186" s="1593" t="s">
        <v>115</v>
      </c>
      <c r="P186" s="1593" t="s">
        <v>115</v>
      </c>
      <c r="Q186" s="1593" t="s">
        <v>115</v>
      </c>
      <c r="R186" s="1593" t="s">
        <v>115</v>
      </c>
      <c r="S186" s="1593"/>
      <c r="T186" s="1593"/>
      <c r="U186" s="1593" t="s">
        <v>115</v>
      </c>
      <c r="V186" s="1593" t="s">
        <v>115</v>
      </c>
      <c r="W186" s="1593" t="s">
        <v>115</v>
      </c>
      <c r="X186" s="1593" t="s">
        <v>115</v>
      </c>
      <c r="Y186" s="1593" t="s">
        <v>115</v>
      </c>
      <c r="Z186" s="1593"/>
      <c r="AA186" s="1593"/>
      <c r="AB186" s="1593" t="s">
        <v>115</v>
      </c>
      <c r="AC186" s="1593" t="s">
        <v>115</v>
      </c>
      <c r="AD186" s="1593" t="s">
        <v>115</v>
      </c>
      <c r="AE186" s="1593" t="s">
        <v>115</v>
      </c>
      <c r="AF186" s="1593" t="s">
        <v>115</v>
      </c>
      <c r="AG186" s="1595"/>
      <c r="AH186" s="182"/>
      <c r="AI186" s="182"/>
    </row>
    <row r="187" spans="1:36" ht="22.35" customHeight="1">
      <c r="A187" s="109"/>
      <c r="B187" s="1592" t="s">
        <v>253</v>
      </c>
      <c r="C187" s="1599" t="s">
        <v>132</v>
      </c>
      <c r="D187" s="1599" t="s">
        <v>132</v>
      </c>
      <c r="E187" s="1599"/>
      <c r="F187" s="1599"/>
      <c r="G187" s="1599" t="s">
        <v>132</v>
      </c>
      <c r="H187" s="1599" t="s">
        <v>132</v>
      </c>
      <c r="I187" s="1599" t="s">
        <v>132</v>
      </c>
      <c r="J187" s="1599" t="s">
        <v>132</v>
      </c>
      <c r="K187" s="1599" t="s">
        <v>132</v>
      </c>
      <c r="L187" s="1599"/>
      <c r="M187" s="1599"/>
      <c r="N187" s="1599" t="s">
        <v>132</v>
      </c>
      <c r="O187" s="1599" t="s">
        <v>132</v>
      </c>
      <c r="P187" s="1599" t="s">
        <v>132</v>
      </c>
      <c r="Q187" s="1599" t="s">
        <v>132</v>
      </c>
      <c r="R187" s="1599" t="s">
        <v>132</v>
      </c>
      <c r="S187" s="1599"/>
      <c r="T187" s="1599"/>
      <c r="U187" s="1599" t="s">
        <v>132</v>
      </c>
      <c r="V187" s="1599" t="s">
        <v>132</v>
      </c>
      <c r="W187" s="1599" t="s">
        <v>132</v>
      </c>
      <c r="X187" s="1599" t="s">
        <v>132</v>
      </c>
      <c r="Y187" s="1599" t="s">
        <v>132</v>
      </c>
      <c r="Z187" s="1599"/>
      <c r="AA187" s="1599"/>
      <c r="AB187" s="1599" t="s">
        <v>132</v>
      </c>
      <c r="AC187" s="1599" t="s">
        <v>132</v>
      </c>
      <c r="AD187" s="1599" t="s">
        <v>132</v>
      </c>
      <c r="AE187" s="1599" t="s">
        <v>132</v>
      </c>
      <c r="AF187" s="1599" t="s">
        <v>132</v>
      </c>
      <c r="AG187" s="1595"/>
      <c r="AH187" s="182"/>
      <c r="AI187" s="182"/>
    </row>
    <row r="188" spans="1:36" ht="22.35" customHeight="1">
      <c r="A188" s="109"/>
      <c r="B188" s="1357" t="s">
        <v>254</v>
      </c>
      <c r="C188" s="1597" t="s">
        <v>135</v>
      </c>
      <c r="D188" s="1597" t="s">
        <v>135</v>
      </c>
      <c r="E188" s="1597"/>
      <c r="F188" s="1597"/>
      <c r="G188" s="1593" t="s">
        <v>135</v>
      </c>
      <c r="H188" s="1593" t="s">
        <v>135</v>
      </c>
      <c r="I188" s="1593" t="s">
        <v>135</v>
      </c>
      <c r="J188" s="1593" t="s">
        <v>135</v>
      </c>
      <c r="K188" s="1593" t="s">
        <v>135</v>
      </c>
      <c r="L188" s="1593"/>
      <c r="M188" s="1593"/>
      <c r="N188" s="1593" t="s">
        <v>135</v>
      </c>
      <c r="O188" s="1593" t="s">
        <v>135</v>
      </c>
      <c r="P188" s="1593" t="s">
        <v>135</v>
      </c>
      <c r="Q188" s="1593" t="s">
        <v>135</v>
      </c>
      <c r="R188" s="1593" t="s">
        <v>135</v>
      </c>
      <c r="S188" s="1593"/>
      <c r="T188" s="1593"/>
      <c r="U188" s="1596" t="s">
        <v>135</v>
      </c>
      <c r="V188" s="1596" t="s">
        <v>355</v>
      </c>
      <c r="W188" s="1593" t="s">
        <v>135</v>
      </c>
      <c r="X188" s="1593" t="s">
        <v>135</v>
      </c>
      <c r="Y188" s="1593" t="s">
        <v>135</v>
      </c>
      <c r="Z188" s="1593"/>
      <c r="AA188" s="1593"/>
      <c r="AB188" s="1593" t="s">
        <v>135</v>
      </c>
      <c r="AC188" s="1593" t="s">
        <v>135</v>
      </c>
      <c r="AD188" s="1593" t="s">
        <v>135</v>
      </c>
      <c r="AE188" s="1593" t="s">
        <v>135</v>
      </c>
      <c r="AF188" s="1593" t="s">
        <v>135</v>
      </c>
      <c r="AG188" s="1595"/>
      <c r="AH188" s="182"/>
      <c r="AI188" s="182"/>
    </row>
    <row r="189" spans="1:36" ht="22.35" customHeight="1">
      <c r="A189" s="109"/>
      <c r="B189" s="1592" t="s">
        <v>255</v>
      </c>
      <c r="C189" s="573" t="s">
        <v>52</v>
      </c>
      <c r="D189" s="573" t="s">
        <v>52</v>
      </c>
      <c r="E189" s="573"/>
      <c r="F189" s="573" t="s">
        <v>315</v>
      </c>
      <c r="G189" s="554" t="s">
        <v>52</v>
      </c>
      <c r="H189" s="554" t="s">
        <v>52</v>
      </c>
      <c r="I189" s="522" t="s">
        <v>52</v>
      </c>
      <c r="J189" s="522" t="s">
        <v>52</v>
      </c>
      <c r="K189" s="522" t="s">
        <v>52</v>
      </c>
      <c r="L189" s="522"/>
      <c r="M189" s="522"/>
      <c r="N189" s="522" t="s">
        <v>52</v>
      </c>
      <c r="O189" s="522" t="s">
        <v>52</v>
      </c>
      <c r="P189" s="522" t="s">
        <v>52</v>
      </c>
      <c r="Q189" s="522" t="s">
        <v>52</v>
      </c>
      <c r="R189" s="522" t="s">
        <v>52</v>
      </c>
      <c r="S189" s="522"/>
      <c r="T189" s="522"/>
      <c r="U189" s="522" t="s">
        <v>52</v>
      </c>
      <c r="V189" s="522" t="s">
        <v>52</v>
      </c>
      <c r="W189" s="522" t="s">
        <v>52</v>
      </c>
      <c r="X189" s="522" t="s">
        <v>52</v>
      </c>
      <c r="Y189" s="522" t="s">
        <v>52</v>
      </c>
      <c r="Z189" s="522"/>
      <c r="AA189" s="522"/>
      <c r="AB189" s="522" t="s">
        <v>52</v>
      </c>
      <c r="AC189" s="522" t="s">
        <v>52</v>
      </c>
      <c r="AD189" s="522" t="s">
        <v>52</v>
      </c>
      <c r="AE189" s="522" t="s">
        <v>52</v>
      </c>
      <c r="AF189" s="522" t="s">
        <v>52</v>
      </c>
      <c r="AG189" s="513"/>
      <c r="AH189" s="182"/>
      <c r="AI189" s="182"/>
    </row>
    <row r="190" spans="1:36" ht="22.35" customHeight="1">
      <c r="A190" s="109"/>
      <c r="B190" s="1592" t="s">
        <v>257</v>
      </c>
      <c r="C190" s="1358" t="s">
        <v>141</v>
      </c>
      <c r="D190" s="1358" t="s">
        <v>141</v>
      </c>
      <c r="E190" s="1358"/>
      <c r="F190" s="1358"/>
      <c r="G190" s="1370" t="s">
        <v>141</v>
      </c>
      <c r="H190" s="1370" t="s">
        <v>141</v>
      </c>
      <c r="I190" s="1370" t="s">
        <v>141</v>
      </c>
      <c r="J190" s="1370" t="s">
        <v>141</v>
      </c>
      <c r="K190" s="1370" t="s">
        <v>141</v>
      </c>
      <c r="L190" s="1370"/>
      <c r="M190" s="1370"/>
      <c r="N190" s="1370" t="s">
        <v>141</v>
      </c>
      <c r="O190" s="1370" t="s">
        <v>141</v>
      </c>
      <c r="P190" s="1370" t="s">
        <v>141</v>
      </c>
      <c r="Q190" s="1370" t="s">
        <v>141</v>
      </c>
      <c r="R190" s="1370" t="s">
        <v>141</v>
      </c>
      <c r="S190" s="1370"/>
      <c r="T190" s="1370"/>
      <c r="U190" s="1370" t="s">
        <v>141</v>
      </c>
      <c r="V190" s="1370" t="s">
        <v>141</v>
      </c>
      <c r="W190" s="1370" t="s">
        <v>141</v>
      </c>
      <c r="X190" s="1370" t="s">
        <v>141</v>
      </c>
      <c r="Y190" s="1370" t="s">
        <v>141</v>
      </c>
      <c r="Z190" s="1370"/>
      <c r="AA190" s="1370"/>
      <c r="AB190" s="1358" t="s">
        <v>141</v>
      </c>
      <c r="AC190" s="1358" t="s">
        <v>141</v>
      </c>
      <c r="AD190" s="1358" t="s">
        <v>141</v>
      </c>
      <c r="AE190" s="1358" t="s">
        <v>141</v>
      </c>
      <c r="AF190" s="1358" t="s">
        <v>141</v>
      </c>
      <c r="AG190" s="979"/>
      <c r="AH190" s="182"/>
      <c r="AI190" s="182"/>
    </row>
    <row r="191" spans="1:36" ht="22.35" customHeight="1">
      <c r="A191" s="109"/>
      <c r="B191" s="1357" t="s">
        <v>259</v>
      </c>
      <c r="C191" s="1370" t="s">
        <v>124</v>
      </c>
      <c r="D191" s="1370" t="s">
        <v>124</v>
      </c>
      <c r="E191" s="1370"/>
      <c r="F191" s="1370"/>
      <c r="G191" s="1358" t="s">
        <v>124</v>
      </c>
      <c r="H191" s="1358" t="s">
        <v>124</v>
      </c>
      <c r="I191" s="1358" t="s">
        <v>124</v>
      </c>
      <c r="J191" s="1358" t="s">
        <v>124</v>
      </c>
      <c r="K191" s="1358" t="s">
        <v>124</v>
      </c>
      <c r="L191" s="1358"/>
      <c r="M191" s="1358"/>
      <c r="N191" s="1358" t="s">
        <v>124</v>
      </c>
      <c r="O191" s="1358" t="s">
        <v>124</v>
      </c>
      <c r="P191" s="1358" t="s">
        <v>124</v>
      </c>
      <c r="Q191" s="1358" t="s">
        <v>124</v>
      </c>
      <c r="R191" s="1358" t="s">
        <v>124</v>
      </c>
      <c r="S191" s="1358"/>
      <c r="T191" s="1358"/>
      <c r="U191" s="1358" t="s">
        <v>124</v>
      </c>
      <c r="V191" s="1358" t="s">
        <v>124</v>
      </c>
      <c r="W191" s="1358" t="s">
        <v>124</v>
      </c>
      <c r="X191" s="1358" t="s">
        <v>124</v>
      </c>
      <c r="Y191" s="1358" t="s">
        <v>124</v>
      </c>
      <c r="Z191" s="1358"/>
      <c r="AA191" s="1358"/>
      <c r="AB191" s="1358" t="s">
        <v>124</v>
      </c>
      <c r="AC191" s="1358" t="s">
        <v>124</v>
      </c>
      <c r="AD191" s="1358" t="s">
        <v>124</v>
      </c>
      <c r="AE191" s="1358" t="s">
        <v>124</v>
      </c>
      <c r="AF191" s="1358" t="s">
        <v>124</v>
      </c>
      <c r="AG191" s="979"/>
      <c r="AH191" s="182"/>
      <c r="AI191" s="182"/>
    </row>
    <row r="192" spans="1:36" ht="22.35" customHeight="1">
      <c r="A192" s="109"/>
      <c r="B192" s="1592" t="s">
        <v>261</v>
      </c>
      <c r="C192" s="1358" t="s">
        <v>242</v>
      </c>
      <c r="D192" s="1358" t="s">
        <v>242</v>
      </c>
      <c r="E192" s="1358"/>
      <c r="F192" s="1358"/>
      <c r="G192" s="1358" t="s">
        <v>242</v>
      </c>
      <c r="H192" s="1358" t="s">
        <v>242</v>
      </c>
      <c r="I192" s="1358" t="s">
        <v>242</v>
      </c>
      <c r="J192" s="1358" t="s">
        <v>242</v>
      </c>
      <c r="K192" s="1358" t="s">
        <v>242</v>
      </c>
      <c r="L192" s="1358"/>
      <c r="M192" s="1358"/>
      <c r="N192" s="1358" t="s">
        <v>242</v>
      </c>
      <c r="O192" s="1358" t="s">
        <v>242</v>
      </c>
      <c r="P192" s="1358" t="s">
        <v>242</v>
      </c>
      <c r="Q192" s="1358" t="s">
        <v>242</v>
      </c>
      <c r="R192" s="1358" t="s">
        <v>242</v>
      </c>
      <c r="S192" s="1358"/>
      <c r="T192" s="1358"/>
      <c r="U192" s="1358" t="s">
        <v>242</v>
      </c>
      <c r="V192" s="1358" t="s">
        <v>242</v>
      </c>
      <c r="W192" s="1358" t="s">
        <v>242</v>
      </c>
      <c r="X192" s="1358" t="s">
        <v>242</v>
      </c>
      <c r="Y192" s="1358" t="s">
        <v>242</v>
      </c>
      <c r="Z192" s="1358"/>
      <c r="AA192" s="1358"/>
      <c r="AB192" s="1358" t="s">
        <v>242</v>
      </c>
      <c r="AC192" s="1358" t="s">
        <v>242</v>
      </c>
      <c r="AD192" s="1358" t="s">
        <v>242</v>
      </c>
      <c r="AE192" s="1358" t="s">
        <v>242</v>
      </c>
      <c r="AF192" s="1358" t="s">
        <v>242</v>
      </c>
      <c r="AG192" s="979"/>
      <c r="AH192" s="182"/>
      <c r="AI192" s="182"/>
    </row>
    <row r="193" spans="1:35" ht="22.35" customHeight="1">
      <c r="A193" s="109"/>
      <c r="B193" s="1357"/>
      <c r="C193" s="1358" t="s">
        <v>122</v>
      </c>
      <c r="D193" s="1358" t="s">
        <v>122</v>
      </c>
      <c r="E193" s="1358"/>
      <c r="F193" s="1358"/>
      <c r="G193" s="1358" t="s">
        <v>122</v>
      </c>
      <c r="H193" s="1358" t="s">
        <v>122</v>
      </c>
      <c r="I193" s="1358" t="s">
        <v>122</v>
      </c>
      <c r="J193" s="1358" t="s">
        <v>122</v>
      </c>
      <c r="K193" s="1358" t="s">
        <v>122</v>
      </c>
      <c r="L193" s="1358"/>
      <c r="M193" s="1358"/>
      <c r="N193" s="1358" t="s">
        <v>122</v>
      </c>
      <c r="O193" s="1358" t="s">
        <v>122</v>
      </c>
      <c r="P193" s="1358" t="s">
        <v>122</v>
      </c>
      <c r="Q193" s="1358" t="s">
        <v>122</v>
      </c>
      <c r="R193" s="1358" t="s">
        <v>122</v>
      </c>
      <c r="S193" s="1358"/>
      <c r="T193" s="1358"/>
      <c r="U193" s="1358" t="s">
        <v>122</v>
      </c>
      <c r="V193" s="1358" t="s">
        <v>122</v>
      </c>
      <c r="W193" s="1358" t="s">
        <v>122</v>
      </c>
      <c r="X193" s="1358" t="s">
        <v>122</v>
      </c>
      <c r="Y193" s="1358" t="s">
        <v>122</v>
      </c>
      <c r="Z193" s="1358"/>
      <c r="AA193" s="1358"/>
      <c r="AB193" s="1358" t="s">
        <v>122</v>
      </c>
      <c r="AC193" s="1358" t="s">
        <v>122</v>
      </c>
      <c r="AD193" s="1358" t="s">
        <v>122</v>
      </c>
      <c r="AE193" s="1358" t="s">
        <v>122</v>
      </c>
      <c r="AF193" s="1358" t="s">
        <v>122</v>
      </c>
      <c r="AG193" s="979"/>
      <c r="AH193" s="182"/>
      <c r="AI193" s="182"/>
    </row>
    <row r="194" spans="1:35" ht="22.35" customHeight="1">
      <c r="A194" s="109"/>
      <c r="B194" s="1357" t="s">
        <v>262</v>
      </c>
      <c r="C194" s="1358" t="s">
        <v>246</v>
      </c>
      <c r="D194" s="1358" t="s">
        <v>246</v>
      </c>
      <c r="E194" s="1358"/>
      <c r="F194" s="1358"/>
      <c r="G194" s="1358" t="s">
        <v>246</v>
      </c>
      <c r="H194" s="1358" t="s">
        <v>246</v>
      </c>
      <c r="I194" s="1358" t="s">
        <v>246</v>
      </c>
      <c r="J194" s="1358" t="s">
        <v>246</v>
      </c>
      <c r="K194" s="1358" t="s">
        <v>246</v>
      </c>
      <c r="L194" s="1358"/>
      <c r="M194" s="1358"/>
      <c r="N194" s="1358" t="s">
        <v>246</v>
      </c>
      <c r="O194" s="1358" t="s">
        <v>246</v>
      </c>
      <c r="P194" s="1358" t="s">
        <v>246</v>
      </c>
      <c r="Q194" s="1358" t="s">
        <v>246</v>
      </c>
      <c r="R194" s="1358" t="s">
        <v>246</v>
      </c>
      <c r="S194" s="1358"/>
      <c r="T194" s="1358"/>
      <c r="U194" s="1358" t="s">
        <v>246</v>
      </c>
      <c r="V194" s="1358" t="s">
        <v>246</v>
      </c>
      <c r="W194" s="1358" t="s">
        <v>246</v>
      </c>
      <c r="X194" s="1358" t="s">
        <v>246</v>
      </c>
      <c r="Y194" s="1358" t="s">
        <v>246</v>
      </c>
      <c r="Z194" s="1358"/>
      <c r="AA194" s="1358"/>
      <c r="AB194" s="1358" t="s">
        <v>246</v>
      </c>
      <c r="AC194" s="1358" t="s">
        <v>246</v>
      </c>
      <c r="AD194" s="1358" t="s">
        <v>246</v>
      </c>
      <c r="AE194" s="1358" t="s">
        <v>246</v>
      </c>
      <c r="AF194" s="1358" t="s">
        <v>246</v>
      </c>
      <c r="AG194" s="979"/>
      <c r="AH194" s="107"/>
      <c r="AI194" s="107"/>
    </row>
    <row r="195" spans="1:35" ht="21" customHeight="1" thickBot="1">
      <c r="A195" s="148"/>
      <c r="B195" s="995" t="s">
        <v>263</v>
      </c>
      <c r="C195" s="998" t="s">
        <v>127</v>
      </c>
      <c r="D195" s="998" t="s">
        <v>127</v>
      </c>
      <c r="E195" s="998"/>
      <c r="F195" s="998"/>
      <c r="G195" s="998" t="s">
        <v>127</v>
      </c>
      <c r="H195" s="998" t="s">
        <v>127</v>
      </c>
      <c r="I195" s="998" t="s">
        <v>127</v>
      </c>
      <c r="J195" s="998" t="s">
        <v>127</v>
      </c>
      <c r="K195" s="998" t="s">
        <v>127</v>
      </c>
      <c r="L195" s="998"/>
      <c r="M195" s="998"/>
      <c r="N195" s="998" t="s">
        <v>127</v>
      </c>
      <c r="O195" s="998" t="s">
        <v>127</v>
      </c>
      <c r="P195" s="998" t="s">
        <v>127</v>
      </c>
      <c r="Q195" s="998" t="s">
        <v>127</v>
      </c>
      <c r="R195" s="998" t="s">
        <v>127</v>
      </c>
      <c r="S195" s="998"/>
      <c r="T195" s="998"/>
      <c r="U195" s="998" t="s">
        <v>127</v>
      </c>
      <c r="V195" s="998" t="s">
        <v>127</v>
      </c>
      <c r="W195" s="998" t="s">
        <v>127</v>
      </c>
      <c r="X195" s="998" t="s">
        <v>127</v>
      </c>
      <c r="Y195" s="998" t="s">
        <v>127</v>
      </c>
      <c r="Z195" s="998"/>
      <c r="AA195" s="998"/>
      <c r="AB195" s="1564" t="s">
        <v>127</v>
      </c>
      <c r="AC195" s="1564" t="s">
        <v>127</v>
      </c>
      <c r="AD195" s="1564" t="s">
        <v>127</v>
      </c>
      <c r="AE195" s="1564" t="s">
        <v>127</v>
      </c>
      <c r="AF195" s="1564" t="s">
        <v>127</v>
      </c>
      <c r="AG195" s="1565"/>
      <c r="AH195" s="115"/>
    </row>
    <row r="196" spans="1:35" ht="21" customHeight="1">
      <c r="A196" s="148"/>
      <c r="B196" s="229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  <c r="U196" s="228"/>
      <c r="V196" s="228"/>
      <c r="W196" s="228"/>
      <c r="X196" s="228"/>
      <c r="Y196" s="228"/>
      <c r="Z196" s="228"/>
      <c r="AA196" s="228"/>
      <c r="AB196" s="228"/>
      <c r="AC196" s="228"/>
      <c r="AD196" s="228"/>
      <c r="AE196" s="228"/>
      <c r="AF196" s="228"/>
      <c r="AG196" s="228"/>
      <c r="AH196" s="115"/>
    </row>
    <row r="197" spans="1:35" ht="22.35" customHeight="1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>
      <c r="A198" s="1" t="s">
        <v>265</v>
      </c>
      <c r="B198" s="59"/>
    </row>
    <row r="199" spans="1:35" ht="22.35" customHeight="1">
      <c r="A199" s="1"/>
      <c r="B199" s="1600" t="s">
        <v>266</v>
      </c>
      <c r="C199" s="391" t="s">
        <v>94</v>
      </c>
      <c r="D199" s="391"/>
      <c r="E199" s="391"/>
      <c r="F199" s="391"/>
      <c r="G199" s="392" t="s">
        <v>95</v>
      </c>
      <c r="H199" s="391"/>
      <c r="I199" s="391"/>
      <c r="J199" s="391"/>
      <c r="K199" s="392" t="s">
        <v>96</v>
      </c>
      <c r="L199" s="391"/>
      <c r="M199" s="391"/>
      <c r="N199" s="391"/>
      <c r="O199" s="392" t="s">
        <v>97</v>
      </c>
      <c r="P199" s="391"/>
      <c r="Q199" s="391"/>
      <c r="R199" s="391"/>
      <c r="S199" s="392" t="s">
        <v>98</v>
      </c>
      <c r="T199" s="391"/>
      <c r="U199" s="391"/>
      <c r="V199" s="391"/>
      <c r="W199" s="393" t="s">
        <v>99</v>
      </c>
      <c r="X199" s="357"/>
      <c r="Y199" s="391"/>
      <c r="Z199" s="394"/>
      <c r="AA199" s="393" t="s">
        <v>100</v>
      </c>
      <c r="AB199" s="357"/>
      <c r="AC199" s="391"/>
      <c r="AD199" s="394"/>
      <c r="AE199" s="395" t="s">
        <v>101</v>
      </c>
      <c r="AF199" s="391"/>
      <c r="AG199" s="391"/>
      <c r="AH199" s="391"/>
      <c r="AI199" s="358"/>
    </row>
    <row r="200" spans="1:35" ht="22.35" customHeight="1">
      <c r="A200" s="1"/>
      <c r="B200" s="1601">
        <v>3701</v>
      </c>
      <c r="C200" s="110" t="s">
        <v>267</v>
      </c>
      <c r="D200" s="110"/>
      <c r="E200" s="110"/>
      <c r="F200" s="110"/>
      <c r="G200" s="742" t="s">
        <v>268</v>
      </c>
      <c r="H200" s="110"/>
      <c r="I200" s="110"/>
      <c r="J200" s="110"/>
      <c r="K200" s="742" t="s">
        <v>268</v>
      </c>
      <c r="L200" s="110"/>
      <c r="M200" s="110"/>
      <c r="N200" s="110"/>
      <c r="O200" s="742" t="s">
        <v>268</v>
      </c>
      <c r="P200" s="110"/>
      <c r="Q200" s="110"/>
      <c r="R200" s="110"/>
      <c r="S200" s="742" t="s">
        <v>269</v>
      </c>
      <c r="T200" s="110"/>
      <c r="U200" s="110"/>
      <c r="V200" s="110"/>
      <c r="W200" s="1602"/>
      <c r="X200" s="1603"/>
      <c r="Y200" s="1295"/>
      <c r="Z200" s="1604"/>
      <c r="AA200" s="1602"/>
      <c r="AB200" s="1603"/>
      <c r="AC200" s="1295"/>
      <c r="AD200" s="1604"/>
      <c r="AE200" s="1527"/>
      <c r="AF200" s="1295"/>
      <c r="AG200" s="1295"/>
      <c r="AH200" s="1295"/>
      <c r="AI200" s="1231"/>
    </row>
    <row r="201" spans="1:35" ht="22.35" customHeight="1">
      <c r="B201" s="1600">
        <v>3700</v>
      </c>
      <c r="C201" s="1295" t="s">
        <v>170</v>
      </c>
      <c r="D201" s="1295"/>
      <c r="E201" s="1295"/>
      <c r="F201" s="1295"/>
      <c r="G201" s="1605" t="s">
        <v>170</v>
      </c>
      <c r="H201" s="1295"/>
      <c r="I201" s="1295"/>
      <c r="J201" s="1295"/>
      <c r="K201" s="1605" t="s">
        <v>170</v>
      </c>
      <c r="L201" s="1295"/>
      <c r="M201" s="1295"/>
      <c r="N201" s="1295"/>
      <c r="O201" s="1605" t="s">
        <v>170</v>
      </c>
      <c r="P201" s="1295"/>
      <c r="Q201" s="1295"/>
      <c r="R201" s="1295"/>
      <c r="S201" s="1605" t="s">
        <v>171</v>
      </c>
      <c r="T201" s="1295"/>
      <c r="U201" s="1295"/>
      <c r="V201" s="1295"/>
      <c r="W201" s="1295"/>
      <c r="X201" s="1605"/>
      <c r="Y201" s="1295"/>
      <c r="Z201" s="1529"/>
      <c r="AA201" s="1527"/>
      <c r="AB201" s="1295"/>
      <c r="AC201" s="1295"/>
      <c r="AD201" s="1345"/>
      <c r="AE201" s="1606"/>
      <c r="AF201" s="1295"/>
      <c r="AG201" s="1295"/>
      <c r="AH201" s="1345"/>
      <c r="AI201" s="1231"/>
    </row>
    <row r="202" spans="1:35" ht="22.35" customHeight="1">
      <c r="A202" s="1"/>
      <c r="B202" s="1600">
        <v>8514</v>
      </c>
      <c r="C202" s="1295" t="s">
        <v>268</v>
      </c>
      <c r="D202" s="1295"/>
      <c r="E202" s="1295"/>
      <c r="F202" s="1295"/>
      <c r="G202" s="1605" t="s">
        <v>268</v>
      </c>
      <c r="H202" s="1295"/>
      <c r="I202" s="1295"/>
      <c r="J202" s="1295"/>
      <c r="K202" s="1605" t="s">
        <v>268</v>
      </c>
      <c r="L202" s="1295"/>
      <c r="M202" s="1295"/>
      <c r="N202" s="1295"/>
      <c r="O202" s="1605" t="s">
        <v>268</v>
      </c>
      <c r="P202" s="1295"/>
      <c r="Q202" s="1295"/>
      <c r="R202" s="1295"/>
      <c r="S202" s="1605" t="s">
        <v>270</v>
      </c>
      <c r="T202" s="1295"/>
      <c r="U202" s="1295"/>
      <c r="V202" s="1295"/>
      <c r="W202" s="1295"/>
      <c r="X202" s="1605"/>
      <c r="Y202" s="1295"/>
      <c r="Z202" s="1529"/>
      <c r="AA202" s="1344"/>
      <c r="AB202" s="1295"/>
      <c r="AC202" s="1295"/>
      <c r="AD202" s="1345"/>
      <c r="AE202" s="1344"/>
      <c r="AF202" s="1295"/>
      <c r="AG202" s="1295"/>
      <c r="AH202" s="1345"/>
      <c r="AI202" s="1231"/>
    </row>
    <row r="203" spans="1:35" ht="22.35" customHeight="1">
      <c r="A203" s="1"/>
      <c r="B203" s="1600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>
      <c r="A204" s="1"/>
      <c r="B204" s="1600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>
      <c r="A205" s="1"/>
      <c r="B205" s="1607" t="s">
        <v>273</v>
      </c>
      <c r="C205" s="1302" t="s">
        <v>274</v>
      </c>
      <c r="D205" s="1302"/>
      <c r="E205" s="1302"/>
      <c r="F205" s="1302"/>
      <c r="G205" s="1608" t="s">
        <v>274</v>
      </c>
      <c r="H205" s="1302"/>
      <c r="I205" s="1302"/>
      <c r="J205" s="1302"/>
      <c r="K205" s="1609" t="s">
        <v>274</v>
      </c>
      <c r="L205" s="1302"/>
      <c r="M205" s="1302"/>
      <c r="N205" s="1302"/>
      <c r="O205" s="1608" t="s">
        <v>274</v>
      </c>
      <c r="P205" s="1302"/>
      <c r="Q205" s="1302"/>
      <c r="R205" s="1302"/>
      <c r="S205" s="1608" t="s">
        <v>275</v>
      </c>
      <c r="T205" s="1302"/>
      <c r="U205" s="1302"/>
      <c r="V205" s="1302"/>
      <c r="W205" s="1302"/>
      <c r="X205" s="1608"/>
      <c r="Y205" s="1302"/>
      <c r="Z205" s="1558"/>
      <c r="AA205" s="1540"/>
      <c r="AB205" s="1302"/>
      <c r="AC205" s="1302"/>
      <c r="AD205" s="1547"/>
      <c r="AE205" s="1610"/>
      <c r="AF205" s="1302"/>
      <c r="AG205" s="1302"/>
      <c r="AH205" s="1547"/>
      <c r="AI205" s="1305"/>
    </row>
    <row r="206" spans="1:35" ht="22.35" customHeight="1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>
      <c r="A208" s="1501"/>
      <c r="B208" s="1307" t="s">
        <v>29</v>
      </c>
      <c r="C208" s="1240">
        <v>1</v>
      </c>
      <c r="D208" s="1240">
        <v>2</v>
      </c>
      <c r="E208" s="1241">
        <v>3</v>
      </c>
      <c r="F208" s="1241">
        <v>4</v>
      </c>
      <c r="G208" s="1240">
        <v>5</v>
      </c>
      <c r="H208" s="1240">
        <v>6</v>
      </c>
      <c r="I208" s="1240">
        <v>7</v>
      </c>
      <c r="J208" s="1240">
        <v>8</v>
      </c>
      <c r="K208" s="1240">
        <v>9</v>
      </c>
      <c r="L208" s="1241">
        <v>10</v>
      </c>
      <c r="M208" s="1241">
        <v>11</v>
      </c>
      <c r="N208" s="1240">
        <v>12</v>
      </c>
      <c r="O208" s="1240">
        <v>13</v>
      </c>
      <c r="P208" s="1240">
        <v>14</v>
      </c>
      <c r="Q208" s="1240">
        <v>15</v>
      </c>
      <c r="R208" s="1240">
        <v>16</v>
      </c>
      <c r="S208" s="1241">
        <v>17</v>
      </c>
      <c r="T208" s="1241">
        <v>18</v>
      </c>
      <c r="U208" s="1240">
        <v>19</v>
      </c>
      <c r="V208" s="1240">
        <v>20</v>
      </c>
      <c r="W208" s="1240">
        <v>21</v>
      </c>
      <c r="X208" s="1240">
        <v>22</v>
      </c>
      <c r="Y208" s="1240">
        <v>23</v>
      </c>
      <c r="Z208" s="1241">
        <v>24</v>
      </c>
      <c r="AA208" s="1241">
        <v>25</v>
      </c>
      <c r="AB208" s="1240">
        <v>26</v>
      </c>
      <c r="AC208" s="1240">
        <v>27</v>
      </c>
      <c r="AD208" s="1240">
        <v>28</v>
      </c>
      <c r="AE208" s="1240">
        <v>29</v>
      </c>
      <c r="AF208" s="1240">
        <v>30</v>
      </c>
      <c r="AG208" s="1469">
        <v>31</v>
      </c>
      <c r="AH208" s="176"/>
      <c r="AI208" s="177"/>
    </row>
    <row r="209" spans="1:35" ht="22.35" customHeight="1">
      <c r="A209" s="249"/>
      <c r="B209" s="540" t="s">
        <v>277</v>
      </c>
      <c r="C209" s="552" t="s">
        <v>32</v>
      </c>
      <c r="D209" s="552" t="s">
        <v>32</v>
      </c>
      <c r="E209" s="552"/>
      <c r="F209" s="552"/>
      <c r="G209" s="552" t="s">
        <v>32</v>
      </c>
      <c r="H209" s="552" t="s">
        <v>32</v>
      </c>
      <c r="I209" s="552" t="s">
        <v>32</v>
      </c>
      <c r="J209" s="552" t="s">
        <v>32</v>
      </c>
      <c r="K209" s="552" t="s">
        <v>32</v>
      </c>
      <c r="L209" s="552"/>
      <c r="M209" s="552"/>
      <c r="N209" s="552" t="s">
        <v>32</v>
      </c>
      <c r="O209" s="552" t="s">
        <v>32</v>
      </c>
      <c r="P209" s="552" t="s">
        <v>32</v>
      </c>
      <c r="Q209" s="552" t="s">
        <v>32</v>
      </c>
      <c r="R209" s="552" t="s">
        <v>32</v>
      </c>
      <c r="S209" s="552"/>
      <c r="T209" s="552"/>
      <c r="U209" s="552" t="s">
        <v>32</v>
      </c>
      <c r="V209" s="552" t="s">
        <v>32</v>
      </c>
      <c r="W209" s="552" t="s">
        <v>32</v>
      </c>
      <c r="X209" s="552" t="s">
        <v>32</v>
      </c>
      <c r="Y209" s="552" t="s">
        <v>32</v>
      </c>
      <c r="Z209" s="552"/>
      <c r="AA209" s="552"/>
      <c r="AB209" s="552" t="s">
        <v>32</v>
      </c>
      <c r="AC209" s="552" t="s">
        <v>32</v>
      </c>
      <c r="AD209" s="552" t="s">
        <v>32</v>
      </c>
      <c r="AE209" s="552" t="s">
        <v>32</v>
      </c>
      <c r="AF209" s="552" t="s">
        <v>32</v>
      </c>
      <c r="AG209" s="588"/>
      <c r="AH209" s="176"/>
      <c r="AI209" s="177"/>
    </row>
    <row r="210" spans="1:35" ht="22.35" customHeight="1">
      <c r="A210" s="1611"/>
      <c r="B210" s="1612" t="s">
        <v>279</v>
      </c>
      <c r="C210" s="1273"/>
      <c r="D210" s="1273"/>
      <c r="E210" s="1273"/>
      <c r="F210" s="1273"/>
      <c r="G210" s="1273"/>
      <c r="H210" s="1273"/>
      <c r="I210" s="1273"/>
      <c r="J210" s="1273"/>
      <c r="K210" s="1273"/>
      <c r="L210" s="1273"/>
      <c r="M210" s="1273"/>
      <c r="N210" s="1269"/>
      <c r="O210" s="1269"/>
      <c r="P210" s="1269"/>
      <c r="Q210" s="1269"/>
      <c r="R210" s="1269"/>
      <c r="S210" s="1269"/>
      <c r="T210" s="1269"/>
      <c r="U210" s="1269"/>
      <c r="V210" s="1269"/>
      <c r="W210" s="1269"/>
      <c r="X210" s="1269"/>
      <c r="Y210" s="1269"/>
      <c r="Z210" s="1269"/>
      <c r="AA210" s="1269"/>
      <c r="AB210" s="1269"/>
      <c r="AC210" s="1269"/>
      <c r="AD210" s="1269"/>
      <c r="AE210" s="1269"/>
      <c r="AF210" s="1269"/>
      <c r="AG210" s="1613"/>
      <c r="AH210" s="176"/>
      <c r="AI210" s="177"/>
    </row>
    <row r="211" spans="1:35" ht="22.35" customHeight="1">
      <c r="A211" s="1614">
        <v>8514</v>
      </c>
      <c r="B211" s="1615" t="s">
        <v>280</v>
      </c>
      <c r="C211" s="1273" t="s">
        <v>32</v>
      </c>
      <c r="D211" s="1273" t="s">
        <v>32</v>
      </c>
      <c r="E211" s="1273"/>
      <c r="F211" s="1273"/>
      <c r="G211" s="1273" t="s">
        <v>32</v>
      </c>
      <c r="H211" s="1273" t="s">
        <v>32</v>
      </c>
      <c r="I211" s="1273" t="s">
        <v>32</v>
      </c>
      <c r="J211" s="1616" t="s">
        <v>32</v>
      </c>
      <c r="K211" s="1616" t="s">
        <v>32</v>
      </c>
      <c r="L211" s="1273"/>
      <c r="M211" s="1273"/>
      <c r="N211" s="1148" t="s">
        <v>32</v>
      </c>
      <c r="O211" s="1148" t="s">
        <v>32</v>
      </c>
      <c r="P211" s="1148" t="s">
        <v>32</v>
      </c>
      <c r="Q211" s="1148" t="s">
        <v>32</v>
      </c>
      <c r="R211" s="1148" t="s">
        <v>32</v>
      </c>
      <c r="S211" s="1148"/>
      <c r="T211" s="1148"/>
      <c r="U211" s="1148" t="s">
        <v>32</v>
      </c>
      <c r="V211" s="1148" t="s">
        <v>32</v>
      </c>
      <c r="W211" s="1148" t="s">
        <v>32</v>
      </c>
      <c r="X211" s="1148" t="s">
        <v>32</v>
      </c>
      <c r="Y211" s="1148" t="s">
        <v>32</v>
      </c>
      <c r="Z211" s="1148"/>
      <c r="AA211" s="1148"/>
      <c r="AB211" s="1148" t="s">
        <v>32</v>
      </c>
      <c r="AC211" s="1148" t="s">
        <v>32</v>
      </c>
      <c r="AD211" s="1148" t="s">
        <v>32</v>
      </c>
      <c r="AE211" s="1148" t="s">
        <v>32</v>
      </c>
      <c r="AF211" s="1148" t="s">
        <v>32</v>
      </c>
      <c r="AG211" s="1617"/>
      <c r="AH211" s="181"/>
      <c r="AI211" s="182"/>
    </row>
    <row r="212" spans="1:35" ht="21" customHeight="1">
      <c r="A212" s="1614">
        <v>3701</v>
      </c>
      <c r="B212" s="1618" t="s">
        <v>281</v>
      </c>
      <c r="C212" s="1273"/>
      <c r="D212" s="1273"/>
      <c r="E212" s="1273"/>
      <c r="F212" s="1273"/>
      <c r="G212" s="1273"/>
      <c r="H212" s="1273"/>
      <c r="I212" s="1273"/>
      <c r="J212" s="1273"/>
      <c r="K212" s="1273"/>
      <c r="L212" s="1273"/>
      <c r="M212" s="1273"/>
      <c r="N212" s="1278"/>
      <c r="O212" s="1278"/>
      <c r="P212" s="1278"/>
      <c r="Q212" s="1274"/>
      <c r="R212" s="1278"/>
      <c r="S212" s="1273"/>
      <c r="T212" s="1273"/>
      <c r="U212" s="1278"/>
      <c r="V212" s="1278"/>
      <c r="W212" s="1278"/>
      <c r="X212" s="1273"/>
      <c r="Y212" s="1278"/>
      <c r="Z212" s="1273"/>
      <c r="AA212" s="1273"/>
      <c r="AB212" s="1273"/>
      <c r="AC212" s="1273"/>
      <c r="AD212" s="1278"/>
      <c r="AE212" s="1278"/>
      <c r="AF212" s="1278"/>
      <c r="AG212" s="1619"/>
      <c r="AH212" s="181"/>
      <c r="AI212" s="182"/>
    </row>
    <row r="213" spans="1:35" ht="21" customHeight="1">
      <c r="A213" s="1614">
        <v>3701</v>
      </c>
      <c r="B213" s="1284" t="s">
        <v>282</v>
      </c>
      <c r="C213" s="1273" t="s">
        <v>32</v>
      </c>
      <c r="D213" s="1273" t="s">
        <v>32</v>
      </c>
      <c r="E213" s="1273"/>
      <c r="F213" s="1273"/>
      <c r="G213" s="1616" t="s">
        <v>32</v>
      </c>
      <c r="H213" s="1616" t="s">
        <v>32</v>
      </c>
      <c r="I213" s="1616" t="s">
        <v>32</v>
      </c>
      <c r="J213" s="1273" t="s">
        <v>32</v>
      </c>
      <c r="K213" s="1273" t="s">
        <v>32</v>
      </c>
      <c r="L213" s="1273"/>
      <c r="M213" s="1273"/>
      <c r="N213" s="1269" t="s">
        <v>32</v>
      </c>
      <c r="O213" s="1616" t="s">
        <v>32</v>
      </c>
      <c r="P213" s="1269" t="s">
        <v>32</v>
      </c>
      <c r="Q213" s="1616" t="s">
        <v>32</v>
      </c>
      <c r="R213" s="1616" t="s">
        <v>32</v>
      </c>
      <c r="S213" s="1269"/>
      <c r="T213" s="1269"/>
      <c r="U213" s="1148" t="s">
        <v>32</v>
      </c>
      <c r="V213" s="1148" t="s">
        <v>32</v>
      </c>
      <c r="W213" s="1148" t="s">
        <v>32</v>
      </c>
      <c r="X213" s="1148" t="s">
        <v>32</v>
      </c>
      <c r="Y213" s="1148" t="s">
        <v>32</v>
      </c>
      <c r="Z213" s="1148"/>
      <c r="AA213" s="1148"/>
      <c r="AB213" s="1148" t="s">
        <v>32</v>
      </c>
      <c r="AC213" s="1148" t="s">
        <v>32</v>
      </c>
      <c r="AD213" s="1148" t="s">
        <v>32</v>
      </c>
      <c r="AE213" s="1148" t="s">
        <v>32</v>
      </c>
      <c r="AF213" s="1148" t="s">
        <v>32</v>
      </c>
      <c r="AG213" s="1617"/>
      <c r="AH213" s="181"/>
      <c r="AI213" s="182"/>
    </row>
    <row r="214" spans="1:35" ht="21" customHeight="1">
      <c r="A214" s="1614">
        <v>3701</v>
      </c>
      <c r="B214" s="1284" t="s">
        <v>283</v>
      </c>
      <c r="C214" s="1273" t="s">
        <v>32</v>
      </c>
      <c r="D214" s="1273" t="s">
        <v>32</v>
      </c>
      <c r="E214" s="1273"/>
      <c r="F214" s="1273"/>
      <c r="G214" s="1273" t="s">
        <v>32</v>
      </c>
      <c r="H214" s="1273" t="s">
        <v>32</v>
      </c>
      <c r="I214" s="1273" t="s">
        <v>32</v>
      </c>
      <c r="J214" s="1273" t="s">
        <v>32</v>
      </c>
      <c r="K214" s="1273" t="s">
        <v>32</v>
      </c>
      <c r="L214" s="1365" t="s">
        <v>32</v>
      </c>
      <c r="M214" s="1365" t="s">
        <v>32</v>
      </c>
      <c r="N214" s="1620" t="s">
        <v>32</v>
      </c>
      <c r="O214" s="1278" t="s">
        <v>32</v>
      </c>
      <c r="P214" s="1278" t="s">
        <v>32</v>
      </c>
      <c r="Q214" s="1274" t="s">
        <v>32</v>
      </c>
      <c r="R214" s="1278" t="s">
        <v>32</v>
      </c>
      <c r="S214" s="1273"/>
      <c r="T214" s="1273"/>
      <c r="U214" s="1148" t="s">
        <v>32</v>
      </c>
      <c r="V214" s="1148" t="s">
        <v>32</v>
      </c>
      <c r="W214" s="1148" t="s">
        <v>32</v>
      </c>
      <c r="X214" s="1148" t="s">
        <v>32</v>
      </c>
      <c r="Y214" s="1148" t="s">
        <v>32</v>
      </c>
      <c r="Z214" s="1148"/>
      <c r="AA214" s="1148"/>
      <c r="AB214" s="1148" t="s">
        <v>32</v>
      </c>
      <c r="AC214" s="1148" t="s">
        <v>32</v>
      </c>
      <c r="AD214" s="1148" t="s">
        <v>32</v>
      </c>
      <c r="AE214" s="1148" t="s">
        <v>32</v>
      </c>
      <c r="AF214" s="1148" t="s">
        <v>32</v>
      </c>
      <c r="AG214" s="1617"/>
      <c r="AH214" s="181"/>
      <c r="AI214" s="182"/>
    </row>
    <row r="215" spans="1:35" ht="21" customHeight="1">
      <c r="A215" s="1614">
        <v>3701</v>
      </c>
      <c r="B215" s="1618" t="s">
        <v>284</v>
      </c>
      <c r="C215" s="1273"/>
      <c r="D215" s="1273"/>
      <c r="E215" s="1273"/>
      <c r="F215" s="1273"/>
      <c r="G215" s="1273"/>
      <c r="H215" s="1273"/>
      <c r="I215" s="1273"/>
      <c r="J215" s="1273"/>
      <c r="K215" s="1273"/>
      <c r="L215" s="1273"/>
      <c r="M215" s="1273"/>
      <c r="N215" s="1278"/>
      <c r="O215" s="1278"/>
      <c r="P215" s="1278"/>
      <c r="Q215" s="1274"/>
      <c r="R215" s="1278"/>
      <c r="S215" s="1273"/>
      <c r="T215" s="1273"/>
      <c r="U215" s="1278"/>
      <c r="V215" s="1278"/>
      <c r="W215" s="1278"/>
      <c r="X215" s="1273"/>
      <c r="Y215" s="1278"/>
      <c r="Z215" s="1273"/>
      <c r="AA215" s="1273"/>
      <c r="AB215" s="1273"/>
      <c r="AC215" s="1273"/>
      <c r="AD215" s="1274"/>
      <c r="AE215" s="1274"/>
      <c r="AF215" s="1274"/>
      <c r="AG215" s="1619"/>
      <c r="AH215" s="181"/>
      <c r="AI215" s="182"/>
    </row>
    <row r="216" spans="1:35" ht="22.35" customHeight="1">
      <c r="A216" s="1614">
        <v>3701</v>
      </c>
      <c r="B216" s="1284" t="s">
        <v>285</v>
      </c>
      <c r="C216" s="1148" t="s">
        <v>32</v>
      </c>
      <c r="D216" s="1148" t="s">
        <v>32</v>
      </c>
      <c r="E216" s="1148"/>
      <c r="F216" s="1148"/>
      <c r="G216" s="1148" t="s">
        <v>32</v>
      </c>
      <c r="H216" s="1148" t="s">
        <v>32</v>
      </c>
      <c r="I216" s="1148" t="s">
        <v>32</v>
      </c>
      <c r="J216" s="1148" t="s">
        <v>32</v>
      </c>
      <c r="K216" s="1148" t="s">
        <v>32</v>
      </c>
      <c r="L216" s="1148"/>
      <c r="M216" s="1148"/>
      <c r="N216" s="1148" t="s">
        <v>32</v>
      </c>
      <c r="O216" s="1148" t="s">
        <v>32</v>
      </c>
      <c r="P216" s="1148" t="s">
        <v>32</v>
      </c>
      <c r="Q216" s="1148" t="s">
        <v>32</v>
      </c>
      <c r="R216" s="1148" t="s">
        <v>32</v>
      </c>
      <c r="S216" s="1148"/>
      <c r="T216" s="1148"/>
      <c r="U216" s="1148" t="s">
        <v>32</v>
      </c>
      <c r="V216" s="1148" t="s">
        <v>32</v>
      </c>
      <c r="W216" s="1148" t="s">
        <v>32</v>
      </c>
      <c r="X216" s="1148" t="s">
        <v>32</v>
      </c>
      <c r="Y216" s="1148" t="s">
        <v>32</v>
      </c>
      <c r="Z216" s="1148"/>
      <c r="AA216" s="1148"/>
      <c r="AB216" s="1148" t="s">
        <v>32</v>
      </c>
      <c r="AC216" s="1148" t="s">
        <v>32</v>
      </c>
      <c r="AD216" s="1148" t="s">
        <v>32</v>
      </c>
      <c r="AE216" s="1148" t="s">
        <v>32</v>
      </c>
      <c r="AF216" s="1148" t="s">
        <v>32</v>
      </c>
      <c r="AG216" s="1617"/>
      <c r="AH216" s="181"/>
      <c r="AI216" s="182"/>
    </row>
    <row r="217" spans="1:35" ht="22.35" customHeight="1">
      <c r="A217" s="1614">
        <v>3701</v>
      </c>
      <c r="B217" s="1284" t="s">
        <v>286</v>
      </c>
      <c r="C217" s="1273" t="s">
        <v>32</v>
      </c>
      <c r="D217" s="1273" t="s">
        <v>32</v>
      </c>
      <c r="E217" s="1273"/>
      <c r="F217" s="1273"/>
      <c r="G217" s="1273" t="s">
        <v>32</v>
      </c>
      <c r="H217" s="1273" t="s">
        <v>32</v>
      </c>
      <c r="I217" s="1273" t="s">
        <v>32</v>
      </c>
      <c r="J217" s="1273" t="s">
        <v>32</v>
      </c>
      <c r="K217" s="1273" t="s">
        <v>32</v>
      </c>
      <c r="L217" s="1273"/>
      <c r="M217" s="1273"/>
      <c r="N217" s="1278" t="s">
        <v>32</v>
      </c>
      <c r="O217" s="1278" t="s">
        <v>32</v>
      </c>
      <c r="P217" s="1278" t="s">
        <v>32</v>
      </c>
      <c r="Q217" s="1274" t="s">
        <v>32</v>
      </c>
      <c r="R217" s="1278" t="s">
        <v>32</v>
      </c>
      <c r="S217" s="1273"/>
      <c r="T217" s="1273"/>
      <c r="U217" s="1278" t="s">
        <v>32</v>
      </c>
      <c r="V217" s="1278" t="s">
        <v>32</v>
      </c>
      <c r="W217" s="1278" t="s">
        <v>32</v>
      </c>
      <c r="X217" s="1621" t="s">
        <v>32</v>
      </c>
      <c r="Y217" s="1622" t="s">
        <v>32</v>
      </c>
      <c r="Z217" s="1273"/>
      <c r="AA217" s="1273"/>
      <c r="AB217" s="1273" t="s">
        <v>32</v>
      </c>
      <c r="AC217" s="1623" t="s">
        <v>32</v>
      </c>
      <c r="AD217" s="1623" t="s">
        <v>32</v>
      </c>
      <c r="AE217" s="1623" t="s">
        <v>32</v>
      </c>
      <c r="AF217" s="1623" t="s">
        <v>32</v>
      </c>
      <c r="AG217" s="1624"/>
      <c r="AH217" s="181"/>
      <c r="AI217" s="182"/>
    </row>
    <row r="218" spans="1:35" ht="22.35" customHeight="1">
      <c r="A218" s="1614">
        <v>3701</v>
      </c>
      <c r="B218" s="1284" t="s">
        <v>287</v>
      </c>
      <c r="C218" s="1273" t="s">
        <v>32</v>
      </c>
      <c r="D218" s="1625" t="s">
        <v>32</v>
      </c>
      <c r="E218" s="1273"/>
      <c r="F218" s="1273"/>
      <c r="G218" s="1148" t="s">
        <v>32</v>
      </c>
      <c r="H218" s="1148" t="s">
        <v>32</v>
      </c>
      <c r="I218" s="1148" t="s">
        <v>32</v>
      </c>
      <c r="J218" s="1148" t="s">
        <v>32</v>
      </c>
      <c r="K218" s="1148" t="s">
        <v>32</v>
      </c>
      <c r="L218" s="1148"/>
      <c r="M218" s="1148"/>
      <c r="N218" s="1148" t="s">
        <v>32</v>
      </c>
      <c r="O218" s="1148" t="s">
        <v>32</v>
      </c>
      <c r="P218" s="1148" t="s">
        <v>32</v>
      </c>
      <c r="Q218" s="1148" t="s">
        <v>32</v>
      </c>
      <c r="R218" s="1148" t="s">
        <v>32</v>
      </c>
      <c r="S218" s="1148"/>
      <c r="T218" s="1148"/>
      <c r="U218" s="1148" t="s">
        <v>32</v>
      </c>
      <c r="V218" s="1148" t="s">
        <v>32</v>
      </c>
      <c r="W218" s="1148" t="s">
        <v>32</v>
      </c>
      <c r="X218" s="1148" t="s">
        <v>32</v>
      </c>
      <c r="Y218" s="1148" t="s">
        <v>32</v>
      </c>
      <c r="Z218" s="1148"/>
      <c r="AA218" s="1148"/>
      <c r="AB218" s="1269" t="s">
        <v>32</v>
      </c>
      <c r="AC218" s="1269" t="s">
        <v>32</v>
      </c>
      <c r="AD218" s="1269" t="s">
        <v>32</v>
      </c>
      <c r="AE218" s="1269" t="s">
        <v>32</v>
      </c>
      <c r="AF218" s="1269" t="s">
        <v>32</v>
      </c>
      <c r="AG218" s="1613"/>
      <c r="AH218" s="181"/>
      <c r="AI218" s="182"/>
    </row>
    <row r="219" spans="1:35" ht="22.35" customHeight="1">
      <c r="A219" s="1626">
        <v>3701</v>
      </c>
      <c r="B219" s="1284" t="s">
        <v>288</v>
      </c>
      <c r="C219" s="1148" t="s">
        <v>32</v>
      </c>
      <c r="D219" s="1148" t="s">
        <v>32</v>
      </c>
      <c r="E219" s="1148"/>
      <c r="F219" s="1148"/>
      <c r="G219" s="1148" t="s">
        <v>32</v>
      </c>
      <c r="H219" s="1148" t="s">
        <v>32</v>
      </c>
      <c r="I219" s="1148" t="s">
        <v>32</v>
      </c>
      <c r="J219" s="1148" t="s">
        <v>32</v>
      </c>
      <c r="K219" s="1148" t="s">
        <v>32</v>
      </c>
      <c r="L219" s="1148"/>
      <c r="M219" s="1148"/>
      <c r="N219" s="1148" t="s">
        <v>32</v>
      </c>
      <c r="O219" s="1148" t="s">
        <v>32</v>
      </c>
      <c r="P219" s="1148" t="s">
        <v>32</v>
      </c>
      <c r="Q219" s="1148" t="s">
        <v>32</v>
      </c>
      <c r="R219" s="1148" t="s">
        <v>32</v>
      </c>
      <c r="S219" s="1148"/>
      <c r="T219" s="1148"/>
      <c r="U219" s="1148" t="s">
        <v>32</v>
      </c>
      <c r="V219" s="1148" t="s">
        <v>32</v>
      </c>
      <c r="W219" s="1148" t="s">
        <v>32</v>
      </c>
      <c r="X219" s="1148" t="s">
        <v>32</v>
      </c>
      <c r="Y219" s="1148" t="s">
        <v>32</v>
      </c>
      <c r="Z219" s="1148"/>
      <c r="AA219" s="1148"/>
      <c r="AB219" s="1148" t="s">
        <v>32</v>
      </c>
      <c r="AC219" s="1148" t="s">
        <v>32</v>
      </c>
      <c r="AD219" s="1627" t="s">
        <v>32</v>
      </c>
      <c r="AE219" s="1627" t="s">
        <v>32</v>
      </c>
      <c r="AF219" s="1627" t="s">
        <v>32</v>
      </c>
      <c r="AG219" s="1628"/>
      <c r="AH219" s="181"/>
      <c r="AI219" s="182"/>
    </row>
    <row r="220" spans="1:35" ht="22.35" customHeight="1">
      <c r="A220" s="1614">
        <v>3701</v>
      </c>
      <c r="B220" s="1284" t="s">
        <v>289</v>
      </c>
      <c r="C220" s="1273" t="s">
        <v>32</v>
      </c>
      <c r="D220" s="1148" t="s">
        <v>32</v>
      </c>
      <c r="E220" s="1273"/>
      <c r="F220" s="1273"/>
      <c r="G220" s="1148" t="s">
        <v>32</v>
      </c>
      <c r="H220" s="1148" t="s">
        <v>32</v>
      </c>
      <c r="I220" s="1148" t="s">
        <v>32</v>
      </c>
      <c r="J220" s="1148" t="s">
        <v>32</v>
      </c>
      <c r="K220" s="1148" t="s">
        <v>32</v>
      </c>
      <c r="L220" s="1148"/>
      <c r="M220" s="1148"/>
      <c r="N220" s="1148" t="s">
        <v>32</v>
      </c>
      <c r="O220" s="1148" t="s">
        <v>32</v>
      </c>
      <c r="P220" s="1148" t="s">
        <v>32</v>
      </c>
      <c r="Q220" s="1148" t="s">
        <v>32</v>
      </c>
      <c r="R220" s="1148" t="s">
        <v>32</v>
      </c>
      <c r="S220" s="1148"/>
      <c r="T220" s="1148"/>
      <c r="U220" s="1148" t="s">
        <v>32</v>
      </c>
      <c r="V220" s="1148" t="s">
        <v>32</v>
      </c>
      <c r="W220" s="1148" t="s">
        <v>32</v>
      </c>
      <c r="X220" s="1148" t="s">
        <v>32</v>
      </c>
      <c r="Y220" s="1148" t="s">
        <v>32</v>
      </c>
      <c r="Z220" s="1148"/>
      <c r="AA220" s="1148"/>
      <c r="AB220" s="1269" t="s">
        <v>32</v>
      </c>
      <c r="AC220" s="1269" t="s">
        <v>32</v>
      </c>
      <c r="AD220" s="1269" t="s">
        <v>32</v>
      </c>
      <c r="AE220" s="1269" t="s">
        <v>32</v>
      </c>
      <c r="AF220" s="1269" t="s">
        <v>32</v>
      </c>
      <c r="AG220" s="1613"/>
      <c r="AH220" s="181"/>
      <c r="AI220" s="182"/>
    </row>
    <row r="221" spans="1:35" ht="22.35" customHeight="1">
      <c r="A221" s="1614">
        <v>3701</v>
      </c>
      <c r="B221" s="1284" t="s">
        <v>290</v>
      </c>
      <c r="C221" s="1273" t="s">
        <v>32</v>
      </c>
      <c r="D221" s="1273" t="s">
        <v>32</v>
      </c>
      <c r="E221" s="1273"/>
      <c r="F221" s="1273"/>
      <c r="G221" s="1148" t="s">
        <v>32</v>
      </c>
      <c r="H221" s="1148" t="s">
        <v>32</v>
      </c>
      <c r="I221" s="1148" t="s">
        <v>32</v>
      </c>
      <c r="J221" s="1148" t="s">
        <v>32</v>
      </c>
      <c r="K221" s="1148" t="s">
        <v>32</v>
      </c>
      <c r="L221" s="1148"/>
      <c r="M221" s="1148"/>
      <c r="N221" s="1148" t="s">
        <v>32</v>
      </c>
      <c r="O221" s="1148" t="s">
        <v>32</v>
      </c>
      <c r="P221" s="1148" t="s">
        <v>32</v>
      </c>
      <c r="Q221" s="1148" t="s">
        <v>32</v>
      </c>
      <c r="R221" s="1148" t="s">
        <v>32</v>
      </c>
      <c r="S221" s="1148"/>
      <c r="T221" s="1148"/>
      <c r="U221" s="1148" t="s">
        <v>32</v>
      </c>
      <c r="V221" s="1148" t="s">
        <v>32</v>
      </c>
      <c r="W221" s="1148" t="s">
        <v>32</v>
      </c>
      <c r="X221" s="1148" t="s">
        <v>32</v>
      </c>
      <c r="Y221" s="1148" t="s">
        <v>32</v>
      </c>
      <c r="Z221" s="1148"/>
      <c r="AA221" s="1148"/>
      <c r="AB221" s="1273" t="s">
        <v>32</v>
      </c>
      <c r="AC221" s="1273" t="s">
        <v>32</v>
      </c>
      <c r="AD221" s="1278" t="s">
        <v>32</v>
      </c>
      <c r="AE221" s="1278" t="s">
        <v>32</v>
      </c>
      <c r="AF221" s="1278" t="s">
        <v>32</v>
      </c>
      <c r="AG221" s="1629"/>
      <c r="AH221" s="181"/>
      <c r="AI221" s="182"/>
    </row>
    <row r="222" spans="1:35" ht="22.35" customHeight="1">
      <c r="A222" s="1614"/>
      <c r="B222" s="1284" t="s">
        <v>291</v>
      </c>
      <c r="C222" s="1623" t="s">
        <v>278</v>
      </c>
      <c r="D222" s="1269" t="s">
        <v>32</v>
      </c>
      <c r="E222" s="1273"/>
      <c r="F222" s="1273"/>
      <c r="G222" s="1273" t="s">
        <v>32</v>
      </c>
      <c r="H222" s="1273" t="s">
        <v>32</v>
      </c>
      <c r="I222" s="1273" t="s">
        <v>32</v>
      </c>
      <c r="J222" s="1273" t="s">
        <v>32</v>
      </c>
      <c r="K222" s="1273" t="s">
        <v>32</v>
      </c>
      <c r="L222" s="1273"/>
      <c r="M222" s="1273"/>
      <c r="N222" s="1269" t="s">
        <v>32</v>
      </c>
      <c r="O222" s="1269" t="s">
        <v>32</v>
      </c>
      <c r="P222" s="1269" t="s">
        <v>32</v>
      </c>
      <c r="Q222" s="1269" t="s">
        <v>32</v>
      </c>
      <c r="R222" s="1269" t="s">
        <v>32</v>
      </c>
      <c r="S222" s="1269"/>
      <c r="T222" s="1269"/>
      <c r="U222" s="1148" t="s">
        <v>32</v>
      </c>
      <c r="V222" s="1148" t="s">
        <v>32</v>
      </c>
      <c r="W222" s="1148" t="s">
        <v>32</v>
      </c>
      <c r="X222" s="1148" t="s">
        <v>32</v>
      </c>
      <c r="Y222" s="1148" t="s">
        <v>32</v>
      </c>
      <c r="Z222" s="1148"/>
      <c r="AA222" s="1148"/>
      <c r="AB222" s="1148" t="s">
        <v>32</v>
      </c>
      <c r="AC222" s="1148" t="s">
        <v>32</v>
      </c>
      <c r="AD222" s="1148" t="s">
        <v>32</v>
      </c>
      <c r="AE222" s="1148" t="s">
        <v>32</v>
      </c>
      <c r="AF222" s="1148" t="s">
        <v>32</v>
      </c>
      <c r="AG222" s="1617"/>
      <c r="AH222" s="181"/>
      <c r="AI222" s="182"/>
    </row>
    <row r="223" spans="1:35" ht="22.35" customHeight="1">
      <c r="A223" s="1614"/>
      <c r="B223" s="1284"/>
      <c r="C223" s="1273" t="s">
        <v>32</v>
      </c>
      <c r="D223" s="1273" t="s">
        <v>32</v>
      </c>
      <c r="E223" s="1273"/>
      <c r="F223" s="1273"/>
      <c r="G223" s="1273" t="s">
        <v>32</v>
      </c>
      <c r="H223" s="1273" t="s">
        <v>32</v>
      </c>
      <c r="I223" s="1273" t="s">
        <v>32</v>
      </c>
      <c r="J223" s="1273" t="s">
        <v>32</v>
      </c>
      <c r="K223" s="1273" t="s">
        <v>32</v>
      </c>
      <c r="L223" s="1273"/>
      <c r="M223" s="1273"/>
      <c r="N223" s="1278" t="s">
        <v>32</v>
      </c>
      <c r="O223" s="1278" t="s">
        <v>32</v>
      </c>
      <c r="P223" s="1278" t="s">
        <v>32</v>
      </c>
      <c r="Q223" s="1274" t="s">
        <v>32</v>
      </c>
      <c r="R223" s="1278" t="s">
        <v>32</v>
      </c>
      <c r="S223" s="1273"/>
      <c r="T223" s="1273"/>
      <c r="U223" s="1278" t="s">
        <v>32</v>
      </c>
      <c r="V223" s="1278" t="s">
        <v>32</v>
      </c>
      <c r="W223" s="1278" t="s">
        <v>32</v>
      </c>
      <c r="X223" s="1273" t="s">
        <v>32</v>
      </c>
      <c r="Y223" s="1278" t="s">
        <v>32</v>
      </c>
      <c r="Z223" s="1273"/>
      <c r="AA223" s="1273"/>
      <c r="AB223" s="1273" t="s">
        <v>32</v>
      </c>
      <c r="AC223" s="1273" t="s">
        <v>32</v>
      </c>
      <c r="AD223" s="1273" t="s">
        <v>32</v>
      </c>
      <c r="AE223" s="1282" t="s">
        <v>32</v>
      </c>
      <c r="AF223" s="1273" t="s">
        <v>32</v>
      </c>
      <c r="AG223" s="1619"/>
      <c r="AH223" s="181"/>
      <c r="AI223" s="182"/>
    </row>
    <row r="224" spans="1:35" ht="22.35" customHeight="1">
      <c r="A224" s="1614"/>
      <c r="B224" s="1618" t="s">
        <v>293</v>
      </c>
      <c r="C224" s="1273"/>
      <c r="D224" s="1273"/>
      <c r="E224" s="1273"/>
      <c r="F224" s="1273"/>
      <c r="G224" s="1273"/>
      <c r="H224" s="1273"/>
      <c r="I224" s="1273"/>
      <c r="J224" s="1273"/>
      <c r="K224" s="1273"/>
      <c r="L224" s="1273"/>
      <c r="M224" s="1273"/>
      <c r="N224" s="1278"/>
      <c r="O224" s="1278"/>
      <c r="P224" s="1278"/>
      <c r="Q224" s="1274"/>
      <c r="R224" s="1278"/>
      <c r="S224" s="1273"/>
      <c r="T224" s="1273"/>
      <c r="U224" s="1278"/>
      <c r="V224" s="1278"/>
      <c r="W224" s="1278"/>
      <c r="X224" s="1273"/>
      <c r="Y224" s="1278"/>
      <c r="Z224" s="1273"/>
      <c r="AA224" s="1273"/>
      <c r="AB224" s="1273"/>
      <c r="AC224" s="1273"/>
      <c r="AD224" s="1273"/>
      <c r="AE224" s="1273"/>
      <c r="AF224" s="1273"/>
      <c r="AG224" s="1619"/>
      <c r="AH224" s="181"/>
      <c r="AI224" s="182"/>
    </row>
    <row r="225" spans="1:35" ht="22.35" customHeight="1">
      <c r="A225" s="1614"/>
      <c r="B225" s="1284" t="s">
        <v>294</v>
      </c>
      <c r="C225" s="1630" t="s">
        <v>32</v>
      </c>
      <c r="D225" s="1630" t="s">
        <v>32</v>
      </c>
      <c r="E225" s="1630"/>
      <c r="F225" s="1630"/>
      <c r="G225" s="1630" t="s">
        <v>32</v>
      </c>
      <c r="H225" s="1630" t="s">
        <v>32</v>
      </c>
      <c r="I225" s="1630" t="s">
        <v>32</v>
      </c>
      <c r="J225" s="1630" t="s">
        <v>32</v>
      </c>
      <c r="K225" s="1630" t="s">
        <v>32</v>
      </c>
      <c r="L225" s="1630"/>
      <c r="M225" s="1630"/>
      <c r="N225" s="1630" t="s">
        <v>32</v>
      </c>
      <c r="O225" s="1630" t="s">
        <v>32</v>
      </c>
      <c r="P225" s="1630" t="s">
        <v>32</v>
      </c>
      <c r="Q225" s="1630" t="s">
        <v>32</v>
      </c>
      <c r="R225" s="1630" t="s">
        <v>32</v>
      </c>
      <c r="S225" s="1630"/>
      <c r="T225" s="1630"/>
      <c r="U225" s="1630" t="s">
        <v>32</v>
      </c>
      <c r="V225" s="1630" t="s">
        <v>32</v>
      </c>
      <c r="W225" s="1630" t="s">
        <v>32</v>
      </c>
      <c r="X225" s="1630" t="s">
        <v>32</v>
      </c>
      <c r="Y225" s="1630" t="s">
        <v>32</v>
      </c>
      <c r="Z225" s="1630"/>
      <c r="AA225" s="1630"/>
      <c r="AB225" s="1630" t="s">
        <v>32</v>
      </c>
      <c r="AC225" s="1630" t="s">
        <v>32</v>
      </c>
      <c r="AD225" s="1630" t="s">
        <v>32</v>
      </c>
      <c r="AE225" s="1630" t="s">
        <v>32</v>
      </c>
      <c r="AF225" s="1630" t="s">
        <v>32</v>
      </c>
      <c r="AG225" s="1631"/>
      <c r="AH225" s="181"/>
      <c r="AI225" s="182"/>
    </row>
    <row r="226" spans="1:35" ht="22.35" customHeight="1">
      <c r="A226" s="1614"/>
      <c r="B226" s="1284" t="s">
        <v>295</v>
      </c>
      <c r="C226" s="1273" t="s">
        <v>32</v>
      </c>
      <c r="D226" s="1273" t="s">
        <v>32</v>
      </c>
      <c r="E226" s="1273"/>
      <c r="F226" s="1273"/>
      <c r="G226" s="1273" t="s">
        <v>32</v>
      </c>
      <c r="H226" s="1273" t="s">
        <v>32</v>
      </c>
      <c r="I226" s="1623" t="s">
        <v>32</v>
      </c>
      <c r="J226" s="1623" t="s">
        <v>278</v>
      </c>
      <c r="K226" s="1269" t="s">
        <v>32</v>
      </c>
      <c r="L226" s="1273"/>
      <c r="M226" s="1273"/>
      <c r="N226" s="1278" t="s">
        <v>32</v>
      </c>
      <c r="O226" s="1278" t="s">
        <v>32</v>
      </c>
      <c r="P226" s="1278" t="s">
        <v>32</v>
      </c>
      <c r="Q226" s="1274" t="s">
        <v>32</v>
      </c>
      <c r="R226" s="1278" t="s">
        <v>32</v>
      </c>
      <c r="S226" s="1273"/>
      <c r="T226" s="1273"/>
      <c r="U226" s="1278" t="s">
        <v>32</v>
      </c>
      <c r="V226" s="1278" t="s">
        <v>32</v>
      </c>
      <c r="W226" s="1278" t="s">
        <v>32</v>
      </c>
      <c r="X226" s="1623" t="s">
        <v>32</v>
      </c>
      <c r="Y226" s="1623" t="s">
        <v>278</v>
      </c>
      <c r="Z226" s="1273"/>
      <c r="AA226" s="1273"/>
      <c r="AB226" s="1148" t="s">
        <v>32</v>
      </c>
      <c r="AC226" s="1148" t="s">
        <v>32</v>
      </c>
      <c r="AD226" s="1148" t="s">
        <v>32</v>
      </c>
      <c r="AE226" s="1148" t="s">
        <v>32</v>
      </c>
      <c r="AF226" s="1148" t="s">
        <v>32</v>
      </c>
      <c r="AG226" s="1617"/>
      <c r="AH226" s="181"/>
      <c r="AI226" s="182"/>
    </row>
    <row r="227" spans="1:35" ht="22.35" customHeight="1">
      <c r="A227" s="1614"/>
      <c r="B227" s="1284" t="s">
        <v>296</v>
      </c>
      <c r="C227" s="1273" t="s">
        <v>32</v>
      </c>
      <c r="D227" s="1273" t="s">
        <v>32</v>
      </c>
      <c r="E227" s="1273"/>
      <c r="F227" s="1358"/>
      <c r="G227" s="1273" t="s">
        <v>32</v>
      </c>
      <c r="H227" s="1273" t="s">
        <v>32</v>
      </c>
      <c r="I227" s="1273" t="s">
        <v>32</v>
      </c>
      <c r="J227" s="1273" t="s">
        <v>32</v>
      </c>
      <c r="K227" s="1273" t="s">
        <v>32</v>
      </c>
      <c r="L227" s="1273"/>
      <c r="M227" s="1273"/>
      <c r="N227" s="1148" t="s">
        <v>32</v>
      </c>
      <c r="O227" s="1148" t="s">
        <v>32</v>
      </c>
      <c r="P227" s="1148" t="s">
        <v>32</v>
      </c>
      <c r="Q227" s="1148" t="s">
        <v>32</v>
      </c>
      <c r="R227" s="1148" t="s">
        <v>32</v>
      </c>
      <c r="S227" s="1148"/>
      <c r="T227" s="1148"/>
      <c r="U227" s="1148" t="s">
        <v>32</v>
      </c>
      <c r="V227" s="1148" t="s">
        <v>32</v>
      </c>
      <c r="W227" s="1148" t="s">
        <v>32</v>
      </c>
      <c r="X227" s="1148" t="s">
        <v>32</v>
      </c>
      <c r="Y227" s="1148" t="s">
        <v>32</v>
      </c>
      <c r="Z227" s="1273"/>
      <c r="AA227" s="1273"/>
      <c r="AB227" s="1273" t="s">
        <v>32</v>
      </c>
      <c r="AC227" s="1273" t="s">
        <v>32</v>
      </c>
      <c r="AD227" s="1278" t="s">
        <v>32</v>
      </c>
      <c r="AE227" s="1278" t="s">
        <v>32</v>
      </c>
      <c r="AF227" s="1278" t="s">
        <v>32</v>
      </c>
      <c r="AG227" s="1619"/>
      <c r="AH227" s="178"/>
      <c r="AI227" s="107"/>
    </row>
    <row r="228" spans="1:35" ht="22.35" customHeight="1">
      <c r="A228" s="1614"/>
      <c r="B228" s="1284" t="s">
        <v>297</v>
      </c>
      <c r="C228" s="1148" t="s">
        <v>32</v>
      </c>
      <c r="D228" s="1148" t="s">
        <v>32</v>
      </c>
      <c r="E228" s="1148"/>
      <c r="F228" s="1370"/>
      <c r="G228" s="1148" t="s">
        <v>32</v>
      </c>
      <c r="H228" s="1148" t="s">
        <v>32</v>
      </c>
      <c r="I228" s="1148" t="s">
        <v>32</v>
      </c>
      <c r="J228" s="1148" t="s">
        <v>32</v>
      </c>
      <c r="K228" s="1148" t="s">
        <v>32</v>
      </c>
      <c r="L228" s="1148"/>
      <c r="M228" s="1148"/>
      <c r="N228" s="1148" t="s">
        <v>32</v>
      </c>
      <c r="O228" s="1148" t="s">
        <v>32</v>
      </c>
      <c r="P228" s="1148" t="s">
        <v>32</v>
      </c>
      <c r="Q228" s="1148" t="s">
        <v>32</v>
      </c>
      <c r="R228" s="1148" t="s">
        <v>32</v>
      </c>
      <c r="S228" s="1148"/>
      <c r="T228" s="1148"/>
      <c r="U228" s="1148" t="s">
        <v>32</v>
      </c>
      <c r="V228" s="1148" t="s">
        <v>32</v>
      </c>
      <c r="W228" s="1148" t="s">
        <v>32</v>
      </c>
      <c r="X228" s="1148" t="s">
        <v>32</v>
      </c>
      <c r="Y228" s="1148" t="s">
        <v>32</v>
      </c>
      <c r="Z228" s="1148"/>
      <c r="AA228" s="1148"/>
      <c r="AB228" s="1148" t="s">
        <v>32</v>
      </c>
      <c r="AC228" s="1148" t="s">
        <v>32</v>
      </c>
      <c r="AD228" s="1148" t="s">
        <v>32</v>
      </c>
      <c r="AE228" s="1148" t="s">
        <v>32</v>
      </c>
      <c r="AF228" s="1148" t="s">
        <v>32</v>
      </c>
      <c r="AG228" s="1619"/>
      <c r="AH228" s="178"/>
      <c r="AI228" s="107"/>
    </row>
    <row r="229" spans="1:35" ht="22.35" customHeight="1">
      <c r="A229" s="1269"/>
      <c r="B229" s="1632"/>
      <c r="C229" s="1273"/>
      <c r="D229" s="1273"/>
      <c r="E229" s="1273"/>
      <c r="F229" s="1273"/>
      <c r="G229" s="1273"/>
      <c r="H229" s="1273"/>
      <c r="I229" s="1273"/>
      <c r="J229" s="1273"/>
      <c r="K229" s="1273"/>
      <c r="L229" s="1273"/>
      <c r="M229" s="1273"/>
      <c r="N229" s="1273"/>
      <c r="O229" s="1273"/>
      <c r="P229" s="1273"/>
      <c r="Q229" s="1273"/>
      <c r="R229" s="1273"/>
      <c r="S229" s="1273"/>
      <c r="T229" s="1273"/>
      <c r="U229" s="1273"/>
      <c r="V229" s="1273"/>
      <c r="W229" s="1273"/>
      <c r="X229" s="1273"/>
      <c r="Y229" s="1273"/>
      <c r="Z229" s="1273"/>
      <c r="AA229" s="1273"/>
      <c r="AB229" s="1273"/>
      <c r="AC229" s="1273"/>
      <c r="AD229" s="1273"/>
      <c r="AE229" s="1273"/>
      <c r="AF229" s="1273"/>
      <c r="AG229" s="1619"/>
      <c r="AH229" s="178"/>
      <c r="AI229" s="107"/>
    </row>
    <row r="230" spans="1:35" ht="22.35" customHeight="1">
      <c r="A230" s="1269"/>
      <c r="B230" s="1284"/>
      <c r="C230" s="1273"/>
      <c r="D230" s="1273"/>
      <c r="E230" s="1273"/>
      <c r="F230" s="1273"/>
      <c r="G230" s="1273"/>
      <c r="H230" s="1273"/>
      <c r="I230" s="1273"/>
      <c r="J230" s="1273"/>
      <c r="K230" s="1273"/>
      <c r="L230" s="1273"/>
      <c r="M230" s="1273"/>
      <c r="N230" s="1278"/>
      <c r="O230" s="1278"/>
      <c r="P230" s="1278"/>
      <c r="Q230" s="1274"/>
      <c r="R230" s="1278"/>
      <c r="S230" s="1273"/>
      <c r="T230" s="1273"/>
      <c r="U230" s="1278"/>
      <c r="V230" s="1278"/>
      <c r="W230" s="1278"/>
      <c r="X230" s="1273"/>
      <c r="Y230" s="1278"/>
      <c r="Z230" s="1273"/>
      <c r="AA230" s="1273"/>
      <c r="AB230" s="1273"/>
      <c r="AC230" s="1273"/>
      <c r="AD230" s="1273"/>
      <c r="AE230" s="1273"/>
      <c r="AF230" s="1273"/>
      <c r="AG230" s="1633"/>
      <c r="AH230" s="178"/>
      <c r="AI230" s="107"/>
    </row>
    <row r="231" spans="1:35" ht="22.35" customHeight="1">
      <c r="A231" s="1269"/>
      <c r="B231" s="1269"/>
      <c r="C231" s="1273"/>
      <c r="D231" s="1273"/>
      <c r="E231" s="1273"/>
      <c r="F231" s="1273"/>
      <c r="G231" s="1273"/>
      <c r="H231" s="1273"/>
      <c r="I231" s="1273"/>
      <c r="J231" s="1273"/>
      <c r="K231" s="1273"/>
      <c r="L231" s="1273"/>
      <c r="M231" s="1273"/>
      <c r="N231" s="1273"/>
      <c r="O231" s="1273"/>
      <c r="P231" s="1273"/>
      <c r="Q231" s="1273"/>
      <c r="R231" s="1273"/>
      <c r="S231" s="1273"/>
      <c r="T231" s="1273"/>
      <c r="U231" s="1273"/>
      <c r="V231" s="1273"/>
      <c r="W231" s="1273"/>
      <c r="X231" s="1273"/>
      <c r="Y231" s="1273"/>
      <c r="Z231" s="1273"/>
      <c r="AA231" s="1273"/>
      <c r="AB231" s="1273"/>
      <c r="AC231" s="1273"/>
      <c r="AD231" s="1273"/>
      <c r="AE231" s="1273"/>
      <c r="AF231" s="1273"/>
      <c r="AG231" s="1619"/>
      <c r="AH231" s="178"/>
      <c r="AI231" s="107"/>
    </row>
    <row r="232" spans="1:35" ht="22.35" customHeight="1">
      <c r="A232" s="1269"/>
      <c r="B232" s="1269"/>
      <c r="C232" s="1273"/>
      <c r="D232" s="1273"/>
      <c r="E232" s="1273"/>
      <c r="F232" s="1273"/>
      <c r="G232" s="1273"/>
      <c r="H232" s="1634"/>
      <c r="I232" s="1273"/>
      <c r="J232" s="1273"/>
      <c r="K232" s="1273"/>
      <c r="L232" s="1273"/>
      <c r="M232" s="1273"/>
      <c r="N232" s="1273"/>
      <c r="O232" s="1273"/>
      <c r="P232" s="1273"/>
      <c r="Q232" s="1273"/>
      <c r="R232" s="1273"/>
      <c r="S232" s="1273"/>
      <c r="T232" s="1273"/>
      <c r="U232" s="1273"/>
      <c r="V232" s="1273"/>
      <c r="W232" s="1273"/>
      <c r="X232" s="1273"/>
      <c r="Y232" s="1273"/>
      <c r="Z232" s="1273"/>
      <c r="AA232" s="1273"/>
      <c r="AB232" s="1273"/>
      <c r="AC232" s="1273"/>
      <c r="AD232" s="1273"/>
      <c r="AE232" s="1273"/>
      <c r="AF232" s="1273"/>
      <c r="AG232" s="1633"/>
      <c r="AH232" s="178"/>
      <c r="AI232" s="107"/>
    </row>
    <row r="233" spans="1:35" ht="22.35" customHeight="1">
      <c r="A233" s="1614"/>
      <c r="B233" s="1635"/>
      <c r="C233" s="1273"/>
      <c r="D233" s="1273"/>
      <c r="E233" s="1273"/>
      <c r="F233" s="1273"/>
      <c r="G233" s="1273"/>
      <c r="H233" s="1273"/>
      <c r="I233" s="1273"/>
      <c r="J233" s="1273"/>
      <c r="K233" s="1273"/>
      <c r="L233" s="1273"/>
      <c r="M233" s="1273"/>
      <c r="N233" s="1273"/>
      <c r="O233" s="1273"/>
      <c r="P233" s="1273"/>
      <c r="Q233" s="1273"/>
      <c r="R233" s="1273"/>
      <c r="S233" s="1273"/>
      <c r="T233" s="1273"/>
      <c r="U233" s="1273"/>
      <c r="V233" s="1273"/>
      <c r="W233" s="1273"/>
      <c r="X233" s="1273"/>
      <c r="Y233" s="1273"/>
      <c r="Z233" s="1273"/>
      <c r="AA233" s="1273"/>
      <c r="AB233" s="1273"/>
      <c r="AC233" s="1273"/>
      <c r="AD233" s="1273"/>
      <c r="AE233" s="1273"/>
      <c r="AF233" s="1273"/>
      <c r="AG233" s="1633"/>
      <c r="AH233" s="178"/>
      <c r="AI233" s="107"/>
    </row>
    <row r="234" spans="1:35" ht="22.35" customHeight="1">
      <c r="A234" s="1614"/>
      <c r="B234" s="1636"/>
      <c r="C234" s="1273"/>
      <c r="D234" s="1273"/>
      <c r="E234" s="1273"/>
      <c r="F234" s="1273"/>
      <c r="G234" s="1273"/>
      <c r="H234" s="1273"/>
      <c r="I234" s="1273"/>
      <c r="J234" s="1273"/>
      <c r="K234" s="1273"/>
      <c r="L234" s="1273"/>
      <c r="M234" s="1273"/>
      <c r="N234" s="1273"/>
      <c r="O234" s="1273"/>
      <c r="P234" s="1273"/>
      <c r="Q234" s="1273"/>
      <c r="R234" s="1273"/>
      <c r="S234" s="1273"/>
      <c r="T234" s="1273"/>
      <c r="U234" s="1273"/>
      <c r="V234" s="1273"/>
      <c r="W234" s="1273"/>
      <c r="X234" s="1273"/>
      <c r="Y234" s="1273"/>
      <c r="Z234" s="1273"/>
      <c r="AA234" s="1273"/>
      <c r="AB234" s="1273"/>
      <c r="AC234" s="1273"/>
      <c r="AD234" s="1273"/>
      <c r="AE234" s="1273"/>
      <c r="AF234" s="1273"/>
      <c r="AG234" s="1633"/>
      <c r="AH234" s="178"/>
      <c r="AI234" s="107"/>
    </row>
    <row r="235" spans="1:35" ht="22.35" customHeight="1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>
      <c r="A239" s="161" t="s">
        <v>298</v>
      </c>
    </row>
    <row r="240" spans="1:35" ht="21" customHeight="1">
      <c r="B240" s="396" t="s">
        <v>266</v>
      </c>
      <c r="C240" s="368"/>
      <c r="D240" s="384" t="s">
        <v>94</v>
      </c>
      <c r="E240" s="357"/>
      <c r="F240" s="372"/>
      <c r="G240" s="368"/>
      <c r="H240" s="384" t="s">
        <v>95</v>
      </c>
      <c r="I240" s="357"/>
      <c r="J240" s="372"/>
      <c r="K240" s="368"/>
      <c r="L240" s="384" t="s">
        <v>96</v>
      </c>
      <c r="M240" s="357"/>
      <c r="N240" s="372"/>
      <c r="O240" s="368"/>
      <c r="P240" s="384" t="s">
        <v>97</v>
      </c>
      <c r="Q240" s="357"/>
      <c r="R240" s="372"/>
      <c r="S240" s="368"/>
      <c r="T240" s="384" t="s">
        <v>98</v>
      </c>
      <c r="U240" s="357"/>
      <c r="V240" s="372"/>
      <c r="W240" s="368"/>
      <c r="X240" s="384" t="s">
        <v>99</v>
      </c>
      <c r="Y240" s="357"/>
      <c r="Z240" s="372"/>
      <c r="AA240" s="368"/>
      <c r="AB240" s="384" t="s">
        <v>100</v>
      </c>
      <c r="AC240" s="357"/>
      <c r="AD240" s="357"/>
      <c r="AE240" s="387" t="s">
        <v>101</v>
      </c>
      <c r="AF240" s="357"/>
      <c r="AG240" s="357"/>
      <c r="AH240" s="357"/>
      <c r="AI240" s="358"/>
    </row>
    <row r="241" spans="1:35" ht="21" customHeight="1">
      <c r="B241" s="3"/>
      <c r="C241" s="537" t="s">
        <v>299</v>
      </c>
      <c r="D241" s="117"/>
      <c r="E241" s="533"/>
      <c r="F241" s="534"/>
      <c r="G241" s="537" t="s">
        <v>299</v>
      </c>
      <c r="H241" s="117"/>
      <c r="I241" s="533"/>
      <c r="J241" s="534"/>
      <c r="K241" s="537" t="s">
        <v>299</v>
      </c>
      <c r="L241" s="117"/>
      <c r="M241" s="533"/>
      <c r="N241" s="534"/>
      <c r="O241" s="537" t="s">
        <v>299</v>
      </c>
      <c r="P241" s="532"/>
      <c r="Q241" s="533"/>
      <c r="R241" s="534"/>
      <c r="S241" s="538" t="s">
        <v>300</v>
      </c>
      <c r="T241" s="117"/>
      <c r="U241" s="533"/>
      <c r="V241" s="534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>
      <c r="A242" s="110"/>
      <c r="B242" s="1637"/>
      <c r="C242" s="1566" t="s">
        <v>178</v>
      </c>
      <c r="D242" s="1638"/>
      <c r="E242" s="533"/>
      <c r="F242" s="534"/>
      <c r="G242" s="1566" t="s">
        <v>178</v>
      </c>
      <c r="H242" s="117"/>
      <c r="I242" s="533"/>
      <c r="J242" s="534"/>
      <c r="K242" s="1566" t="s">
        <v>178</v>
      </c>
      <c r="L242" s="117"/>
      <c r="M242" s="533"/>
      <c r="N242" s="534"/>
      <c r="O242" s="1566" t="s">
        <v>178</v>
      </c>
      <c r="P242" s="117"/>
      <c r="Q242" s="533"/>
      <c r="R242" s="534"/>
      <c r="S242" s="537" t="s">
        <v>301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B243" s="1637"/>
      <c r="C243" s="1566" t="s">
        <v>181</v>
      </c>
      <c r="D243" s="1638"/>
      <c r="E243" s="533"/>
      <c r="F243" s="534"/>
      <c r="G243" s="1566" t="s">
        <v>181</v>
      </c>
      <c r="H243" s="117"/>
      <c r="I243" s="533"/>
      <c r="J243" s="534"/>
      <c r="K243" s="1566" t="s">
        <v>181</v>
      </c>
      <c r="L243" s="117"/>
      <c r="M243" s="533"/>
      <c r="N243" s="534"/>
      <c r="O243" s="1566" t="s">
        <v>181</v>
      </c>
      <c r="P243" s="117"/>
      <c r="Q243" s="533"/>
      <c r="R243" s="534"/>
      <c r="S243" s="1566" t="s">
        <v>176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1637"/>
      <c r="C244" s="1344"/>
      <c r="D244" s="1345"/>
      <c r="E244" s="165"/>
      <c r="F244" s="167"/>
      <c r="G244" s="1344"/>
      <c r="H244" s="1345"/>
      <c r="I244" s="165"/>
      <c r="J244" s="167"/>
      <c r="K244" s="1344"/>
      <c r="L244" s="1345"/>
      <c r="M244" s="165"/>
      <c r="N244" s="167"/>
      <c r="O244" s="1344"/>
      <c r="P244" s="1345"/>
      <c r="Q244" s="165"/>
      <c r="R244" s="167"/>
      <c r="S244" s="1344"/>
      <c r="T244" s="1345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1637"/>
      <c r="C245" s="1527"/>
      <c r="D245" s="1345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1637" t="s">
        <v>148</v>
      </c>
      <c r="C246" s="1527" t="s">
        <v>302</v>
      </c>
      <c r="D246" s="1638"/>
      <c r="E246" s="533"/>
      <c r="F246" s="534"/>
      <c r="G246" s="1527" t="s">
        <v>302</v>
      </c>
      <c r="H246" s="1638"/>
      <c r="I246" s="533"/>
      <c r="J246" s="534"/>
      <c r="K246" s="1527" t="s">
        <v>302</v>
      </c>
      <c r="L246" s="1638"/>
      <c r="M246" s="533"/>
      <c r="N246" s="534"/>
      <c r="O246" s="1527" t="s">
        <v>302</v>
      </c>
      <c r="P246" s="1638"/>
      <c r="Q246" s="533"/>
      <c r="R246" s="534"/>
      <c r="S246" s="117" t="s">
        <v>303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1637" t="s">
        <v>152</v>
      </c>
      <c r="C247" s="1527" t="s">
        <v>304</v>
      </c>
      <c r="D247" s="1638"/>
      <c r="E247" s="533"/>
      <c r="F247" s="534"/>
      <c r="G247" s="1527" t="s">
        <v>304</v>
      </c>
      <c r="H247" s="1638"/>
      <c r="I247" s="533"/>
      <c r="J247" s="534"/>
      <c r="K247" s="1527" t="s">
        <v>304</v>
      </c>
      <c r="L247" s="1638"/>
      <c r="M247" s="533"/>
      <c r="N247" s="534"/>
      <c r="O247" s="1527" t="s">
        <v>304</v>
      </c>
      <c r="P247" s="1638"/>
      <c r="Q247" s="533"/>
      <c r="R247" s="534"/>
      <c r="S247" s="117" t="s">
        <v>305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>
      <c r="B248" s="1639" t="s">
        <v>159</v>
      </c>
      <c r="C248" s="1540" t="s">
        <v>306</v>
      </c>
      <c r="D248" s="1640"/>
      <c r="E248" s="535"/>
      <c r="F248" s="536"/>
      <c r="G248" s="1540" t="s">
        <v>306</v>
      </c>
      <c r="H248" s="1640"/>
      <c r="I248" s="535"/>
      <c r="J248" s="536"/>
      <c r="K248" s="1540" t="s">
        <v>306</v>
      </c>
      <c r="L248" s="1640"/>
      <c r="M248" s="535"/>
      <c r="N248" s="536"/>
      <c r="O248" s="1540" t="s">
        <v>306</v>
      </c>
      <c r="P248" s="1640"/>
      <c r="Q248" s="535"/>
      <c r="R248" s="536"/>
      <c r="S248" s="456" t="s">
        <v>307</v>
      </c>
      <c r="T248" s="456"/>
      <c r="U248" s="535"/>
      <c r="V248" s="536"/>
      <c r="W248" s="517"/>
      <c r="X248" s="456"/>
      <c r="Y248" s="518"/>
      <c r="Z248" s="519"/>
      <c r="AA248" s="520"/>
      <c r="AB248" s="456"/>
      <c r="AC248" s="518"/>
      <c r="AD248" s="518"/>
      <c r="AE248" s="521"/>
      <c r="AF248" s="518"/>
      <c r="AG248" s="516"/>
      <c r="AH248" s="516"/>
      <c r="AI248" s="453"/>
    </row>
    <row r="249" spans="1:35" ht="21" customHeight="1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>
      <c r="A250" s="123" t="s">
        <v>308</v>
      </c>
    </row>
    <row r="251" spans="1:35" ht="21" customHeight="1" thickBot="1">
      <c r="A251" s="1501"/>
      <c r="B251" s="1239" t="s">
        <v>29</v>
      </c>
      <c r="C251" s="1240">
        <v>1</v>
      </c>
      <c r="D251" s="1240">
        <v>2</v>
      </c>
      <c r="E251" s="1241">
        <v>3</v>
      </c>
      <c r="F251" s="1241">
        <v>4</v>
      </c>
      <c r="G251" s="1240">
        <v>5</v>
      </c>
      <c r="H251" s="1240">
        <v>6</v>
      </c>
      <c r="I251" s="1240">
        <v>7</v>
      </c>
      <c r="J251" s="1240">
        <v>8</v>
      </c>
      <c r="K251" s="1240">
        <v>9</v>
      </c>
      <c r="L251" s="1241">
        <v>10</v>
      </c>
      <c r="M251" s="1241">
        <v>11</v>
      </c>
      <c r="N251" s="1240">
        <v>12</v>
      </c>
      <c r="O251" s="1240">
        <v>13</v>
      </c>
      <c r="P251" s="1240">
        <v>14</v>
      </c>
      <c r="Q251" s="1240">
        <v>15</v>
      </c>
      <c r="R251" s="1240">
        <v>16</v>
      </c>
      <c r="S251" s="1241">
        <v>17</v>
      </c>
      <c r="T251" s="1241">
        <v>18</v>
      </c>
      <c r="U251" s="1240">
        <v>19</v>
      </c>
      <c r="V251" s="1240">
        <v>20</v>
      </c>
      <c r="W251" s="1240">
        <v>21</v>
      </c>
      <c r="X251" s="1240">
        <v>22</v>
      </c>
      <c r="Y251" s="1240">
        <v>23</v>
      </c>
      <c r="Z251" s="1241">
        <v>24</v>
      </c>
      <c r="AA251" s="1241">
        <v>25</v>
      </c>
      <c r="AB251" s="1240">
        <v>26</v>
      </c>
      <c r="AC251" s="1240">
        <v>27</v>
      </c>
      <c r="AD251" s="1240">
        <v>28</v>
      </c>
      <c r="AE251" s="1240">
        <v>29</v>
      </c>
      <c r="AF251" s="1240">
        <v>30</v>
      </c>
      <c r="AG251" s="1469">
        <v>31</v>
      </c>
      <c r="AH251" s="176"/>
      <c r="AI251" s="177"/>
    </row>
    <row r="252" spans="1:35" ht="21" customHeight="1">
      <c r="A252" s="1641">
        <v>3702</v>
      </c>
      <c r="B252" s="175" t="s">
        <v>309</v>
      </c>
      <c r="C252" s="1273" t="s">
        <v>32</v>
      </c>
      <c r="D252" s="1273" t="s">
        <v>32</v>
      </c>
      <c r="E252" s="1273"/>
      <c r="F252" s="1273"/>
      <c r="G252" s="1273" t="s">
        <v>32</v>
      </c>
      <c r="H252" s="1273" t="s">
        <v>32</v>
      </c>
      <c r="I252" s="1273" t="s">
        <v>32</v>
      </c>
      <c r="J252" s="1273" t="s">
        <v>32</v>
      </c>
      <c r="K252" s="1273" t="s">
        <v>32</v>
      </c>
      <c r="L252" s="1273"/>
      <c r="M252" s="1273"/>
      <c r="N252" s="1278" t="s">
        <v>32</v>
      </c>
      <c r="O252" s="1278" t="s">
        <v>32</v>
      </c>
      <c r="P252" s="1278" t="s">
        <v>32</v>
      </c>
      <c r="Q252" s="1274" t="s">
        <v>32</v>
      </c>
      <c r="R252" s="1278" t="s">
        <v>32</v>
      </c>
      <c r="S252" s="1273"/>
      <c r="T252" s="1273"/>
      <c r="U252" s="1278" t="s">
        <v>32</v>
      </c>
      <c r="V252" s="1278" t="s">
        <v>32</v>
      </c>
      <c r="W252" s="1278" t="s">
        <v>32</v>
      </c>
      <c r="X252" s="1273" t="s">
        <v>32</v>
      </c>
      <c r="Y252" s="1278" t="s">
        <v>32</v>
      </c>
      <c r="Z252" s="1273"/>
      <c r="AA252" s="1273"/>
      <c r="AB252" s="1148" t="s">
        <v>32</v>
      </c>
      <c r="AC252" s="1148" t="s">
        <v>32</v>
      </c>
      <c r="AD252" s="1148" t="s">
        <v>32</v>
      </c>
      <c r="AE252" s="1148" t="s">
        <v>32</v>
      </c>
      <c r="AF252" s="1148" t="s">
        <v>32</v>
      </c>
      <c r="AG252" s="531"/>
      <c r="AH252" s="181"/>
      <c r="AI252" s="182"/>
    </row>
    <row r="253" spans="1:35" ht="21" customHeight="1">
      <c r="A253" s="1247"/>
      <c r="B253" s="1513" t="s">
        <v>310</v>
      </c>
      <c r="C253" s="1273" t="s">
        <v>32</v>
      </c>
      <c r="D253" s="1273" t="s">
        <v>32</v>
      </c>
      <c r="E253" s="1273"/>
      <c r="F253" s="1273"/>
      <c r="G253" s="1273" t="s">
        <v>32</v>
      </c>
      <c r="H253" s="1273" t="s">
        <v>32</v>
      </c>
      <c r="I253" s="1273" t="s">
        <v>32</v>
      </c>
      <c r="J253" s="1273" t="s">
        <v>32</v>
      </c>
      <c r="K253" s="1273" t="s">
        <v>32</v>
      </c>
      <c r="L253" s="1273"/>
      <c r="M253" s="1273"/>
      <c r="N253" s="1278" t="s">
        <v>32</v>
      </c>
      <c r="O253" s="1278" t="s">
        <v>32</v>
      </c>
      <c r="P253" s="1278" t="s">
        <v>32</v>
      </c>
      <c r="Q253" s="1274" t="s">
        <v>32</v>
      </c>
      <c r="R253" s="1278" t="s">
        <v>32</v>
      </c>
      <c r="S253" s="1273"/>
      <c r="T253" s="1273"/>
      <c r="U253" s="1278" t="s">
        <v>32</v>
      </c>
      <c r="V253" s="1278" t="s">
        <v>32</v>
      </c>
      <c r="W253" s="1278" t="s">
        <v>32</v>
      </c>
      <c r="X253" s="1273" t="s">
        <v>32</v>
      </c>
      <c r="Y253" s="1278" t="s">
        <v>32</v>
      </c>
      <c r="Z253" s="1273"/>
      <c r="AA253" s="1273"/>
      <c r="AB253" s="1273" t="s">
        <v>32</v>
      </c>
      <c r="AC253" s="1273" t="s">
        <v>32</v>
      </c>
      <c r="AD253" s="1273" t="s">
        <v>32</v>
      </c>
      <c r="AE253" s="1273" t="s">
        <v>32</v>
      </c>
      <c r="AF253" s="1273" t="s">
        <v>32</v>
      </c>
      <c r="AG253" s="1326"/>
      <c r="AH253" s="181"/>
      <c r="AI253" s="182"/>
    </row>
    <row r="254" spans="1:35" ht="21" customHeight="1">
      <c r="A254" s="1642"/>
      <c r="B254" s="1513" t="s">
        <v>311</v>
      </c>
      <c r="C254" s="1273" t="s">
        <v>32</v>
      </c>
      <c r="D254" s="1273" t="s">
        <v>32</v>
      </c>
      <c r="E254" s="1273"/>
      <c r="F254" s="1273"/>
      <c r="G254" s="1273" t="s">
        <v>32</v>
      </c>
      <c r="H254" s="1273" t="s">
        <v>32</v>
      </c>
      <c r="I254" s="1273" t="s">
        <v>32</v>
      </c>
      <c r="J254" s="1273" t="s">
        <v>32</v>
      </c>
      <c r="K254" s="1616" t="s">
        <v>32</v>
      </c>
      <c r="L254" s="1273"/>
      <c r="M254" s="1273"/>
      <c r="N254" s="1278" t="s">
        <v>32</v>
      </c>
      <c r="O254" s="1278" t="s">
        <v>32</v>
      </c>
      <c r="P254" s="1278" t="s">
        <v>32</v>
      </c>
      <c r="Q254" s="1274" t="s">
        <v>32</v>
      </c>
      <c r="R254" s="1278" t="s">
        <v>32</v>
      </c>
      <c r="S254" s="1273"/>
      <c r="T254" s="1273"/>
      <c r="U254" s="1278" t="s">
        <v>32</v>
      </c>
      <c r="V254" s="1278" t="s">
        <v>32</v>
      </c>
      <c r="W254" s="1278" t="s">
        <v>32</v>
      </c>
      <c r="X254" s="1273" t="s">
        <v>32</v>
      </c>
      <c r="Y254" s="1278" t="s">
        <v>32</v>
      </c>
      <c r="Z254" s="1273"/>
      <c r="AA254" s="1273"/>
      <c r="AB254" s="1273" t="s">
        <v>32</v>
      </c>
      <c r="AC254" s="1273" t="s">
        <v>32</v>
      </c>
      <c r="AD254" s="1274" t="s">
        <v>32</v>
      </c>
      <c r="AE254" s="1274" t="s">
        <v>32</v>
      </c>
      <c r="AF254" s="1278" t="s">
        <v>32</v>
      </c>
      <c r="AG254" s="1326"/>
      <c r="AH254" s="181"/>
      <c r="AI254" s="182"/>
    </row>
    <row r="255" spans="1:35" ht="21" customHeight="1" thickBot="1">
      <c r="A255" s="1643"/>
      <c r="B255" s="1644"/>
      <c r="C255" s="1240"/>
      <c r="D255" s="1240"/>
      <c r="E255" s="1240"/>
      <c r="F255" s="1240"/>
      <c r="G255" s="1240"/>
      <c r="H255" s="1240"/>
      <c r="I255" s="1240"/>
      <c r="J255" s="1240"/>
      <c r="K255" s="1240"/>
      <c r="L255" s="1240"/>
      <c r="M255" s="1240"/>
      <c r="N255" s="1240"/>
      <c r="O255" s="1240"/>
      <c r="P255" s="1240"/>
      <c r="Q255" s="1240"/>
      <c r="R255" s="1240"/>
      <c r="S255" s="1240"/>
      <c r="T255" s="1240"/>
      <c r="U255" s="1240"/>
      <c r="V255" s="1240"/>
      <c r="W255" s="1240"/>
      <c r="X255" s="1240"/>
      <c r="Y255" s="1240"/>
      <c r="Z255" s="1240"/>
      <c r="AA255" s="1240"/>
      <c r="AB255" s="1240"/>
      <c r="AC255" s="1240"/>
      <c r="AD255" s="1240"/>
      <c r="AE255" s="1240"/>
      <c r="AF255" s="1240"/>
      <c r="AG255" s="1242"/>
      <c r="AH255" s="181"/>
      <c r="AI255" s="182"/>
    </row>
    <row r="256" spans="1:35" ht="21" customHeight="1">
      <c r="A256" s="226"/>
      <c r="B256" s="743" t="s">
        <v>312</v>
      </c>
      <c r="C256" s="744"/>
      <c r="D256" s="744"/>
      <c r="E256" s="744"/>
      <c r="F256" s="744"/>
      <c r="G256" s="744"/>
      <c r="H256" s="744"/>
      <c r="I256" s="744"/>
      <c r="J256" s="744"/>
      <c r="K256" s="744"/>
      <c r="L256" s="744"/>
      <c r="M256" s="744"/>
      <c r="N256" s="744"/>
      <c r="O256" s="744"/>
      <c r="P256" s="744"/>
      <c r="Q256" s="744"/>
      <c r="R256" s="744"/>
      <c r="S256" s="744"/>
      <c r="T256" s="744"/>
      <c r="U256" s="744"/>
      <c r="V256" s="744"/>
      <c r="W256" s="744"/>
      <c r="X256" s="744"/>
      <c r="Y256" s="744"/>
      <c r="Z256" s="744"/>
      <c r="AA256" s="744"/>
      <c r="AB256" s="744"/>
      <c r="AC256" s="744"/>
      <c r="AD256" s="744"/>
      <c r="AE256" s="744"/>
      <c r="AF256" s="744"/>
      <c r="AG256" s="745"/>
      <c r="AH256" s="179"/>
      <c r="AI256" s="180"/>
    </row>
    <row r="257" spans="1:35" ht="21" customHeight="1">
      <c r="A257" s="1641">
        <v>3702</v>
      </c>
      <c r="B257" s="1645" t="s">
        <v>313</v>
      </c>
      <c r="C257" s="1322" t="s">
        <v>314</v>
      </c>
      <c r="D257" s="1322" t="s">
        <v>314</v>
      </c>
      <c r="E257" s="1322"/>
      <c r="F257" s="1322"/>
      <c r="G257" s="1322" t="s">
        <v>314</v>
      </c>
      <c r="H257" s="1322" t="s">
        <v>314</v>
      </c>
      <c r="I257" s="1322" t="s">
        <v>314</v>
      </c>
      <c r="J257" s="1322" t="s">
        <v>314</v>
      </c>
      <c r="K257" s="1322" t="s">
        <v>314</v>
      </c>
      <c r="L257" s="1322"/>
      <c r="M257" s="1322"/>
      <c r="N257" s="1322" t="s">
        <v>314</v>
      </c>
      <c r="O257" s="1322" t="s">
        <v>314</v>
      </c>
      <c r="P257" s="1322" t="s">
        <v>314</v>
      </c>
      <c r="Q257" s="1322" t="s">
        <v>314</v>
      </c>
      <c r="R257" s="1322" t="s">
        <v>314</v>
      </c>
      <c r="S257" s="1322"/>
      <c r="T257" s="1322"/>
      <c r="U257" s="1322" t="s">
        <v>314</v>
      </c>
      <c r="V257" s="1322" t="s">
        <v>314</v>
      </c>
      <c r="W257" s="1322" t="s">
        <v>314</v>
      </c>
      <c r="X257" s="1322" t="s">
        <v>314</v>
      </c>
      <c r="Y257" s="1322" t="s">
        <v>314</v>
      </c>
      <c r="Z257" s="1322"/>
      <c r="AA257" s="1322"/>
      <c r="AB257" s="1322" t="s">
        <v>314</v>
      </c>
      <c r="AC257" s="1322" t="s">
        <v>314</v>
      </c>
      <c r="AD257" s="1322" t="s">
        <v>314</v>
      </c>
      <c r="AE257" s="1322" t="s">
        <v>314</v>
      </c>
      <c r="AF257" s="1322" t="s">
        <v>314</v>
      </c>
      <c r="AG257" s="1646"/>
      <c r="AH257" s="181"/>
      <c r="AI257" s="182"/>
    </row>
    <row r="258" spans="1:35" ht="21" customHeight="1">
      <c r="A258" s="1641"/>
      <c r="B258" s="1602" t="s">
        <v>316</v>
      </c>
      <c r="C258" s="1552" t="s">
        <v>356</v>
      </c>
      <c r="D258" s="1336" t="s">
        <v>317</v>
      </c>
      <c r="E258" s="1336"/>
      <c r="F258" s="1336"/>
      <c r="G258" s="1322" t="s">
        <v>317</v>
      </c>
      <c r="H258" s="1322" t="s">
        <v>317</v>
      </c>
      <c r="I258" s="1322" t="s">
        <v>317</v>
      </c>
      <c r="J258" s="1322" t="s">
        <v>317</v>
      </c>
      <c r="K258" s="1322" t="s">
        <v>317</v>
      </c>
      <c r="L258" s="1322"/>
      <c r="M258" s="1322"/>
      <c r="N258" s="1322" t="s">
        <v>317</v>
      </c>
      <c r="O258" s="1322" t="s">
        <v>317</v>
      </c>
      <c r="P258" s="1322" t="s">
        <v>317</v>
      </c>
      <c r="Q258" s="1322" t="s">
        <v>317</v>
      </c>
      <c r="R258" s="1322" t="s">
        <v>317</v>
      </c>
      <c r="S258" s="1322"/>
      <c r="T258" s="1322"/>
      <c r="U258" s="1253" t="s">
        <v>317</v>
      </c>
      <c r="V258" s="1253" t="s">
        <v>317</v>
      </c>
      <c r="W258" s="1253" t="s">
        <v>317</v>
      </c>
      <c r="X258" s="1253" t="s">
        <v>317</v>
      </c>
      <c r="Y258" s="1253" t="s">
        <v>317</v>
      </c>
      <c r="Z258" s="1253"/>
      <c r="AA258" s="1253"/>
      <c r="AB258" s="1253" t="s">
        <v>317</v>
      </c>
      <c r="AC258" s="1253" t="s">
        <v>317</v>
      </c>
      <c r="AD258" s="1253" t="s">
        <v>317</v>
      </c>
      <c r="AE258" s="1253" t="s">
        <v>317</v>
      </c>
      <c r="AF258" s="1253" t="s">
        <v>317</v>
      </c>
      <c r="AG258" s="1647"/>
      <c r="AH258" s="181"/>
      <c r="AI258" s="182"/>
    </row>
    <row r="259" spans="1:35" ht="21" customHeight="1" thickBot="1">
      <c r="A259" s="1648"/>
      <c r="B259" s="1649" t="s">
        <v>318</v>
      </c>
      <c r="C259" s="1317" t="s">
        <v>319</v>
      </c>
      <c r="D259" s="1317" t="s">
        <v>319</v>
      </c>
      <c r="E259" s="1317"/>
      <c r="F259" s="1317"/>
      <c r="G259" s="1317" t="s">
        <v>319</v>
      </c>
      <c r="H259" s="1317" t="s">
        <v>319</v>
      </c>
      <c r="I259" s="1317" t="s">
        <v>319</v>
      </c>
      <c r="J259" s="1317" t="s">
        <v>319</v>
      </c>
      <c r="K259" s="1317" t="s">
        <v>319</v>
      </c>
      <c r="L259" s="1317"/>
      <c r="M259" s="1317"/>
      <c r="N259" s="1317" t="s">
        <v>319</v>
      </c>
      <c r="O259" s="1317" t="s">
        <v>319</v>
      </c>
      <c r="P259" s="1317" t="s">
        <v>319</v>
      </c>
      <c r="Q259" s="1317" t="s">
        <v>319</v>
      </c>
      <c r="R259" s="1317" t="s">
        <v>319</v>
      </c>
      <c r="S259" s="1317"/>
      <c r="T259" s="1317"/>
      <c r="U259" s="1317" t="s">
        <v>319</v>
      </c>
      <c r="V259" s="1317" t="s">
        <v>319</v>
      </c>
      <c r="W259" s="1317" t="s">
        <v>319</v>
      </c>
      <c r="X259" s="1317" t="s">
        <v>319</v>
      </c>
      <c r="Y259" s="1317" t="s">
        <v>319</v>
      </c>
      <c r="Z259" s="1317"/>
      <c r="AA259" s="1317"/>
      <c r="AB259" s="1317" t="s">
        <v>319</v>
      </c>
      <c r="AC259" s="1317" t="s">
        <v>319</v>
      </c>
      <c r="AD259" s="1317" t="s">
        <v>319</v>
      </c>
      <c r="AE259" s="1317" t="s">
        <v>319</v>
      </c>
      <c r="AF259" s="1333" t="s">
        <v>319</v>
      </c>
      <c r="AG259" s="1650"/>
      <c r="AH259" s="181"/>
      <c r="AI259" s="182"/>
    </row>
    <row r="260" spans="1:35" ht="21" customHeight="1"/>
    <row r="261" spans="1:35" ht="24" customHeight="1"/>
    <row r="262" spans="1:35" ht="25.5" customHeight="1" thickBot="1">
      <c r="A262" s="161" t="s">
        <v>320</v>
      </c>
    </row>
    <row r="263" spans="1:35" ht="21" customHeight="1">
      <c r="A263" s="1"/>
      <c r="B263" s="396" t="s">
        <v>266</v>
      </c>
      <c r="C263" s="368"/>
      <c r="D263" s="384" t="s">
        <v>94</v>
      </c>
      <c r="E263" s="357"/>
      <c r="F263" s="372"/>
      <c r="G263" s="368"/>
      <c r="H263" s="384" t="s">
        <v>95</v>
      </c>
      <c r="I263" s="357"/>
      <c r="J263" s="372"/>
      <c r="K263" s="368"/>
      <c r="L263" s="384" t="s">
        <v>96</v>
      </c>
      <c r="M263" s="357"/>
      <c r="N263" s="372"/>
      <c r="O263" s="368"/>
      <c r="P263" s="384" t="s">
        <v>97</v>
      </c>
      <c r="Q263" s="357"/>
      <c r="R263" s="372"/>
      <c r="S263" s="368"/>
      <c r="T263" s="384" t="s">
        <v>98</v>
      </c>
      <c r="U263" s="357"/>
      <c r="V263" s="372"/>
      <c r="W263" s="368"/>
      <c r="X263" s="384" t="s">
        <v>99</v>
      </c>
      <c r="Y263" s="357"/>
      <c r="Z263" s="372"/>
      <c r="AA263" s="368"/>
      <c r="AB263" s="384" t="s">
        <v>100</v>
      </c>
      <c r="AC263" s="357"/>
      <c r="AD263" s="357"/>
      <c r="AE263" s="387" t="s">
        <v>101</v>
      </c>
      <c r="AF263" s="357"/>
      <c r="AG263" s="357"/>
      <c r="AH263" s="357"/>
      <c r="AI263" s="358"/>
    </row>
    <row r="264" spans="1:35" ht="21" customHeight="1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>
      <c r="A265" s="110"/>
      <c r="B265" s="1637"/>
      <c r="C265" s="1344"/>
      <c r="D265" s="1222"/>
      <c r="E265" s="1222"/>
      <c r="F265" s="1529"/>
      <c r="G265" s="1344"/>
      <c r="H265" s="1222"/>
      <c r="I265" s="1222"/>
      <c r="J265" s="1529"/>
      <c r="K265" s="1344"/>
      <c r="L265" s="1222"/>
      <c r="M265" s="1222"/>
      <c r="N265" s="1529"/>
      <c r="O265" s="1344"/>
      <c r="P265" s="1222"/>
      <c r="Q265" s="1222"/>
      <c r="R265" s="1529"/>
      <c r="S265" s="1344"/>
      <c r="T265" s="1222"/>
      <c r="U265" s="1222"/>
      <c r="V265" s="1529"/>
      <c r="W265" s="1344"/>
      <c r="X265" s="1222"/>
      <c r="Y265" s="1222"/>
      <c r="Z265" s="1529"/>
      <c r="AA265" s="1527"/>
      <c r="AB265" s="1222"/>
      <c r="AC265" s="1222"/>
      <c r="AD265" s="1345"/>
      <c r="AE265" s="1651"/>
      <c r="AF265" s="1222"/>
      <c r="AG265" s="1222"/>
      <c r="AH265" s="1345"/>
      <c r="AI265" s="1231"/>
    </row>
    <row r="266" spans="1:35" ht="21" customHeight="1" thickBot="1">
      <c r="A266" s="1"/>
      <c r="B266" s="1539"/>
      <c r="C266" s="1540"/>
      <c r="D266" s="1298"/>
      <c r="E266" s="1298"/>
      <c r="F266" s="1558"/>
      <c r="G266" s="1540"/>
      <c r="H266" s="1298"/>
      <c r="I266" s="1298"/>
      <c r="J266" s="1558"/>
      <c r="K266" s="1540"/>
      <c r="L266" s="1298"/>
      <c r="M266" s="1298"/>
      <c r="N266" s="1558"/>
      <c r="O266" s="1540"/>
      <c r="P266" s="1298"/>
      <c r="Q266" s="1298"/>
      <c r="R266" s="1558"/>
      <c r="S266" s="1540"/>
      <c r="T266" s="1298"/>
      <c r="U266" s="1298"/>
      <c r="V266" s="1558"/>
      <c r="W266" s="1556"/>
      <c r="X266" s="1298"/>
      <c r="Y266" s="1298"/>
      <c r="Z266" s="1558"/>
      <c r="AA266" s="1556"/>
      <c r="AB266" s="1298"/>
      <c r="AC266" s="1298"/>
      <c r="AD266" s="1547"/>
      <c r="AE266" s="1556"/>
      <c r="AF266" s="1298"/>
      <c r="AG266" s="1298"/>
      <c r="AH266" s="1547"/>
      <c r="AI266" s="1305"/>
    </row>
    <row r="267" spans="1:35" ht="21" customHeight="1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>
      <c r="A269" s="1652" t="s">
        <v>28</v>
      </c>
      <c r="B269" s="1653" t="s">
        <v>29</v>
      </c>
      <c r="C269" s="1240">
        <v>1</v>
      </c>
      <c r="D269" s="1240">
        <v>2</v>
      </c>
      <c r="E269" s="1241">
        <v>3</v>
      </c>
      <c r="F269" s="1241">
        <v>4</v>
      </c>
      <c r="G269" s="1240">
        <v>5</v>
      </c>
      <c r="H269" s="1240">
        <v>6</v>
      </c>
      <c r="I269" s="1240">
        <v>7</v>
      </c>
      <c r="J269" s="1240">
        <v>8</v>
      </c>
      <c r="K269" s="1240">
        <v>9</v>
      </c>
      <c r="L269" s="1241">
        <v>10</v>
      </c>
      <c r="M269" s="1241">
        <v>11</v>
      </c>
      <c r="N269" s="1240">
        <v>12</v>
      </c>
      <c r="O269" s="1240">
        <v>13</v>
      </c>
      <c r="P269" s="1240">
        <v>14</v>
      </c>
      <c r="Q269" s="1240">
        <v>15</v>
      </c>
      <c r="R269" s="1240">
        <v>16</v>
      </c>
      <c r="S269" s="1241">
        <v>17</v>
      </c>
      <c r="T269" s="1241">
        <v>18</v>
      </c>
      <c r="U269" s="1240">
        <v>19</v>
      </c>
      <c r="V269" s="1240">
        <v>20</v>
      </c>
      <c r="W269" s="1240">
        <v>21</v>
      </c>
      <c r="X269" s="1240">
        <v>22</v>
      </c>
      <c r="Y269" s="1240">
        <v>23</v>
      </c>
      <c r="Z269" s="1241">
        <v>24</v>
      </c>
      <c r="AA269" s="1241">
        <v>25</v>
      </c>
      <c r="AB269" s="1240">
        <v>26</v>
      </c>
      <c r="AC269" s="1240">
        <v>27</v>
      </c>
      <c r="AD269" s="1240">
        <v>28</v>
      </c>
      <c r="AE269" s="1240">
        <v>29</v>
      </c>
      <c r="AF269" s="1240">
        <v>30</v>
      </c>
      <c r="AG269" s="1469">
        <v>31</v>
      </c>
      <c r="AH269" s="186"/>
      <c r="AI269" s="177"/>
    </row>
    <row r="270" spans="1:35" ht="21" customHeight="1">
      <c r="A270" s="88"/>
      <c r="B270" s="157" t="s">
        <v>322</v>
      </c>
      <c r="C270" s="349" t="s">
        <v>32</v>
      </c>
      <c r="D270" s="349" t="s">
        <v>32</v>
      </c>
      <c r="E270" s="349"/>
      <c r="F270" s="349"/>
      <c r="G270" s="349" t="s">
        <v>32</v>
      </c>
      <c r="H270" s="349" t="s">
        <v>32</v>
      </c>
      <c r="I270" s="349" t="s">
        <v>32</v>
      </c>
      <c r="J270" s="349" t="s">
        <v>32</v>
      </c>
      <c r="K270" s="349" t="s">
        <v>32</v>
      </c>
      <c r="L270" s="349"/>
      <c r="M270" s="349"/>
      <c r="N270" s="349" t="s">
        <v>32</v>
      </c>
      <c r="O270" s="349" t="s">
        <v>32</v>
      </c>
      <c r="P270" s="349" t="s">
        <v>32</v>
      </c>
      <c r="Q270" s="349" t="s">
        <v>32</v>
      </c>
      <c r="R270" s="349" t="s">
        <v>32</v>
      </c>
      <c r="S270" s="349"/>
      <c r="T270" s="349"/>
      <c r="U270" s="349" t="s">
        <v>32</v>
      </c>
      <c r="V270" s="349" t="s">
        <v>32</v>
      </c>
      <c r="W270" s="349" t="s">
        <v>32</v>
      </c>
      <c r="X270" s="349" t="s">
        <v>32</v>
      </c>
      <c r="Y270" s="349" t="s">
        <v>32</v>
      </c>
      <c r="Z270" s="349"/>
      <c r="AA270" s="349"/>
      <c r="AB270" s="349" t="s">
        <v>32</v>
      </c>
      <c r="AC270" s="349" t="s">
        <v>32</v>
      </c>
      <c r="AD270" s="349" t="s">
        <v>32</v>
      </c>
      <c r="AE270" s="349" t="s">
        <v>32</v>
      </c>
      <c r="AF270" s="349" t="s">
        <v>32</v>
      </c>
      <c r="AG270" s="1273"/>
      <c r="AH270" s="187"/>
      <c r="AI270" s="184"/>
    </row>
    <row r="271" spans="1:35" ht="21" customHeight="1">
      <c r="A271" s="1654"/>
      <c r="B271" s="1655" t="s">
        <v>323</v>
      </c>
      <c r="C271" s="1273" t="s">
        <v>32</v>
      </c>
      <c r="D271" s="1273" t="s">
        <v>32</v>
      </c>
      <c r="E271" s="1273"/>
      <c r="F271" s="1273"/>
      <c r="G271" s="1273" t="s">
        <v>32</v>
      </c>
      <c r="H271" s="1616" t="s">
        <v>32</v>
      </c>
      <c r="I271" s="1273" t="s">
        <v>32</v>
      </c>
      <c r="J271" s="1273" t="s">
        <v>32</v>
      </c>
      <c r="K271" s="1273" t="s">
        <v>32</v>
      </c>
      <c r="L271" s="1273"/>
      <c r="M271" s="1273"/>
      <c r="N271" s="1148" t="s">
        <v>32</v>
      </c>
      <c r="O271" s="1148" t="s">
        <v>32</v>
      </c>
      <c r="P271" s="1148" t="s">
        <v>32</v>
      </c>
      <c r="Q271" s="1148" t="s">
        <v>32</v>
      </c>
      <c r="R271" s="1148" t="s">
        <v>32</v>
      </c>
      <c r="S271" s="1148"/>
      <c r="T271" s="1148"/>
      <c r="U271" s="1148" t="s">
        <v>32</v>
      </c>
      <c r="V271" s="1148" t="s">
        <v>32</v>
      </c>
      <c r="W271" s="1148" t="s">
        <v>32</v>
      </c>
      <c r="X271" s="1148" t="s">
        <v>32</v>
      </c>
      <c r="Y271" s="1148" t="s">
        <v>32</v>
      </c>
      <c r="Z271" s="1148"/>
      <c r="AA271" s="1148"/>
      <c r="AB271" s="1148" t="s">
        <v>32</v>
      </c>
      <c r="AC271" s="1148" t="s">
        <v>32</v>
      </c>
      <c r="AD271" s="1148" t="s">
        <v>32</v>
      </c>
      <c r="AE271" s="1148" t="s">
        <v>32</v>
      </c>
      <c r="AF271" s="1148" t="s">
        <v>32</v>
      </c>
      <c r="AG271" s="1148"/>
      <c r="AH271" s="187"/>
      <c r="AI271" s="184"/>
    </row>
    <row r="272" spans="1:35" ht="21" customHeight="1">
      <c r="A272" s="1641"/>
      <c r="B272" s="1655" t="s">
        <v>324</v>
      </c>
      <c r="C272" s="1148" t="s">
        <v>32</v>
      </c>
      <c r="D272" s="1148" t="s">
        <v>32</v>
      </c>
      <c r="E272" s="1148"/>
      <c r="F272" s="1148"/>
      <c r="G272" s="1148" t="s">
        <v>32</v>
      </c>
      <c r="H272" s="1148" t="s">
        <v>32</v>
      </c>
      <c r="I272" s="1148" t="s">
        <v>32</v>
      </c>
      <c r="J272" s="1148" t="s">
        <v>32</v>
      </c>
      <c r="K272" s="1148" t="s">
        <v>32</v>
      </c>
      <c r="L272" s="1148"/>
      <c r="M272" s="1148"/>
      <c r="N272" s="1148" t="s">
        <v>32</v>
      </c>
      <c r="O272" s="1148" t="s">
        <v>32</v>
      </c>
      <c r="P272" s="1148" t="s">
        <v>32</v>
      </c>
      <c r="Q272" s="1148" t="s">
        <v>32</v>
      </c>
      <c r="R272" s="1148" t="s">
        <v>32</v>
      </c>
      <c r="S272" s="1273"/>
      <c r="T272" s="1273"/>
      <c r="U272" s="1278" t="s">
        <v>32</v>
      </c>
      <c r="V272" s="1278" t="s">
        <v>32</v>
      </c>
      <c r="W272" s="1278" t="s">
        <v>32</v>
      </c>
      <c r="X272" s="1273" t="s">
        <v>32</v>
      </c>
      <c r="Y272" s="1278" t="s">
        <v>32</v>
      </c>
      <c r="Z272" s="1273"/>
      <c r="AA272" s="1273"/>
      <c r="AB272" s="1273" t="s">
        <v>32</v>
      </c>
      <c r="AC272" s="1273" t="s">
        <v>32</v>
      </c>
      <c r="AD272" s="1273" t="s">
        <v>32</v>
      </c>
      <c r="AE272" s="1273" t="s">
        <v>32</v>
      </c>
      <c r="AF272" s="1273" t="s">
        <v>32</v>
      </c>
      <c r="AG272" s="1273"/>
      <c r="AH272" s="187"/>
      <c r="AI272" s="184"/>
    </row>
    <row r="273" spans="1:35" ht="21" customHeight="1">
      <c r="A273" s="1641"/>
      <c r="B273" s="1655" t="s">
        <v>325</v>
      </c>
      <c r="C273" s="1273" t="s">
        <v>32</v>
      </c>
      <c r="D273" s="1273" t="s">
        <v>32</v>
      </c>
      <c r="E273" s="1273"/>
      <c r="F273" s="1273"/>
      <c r="G273" s="1273" t="s">
        <v>32</v>
      </c>
      <c r="H273" s="1273" t="s">
        <v>32</v>
      </c>
      <c r="I273" s="1273" t="s">
        <v>32</v>
      </c>
      <c r="J273" s="1273" t="s">
        <v>32</v>
      </c>
      <c r="K273" s="1273" t="s">
        <v>32</v>
      </c>
      <c r="L273" s="1273"/>
      <c r="M273" s="1273"/>
      <c r="N273" s="1278" t="s">
        <v>32</v>
      </c>
      <c r="O273" s="1278" t="s">
        <v>32</v>
      </c>
      <c r="P273" s="1278" t="s">
        <v>32</v>
      </c>
      <c r="Q273" s="1274" t="s">
        <v>32</v>
      </c>
      <c r="R273" s="1278" t="s">
        <v>32</v>
      </c>
      <c r="S273" s="1273"/>
      <c r="T273" s="1273"/>
      <c r="U273" s="1278" t="s">
        <v>32</v>
      </c>
      <c r="V273" s="1278" t="s">
        <v>32</v>
      </c>
      <c r="W273" s="1278" t="s">
        <v>32</v>
      </c>
      <c r="X273" s="1273" t="s">
        <v>32</v>
      </c>
      <c r="Y273" s="1278" t="s">
        <v>32</v>
      </c>
      <c r="Z273" s="1273"/>
      <c r="AA273" s="1273"/>
      <c r="AB273" s="1273" t="s">
        <v>32</v>
      </c>
      <c r="AC273" s="1273" t="s">
        <v>32</v>
      </c>
      <c r="AD273" s="1273" t="s">
        <v>32</v>
      </c>
      <c r="AE273" s="1273" t="s">
        <v>32</v>
      </c>
      <c r="AF273" s="1273" t="s">
        <v>32</v>
      </c>
      <c r="AG273" s="1273"/>
      <c r="AH273" s="187"/>
      <c r="AI273" s="184"/>
    </row>
    <row r="274" spans="1:35" ht="21" customHeight="1">
      <c r="A274" s="1641"/>
      <c r="B274" s="1655" t="s">
        <v>326</v>
      </c>
      <c r="C274" s="1273" t="s">
        <v>32</v>
      </c>
      <c r="D274" s="1273" t="s">
        <v>32</v>
      </c>
      <c r="E274" s="1273"/>
      <c r="F274" s="1273"/>
      <c r="G274" s="1148" t="s">
        <v>32</v>
      </c>
      <c r="H274" s="1148" t="s">
        <v>32</v>
      </c>
      <c r="I274" s="1148" t="s">
        <v>32</v>
      </c>
      <c r="J274" s="1148" t="s">
        <v>32</v>
      </c>
      <c r="K274" s="1148" t="s">
        <v>32</v>
      </c>
      <c r="L274" s="1148"/>
      <c r="M274" s="1148"/>
      <c r="N274" s="1148" t="s">
        <v>32</v>
      </c>
      <c r="O274" s="1148" t="s">
        <v>32</v>
      </c>
      <c r="P274" s="1148" t="s">
        <v>32</v>
      </c>
      <c r="Q274" s="1148" t="s">
        <v>32</v>
      </c>
      <c r="R274" s="1148" t="s">
        <v>32</v>
      </c>
      <c r="S274" s="1273"/>
      <c r="T274" s="1273"/>
      <c r="U274" s="1616" t="s">
        <v>32</v>
      </c>
      <c r="V274" s="1616" t="s">
        <v>32</v>
      </c>
      <c r="W274" s="1148" t="s">
        <v>32</v>
      </c>
      <c r="X274" s="1273" t="s">
        <v>32</v>
      </c>
      <c r="Y274" s="1278" t="s">
        <v>32</v>
      </c>
      <c r="Z274" s="1273"/>
      <c r="AA274" s="1273"/>
      <c r="AB274" s="1273" t="s">
        <v>32</v>
      </c>
      <c r="AC274" s="1616" t="s">
        <v>32</v>
      </c>
      <c r="AD274" s="1273" t="s">
        <v>32</v>
      </c>
      <c r="AE274" s="1148" t="s">
        <v>32</v>
      </c>
      <c r="AF274" s="1273" t="s">
        <v>32</v>
      </c>
      <c r="AG274" s="1322"/>
      <c r="AH274" s="187"/>
      <c r="AI274" s="184"/>
    </row>
    <row r="275" spans="1:35" ht="21" customHeight="1">
      <c r="A275" s="1641"/>
      <c r="B275" s="1655" t="s">
        <v>327</v>
      </c>
      <c r="C275" s="1273" t="s">
        <v>32</v>
      </c>
      <c r="D275" s="1273" t="s">
        <v>32</v>
      </c>
      <c r="E275" s="1273"/>
      <c r="F275" s="1273"/>
      <c r="G275" s="1273" t="s">
        <v>32</v>
      </c>
      <c r="H275" s="1273" t="s">
        <v>32</v>
      </c>
      <c r="I275" s="1273" t="s">
        <v>32</v>
      </c>
      <c r="J275" s="1273" t="s">
        <v>32</v>
      </c>
      <c r="K275" s="1273" t="s">
        <v>32</v>
      </c>
      <c r="L275" s="1273"/>
      <c r="M275" s="1273"/>
      <c r="N275" s="1278" t="s">
        <v>32</v>
      </c>
      <c r="O275" s="1278" t="s">
        <v>32</v>
      </c>
      <c r="P275" s="1278" t="s">
        <v>32</v>
      </c>
      <c r="Q275" s="1274" t="s">
        <v>32</v>
      </c>
      <c r="R275" s="1278" t="s">
        <v>32</v>
      </c>
      <c r="S275" s="1273"/>
      <c r="T275" s="1273"/>
      <c r="U275" s="1278" t="s">
        <v>32</v>
      </c>
      <c r="V275" s="1278" t="s">
        <v>32</v>
      </c>
      <c r="W275" s="1278" t="s">
        <v>32</v>
      </c>
      <c r="X275" s="1273" t="s">
        <v>32</v>
      </c>
      <c r="Y275" s="1278" t="s">
        <v>32</v>
      </c>
      <c r="Z275" s="1273"/>
      <c r="AA275" s="1273"/>
      <c r="AB275" s="1273" t="s">
        <v>32</v>
      </c>
      <c r="AC275" s="1273" t="s">
        <v>32</v>
      </c>
      <c r="AD275" s="1273" t="s">
        <v>32</v>
      </c>
      <c r="AE275" s="1273" t="s">
        <v>32</v>
      </c>
      <c r="AF275" s="1273" t="s">
        <v>32</v>
      </c>
      <c r="AG275" s="1322"/>
      <c r="AH275" s="187"/>
      <c r="AI275" s="184"/>
    </row>
    <row r="276" spans="1:35" ht="21" customHeight="1">
      <c r="A276" s="1641"/>
      <c r="B276" s="1655" t="s">
        <v>328</v>
      </c>
      <c r="C276" s="1273" t="s">
        <v>32</v>
      </c>
      <c r="D276" s="1273" t="s">
        <v>32</v>
      </c>
      <c r="E276" s="1273"/>
      <c r="F276" s="1273"/>
      <c r="G276" s="1273" t="s">
        <v>32</v>
      </c>
      <c r="H276" s="1273" t="s">
        <v>32</v>
      </c>
      <c r="I276" s="1273" t="s">
        <v>32</v>
      </c>
      <c r="J276" s="1625" t="s">
        <v>32</v>
      </c>
      <c r="K276" s="1273" t="s">
        <v>32</v>
      </c>
      <c r="L276" s="1273"/>
      <c r="M276" s="1273"/>
      <c r="N276" s="1278" t="s">
        <v>32</v>
      </c>
      <c r="O276" s="1278" t="s">
        <v>32</v>
      </c>
      <c r="P276" s="1278" t="s">
        <v>32</v>
      </c>
      <c r="Q276" s="1274" t="s">
        <v>32</v>
      </c>
      <c r="R276" s="1278" t="s">
        <v>32</v>
      </c>
      <c r="S276" s="1273"/>
      <c r="T276" s="1273"/>
      <c r="U276" s="1278" t="s">
        <v>32</v>
      </c>
      <c r="V276" s="1278" t="s">
        <v>32</v>
      </c>
      <c r="W276" s="1278" t="s">
        <v>32</v>
      </c>
      <c r="X276" s="1273" t="s">
        <v>32</v>
      </c>
      <c r="Y276" s="1278" t="s">
        <v>32</v>
      </c>
      <c r="Z276" s="1273"/>
      <c r="AA276" s="1273"/>
      <c r="AB276" s="1148" t="s">
        <v>32</v>
      </c>
      <c r="AC276" s="1148" t="s">
        <v>32</v>
      </c>
      <c r="AD276" s="1148" t="s">
        <v>32</v>
      </c>
      <c r="AE276" s="1148" t="s">
        <v>32</v>
      </c>
      <c r="AF276" s="1148" t="s">
        <v>32</v>
      </c>
      <c r="AG276" s="1253"/>
      <c r="AH276" s="187"/>
      <c r="AI276" s="184"/>
    </row>
    <row r="277" spans="1:35" ht="21" customHeight="1">
      <c r="A277" s="1641"/>
      <c r="B277" s="1655" t="s">
        <v>329</v>
      </c>
      <c r="C277" s="1273" t="s">
        <v>32</v>
      </c>
      <c r="D277" s="1273" t="s">
        <v>32</v>
      </c>
      <c r="E277" s="1273"/>
      <c r="F277" s="1273"/>
      <c r="G277" s="1148" t="s">
        <v>32</v>
      </c>
      <c r="H277" s="1273" t="s">
        <v>32</v>
      </c>
      <c r="I277" s="1273" t="s">
        <v>32</v>
      </c>
      <c r="J277" s="1273" t="s">
        <v>32</v>
      </c>
      <c r="K277" s="1273" t="s">
        <v>32</v>
      </c>
      <c r="L277" s="1273"/>
      <c r="M277" s="1273"/>
      <c r="N277" s="1148" t="s">
        <v>32</v>
      </c>
      <c r="O277" s="1148" t="s">
        <v>32</v>
      </c>
      <c r="P277" s="1148" t="s">
        <v>32</v>
      </c>
      <c r="Q277" s="1148" t="s">
        <v>32</v>
      </c>
      <c r="R277" s="1148" t="s">
        <v>32</v>
      </c>
      <c r="S277" s="1148"/>
      <c r="T277" s="1148"/>
      <c r="U277" s="1148" t="s">
        <v>32</v>
      </c>
      <c r="V277" s="1148" t="s">
        <v>32</v>
      </c>
      <c r="W277" s="1148" t="s">
        <v>32</v>
      </c>
      <c r="X277" s="1148" t="s">
        <v>32</v>
      </c>
      <c r="Y277" s="1148" t="s">
        <v>32</v>
      </c>
      <c r="Z277" s="1269"/>
      <c r="AA277" s="1269"/>
      <c r="AB277" s="1269" t="s">
        <v>32</v>
      </c>
      <c r="AC277" s="1269" t="s">
        <v>32</v>
      </c>
      <c r="AD277" s="1623" t="s">
        <v>32</v>
      </c>
      <c r="AE277" s="1623" t="s">
        <v>278</v>
      </c>
      <c r="AF277" s="1269" t="s">
        <v>32</v>
      </c>
      <c r="AG277" s="1336"/>
      <c r="AH277" s="187"/>
      <c r="AI277" s="184"/>
    </row>
    <row r="278" spans="1:35" ht="21" customHeight="1">
      <c r="A278" s="1641"/>
      <c r="B278" s="1656" t="s">
        <v>330</v>
      </c>
      <c r="C278" s="1273" t="s">
        <v>32</v>
      </c>
      <c r="D278" s="1273" t="s">
        <v>32</v>
      </c>
      <c r="E278" s="1273"/>
      <c r="F278" s="1273"/>
      <c r="G278" s="1148" t="s">
        <v>32</v>
      </c>
      <c r="H278" s="1148" t="s">
        <v>32</v>
      </c>
      <c r="I278" s="1148" t="s">
        <v>32</v>
      </c>
      <c r="J278" s="1148" t="s">
        <v>32</v>
      </c>
      <c r="K278" s="1148" t="s">
        <v>32</v>
      </c>
      <c r="L278" s="1148"/>
      <c r="M278" s="1148"/>
      <c r="N278" s="1148" t="s">
        <v>32</v>
      </c>
      <c r="O278" s="1148" t="s">
        <v>32</v>
      </c>
      <c r="P278" s="1148" t="s">
        <v>32</v>
      </c>
      <c r="Q278" s="1148" t="s">
        <v>32</v>
      </c>
      <c r="R278" s="1148" t="s">
        <v>32</v>
      </c>
      <c r="S278" s="1148"/>
      <c r="T278" s="1148"/>
      <c r="U278" s="1148" t="s">
        <v>32</v>
      </c>
      <c r="V278" s="1148" t="s">
        <v>32</v>
      </c>
      <c r="W278" s="1148" t="s">
        <v>32</v>
      </c>
      <c r="X278" s="1148" t="s">
        <v>32</v>
      </c>
      <c r="Y278" s="1148" t="s">
        <v>32</v>
      </c>
      <c r="Z278" s="1273"/>
      <c r="AA278" s="1273"/>
      <c r="AB278" s="1273" t="s">
        <v>32</v>
      </c>
      <c r="AC278" s="1273" t="s">
        <v>32</v>
      </c>
      <c r="AD278" s="1273" t="s">
        <v>32</v>
      </c>
      <c r="AE278" s="1273" t="s">
        <v>32</v>
      </c>
      <c r="AF278" s="1273" t="s">
        <v>32</v>
      </c>
      <c r="AG278" s="1322"/>
      <c r="AH278" s="187"/>
      <c r="AI278" s="184"/>
    </row>
    <row r="279" spans="1:35" ht="21" customHeight="1">
      <c r="A279" s="1641"/>
      <c r="B279" s="1657" t="s">
        <v>331</v>
      </c>
      <c r="C279" s="1273" t="s">
        <v>32</v>
      </c>
      <c r="D279" s="1273" t="s">
        <v>32</v>
      </c>
      <c r="E279" s="1273"/>
      <c r="F279" s="1273"/>
      <c r="G279" s="1273" t="s">
        <v>32</v>
      </c>
      <c r="H279" s="1273" t="s">
        <v>32</v>
      </c>
      <c r="I279" s="1273" t="s">
        <v>32</v>
      </c>
      <c r="J279" s="1273" t="s">
        <v>32</v>
      </c>
      <c r="K279" s="1273" t="s">
        <v>32</v>
      </c>
      <c r="L279" s="1273"/>
      <c r="M279" s="1273"/>
      <c r="N279" s="1278" t="s">
        <v>32</v>
      </c>
      <c r="O279" s="1278" t="s">
        <v>32</v>
      </c>
      <c r="P279" s="1278" t="s">
        <v>32</v>
      </c>
      <c r="Q279" s="1274" t="s">
        <v>32</v>
      </c>
      <c r="R279" s="1278" t="s">
        <v>32</v>
      </c>
      <c r="S279" s="1273"/>
      <c r="T279" s="1273"/>
      <c r="U279" s="1278" t="s">
        <v>32</v>
      </c>
      <c r="V279" s="1278" t="s">
        <v>32</v>
      </c>
      <c r="W279" s="1278" t="s">
        <v>32</v>
      </c>
      <c r="X279" s="1273" t="s">
        <v>32</v>
      </c>
      <c r="Y279" s="1658" t="s">
        <v>32</v>
      </c>
      <c r="Z279" s="1273"/>
      <c r="AA279" s="1273"/>
      <c r="AB279" s="1148" t="s">
        <v>32</v>
      </c>
      <c r="AC279" s="1148" t="s">
        <v>32</v>
      </c>
      <c r="AD279" s="1148" t="s">
        <v>32</v>
      </c>
      <c r="AE279" s="1148" t="s">
        <v>32</v>
      </c>
      <c r="AF279" s="1148" t="s">
        <v>32</v>
      </c>
      <c r="AG279" s="1253"/>
      <c r="AH279" s="187"/>
      <c r="AI279" s="184"/>
    </row>
    <row r="280" spans="1:35" ht="21" customHeight="1">
      <c r="A280" s="1641"/>
      <c r="B280" s="1284" t="s">
        <v>332</v>
      </c>
      <c r="C280" s="1273" t="s">
        <v>32</v>
      </c>
      <c r="D280" s="1273" t="s">
        <v>32</v>
      </c>
      <c r="E280" s="1273"/>
      <c r="F280" s="1273"/>
      <c r="G280" s="1273" t="s">
        <v>32</v>
      </c>
      <c r="H280" s="1273" t="s">
        <v>32</v>
      </c>
      <c r="I280" s="1273" t="s">
        <v>32</v>
      </c>
      <c r="J280" s="1273" t="s">
        <v>32</v>
      </c>
      <c r="K280" s="1273" t="s">
        <v>32</v>
      </c>
      <c r="L280" s="1273"/>
      <c r="M280" s="1273"/>
      <c r="N280" s="1278" t="s">
        <v>32</v>
      </c>
      <c r="O280" s="1278" t="s">
        <v>32</v>
      </c>
      <c r="P280" s="1278" t="s">
        <v>32</v>
      </c>
      <c r="Q280" s="1274" t="s">
        <v>32</v>
      </c>
      <c r="R280" s="1278" t="s">
        <v>32</v>
      </c>
      <c r="S280" s="1273"/>
      <c r="T280" s="1273"/>
      <c r="U280" s="1148" t="s">
        <v>32</v>
      </c>
      <c r="V280" s="1148" t="s">
        <v>32</v>
      </c>
      <c r="W280" s="1148" t="s">
        <v>32</v>
      </c>
      <c r="X280" s="1148" t="s">
        <v>32</v>
      </c>
      <c r="Y280" s="1148" t="s">
        <v>32</v>
      </c>
      <c r="Z280" s="1148"/>
      <c r="AA280" s="1148"/>
      <c r="AB280" s="1148" t="s">
        <v>32</v>
      </c>
      <c r="AC280" s="1148" t="s">
        <v>32</v>
      </c>
      <c r="AD280" s="1148" t="s">
        <v>32</v>
      </c>
      <c r="AE280" s="1148" t="s">
        <v>32</v>
      </c>
      <c r="AF280" s="1148" t="s">
        <v>32</v>
      </c>
      <c r="AG280" s="1253"/>
      <c r="AH280" s="187"/>
      <c r="AI280" s="184"/>
    </row>
    <row r="281" spans="1:35" ht="21" customHeight="1">
      <c r="A281" s="1641"/>
      <c r="B281" s="1657"/>
      <c r="C281" s="1273"/>
      <c r="D281" s="1659"/>
      <c r="E281" s="1273"/>
      <c r="F281" s="1273"/>
      <c r="G281" s="1273"/>
      <c r="H281" s="1273"/>
      <c r="I281" s="1273"/>
      <c r="J281" s="1273"/>
      <c r="K281" s="1273"/>
      <c r="L281" s="1273"/>
      <c r="M281" s="1273"/>
      <c r="N281" s="1273"/>
      <c r="O281" s="1273"/>
      <c r="P281" s="1273"/>
      <c r="Q281" s="1273"/>
      <c r="R281" s="1273"/>
      <c r="S281" s="1273"/>
      <c r="T281" s="1273"/>
      <c r="U281" s="1273"/>
      <c r="V281" s="1273"/>
      <c r="W281" s="1273"/>
      <c r="X281" s="1273"/>
      <c r="Y281" s="1273"/>
      <c r="Z281" s="1273"/>
      <c r="AA281" s="1273"/>
      <c r="AB281" s="1273"/>
      <c r="AC281" s="1273"/>
      <c r="AD281" s="1273"/>
      <c r="AE281" s="1273"/>
      <c r="AF281" s="1273"/>
      <c r="AG281" s="1322"/>
      <c r="AH281" s="187"/>
      <c r="AI281" s="184"/>
    </row>
    <row r="282" spans="1:35" ht="21" customHeight="1">
      <c r="A282" s="1338"/>
      <c r="B282" s="1657"/>
      <c r="C282" s="1322"/>
      <c r="D282" s="1322"/>
      <c r="E282" s="1322"/>
      <c r="F282" s="1322"/>
      <c r="G282" s="1322"/>
      <c r="H282" s="1322"/>
      <c r="I282" s="1322"/>
      <c r="J282" s="1322"/>
      <c r="K282" s="1322"/>
      <c r="L282" s="1322"/>
      <c r="M282" s="1322"/>
      <c r="N282" s="1252"/>
      <c r="O282" s="1252"/>
      <c r="P282" s="1322"/>
      <c r="Q282" s="1322"/>
      <c r="R282" s="1322"/>
      <c r="S282" s="1322"/>
      <c r="T282" s="1322"/>
      <c r="U282" s="1322"/>
      <c r="V282" s="1322"/>
      <c r="W282" s="1322"/>
      <c r="X282" s="1322"/>
      <c r="Y282" s="1322"/>
      <c r="Z282" s="1322"/>
      <c r="AA282" s="1322"/>
      <c r="AB282" s="1252"/>
      <c r="AC282" s="1252"/>
      <c r="AD282" s="1322"/>
      <c r="AE282" s="1322"/>
      <c r="AF282" s="1322"/>
      <c r="AG282" s="1322"/>
      <c r="AH282" s="187"/>
      <c r="AI282" s="185"/>
    </row>
    <row r="283" spans="1:35" ht="21" customHeight="1" thickBot="1">
      <c r="A283" s="1126"/>
      <c r="B283" s="1188"/>
      <c r="C283" s="1660"/>
      <c r="D283" s="1661"/>
      <c r="E283" s="1661"/>
      <c r="F283" s="1661"/>
      <c r="G283" s="1661"/>
      <c r="H283" s="1661"/>
      <c r="I283" s="1661"/>
      <c r="J283" s="1661"/>
      <c r="K283" s="1661"/>
      <c r="L283" s="1661"/>
      <c r="M283" s="1661"/>
      <c r="N283" s="1662"/>
      <c r="O283" s="1662"/>
      <c r="P283" s="1661"/>
      <c r="Q283" s="1661"/>
      <c r="R283" s="1661"/>
      <c r="S283" s="1661"/>
      <c r="T283" s="1661"/>
      <c r="U283" s="1661"/>
      <c r="V283" s="1661"/>
      <c r="W283" s="1661"/>
      <c r="X283" s="1661"/>
      <c r="Y283" s="1661"/>
      <c r="Z283" s="1661"/>
      <c r="AA283" s="1661"/>
      <c r="AB283" s="1662"/>
      <c r="AC283" s="1662"/>
      <c r="AD283" s="1661"/>
      <c r="AE283" s="1661"/>
      <c r="AF283" s="1661"/>
      <c r="AG283" s="1661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8325-5FA8-480C-8057-329BCE7E706C}">
  <sheetPr codeName="Ark77"/>
  <dimension ref="A1:AN284"/>
  <sheetViews>
    <sheetView zoomScale="90" zoomScaleNormal="90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B70" sqref="B70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1663" t="s">
        <v>2</v>
      </c>
      <c r="C2" s="1664" t="s">
        <v>3</v>
      </c>
      <c r="D2" s="1665"/>
      <c r="E2" s="1666" t="s">
        <v>4</v>
      </c>
      <c r="F2" s="1667"/>
      <c r="G2" s="1668"/>
      <c r="H2" s="1668"/>
      <c r="I2" s="1668"/>
      <c r="J2" s="1668"/>
      <c r="K2" s="1669"/>
      <c r="L2" s="1670" t="s">
        <v>5</v>
      </c>
      <c r="M2" s="1671"/>
      <c r="N2" s="1672"/>
      <c r="O2" s="1673" t="s">
        <v>6</v>
      </c>
      <c r="P2" s="1674"/>
      <c r="Q2" s="1675"/>
      <c r="R2" s="1676"/>
      <c r="S2" s="1677" t="s">
        <v>7</v>
      </c>
      <c r="T2" s="1678"/>
      <c r="U2" s="1679"/>
      <c r="V2" s="1678"/>
      <c r="W2" s="1680" t="s">
        <v>8</v>
      </c>
      <c r="X2" s="1681"/>
      <c r="Y2" s="1682"/>
      <c r="Z2" s="163" t="s">
        <v>9</v>
      </c>
      <c r="AA2" s="1683"/>
      <c r="AB2" s="1684"/>
      <c r="AC2" s="1685"/>
      <c r="AD2" s="1686" t="s">
        <v>10</v>
      </c>
      <c r="AE2" s="1687"/>
      <c r="AF2" s="1687"/>
      <c r="AG2" s="1688"/>
    </row>
    <row r="3" spans="1:38" ht="13.35" customHeight="1">
      <c r="A3" s="1"/>
      <c r="B3" s="1689" t="s">
        <v>11</v>
      </c>
      <c r="C3" s="1690" t="s">
        <v>12</v>
      </c>
      <c r="D3" s="1691"/>
      <c r="E3" s="91"/>
      <c r="F3" s="92"/>
      <c r="G3" s="92"/>
      <c r="H3" s="164" t="s">
        <v>13</v>
      </c>
      <c r="I3" s="93"/>
      <c r="J3" s="93"/>
      <c r="K3" s="94"/>
      <c r="L3" s="1692" t="s">
        <v>14</v>
      </c>
      <c r="M3" s="1693"/>
      <c r="N3" s="1694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693"/>
      <c r="AA3" s="1693"/>
      <c r="AB3" s="1695"/>
      <c r="AC3" s="1696"/>
      <c r="AD3" s="1697" t="s">
        <v>17</v>
      </c>
      <c r="AE3" s="1698"/>
      <c r="AF3" s="1698"/>
      <c r="AG3" s="1699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1700" t="s">
        <v>20</v>
      </c>
      <c r="B6" s="1693"/>
      <c r="C6" s="1701"/>
      <c r="D6" s="1700" t="s">
        <v>21</v>
      </c>
      <c r="E6" s="1693"/>
      <c r="F6" s="1693"/>
      <c r="G6" s="1693"/>
      <c r="H6" s="1702"/>
      <c r="I6" s="1693"/>
      <c r="J6" s="1693"/>
      <c r="K6" s="1693"/>
      <c r="L6" s="1703" t="s">
        <v>22</v>
      </c>
      <c r="M6" s="1693"/>
      <c r="N6" s="1693"/>
      <c r="O6" s="1693"/>
      <c r="P6" s="1693"/>
      <c r="Q6" s="1693"/>
      <c r="R6" s="1693"/>
      <c r="S6" s="1701"/>
      <c r="T6" s="1704"/>
      <c r="U6" s="1693"/>
      <c r="V6" s="1693"/>
      <c r="W6" s="1693"/>
      <c r="X6" s="1693"/>
      <c r="Y6" s="1693"/>
      <c r="Z6" s="1693"/>
      <c r="AA6" s="1701"/>
      <c r="AB6" s="1705"/>
      <c r="AC6" s="1706"/>
      <c r="AD6" s="1706"/>
      <c r="AE6" s="1706"/>
      <c r="AF6" s="1706"/>
      <c r="AG6" s="1707"/>
    </row>
    <row r="7" spans="1:38" ht="22.35" customHeight="1">
      <c r="A7" s="1700" t="s">
        <v>23</v>
      </c>
      <c r="B7" s="1693"/>
      <c r="C7" s="1693"/>
      <c r="D7" s="1693"/>
      <c r="E7" s="1693"/>
      <c r="F7" s="1693"/>
      <c r="G7" s="1693"/>
      <c r="H7" s="1693"/>
      <c r="I7" s="1693"/>
      <c r="J7" s="1693"/>
      <c r="K7" s="1701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693"/>
      <c r="V7" s="1693"/>
      <c r="W7" s="1693"/>
      <c r="X7" s="1693"/>
      <c r="Y7" s="1693"/>
      <c r="Z7" s="1693"/>
      <c r="AA7" s="1693"/>
      <c r="AB7" s="1708"/>
      <c r="AC7" s="1693"/>
      <c r="AD7" s="1693"/>
      <c r="AE7" s="1693"/>
      <c r="AF7" s="1693"/>
      <c r="AG7" s="1701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1709" t="s">
        <v>28</v>
      </c>
      <c r="B11" s="1710" t="s">
        <v>29</v>
      </c>
      <c r="C11" s="1711">
        <v>1</v>
      </c>
      <c r="D11" s="1712">
        <v>2</v>
      </c>
      <c r="E11" s="1712">
        <v>3</v>
      </c>
      <c r="F11" s="1712">
        <v>4</v>
      </c>
      <c r="G11" s="1712">
        <v>5</v>
      </c>
      <c r="H11" s="1712">
        <v>6</v>
      </c>
      <c r="I11" s="1711">
        <v>7</v>
      </c>
      <c r="J11" s="1711">
        <v>8</v>
      </c>
      <c r="K11" s="1712">
        <v>9</v>
      </c>
      <c r="L11" s="1712">
        <v>10</v>
      </c>
      <c r="M11" s="1712">
        <v>11</v>
      </c>
      <c r="N11" s="1712">
        <v>12</v>
      </c>
      <c r="O11" s="1712">
        <v>13</v>
      </c>
      <c r="P11" s="1711">
        <v>14</v>
      </c>
      <c r="Q11" s="1711">
        <v>15</v>
      </c>
      <c r="R11" s="1712">
        <v>16</v>
      </c>
      <c r="S11" s="1712">
        <v>17</v>
      </c>
      <c r="T11" s="1712">
        <v>18</v>
      </c>
      <c r="U11" s="1712">
        <v>19</v>
      </c>
      <c r="V11" s="1712">
        <v>20</v>
      </c>
      <c r="W11" s="1711">
        <v>21</v>
      </c>
      <c r="X11" s="1711">
        <v>22</v>
      </c>
      <c r="Y11" s="1712">
        <v>23</v>
      </c>
      <c r="Z11" s="1712">
        <v>24</v>
      </c>
      <c r="AA11" s="1712">
        <v>25</v>
      </c>
      <c r="AB11" s="1712">
        <v>26</v>
      </c>
      <c r="AC11" s="1712">
        <v>27</v>
      </c>
      <c r="AD11" s="1711">
        <v>28</v>
      </c>
      <c r="AE11" s="1711">
        <v>29</v>
      </c>
      <c r="AF11" s="1712">
        <v>30</v>
      </c>
      <c r="AG11" s="1713">
        <v>31</v>
      </c>
      <c r="AH11" s="176"/>
      <c r="AI11" s="177"/>
      <c r="AJ11" s="1714" t="s">
        <v>30</v>
      </c>
    </row>
    <row r="12" spans="1:38" ht="22.35" customHeight="1">
      <c r="A12" s="506">
        <v>8500</v>
      </c>
      <c r="B12" s="389" t="s">
        <v>31</v>
      </c>
      <c r="C12" s="349"/>
      <c r="D12" s="349" t="s">
        <v>32</v>
      </c>
      <c r="E12" s="349" t="s">
        <v>32</v>
      </c>
      <c r="F12" s="349" t="s">
        <v>32</v>
      </c>
      <c r="G12" s="349" t="s">
        <v>32</v>
      </c>
      <c r="H12" s="349" t="s">
        <v>32</v>
      </c>
      <c r="I12" s="349"/>
      <c r="J12" s="349"/>
      <c r="K12" s="349" t="s">
        <v>32</v>
      </c>
      <c r="L12" s="350" t="s">
        <v>32</v>
      </c>
      <c r="M12" s="350" t="s">
        <v>32</v>
      </c>
      <c r="N12" s="349" t="s">
        <v>32</v>
      </c>
      <c r="O12" s="349" t="s">
        <v>32</v>
      </c>
      <c r="P12" s="349"/>
      <c r="Q12" s="349"/>
      <c r="R12" s="349" t="s">
        <v>32</v>
      </c>
      <c r="S12" s="350" t="s">
        <v>32</v>
      </c>
      <c r="T12" s="350" t="s">
        <v>32</v>
      </c>
      <c r="U12" s="349">
        <v>1</v>
      </c>
      <c r="V12" s="349">
        <v>1</v>
      </c>
      <c r="W12" s="350"/>
      <c r="X12" s="350"/>
      <c r="Y12" s="350" t="s">
        <v>32</v>
      </c>
      <c r="Z12" s="349" t="s">
        <v>32</v>
      </c>
      <c r="AA12" s="349" t="s">
        <v>32</v>
      </c>
      <c r="AB12" s="349" t="s">
        <v>32</v>
      </c>
      <c r="AC12" s="349" t="s">
        <v>32</v>
      </c>
      <c r="AD12" s="350"/>
      <c r="AE12" s="350"/>
      <c r="AF12" s="350" t="s">
        <v>32</v>
      </c>
      <c r="AG12" s="352" t="s">
        <v>32</v>
      </c>
      <c r="AH12" s="182"/>
      <c r="AI12" s="182"/>
      <c r="AJ12" s="1714">
        <v>160.33000000000001</v>
      </c>
    </row>
    <row r="13" spans="1:38" ht="22.35" customHeight="1">
      <c r="A13" s="1715" t="s">
        <v>33</v>
      </c>
      <c r="B13" s="1716"/>
      <c r="C13" s="1716"/>
      <c r="D13" s="1716"/>
      <c r="E13" s="1716"/>
      <c r="F13" s="1716"/>
      <c r="G13" s="1716"/>
      <c r="H13" s="1716"/>
      <c r="I13" s="1716"/>
      <c r="J13" s="1716"/>
      <c r="K13" s="1716"/>
      <c r="L13" s="1716"/>
      <c r="M13" s="1716"/>
      <c r="N13" s="1716"/>
      <c r="O13" s="1716"/>
      <c r="P13" s="1716"/>
      <c r="Q13" s="1716"/>
      <c r="R13" s="1716"/>
      <c r="S13" s="1716"/>
      <c r="T13" s="1716"/>
      <c r="U13" s="1716"/>
      <c r="V13" s="1716"/>
      <c r="W13" s="1716"/>
      <c r="X13" s="1716"/>
      <c r="Y13" s="1716"/>
      <c r="Z13" s="1716"/>
      <c r="AA13" s="1716"/>
      <c r="AB13" s="1716"/>
      <c r="AC13" s="1716"/>
      <c r="AD13" s="1716"/>
      <c r="AE13" s="1716"/>
      <c r="AF13" s="1716"/>
      <c r="AG13" s="1717"/>
      <c r="AH13" s="180"/>
      <c r="AI13" s="180"/>
    </row>
    <row r="14" spans="1:38" ht="22.35" customHeight="1">
      <c r="A14" s="1718">
        <v>8546</v>
      </c>
      <c r="B14" s="1719" t="s">
        <v>34</v>
      </c>
      <c r="C14" s="1720"/>
      <c r="D14" s="1720">
        <v>1</v>
      </c>
      <c r="E14" s="1720">
        <v>1</v>
      </c>
      <c r="F14" s="1720">
        <v>1</v>
      </c>
      <c r="G14" s="1720">
        <v>1</v>
      </c>
      <c r="H14" s="1721">
        <v>1</v>
      </c>
      <c r="I14" s="1721"/>
      <c r="J14" s="1721"/>
      <c r="K14" s="1722">
        <v>2</v>
      </c>
      <c r="L14" s="1721">
        <v>2</v>
      </c>
      <c r="M14" s="1723">
        <v>2</v>
      </c>
      <c r="N14" s="1720">
        <v>2</v>
      </c>
      <c r="O14" s="1720">
        <v>2</v>
      </c>
      <c r="P14" s="1724" t="s">
        <v>35</v>
      </c>
      <c r="Q14" s="1724" t="s">
        <v>35</v>
      </c>
      <c r="R14" s="1721" t="s">
        <v>36</v>
      </c>
      <c r="S14" s="1725" t="s">
        <v>36</v>
      </c>
      <c r="T14" s="1724" t="s">
        <v>36</v>
      </c>
      <c r="U14" s="1724" t="s">
        <v>36</v>
      </c>
      <c r="V14" s="1721" t="s">
        <v>36</v>
      </c>
      <c r="W14" s="1721"/>
      <c r="X14" s="1721"/>
      <c r="Y14" s="1721">
        <v>4</v>
      </c>
      <c r="Z14" s="1721">
        <v>4</v>
      </c>
      <c r="AA14" s="1721">
        <v>4</v>
      </c>
      <c r="AB14" s="1721">
        <v>4</v>
      </c>
      <c r="AC14" s="1721">
        <v>4</v>
      </c>
      <c r="AD14" s="1724" t="s">
        <v>37</v>
      </c>
      <c r="AE14" s="1721" t="s">
        <v>37</v>
      </c>
      <c r="AF14" s="1721" t="s">
        <v>36</v>
      </c>
      <c r="AG14" s="1726" t="s">
        <v>36</v>
      </c>
      <c r="AH14" s="182"/>
      <c r="AI14" s="182"/>
    </row>
    <row r="15" spans="1:38" ht="22.35" customHeight="1">
      <c r="A15" s="1718">
        <v>8546</v>
      </c>
      <c r="B15" s="1727" t="s">
        <v>38</v>
      </c>
      <c r="C15" s="1722" t="s">
        <v>37</v>
      </c>
      <c r="D15" s="1721" t="s">
        <v>36</v>
      </c>
      <c r="E15" s="1721" t="s">
        <v>36</v>
      </c>
      <c r="F15" s="1724" t="s">
        <v>36</v>
      </c>
      <c r="G15" s="1724" t="s">
        <v>36</v>
      </c>
      <c r="H15" s="1724" t="s">
        <v>36</v>
      </c>
      <c r="I15" s="1721"/>
      <c r="J15" s="1722"/>
      <c r="K15" s="1728">
        <v>1</v>
      </c>
      <c r="L15" s="1729">
        <v>1</v>
      </c>
      <c r="M15" s="1729">
        <v>1</v>
      </c>
      <c r="N15" s="1730">
        <v>1</v>
      </c>
      <c r="O15" s="1730">
        <v>1</v>
      </c>
      <c r="P15" s="1730"/>
      <c r="Q15" s="1730" t="s">
        <v>315</v>
      </c>
      <c r="R15" s="1721">
        <v>2</v>
      </c>
      <c r="S15" s="1721">
        <v>2</v>
      </c>
      <c r="T15" s="1721">
        <v>2</v>
      </c>
      <c r="U15" s="1731">
        <v>2</v>
      </c>
      <c r="V15" s="1721">
        <v>2</v>
      </c>
      <c r="W15" s="1721" t="s">
        <v>35</v>
      </c>
      <c r="X15" s="1721" t="s">
        <v>35</v>
      </c>
      <c r="Y15" s="1721" t="s">
        <v>36</v>
      </c>
      <c r="Z15" s="1721" t="s">
        <v>36</v>
      </c>
      <c r="AA15" s="1721" t="s">
        <v>36</v>
      </c>
      <c r="AB15" s="1721" t="s">
        <v>36</v>
      </c>
      <c r="AC15" s="1721" t="s">
        <v>36</v>
      </c>
      <c r="AD15" s="1721"/>
      <c r="AE15" s="1721"/>
      <c r="AF15" s="1721">
        <v>4</v>
      </c>
      <c r="AG15" s="1726">
        <v>4</v>
      </c>
      <c r="AH15" s="182"/>
      <c r="AI15" s="182"/>
      <c r="AL15" t="s">
        <v>0</v>
      </c>
    </row>
    <row r="16" spans="1:38" ht="22.35" customHeight="1">
      <c r="A16" s="1718">
        <v>8546</v>
      </c>
      <c r="B16" s="1719" t="s">
        <v>39</v>
      </c>
      <c r="C16" s="1732" t="s">
        <v>35</v>
      </c>
      <c r="D16" s="1732" t="s">
        <v>36</v>
      </c>
      <c r="E16" s="1732" t="s">
        <v>36</v>
      </c>
      <c r="F16" s="1732" t="s">
        <v>36</v>
      </c>
      <c r="G16" s="1732" t="s">
        <v>36</v>
      </c>
      <c r="H16" s="1732" t="s">
        <v>36</v>
      </c>
      <c r="I16" s="1732"/>
      <c r="J16" s="1732"/>
      <c r="K16" s="1732">
        <v>4</v>
      </c>
      <c r="L16" s="1732">
        <v>4</v>
      </c>
      <c r="M16" s="1732">
        <v>4</v>
      </c>
      <c r="N16" s="1732">
        <v>4</v>
      </c>
      <c r="O16" s="1732">
        <v>4</v>
      </c>
      <c r="P16" s="1732" t="s">
        <v>37</v>
      </c>
      <c r="Q16" s="1732" t="s">
        <v>37</v>
      </c>
      <c r="R16" s="1724" t="s">
        <v>36</v>
      </c>
      <c r="S16" s="1721" t="s">
        <v>36</v>
      </c>
      <c r="T16" s="1721" t="s">
        <v>36</v>
      </c>
      <c r="U16" s="1721" t="s">
        <v>36</v>
      </c>
      <c r="V16" s="1721" t="s">
        <v>36</v>
      </c>
      <c r="W16" s="1722"/>
      <c r="X16" s="1721"/>
      <c r="Y16" s="1724">
        <v>1</v>
      </c>
      <c r="Z16" s="1724">
        <v>1</v>
      </c>
      <c r="AA16" s="1724">
        <v>1</v>
      </c>
      <c r="AB16" s="1724">
        <v>1</v>
      </c>
      <c r="AC16" s="1724">
        <v>1</v>
      </c>
      <c r="AD16" s="1721"/>
      <c r="AE16" s="1721"/>
      <c r="AF16" s="1721">
        <v>2</v>
      </c>
      <c r="AG16" s="1726">
        <v>2</v>
      </c>
      <c r="AH16" s="182"/>
      <c r="AI16" s="182"/>
    </row>
    <row r="17" spans="1:40" ht="22.35" customHeight="1">
      <c r="A17" s="1718">
        <v>8546</v>
      </c>
      <c r="B17" s="1727" t="s">
        <v>40</v>
      </c>
      <c r="C17" s="1721"/>
      <c r="D17" s="1722">
        <v>2</v>
      </c>
      <c r="E17" s="1721">
        <v>2</v>
      </c>
      <c r="F17" s="1724">
        <v>2</v>
      </c>
      <c r="G17" s="1721">
        <v>2</v>
      </c>
      <c r="H17" s="1721">
        <v>2</v>
      </c>
      <c r="I17" s="1721" t="s">
        <v>35</v>
      </c>
      <c r="J17" s="1721" t="s">
        <v>35</v>
      </c>
      <c r="K17" s="1721" t="s">
        <v>36</v>
      </c>
      <c r="L17" s="1721" t="s">
        <v>36</v>
      </c>
      <c r="M17" s="1720" t="s">
        <v>36</v>
      </c>
      <c r="N17" s="1720" t="s">
        <v>36</v>
      </c>
      <c r="O17" s="1720" t="s">
        <v>36</v>
      </c>
      <c r="P17" s="1720"/>
      <c r="Q17" s="1720"/>
      <c r="R17" s="1720">
        <v>4</v>
      </c>
      <c r="S17" s="1720">
        <v>4</v>
      </c>
      <c r="T17" s="1721">
        <v>4</v>
      </c>
      <c r="U17" s="1729">
        <v>4</v>
      </c>
      <c r="V17" s="1729" t="s">
        <v>334</v>
      </c>
      <c r="W17" t="s">
        <v>37</v>
      </c>
      <c r="X17" t="s">
        <v>37</v>
      </c>
      <c r="Y17" s="1721" t="s">
        <v>36</v>
      </c>
      <c r="Z17" s="1721" t="s">
        <v>36</v>
      </c>
      <c r="AA17" s="1733" t="s">
        <v>36</v>
      </c>
      <c r="AB17" s="1733" t="s">
        <v>36</v>
      </c>
      <c r="AC17" s="1733" t="s">
        <v>36</v>
      </c>
      <c r="AD17" s="1733"/>
      <c r="AE17" s="1733"/>
      <c r="AF17" s="1733">
        <v>1</v>
      </c>
      <c r="AG17" s="1726">
        <v>1</v>
      </c>
      <c r="AH17" s="182"/>
      <c r="AI17" s="182"/>
    </row>
    <row r="18" spans="1:40" ht="22.35" customHeight="1">
      <c r="A18" s="1718">
        <v>8546</v>
      </c>
      <c r="B18" s="1719" t="s">
        <v>41</v>
      </c>
      <c r="C18" s="1721"/>
      <c r="D18" s="1722">
        <v>4</v>
      </c>
      <c r="E18" s="1721">
        <v>4</v>
      </c>
      <c r="F18" s="1721">
        <v>4</v>
      </c>
      <c r="G18" s="1721">
        <v>4</v>
      </c>
      <c r="H18" s="1721">
        <v>4</v>
      </c>
      <c r="I18" s="1721" t="s">
        <v>37</v>
      </c>
      <c r="J18" s="1724" t="s">
        <v>37</v>
      </c>
      <c r="K18" s="1724" t="s">
        <v>36</v>
      </c>
      <c r="L18" s="1721" t="s">
        <v>36</v>
      </c>
      <c r="M18" s="1724" t="s">
        <v>36</v>
      </c>
      <c r="N18" s="1724" t="s">
        <v>36</v>
      </c>
      <c r="O18" s="1721" t="s">
        <v>36</v>
      </c>
      <c r="P18" s="1724"/>
      <c r="Q18" s="1724"/>
      <c r="R18" s="1724">
        <v>1</v>
      </c>
      <c r="S18" s="1724">
        <v>1</v>
      </c>
      <c r="T18" s="1734">
        <v>1</v>
      </c>
      <c r="U18" s="1732">
        <v>1</v>
      </c>
      <c r="V18" s="1732">
        <v>1</v>
      </c>
      <c r="W18" s="1721"/>
      <c r="X18" s="1721"/>
      <c r="Y18" s="1721">
        <v>2</v>
      </c>
      <c r="Z18" s="1721">
        <v>2</v>
      </c>
      <c r="AA18" s="1721">
        <v>2</v>
      </c>
      <c r="AB18" s="1721">
        <v>2</v>
      </c>
      <c r="AC18" s="1735">
        <v>2</v>
      </c>
      <c r="AD18" s="1721" t="s">
        <v>35</v>
      </c>
      <c r="AE18" s="1721" t="s">
        <v>35</v>
      </c>
      <c r="AF18" s="1721" t="s">
        <v>36</v>
      </c>
      <c r="AG18" s="1726" t="s">
        <v>36</v>
      </c>
      <c r="AH18" s="182"/>
      <c r="AI18" s="182"/>
    </row>
    <row r="19" spans="1:40" ht="22.35" customHeight="1" thickBot="1">
      <c r="A19" s="1736" t="s">
        <v>42</v>
      </c>
      <c r="B19" s="1737"/>
      <c r="C19" s="1738"/>
      <c r="D19" s="1738"/>
      <c r="E19" s="1738"/>
      <c r="F19" s="1738"/>
      <c r="G19" s="1738"/>
      <c r="H19" s="1738"/>
      <c r="I19" s="1738"/>
      <c r="J19" s="1738"/>
      <c r="K19" s="1738"/>
      <c r="L19" s="1738"/>
      <c r="M19" s="1738"/>
      <c r="N19" s="1738"/>
      <c r="O19" s="1738"/>
      <c r="P19" s="1738"/>
      <c r="Q19" s="1738"/>
      <c r="R19" s="1738"/>
      <c r="S19" s="1738"/>
      <c r="T19" s="1738"/>
      <c r="U19" s="1738"/>
      <c r="V19" s="1738"/>
      <c r="W19" s="1738"/>
      <c r="X19" s="1738"/>
      <c r="Y19" s="1738"/>
      <c r="Z19" s="1738"/>
      <c r="AA19" s="1738"/>
      <c r="AB19" s="1738"/>
      <c r="AC19" s="1738"/>
      <c r="AD19" s="1738"/>
      <c r="AE19" s="1738"/>
      <c r="AF19" s="1738"/>
      <c r="AG19" s="1739"/>
      <c r="AH19" s="180"/>
      <c r="AI19" s="180"/>
      <c r="AJ19" s="1714" t="s">
        <v>30</v>
      </c>
      <c r="AK19" s="1714" t="s">
        <v>43</v>
      </c>
      <c r="AL19" s="1714" t="s">
        <v>44</v>
      </c>
      <c r="AM19" s="1714" t="s">
        <v>45</v>
      </c>
      <c r="AN19" s="1714" t="s">
        <v>46</v>
      </c>
    </row>
    <row r="20" spans="1:40" ht="22.35" customHeight="1" thickBot="1">
      <c r="A20" s="353">
        <v>8500</v>
      </c>
      <c r="B20" s="354" t="s">
        <v>48</v>
      </c>
      <c r="C20" s="349"/>
      <c r="D20" s="546" t="s">
        <v>32</v>
      </c>
      <c r="E20" s="546" t="s">
        <v>32</v>
      </c>
      <c r="F20" s="546" t="s">
        <v>32</v>
      </c>
      <c r="G20" s="546" t="s">
        <v>32</v>
      </c>
      <c r="H20" s="546" t="s">
        <v>32</v>
      </c>
      <c r="I20" s="349"/>
      <c r="J20" s="349"/>
      <c r="K20" s="349" t="s">
        <v>32</v>
      </c>
      <c r="L20" s="349" t="s">
        <v>32</v>
      </c>
      <c r="M20" s="349" t="s">
        <v>32</v>
      </c>
      <c r="N20" s="349" t="s">
        <v>32</v>
      </c>
      <c r="O20" s="349" t="s">
        <v>32</v>
      </c>
      <c r="P20" s="349"/>
      <c r="Q20" s="349"/>
      <c r="R20" s="349" t="s">
        <v>113</v>
      </c>
      <c r="S20" s="349" t="s">
        <v>32</v>
      </c>
      <c r="T20" s="349" t="s">
        <v>32</v>
      </c>
      <c r="U20" s="349" t="s">
        <v>32</v>
      </c>
      <c r="V20" s="349" t="s">
        <v>32</v>
      </c>
      <c r="W20" s="349"/>
      <c r="X20" s="349"/>
      <c r="Y20" s="349" t="s">
        <v>32</v>
      </c>
      <c r="Z20" s="349" t="s">
        <v>32</v>
      </c>
      <c r="AA20" s="349" t="s">
        <v>113</v>
      </c>
      <c r="AB20" s="349" t="s">
        <v>113</v>
      </c>
      <c r="AC20" s="349" t="s">
        <v>122</v>
      </c>
      <c r="AD20" s="349"/>
      <c r="AE20" s="349"/>
      <c r="AF20" s="1740" t="s">
        <v>32</v>
      </c>
      <c r="AG20" s="1741" t="s">
        <v>32</v>
      </c>
      <c r="AH20" s="182"/>
      <c r="AI20" s="182"/>
      <c r="AJ20" s="1742"/>
      <c r="AK20" s="1742"/>
      <c r="AL20" s="1742" t="str">
        <f>IF(AJ20="","",SUM(AJ20:AK20))</f>
        <v/>
      </c>
      <c r="AM20" s="1743" t="str">
        <f>IF(AJ20="","",AL20-NormTid)</f>
        <v/>
      </c>
      <c r="AN20" s="1743" t="str">
        <f>IF(AM20="","",AM20+'Juli 2021'!AN20)</f>
        <v/>
      </c>
    </row>
    <row r="21" spans="1:40" ht="22.35" customHeight="1">
      <c r="A21" s="1744">
        <v>8500</v>
      </c>
      <c r="B21" s="1745" t="s">
        <v>49</v>
      </c>
      <c r="C21" s="1746"/>
      <c r="D21" s="1747" t="s">
        <v>32</v>
      </c>
      <c r="E21" s="1747" t="s">
        <v>32</v>
      </c>
      <c r="F21" s="1747" t="s">
        <v>32</v>
      </c>
      <c r="G21" s="1747" t="s">
        <v>32</v>
      </c>
      <c r="H21" s="1747" t="s">
        <v>32</v>
      </c>
      <c r="I21" s="1747"/>
      <c r="J21" s="1747"/>
      <c r="K21" s="1747" t="s">
        <v>32</v>
      </c>
      <c r="L21" s="1747" t="s">
        <v>32</v>
      </c>
      <c r="M21" s="1747" t="s">
        <v>32</v>
      </c>
      <c r="N21" s="1747" t="s">
        <v>32</v>
      </c>
      <c r="O21" s="1747" t="s">
        <v>32</v>
      </c>
      <c r="P21" s="1747"/>
      <c r="Q21" s="1747"/>
      <c r="R21" s="1748" t="s">
        <v>50</v>
      </c>
      <c r="S21" s="1748" t="s">
        <v>50</v>
      </c>
      <c r="T21" s="1748">
        <v>1</v>
      </c>
      <c r="U21" s="1748" t="s">
        <v>50</v>
      </c>
      <c r="V21" s="1493" t="s">
        <v>50</v>
      </c>
      <c r="W21" s="1742"/>
      <c r="X21" s="1742"/>
      <c r="Y21" s="1740" t="s">
        <v>32</v>
      </c>
      <c r="Z21" s="1740" t="s">
        <v>32</v>
      </c>
      <c r="AA21" s="1740" t="s">
        <v>32</v>
      </c>
      <c r="AB21" s="349" t="s">
        <v>50</v>
      </c>
      <c r="AC21" s="349" t="s">
        <v>50</v>
      </c>
      <c r="AD21" s="1748" t="s">
        <v>111</v>
      </c>
      <c r="AE21" s="1748" t="s">
        <v>111</v>
      </c>
      <c r="AF21" s="1749" t="s">
        <v>32</v>
      </c>
      <c r="AG21" s="1750" t="s">
        <v>32</v>
      </c>
      <c r="AH21" s="182"/>
      <c r="AI21" s="182"/>
      <c r="AJ21" s="1742">
        <v>159</v>
      </c>
      <c r="AK21" s="1742">
        <v>1.25</v>
      </c>
      <c r="AL21" s="1742">
        <f t="shared" ref="AL21:AL23" si="0">IF(AJ21="","",SUM(AJ21:AK21))</f>
        <v>160.25</v>
      </c>
      <c r="AM21" s="1743">
        <f>IF(AJ21="","",AL21-NormTid)</f>
        <v>-8.0000000000012506E-2</v>
      </c>
      <c r="AN21" s="1743">
        <f>IF(AM21="","",AM21+'Juli 2021'!AN21)</f>
        <v>206.25999999999993</v>
      </c>
    </row>
    <row r="22" spans="1:40" ht="22.35" customHeight="1">
      <c r="A22" s="1744">
        <v>8500</v>
      </c>
      <c r="B22" s="1745" t="s">
        <v>51</v>
      </c>
      <c r="C22" s="1748" t="s">
        <v>35</v>
      </c>
      <c r="D22" s="1748" t="s">
        <v>36</v>
      </c>
      <c r="E22" s="1748" t="s">
        <v>36</v>
      </c>
      <c r="F22" s="1748" t="s">
        <v>36</v>
      </c>
      <c r="G22" s="1748" t="s">
        <v>36</v>
      </c>
      <c r="H22" s="1748" t="s">
        <v>36</v>
      </c>
      <c r="I22" s="1748"/>
      <c r="J22" s="1748"/>
      <c r="K22" s="1748">
        <v>4</v>
      </c>
      <c r="L22" s="1748">
        <v>4</v>
      </c>
      <c r="M22" s="1748">
        <v>4</v>
      </c>
      <c r="N22" s="1740">
        <v>4</v>
      </c>
      <c r="O22" s="1740">
        <v>4</v>
      </c>
      <c r="P22" s="1740" t="s">
        <v>37</v>
      </c>
      <c r="Q22" s="1751" t="s">
        <v>37</v>
      </c>
      <c r="R22" s="1747" t="s">
        <v>32</v>
      </c>
      <c r="S22" s="1747" t="s">
        <v>32</v>
      </c>
      <c r="T22" s="1747" t="s">
        <v>32</v>
      </c>
      <c r="U22" s="1747" t="s">
        <v>32</v>
      </c>
      <c r="V22" s="1747" t="s">
        <v>32</v>
      </c>
      <c r="W22" s="1747"/>
      <c r="X22" s="1747"/>
      <c r="Y22" s="1747" t="s">
        <v>32</v>
      </c>
      <c r="Z22" s="1747" t="s">
        <v>32</v>
      </c>
      <c r="AA22" s="1747" t="s">
        <v>32</v>
      </c>
      <c r="AB22" s="1747" t="s">
        <v>32</v>
      </c>
      <c r="AC22" s="1747" t="s">
        <v>32</v>
      </c>
      <c r="AD22" s="1747"/>
      <c r="AE22" s="1747"/>
      <c r="AF22" s="1747" t="s">
        <v>32</v>
      </c>
      <c r="AG22" s="1752" t="s">
        <v>32</v>
      </c>
      <c r="AH22" s="182"/>
      <c r="AI22" s="182"/>
      <c r="AJ22" s="1742">
        <v>167.5</v>
      </c>
      <c r="AK22" s="1742">
        <v>5.25</v>
      </c>
      <c r="AL22" s="1742">
        <f t="shared" si="0"/>
        <v>172.75</v>
      </c>
      <c r="AM22" s="1743">
        <f>IF(AJ22="","",AL22-NormTid)</f>
        <v>12.419999999999987</v>
      </c>
      <c r="AN22" s="1743">
        <f>IF(AM22="","",AM22+'Juli 2021'!AN22)</f>
        <v>135.60999999999996</v>
      </c>
    </row>
    <row r="23" spans="1:40" ht="22.35" customHeight="1">
      <c r="A23" s="1744"/>
      <c r="B23" s="1753"/>
      <c r="C23" s="1748"/>
      <c r="D23" s="1751"/>
      <c r="E23" s="1748"/>
      <c r="F23" s="1748"/>
      <c r="G23" s="1748"/>
      <c r="H23" s="1748"/>
      <c r="I23" s="1748"/>
      <c r="J23" s="1748"/>
      <c r="K23" s="1748"/>
      <c r="L23" s="1748"/>
      <c r="M23" s="1748"/>
      <c r="N23" s="1748"/>
      <c r="O23" s="1754"/>
      <c r="P23" s="1748"/>
      <c r="Q23" s="1748"/>
      <c r="R23" s="1755"/>
      <c r="S23" s="1755"/>
      <c r="T23" s="1748"/>
      <c r="U23" s="1748"/>
      <c r="V23" s="1748"/>
      <c r="W23" s="1748"/>
      <c r="X23" s="1748"/>
      <c r="Y23" s="1748"/>
      <c r="Z23" s="1748"/>
      <c r="AA23" s="1748"/>
      <c r="AB23" s="1748"/>
      <c r="AC23" s="1740"/>
      <c r="AD23" s="1740"/>
      <c r="AE23" s="1740"/>
      <c r="AF23" s="1740"/>
      <c r="AG23" s="1756"/>
      <c r="AJ23" s="1742"/>
      <c r="AK23" s="1742"/>
      <c r="AL23" s="1742" t="str">
        <f t="shared" si="0"/>
        <v/>
      </c>
      <c r="AM23" s="1743" t="str">
        <f>IF(AJ23="","",AL23-NormTid)</f>
        <v/>
      </c>
      <c r="AN23" s="1743" t="str">
        <f>IF(AM23="","",AM23+'Juli 2021'!AN23)</f>
        <v/>
      </c>
    </row>
    <row r="24" spans="1:40" ht="22.35" customHeight="1" thickBot="1">
      <c r="A24" s="1283"/>
      <c r="B24" s="1757" t="s">
        <v>54</v>
      </c>
      <c r="C24" s="1623"/>
      <c r="D24" s="1623" t="s">
        <v>32</v>
      </c>
      <c r="E24" s="1623" t="s">
        <v>32</v>
      </c>
      <c r="F24" s="1623" t="s">
        <v>32</v>
      </c>
      <c r="G24" s="1623" t="s">
        <v>32</v>
      </c>
      <c r="H24" s="1623" t="s">
        <v>346</v>
      </c>
      <c r="I24" s="1748"/>
      <c r="J24" s="1748"/>
      <c r="K24" s="1748" t="s">
        <v>32</v>
      </c>
      <c r="L24" s="1748" t="s">
        <v>32</v>
      </c>
      <c r="M24" s="1748" t="s">
        <v>32</v>
      </c>
      <c r="N24" s="1740" t="s">
        <v>32</v>
      </c>
      <c r="O24" s="1740" t="s">
        <v>32</v>
      </c>
      <c r="P24" s="1758"/>
      <c r="Q24" s="1751"/>
      <c r="R24" s="1747" t="s">
        <v>32</v>
      </c>
      <c r="S24" s="1747" t="s">
        <v>32</v>
      </c>
      <c r="T24" s="1747" t="s">
        <v>32</v>
      </c>
      <c r="U24" s="1747" t="s">
        <v>32</v>
      </c>
      <c r="V24" s="1747" t="s">
        <v>32</v>
      </c>
      <c r="W24" s="1747"/>
      <c r="X24" s="1747"/>
      <c r="Y24" s="1747" t="s">
        <v>32</v>
      </c>
      <c r="Z24" s="1747" t="s">
        <v>32</v>
      </c>
      <c r="AA24" s="1747" t="s">
        <v>32</v>
      </c>
      <c r="AB24" s="1747" t="s">
        <v>32</v>
      </c>
      <c r="AC24" s="1747" t="s">
        <v>32</v>
      </c>
      <c r="AD24" s="1747"/>
      <c r="AE24" s="1747"/>
      <c r="AF24" s="1747" t="s">
        <v>32</v>
      </c>
      <c r="AG24" s="1752" t="s">
        <v>32</v>
      </c>
    </row>
    <row r="25" spans="1:40" ht="22.35" customHeight="1">
      <c r="A25" s="102"/>
      <c r="E25" s="211"/>
      <c r="K25" s="211" t="s">
        <v>0</v>
      </c>
      <c r="L25" s="211" t="s">
        <v>0</v>
      </c>
      <c r="M25" s="211" t="s">
        <v>0</v>
      </c>
      <c r="N25" s="211" t="s">
        <v>0</v>
      </c>
      <c r="O25" s="211" t="s">
        <v>0</v>
      </c>
      <c r="S25" s="580" t="s">
        <v>0</v>
      </c>
      <c r="T25" s="211" t="s">
        <v>0</v>
      </c>
      <c r="V25" s="211" t="s">
        <v>0</v>
      </c>
      <c r="W25" s="1759" t="s">
        <v>0</v>
      </c>
      <c r="Y25" s="211" t="s">
        <v>0</v>
      </c>
      <c r="Z25" s="211" t="s">
        <v>0</v>
      </c>
      <c r="AA25" s="211" t="s">
        <v>0</v>
      </c>
      <c r="AB25" s="211" t="s">
        <v>0</v>
      </c>
      <c r="AC25" s="211" t="s">
        <v>0</v>
      </c>
      <c r="AD25" t="s">
        <v>0</v>
      </c>
      <c r="AF25">
        <v>3</v>
      </c>
      <c r="AG25" t="s">
        <v>0</v>
      </c>
    </row>
    <row r="26" spans="1:40" ht="22.35" customHeight="1">
      <c r="A26" s="102"/>
      <c r="K26" s="1760" t="s">
        <v>32</v>
      </c>
      <c r="L26" s="1748" t="s">
        <v>32</v>
      </c>
      <c r="M26" s="1760" t="s">
        <v>32</v>
      </c>
      <c r="N26" s="1760" t="s">
        <v>32</v>
      </c>
      <c r="O26" s="1760" t="s">
        <v>32</v>
      </c>
      <c r="R26" s="1760" t="s">
        <v>32</v>
      </c>
      <c r="S26" s="1748" t="s">
        <v>32</v>
      </c>
      <c r="T26" s="1760" t="s">
        <v>32</v>
      </c>
      <c r="U26" s="1760" t="s">
        <v>32</v>
      </c>
      <c r="V26" s="1760" t="s">
        <v>32</v>
      </c>
      <c r="Z26" t="s">
        <v>0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G26" t="s">
        <v>0</v>
      </c>
    </row>
    <row r="27" spans="1:40" ht="22.35" customHeight="1">
      <c r="A27" s="102"/>
      <c r="R27" t="s">
        <v>0</v>
      </c>
      <c r="S27" s="211" t="s">
        <v>0</v>
      </c>
      <c r="T27" t="s">
        <v>183</v>
      </c>
      <c r="U27" t="s">
        <v>183</v>
      </c>
      <c r="V27" t="s">
        <v>183</v>
      </c>
      <c r="Z27" t="s">
        <v>0</v>
      </c>
      <c r="AA27" t="s">
        <v>0</v>
      </c>
      <c r="AC27">
        <v>22</v>
      </c>
    </row>
    <row r="28" spans="1:40" ht="22.35" customHeight="1">
      <c r="A28" s="102"/>
      <c r="U28" s="1748"/>
      <c r="V28" s="1748"/>
    </row>
    <row r="29" spans="1:40" ht="22.35" customHeight="1">
      <c r="A29" s="102"/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1761" t="s">
        <v>61</v>
      </c>
      <c r="B32" s="1706"/>
      <c r="C32" s="1706"/>
      <c r="D32" s="1762" t="s">
        <v>62</v>
      </c>
      <c r="E32" s="1763"/>
      <c r="F32" s="1693"/>
      <c r="G32" s="1693"/>
      <c r="H32" s="1693"/>
      <c r="I32" s="1693"/>
      <c r="J32" s="1693"/>
      <c r="K32" s="1693"/>
      <c r="L32" s="1701"/>
      <c r="M32" s="1764" t="s">
        <v>63</v>
      </c>
      <c r="N32" s="1706"/>
      <c r="O32" s="1765"/>
      <c r="P32" s="1706"/>
      <c r="Q32" s="1706"/>
      <c r="R32" s="1706"/>
      <c r="S32" s="1766"/>
      <c r="T32" s="1762" t="s">
        <v>64</v>
      </c>
      <c r="U32" s="1693"/>
      <c r="V32" s="1763"/>
      <c r="W32" s="1693"/>
      <c r="X32" s="1693"/>
      <c r="Y32" s="1693"/>
      <c r="Z32" s="1701"/>
      <c r="AA32" s="162" t="s">
        <v>65</v>
      </c>
      <c r="AD32" s="100"/>
      <c r="AG32" s="103"/>
      <c r="AK32" s="1"/>
    </row>
    <row r="33" spans="1:38" ht="22.35" customHeight="1">
      <c r="A33" s="1767" t="s">
        <v>66</v>
      </c>
      <c r="B33" s="1693"/>
      <c r="C33" s="1693"/>
      <c r="D33" s="1768"/>
      <c r="E33" s="1693"/>
      <c r="F33" s="1693"/>
      <c r="G33" s="1701"/>
      <c r="H33" s="1708" t="s">
        <v>67</v>
      </c>
      <c r="I33" s="1693"/>
      <c r="J33" s="1693"/>
      <c r="K33" s="1693"/>
      <c r="L33" s="1693"/>
      <c r="M33" s="1769"/>
      <c r="N33" s="1693"/>
      <c r="O33" s="1693"/>
      <c r="P33" s="1693"/>
      <c r="Q33" s="1693"/>
      <c r="R33" s="1693"/>
      <c r="S33" s="1693"/>
      <c r="T33" s="1768"/>
      <c r="U33" s="161" t="s">
        <v>68</v>
      </c>
      <c r="AA33" s="1765"/>
      <c r="AB33" s="1706"/>
      <c r="AC33" s="1706"/>
      <c r="AD33" s="1706"/>
      <c r="AE33" s="1706"/>
      <c r="AF33" s="1706"/>
      <c r="AG33" s="1770"/>
      <c r="AK33" s="64"/>
    </row>
    <row r="34" spans="1:38" ht="22.35" customHeight="1" thickBot="1">
      <c r="A34" s="1771" t="s">
        <v>69</v>
      </c>
      <c r="B34" s="1772"/>
      <c r="C34" s="1772"/>
      <c r="D34" s="1773"/>
      <c r="E34" s="1772"/>
      <c r="F34" s="1772"/>
      <c r="G34" s="1774"/>
      <c r="H34" s="1775" t="s">
        <v>70</v>
      </c>
      <c r="I34" s="1774"/>
      <c r="J34" s="1772"/>
      <c r="K34" s="1772"/>
      <c r="L34" s="1772"/>
      <c r="M34" s="1776"/>
      <c r="N34" s="1772"/>
      <c r="O34" s="1772"/>
      <c r="P34" s="1772"/>
      <c r="Q34" s="1777"/>
      <c r="R34" s="1777"/>
      <c r="S34" s="1777"/>
      <c r="T34" s="1773"/>
      <c r="U34" s="1778" t="s">
        <v>71</v>
      </c>
      <c r="V34" s="1772"/>
      <c r="W34" s="1772"/>
      <c r="X34" s="1772"/>
      <c r="Y34" s="1772"/>
      <c r="Z34" s="1772"/>
      <c r="AA34" s="1772"/>
      <c r="AB34" s="1772"/>
      <c r="AC34" s="1772"/>
      <c r="AD34" s="1772"/>
      <c r="AE34" s="1772"/>
      <c r="AF34" s="1772"/>
      <c r="AG34" s="1779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1780" t="s">
        <v>28</v>
      </c>
      <c r="B36" s="1781" t="s">
        <v>29</v>
      </c>
      <c r="C36" s="1711">
        <v>1</v>
      </c>
      <c r="D36" s="1712">
        <v>2</v>
      </c>
      <c r="E36" s="1712">
        <v>3</v>
      </c>
      <c r="F36" s="1712">
        <v>4</v>
      </c>
      <c r="G36" s="1712">
        <v>5</v>
      </c>
      <c r="H36" s="1712">
        <v>6</v>
      </c>
      <c r="I36" s="1711">
        <v>7</v>
      </c>
      <c r="J36" s="1711">
        <v>8</v>
      </c>
      <c r="K36" s="1712">
        <v>9</v>
      </c>
      <c r="L36" s="1712">
        <v>10</v>
      </c>
      <c r="M36" s="1712">
        <v>11</v>
      </c>
      <c r="N36" s="1712">
        <v>12</v>
      </c>
      <c r="O36" s="1712">
        <v>13</v>
      </c>
      <c r="P36" s="1711">
        <v>14</v>
      </c>
      <c r="Q36" s="1711">
        <v>15</v>
      </c>
      <c r="R36" s="1712">
        <v>16</v>
      </c>
      <c r="S36" s="1712">
        <v>17</v>
      </c>
      <c r="T36" s="1712">
        <v>18</v>
      </c>
      <c r="U36" s="1712">
        <v>19</v>
      </c>
      <c r="V36" s="1712">
        <v>20</v>
      </c>
      <c r="W36" s="1711">
        <v>21</v>
      </c>
      <c r="X36" s="1711">
        <v>22</v>
      </c>
      <c r="Y36" s="1712">
        <v>23</v>
      </c>
      <c r="Z36" s="1712">
        <v>24</v>
      </c>
      <c r="AA36" s="1712">
        <v>25</v>
      </c>
      <c r="AB36" s="1712">
        <v>26</v>
      </c>
      <c r="AC36" s="1712">
        <v>27</v>
      </c>
      <c r="AD36" s="1711">
        <v>28</v>
      </c>
      <c r="AE36" s="1711">
        <v>29</v>
      </c>
      <c r="AF36" s="1712">
        <v>30</v>
      </c>
      <c r="AG36" s="1713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 t="s">
        <v>77</v>
      </c>
      <c r="D37" s="349" t="s">
        <v>36</v>
      </c>
      <c r="E37" s="361" t="s">
        <v>36</v>
      </c>
      <c r="F37" s="361" t="s">
        <v>36</v>
      </c>
      <c r="G37" s="361" t="s">
        <v>36</v>
      </c>
      <c r="H37" s="361" t="s">
        <v>36</v>
      </c>
      <c r="I37" s="361" t="s">
        <v>80</v>
      </c>
      <c r="J37" s="349" t="s">
        <v>80</v>
      </c>
      <c r="K37" s="574">
        <v>7</v>
      </c>
      <c r="L37" s="574">
        <v>7</v>
      </c>
      <c r="M37" s="601">
        <v>7</v>
      </c>
      <c r="N37" s="361">
        <v>7</v>
      </c>
      <c r="O37" s="349">
        <v>7</v>
      </c>
      <c r="P37" s="361"/>
      <c r="Q37" s="350"/>
      <c r="R37" s="349">
        <v>4</v>
      </c>
      <c r="S37" s="361">
        <v>4</v>
      </c>
      <c r="T37" s="602">
        <v>4</v>
      </c>
      <c r="U37" s="361">
        <v>4</v>
      </c>
      <c r="V37" s="361">
        <v>4</v>
      </c>
      <c r="W37" s="361"/>
      <c r="X37" s="1782" t="s">
        <v>74</v>
      </c>
      <c r="Y37" s="350">
        <v>3</v>
      </c>
      <c r="Z37" s="350">
        <v>3</v>
      </c>
      <c r="AA37" s="350">
        <v>3</v>
      </c>
      <c r="AB37" s="350">
        <v>3</v>
      </c>
      <c r="AC37" s="570">
        <v>3</v>
      </c>
      <c r="AD37" s="350"/>
      <c r="AE37" s="361"/>
      <c r="AF37" s="361">
        <v>11</v>
      </c>
      <c r="AG37" s="362">
        <v>11</v>
      </c>
      <c r="AH37" s="181"/>
      <c r="AI37" s="182"/>
    </row>
    <row r="38" spans="1:38" ht="22.35" customHeight="1">
      <c r="A38" s="1783">
        <v>6</v>
      </c>
      <c r="B38" s="1757" t="s">
        <v>75</v>
      </c>
      <c r="C38" s="1720" t="s">
        <v>73</v>
      </c>
      <c r="D38" s="1720" t="s">
        <v>36</v>
      </c>
      <c r="E38" s="1720" t="s">
        <v>36</v>
      </c>
      <c r="F38" s="1720" t="s">
        <v>36</v>
      </c>
      <c r="G38" s="1720" t="s">
        <v>36</v>
      </c>
      <c r="H38" s="1720" t="s">
        <v>36</v>
      </c>
      <c r="I38" s="1720" t="s">
        <v>74</v>
      </c>
      <c r="J38" s="1720" t="s">
        <v>74</v>
      </c>
      <c r="K38" s="1720">
        <v>8</v>
      </c>
      <c r="L38" s="1720">
        <v>8</v>
      </c>
      <c r="M38" s="1720">
        <v>8</v>
      </c>
      <c r="N38" s="1720">
        <v>8</v>
      </c>
      <c r="O38" s="1720">
        <v>8</v>
      </c>
      <c r="P38" s="1720"/>
      <c r="Q38" s="1720"/>
      <c r="R38" s="1720" t="s">
        <v>36</v>
      </c>
      <c r="S38" s="1720" t="s">
        <v>36</v>
      </c>
      <c r="T38" s="1720" t="s">
        <v>36</v>
      </c>
      <c r="U38" s="1720" t="s">
        <v>36</v>
      </c>
      <c r="V38" s="1720" t="s">
        <v>36</v>
      </c>
      <c r="W38" s="1720"/>
      <c r="X38" s="1720"/>
      <c r="Y38" s="1720">
        <v>1</v>
      </c>
      <c r="Z38" s="1784">
        <v>1</v>
      </c>
      <c r="AA38" s="1720">
        <v>1</v>
      </c>
      <c r="AB38" s="1720">
        <v>1</v>
      </c>
      <c r="AC38" s="1720">
        <v>1</v>
      </c>
      <c r="AD38" s="1720"/>
      <c r="AE38" s="1720"/>
      <c r="AF38" s="1720">
        <v>9</v>
      </c>
      <c r="AG38" s="1785">
        <v>9</v>
      </c>
      <c r="AH38" s="181"/>
      <c r="AI38" s="182"/>
      <c r="AK38" t="s">
        <v>0</v>
      </c>
    </row>
    <row r="39" spans="1:38" ht="22.35" customHeight="1" thickBot="1">
      <c r="A39" s="1786">
        <v>11</v>
      </c>
      <c r="B39" s="1787" t="s">
        <v>79</v>
      </c>
      <c r="C39" s="1712" t="s">
        <v>77</v>
      </c>
      <c r="D39" s="1788" t="s">
        <v>36</v>
      </c>
      <c r="E39" s="1788" t="s">
        <v>36</v>
      </c>
      <c r="F39" s="1788" t="s">
        <v>36</v>
      </c>
      <c r="G39" s="1788" t="s">
        <v>36</v>
      </c>
      <c r="H39" s="1788" t="s">
        <v>36</v>
      </c>
      <c r="I39" s="1789" t="s">
        <v>78</v>
      </c>
      <c r="J39" s="1789" t="s">
        <v>74</v>
      </c>
      <c r="K39" s="1790">
        <v>6</v>
      </c>
      <c r="L39" s="1790" t="s">
        <v>357</v>
      </c>
      <c r="M39" s="651">
        <v>6</v>
      </c>
      <c r="N39" s="1789">
        <v>6</v>
      </c>
      <c r="O39" s="1789">
        <v>6</v>
      </c>
      <c r="P39" s="1788"/>
      <c r="Q39" s="1712"/>
      <c r="R39" s="1712" t="s">
        <v>36</v>
      </c>
      <c r="S39" s="1788" t="s">
        <v>36</v>
      </c>
      <c r="T39" s="1791" t="s">
        <v>36</v>
      </c>
      <c r="U39" s="1791" t="s">
        <v>36</v>
      </c>
      <c r="V39" s="1792">
        <v>3</v>
      </c>
      <c r="W39" s="1791"/>
      <c r="X39" s="1791"/>
      <c r="Y39" s="1788">
        <v>5</v>
      </c>
      <c r="Z39" s="1788">
        <v>5</v>
      </c>
      <c r="AA39" s="1788">
        <v>5</v>
      </c>
      <c r="AB39" s="1793">
        <v>5</v>
      </c>
      <c r="AC39" s="1793">
        <v>5</v>
      </c>
      <c r="AD39" s="1793"/>
      <c r="AE39" s="1788"/>
      <c r="AF39" s="1788">
        <v>10</v>
      </c>
      <c r="AG39" s="1794">
        <v>10</v>
      </c>
      <c r="AH39" s="181"/>
      <c r="AI39" s="182"/>
    </row>
    <row r="40" spans="1:38" ht="22.35" customHeight="1">
      <c r="A40" s="359">
        <v>2</v>
      </c>
      <c r="B40" s="175" t="s">
        <v>81</v>
      </c>
      <c r="C40" s="541" t="s">
        <v>80</v>
      </c>
      <c r="D40" s="541">
        <v>7</v>
      </c>
      <c r="E40" s="541">
        <v>7</v>
      </c>
      <c r="F40" s="541">
        <v>7</v>
      </c>
      <c r="G40" s="541">
        <v>7</v>
      </c>
      <c r="H40" s="541">
        <v>7</v>
      </c>
      <c r="I40" s="541"/>
      <c r="J40" s="541"/>
      <c r="K40" s="541">
        <v>4</v>
      </c>
      <c r="L40" s="541">
        <v>4</v>
      </c>
      <c r="M40" s="541">
        <v>4</v>
      </c>
      <c r="N40" s="541">
        <v>4</v>
      </c>
      <c r="O40" s="541">
        <v>4</v>
      </c>
      <c r="P40" s="541"/>
      <c r="Q40" s="541"/>
      <c r="R40" s="569">
        <v>3</v>
      </c>
      <c r="S40" s="583">
        <v>3</v>
      </c>
      <c r="T40" s="569">
        <v>3</v>
      </c>
      <c r="U40" s="569">
        <v>3</v>
      </c>
      <c r="V40" s="569" t="s">
        <v>336</v>
      </c>
      <c r="W40" s="350"/>
      <c r="X40" s="350"/>
      <c r="Y40" s="361">
        <v>11</v>
      </c>
      <c r="Z40" s="361">
        <v>11</v>
      </c>
      <c r="AA40" s="361">
        <v>11</v>
      </c>
      <c r="AB40" s="361">
        <v>11</v>
      </c>
      <c r="AC40" s="350">
        <v>11</v>
      </c>
      <c r="AD40" t="s">
        <v>73</v>
      </c>
      <c r="AE40" t="s">
        <v>73</v>
      </c>
      <c r="AF40" s="361" t="s">
        <v>36</v>
      </c>
      <c r="AG40" s="362" t="s">
        <v>36</v>
      </c>
      <c r="AH40" s="181"/>
      <c r="AI40" s="182"/>
    </row>
    <row r="41" spans="1:38" ht="22.35" customHeight="1">
      <c r="A41" s="1783">
        <v>7</v>
      </c>
      <c r="B41" s="1727" t="s">
        <v>82</v>
      </c>
      <c r="C41" s="1724" t="s">
        <v>74</v>
      </c>
      <c r="D41" s="1724">
        <v>8</v>
      </c>
      <c r="E41" s="1724">
        <v>8</v>
      </c>
      <c r="F41" s="1724">
        <v>8</v>
      </c>
      <c r="G41" s="1759">
        <v>8</v>
      </c>
      <c r="H41" s="1759">
        <v>8</v>
      </c>
      <c r="I41" s="1795"/>
      <c r="J41" s="1795"/>
      <c r="K41" s="1795" t="s">
        <v>36</v>
      </c>
      <c r="L41" s="1796">
        <v>6</v>
      </c>
      <c r="M41" s="1797" t="s">
        <v>36</v>
      </c>
      <c r="N41" s="1795" t="s">
        <v>36</v>
      </c>
      <c r="O41" s="1795" t="s">
        <v>36</v>
      </c>
      <c r="P41" s="1724"/>
      <c r="Q41" s="1724"/>
      <c r="R41" s="1724">
        <v>1</v>
      </c>
      <c r="S41" s="1724">
        <v>1</v>
      </c>
      <c r="T41" s="1724">
        <v>1</v>
      </c>
      <c r="U41" s="1798">
        <v>1</v>
      </c>
      <c r="V41" s="1798">
        <v>1</v>
      </c>
      <c r="W41" s="1798"/>
      <c r="X41" s="1759"/>
      <c r="Y41" s="1759">
        <v>9</v>
      </c>
      <c r="Z41" s="1759">
        <v>9</v>
      </c>
      <c r="AA41" s="1759">
        <v>9</v>
      </c>
      <c r="AB41" s="1759">
        <v>9</v>
      </c>
      <c r="AC41" s="1759">
        <v>9</v>
      </c>
      <c r="AD41" s="1759" t="s">
        <v>37</v>
      </c>
      <c r="AE41" s="1759" t="s">
        <v>37</v>
      </c>
      <c r="AF41" s="1759" t="s">
        <v>36</v>
      </c>
      <c r="AG41" s="1799" t="s">
        <v>36</v>
      </c>
      <c r="AH41" s="181"/>
      <c r="AI41" s="182"/>
    </row>
    <row r="42" spans="1:38" ht="22.35" customHeight="1" thickBot="1">
      <c r="A42" s="1786">
        <v>12</v>
      </c>
      <c r="B42" s="1800" t="s">
        <v>83</v>
      </c>
      <c r="C42" s="1790" t="s">
        <v>74</v>
      </c>
      <c r="D42" s="1790">
        <v>6</v>
      </c>
      <c r="E42" s="1790">
        <v>6</v>
      </c>
      <c r="F42" s="1790">
        <v>6</v>
      </c>
      <c r="G42" s="1790">
        <v>6</v>
      </c>
      <c r="H42" s="1790">
        <v>6</v>
      </c>
      <c r="I42" s="1790"/>
      <c r="J42" s="1790"/>
      <c r="K42" s="1790" t="s">
        <v>36</v>
      </c>
      <c r="L42" s="1790" t="s">
        <v>36</v>
      </c>
      <c r="M42" s="1790" t="s">
        <v>36</v>
      </c>
      <c r="N42" s="1790" t="s">
        <v>36</v>
      </c>
      <c r="O42" s="1790" t="s">
        <v>36</v>
      </c>
      <c r="P42" s="1790"/>
      <c r="Q42" s="1790"/>
      <c r="R42" s="1790">
        <v>5</v>
      </c>
      <c r="S42" s="1790">
        <v>5</v>
      </c>
      <c r="T42" s="1790">
        <v>5</v>
      </c>
      <c r="U42" s="1790">
        <v>5</v>
      </c>
      <c r="V42" s="1790">
        <v>5</v>
      </c>
      <c r="W42" s="1790"/>
      <c r="X42" s="1790"/>
      <c r="Y42" s="1790">
        <v>10</v>
      </c>
      <c r="Z42" s="1790">
        <v>10</v>
      </c>
      <c r="AA42" s="1790">
        <v>10</v>
      </c>
      <c r="AB42" s="1790">
        <v>10</v>
      </c>
      <c r="AC42" s="1790">
        <v>10</v>
      </c>
      <c r="AD42" s="1790" t="s">
        <v>77</v>
      </c>
      <c r="AE42" s="1790" t="s">
        <v>77</v>
      </c>
      <c r="AF42" s="1790" t="s">
        <v>36</v>
      </c>
      <c r="AG42" s="1801" t="s">
        <v>36</v>
      </c>
      <c r="AH42" s="181"/>
      <c r="AI42" s="182"/>
    </row>
    <row r="43" spans="1:38" ht="22.35" customHeight="1">
      <c r="A43" s="359">
        <v>3</v>
      </c>
      <c r="B43" s="363" t="s">
        <v>84</v>
      </c>
      <c r="C43" s="349"/>
      <c r="D43" s="350">
        <v>4</v>
      </c>
      <c r="E43" s="361">
        <v>4</v>
      </c>
      <c r="F43" s="361">
        <v>4</v>
      </c>
      <c r="G43" s="361">
        <v>4</v>
      </c>
      <c r="H43" s="552">
        <v>4</v>
      </c>
      <c r="I43" s="552"/>
      <c r="J43" s="552"/>
      <c r="K43" s="552">
        <v>3</v>
      </c>
      <c r="L43" s="552">
        <v>3</v>
      </c>
      <c r="M43" s="552">
        <v>3</v>
      </c>
      <c r="N43" s="552">
        <v>3</v>
      </c>
      <c r="O43" s="552" t="s">
        <v>336</v>
      </c>
      <c r="P43" s="400"/>
      <c r="Q43" s="400"/>
      <c r="R43" s="541">
        <v>11</v>
      </c>
      <c r="S43" s="541">
        <v>11</v>
      </c>
      <c r="T43" s="541">
        <v>11</v>
      </c>
      <c r="U43" s="541">
        <v>11</v>
      </c>
      <c r="V43" s="541">
        <v>11</v>
      </c>
      <c r="W43" s="541" t="s">
        <v>73</v>
      </c>
      <c r="X43" s="541" t="s">
        <v>73</v>
      </c>
      <c r="Y43" s="541" t="s">
        <v>36</v>
      </c>
      <c r="Z43" s="541" t="s">
        <v>36</v>
      </c>
      <c r="AA43" s="541" t="s">
        <v>36</v>
      </c>
      <c r="AB43" s="541" t="s">
        <v>36</v>
      </c>
      <c r="AC43" s="541" t="s">
        <v>36</v>
      </c>
      <c r="AD43" s="541" t="s">
        <v>74</v>
      </c>
      <c r="AE43" s="541" t="s">
        <v>74</v>
      </c>
      <c r="AF43" s="541">
        <v>8</v>
      </c>
      <c r="AG43" s="531">
        <v>8</v>
      </c>
      <c r="AH43" s="181"/>
      <c r="AI43" s="182"/>
    </row>
    <row r="44" spans="1:38" ht="22.35" customHeight="1">
      <c r="A44" s="1783">
        <v>8</v>
      </c>
      <c r="B44" s="1727" t="s">
        <v>85</v>
      </c>
      <c r="C44" s="1725"/>
      <c r="D44" s="1725" t="s">
        <v>36</v>
      </c>
      <c r="E44" s="1725" t="s">
        <v>36</v>
      </c>
      <c r="F44" s="1725" t="s">
        <v>36</v>
      </c>
      <c r="G44" s="1724" t="s">
        <v>36</v>
      </c>
      <c r="H44" s="1724" t="s">
        <v>36</v>
      </c>
      <c r="I44" s="1759"/>
      <c r="J44" s="1723"/>
      <c r="K44" s="1720">
        <v>1</v>
      </c>
      <c r="L44" s="1720">
        <v>1</v>
      </c>
      <c r="M44" s="1720">
        <v>1</v>
      </c>
      <c r="N44" s="1724">
        <v>1</v>
      </c>
      <c r="O44" s="1759">
        <v>1</v>
      </c>
      <c r="P44" s="1759"/>
      <c r="Q44" s="1759"/>
      <c r="R44" s="1732">
        <v>9</v>
      </c>
      <c r="S44" s="1732">
        <v>9</v>
      </c>
      <c r="T44" s="1732">
        <v>9</v>
      </c>
      <c r="U44" s="1732">
        <v>9</v>
      </c>
      <c r="V44" s="1732">
        <v>9</v>
      </c>
      <c r="W44" s="1732" t="s">
        <v>76</v>
      </c>
      <c r="X44" s="1732" t="s">
        <v>77</v>
      </c>
      <c r="Y44" s="1732" t="s">
        <v>36</v>
      </c>
      <c r="Z44" s="1732" t="s">
        <v>36</v>
      </c>
      <c r="AA44" s="1732" t="s">
        <v>36</v>
      </c>
      <c r="AB44" s="1732" t="s">
        <v>36</v>
      </c>
      <c r="AC44" s="1732" t="s">
        <v>36</v>
      </c>
      <c r="AD44" s="1732" t="s">
        <v>78</v>
      </c>
      <c r="AE44" s="1732" t="s">
        <v>74</v>
      </c>
      <c r="AF44" s="1732">
        <v>6</v>
      </c>
      <c r="AG44" s="1802">
        <v>6</v>
      </c>
      <c r="AH44" s="181"/>
      <c r="AI44" s="182"/>
    </row>
    <row r="45" spans="1:38" ht="22.35" customHeight="1" thickBot="1">
      <c r="A45" s="1786">
        <v>13</v>
      </c>
      <c r="B45" s="1787" t="s">
        <v>86</v>
      </c>
      <c r="C45" s="1803"/>
      <c r="D45" s="1803" t="s">
        <v>36</v>
      </c>
      <c r="E45" s="1803" t="s">
        <v>36</v>
      </c>
      <c r="F45" s="1803" t="s">
        <v>36</v>
      </c>
      <c r="G45" s="1803" t="s">
        <v>36</v>
      </c>
      <c r="H45" s="1803" t="s">
        <v>36</v>
      </c>
      <c r="I45" s="1803"/>
      <c r="J45" s="1803"/>
      <c r="K45" s="1803">
        <v>5</v>
      </c>
      <c r="L45" s="1803">
        <v>5</v>
      </c>
      <c r="M45" s="1803">
        <v>5</v>
      </c>
      <c r="N45" s="1803">
        <v>5</v>
      </c>
      <c r="O45" s="1803">
        <v>5</v>
      </c>
      <c r="P45" s="1803"/>
      <c r="Q45" s="1803"/>
      <c r="R45" s="1788">
        <v>10</v>
      </c>
      <c r="S45" s="1788">
        <v>10</v>
      </c>
      <c r="T45" s="1788">
        <v>10</v>
      </c>
      <c r="U45" s="1788">
        <v>10</v>
      </c>
      <c r="V45" s="1788">
        <v>10</v>
      </c>
      <c r="W45" s="1788" t="s">
        <v>77</v>
      </c>
      <c r="X45" s="1788" t="s">
        <v>77</v>
      </c>
      <c r="Y45" s="1712" t="s">
        <v>36</v>
      </c>
      <c r="Z45" s="1788" t="s">
        <v>36</v>
      </c>
      <c r="AA45" s="1788" t="s">
        <v>36</v>
      </c>
      <c r="AB45" s="1788" t="s">
        <v>36</v>
      </c>
      <c r="AC45" s="1788" t="s">
        <v>36</v>
      </c>
      <c r="AD45" s="1788" t="s">
        <v>80</v>
      </c>
      <c r="AE45" s="1712" t="s">
        <v>80</v>
      </c>
      <c r="AF45" s="1788">
        <v>7</v>
      </c>
      <c r="AG45" s="1804">
        <v>7</v>
      </c>
      <c r="AH45" s="181"/>
      <c r="AI45" s="182"/>
    </row>
    <row r="46" spans="1:38" ht="22.35" customHeight="1">
      <c r="A46" s="359">
        <v>4</v>
      </c>
      <c r="B46" s="360" t="s">
        <v>87</v>
      </c>
      <c r="C46" s="361"/>
      <c r="D46" s="350">
        <v>3</v>
      </c>
      <c r="E46" s="361">
        <v>3</v>
      </c>
      <c r="F46" s="349">
        <v>3</v>
      </c>
      <c r="G46" s="349">
        <v>3</v>
      </c>
      <c r="H46" s="349">
        <v>3</v>
      </c>
      <c r="I46" s="349"/>
      <c r="J46" s="349"/>
      <c r="K46" s="349">
        <v>11</v>
      </c>
      <c r="L46" s="349">
        <v>11</v>
      </c>
      <c r="M46" s="349">
        <v>11</v>
      </c>
      <c r="N46" s="349">
        <v>11</v>
      </c>
      <c r="O46" s="349">
        <v>11</v>
      </c>
      <c r="P46" s="566" t="s">
        <v>73</v>
      </c>
      <c r="Q46" s="566" t="s">
        <v>73</v>
      </c>
      <c r="R46" s="541" t="s">
        <v>36</v>
      </c>
      <c r="S46" s="541" t="s">
        <v>36</v>
      </c>
      <c r="T46" s="541" t="s">
        <v>36</v>
      </c>
      <c r="U46" s="541" t="s">
        <v>36</v>
      </c>
      <c r="V46" s="541" t="s">
        <v>36</v>
      </c>
      <c r="W46" s="541" t="s">
        <v>74</v>
      </c>
      <c r="X46" s="541" t="s">
        <v>74</v>
      </c>
      <c r="Y46" s="541">
        <v>8</v>
      </c>
      <c r="Z46" s="541">
        <v>8</v>
      </c>
      <c r="AA46" s="541">
        <v>8</v>
      </c>
      <c r="AB46" s="541">
        <v>8</v>
      </c>
      <c r="AC46" s="541">
        <v>8</v>
      </c>
      <c r="AD46" s="541"/>
      <c r="AE46" s="541"/>
      <c r="AF46" s="541" t="s">
        <v>36</v>
      </c>
      <c r="AG46" s="531" t="s">
        <v>36</v>
      </c>
      <c r="AH46" s="181"/>
      <c r="AI46" s="182"/>
    </row>
    <row r="47" spans="1:38" ht="22.35" customHeight="1">
      <c r="A47" s="1783">
        <v>9</v>
      </c>
      <c r="B47" s="1727" t="s">
        <v>88</v>
      </c>
      <c r="C47" s="1759"/>
      <c r="D47" s="1759">
        <v>1</v>
      </c>
      <c r="E47" s="1759">
        <v>1</v>
      </c>
      <c r="F47" s="1759">
        <v>1</v>
      </c>
      <c r="G47" s="1759">
        <v>1</v>
      </c>
      <c r="H47" s="1759">
        <v>1</v>
      </c>
      <c r="I47" s="1759"/>
      <c r="J47" s="1759"/>
      <c r="K47" s="1759">
        <v>9</v>
      </c>
      <c r="L47" s="1759">
        <v>9</v>
      </c>
      <c r="M47" s="1759">
        <v>9</v>
      </c>
      <c r="N47" s="1759">
        <v>9</v>
      </c>
      <c r="O47" s="1759">
        <v>9</v>
      </c>
      <c r="P47" s="1759" t="s">
        <v>76</v>
      </c>
      <c r="Q47" s="1723" t="s">
        <v>77</v>
      </c>
      <c r="R47" s="1759" t="s">
        <v>36</v>
      </c>
      <c r="S47" s="1759" t="s">
        <v>36</v>
      </c>
      <c r="T47" s="1759" t="s">
        <v>36</v>
      </c>
      <c r="U47" s="1759" t="s">
        <v>36</v>
      </c>
      <c r="V47" s="1759" t="s">
        <v>36</v>
      </c>
      <c r="W47" s="1759" t="s">
        <v>78</v>
      </c>
      <c r="X47" s="1759" t="s">
        <v>74</v>
      </c>
      <c r="Y47" s="1759">
        <v>6</v>
      </c>
      <c r="Z47" s="1759">
        <v>6</v>
      </c>
      <c r="AA47" s="1759">
        <v>6</v>
      </c>
      <c r="AB47" s="1759">
        <v>6</v>
      </c>
      <c r="AC47" s="1759">
        <v>6</v>
      </c>
      <c r="AD47" s="1759"/>
      <c r="AE47" s="1759"/>
      <c r="AF47" s="1759" t="s">
        <v>36</v>
      </c>
      <c r="AG47" s="1799" t="s">
        <v>36</v>
      </c>
      <c r="AH47" s="181"/>
      <c r="AI47" s="182"/>
    </row>
    <row r="48" spans="1:38" ht="22.35" customHeight="1" thickBot="1">
      <c r="A48" s="1786">
        <v>14</v>
      </c>
      <c r="B48" s="1787" t="s">
        <v>89</v>
      </c>
      <c r="C48" s="1712"/>
      <c r="D48" s="1788">
        <v>5</v>
      </c>
      <c r="E48" s="1788">
        <v>5</v>
      </c>
      <c r="F48" s="1788">
        <v>5</v>
      </c>
      <c r="G48" s="1793">
        <v>5</v>
      </c>
      <c r="H48" s="1793">
        <v>5</v>
      </c>
      <c r="I48" s="1793"/>
      <c r="J48" s="1788"/>
      <c r="K48" s="1788">
        <v>10</v>
      </c>
      <c r="L48" s="1788">
        <v>10</v>
      </c>
      <c r="M48" s="1788">
        <v>10</v>
      </c>
      <c r="N48" s="1788">
        <v>10</v>
      </c>
      <c r="O48" s="1712">
        <v>10</v>
      </c>
      <c r="P48" s="1788" t="s">
        <v>77</v>
      </c>
      <c r="Q48" s="1788" t="s">
        <v>77</v>
      </c>
      <c r="R48" s="1712" t="s">
        <v>36</v>
      </c>
      <c r="S48" s="1805">
        <v>4</v>
      </c>
      <c r="T48" s="1788" t="s">
        <v>36</v>
      </c>
      <c r="U48" s="1805">
        <v>4</v>
      </c>
      <c r="V48" s="1805">
        <v>89</v>
      </c>
      <c r="W48" s="1788" t="s">
        <v>80</v>
      </c>
      <c r="X48" s="1712" t="s">
        <v>80</v>
      </c>
      <c r="Y48" s="1788">
        <v>7</v>
      </c>
      <c r="Z48" s="1788">
        <v>7</v>
      </c>
      <c r="AA48" s="1788">
        <v>7</v>
      </c>
      <c r="AB48" s="1788">
        <v>7</v>
      </c>
      <c r="AC48" s="1806">
        <v>7</v>
      </c>
      <c r="AD48" s="1788"/>
      <c r="AE48" s="1788"/>
      <c r="AF48" s="1712">
        <v>4</v>
      </c>
      <c r="AG48" s="1713">
        <v>4</v>
      </c>
      <c r="AH48" s="181"/>
      <c r="AI48" s="182"/>
    </row>
    <row r="49" spans="1:40" ht="22.35" customHeight="1">
      <c r="A49" s="359">
        <v>5</v>
      </c>
      <c r="B49" s="1727" t="s">
        <v>90</v>
      </c>
      <c r="C49" s="350"/>
      <c r="D49" s="361">
        <v>11</v>
      </c>
      <c r="E49" s="361">
        <v>11</v>
      </c>
      <c r="F49" s="350">
        <v>11</v>
      </c>
      <c r="G49" s="350">
        <v>11</v>
      </c>
      <c r="H49" s="350">
        <v>11</v>
      </c>
      <c r="I49" s="350" t="s">
        <v>73</v>
      </c>
      <c r="J49" s="350" t="s">
        <v>73</v>
      </c>
      <c r="K49" s="361" t="s">
        <v>36</v>
      </c>
      <c r="L49" s="361" t="s">
        <v>36</v>
      </c>
      <c r="M49" s="361" t="s">
        <v>36</v>
      </c>
      <c r="N49" s="351" t="s">
        <v>36</v>
      </c>
      <c r="O49" s="349" t="s">
        <v>36</v>
      </c>
      <c r="P49" s="361" t="s">
        <v>74</v>
      </c>
      <c r="Q49" s="361" t="s">
        <v>74</v>
      </c>
      <c r="R49" s="349">
        <v>8</v>
      </c>
      <c r="S49" s="361">
        <v>8</v>
      </c>
      <c r="T49" s="361">
        <v>8</v>
      </c>
      <c r="U49" s="350">
        <v>8</v>
      </c>
      <c r="V49" s="350">
        <v>8</v>
      </c>
      <c r="W49" s="350"/>
      <c r="X49" s="350"/>
      <c r="Y49" s="351" t="s">
        <v>36</v>
      </c>
      <c r="Z49" s="350" t="s">
        <v>36</v>
      </c>
      <c r="AA49" s="350" t="s">
        <v>36</v>
      </c>
      <c r="AB49" s="350" t="s">
        <v>36</v>
      </c>
      <c r="AC49" s="350" t="s">
        <v>36</v>
      </c>
      <c r="AD49" s="361"/>
      <c r="AE49" s="361"/>
      <c r="AF49" s="349">
        <v>1</v>
      </c>
      <c r="AG49" s="352">
        <v>1</v>
      </c>
      <c r="AH49" s="181"/>
      <c r="AI49" s="182"/>
    </row>
    <row r="50" spans="1:40" ht="22.35" customHeight="1">
      <c r="A50" s="1783">
        <v>10</v>
      </c>
      <c r="B50" s="1727" t="s">
        <v>91</v>
      </c>
      <c r="C50" s="1759"/>
      <c r="D50" s="1759">
        <v>9</v>
      </c>
      <c r="E50" s="1759">
        <v>9</v>
      </c>
      <c r="F50" s="1724">
        <v>9</v>
      </c>
      <c r="G50" s="1720">
        <v>9</v>
      </c>
      <c r="H50" s="1720">
        <v>9</v>
      </c>
      <c r="I50" s="1720" t="s">
        <v>76</v>
      </c>
      <c r="J50" s="1720" t="s">
        <v>77</v>
      </c>
      <c r="K50" s="1720" t="s">
        <v>36</v>
      </c>
      <c r="L50" s="1720" t="s">
        <v>36</v>
      </c>
      <c r="M50" s="1720" t="s">
        <v>36</v>
      </c>
      <c r="N50" s="1720" t="s">
        <v>36</v>
      </c>
      <c r="O50" s="1720" t="s">
        <v>36</v>
      </c>
      <c r="P50" s="1720" t="s">
        <v>78</v>
      </c>
      <c r="Q50" s="1720" t="s">
        <v>74</v>
      </c>
      <c r="R50" s="1720">
        <v>6</v>
      </c>
      <c r="S50" s="1720">
        <v>6</v>
      </c>
      <c r="T50" s="1720">
        <v>6</v>
      </c>
      <c r="U50" s="1720">
        <v>6</v>
      </c>
      <c r="V50" s="1720">
        <v>6</v>
      </c>
      <c r="W50" s="1724"/>
      <c r="X50" s="1759"/>
      <c r="Y50" s="1723" t="s">
        <v>36</v>
      </c>
      <c r="Z50" s="1759" t="s">
        <v>36</v>
      </c>
      <c r="AA50" s="1759" t="s">
        <v>36</v>
      </c>
      <c r="AB50" s="1759" t="s">
        <v>36</v>
      </c>
      <c r="AC50" s="1759" t="s">
        <v>36</v>
      </c>
      <c r="AD50" s="1759"/>
      <c r="AE50" s="1759"/>
      <c r="AF50" s="1759">
        <v>5</v>
      </c>
      <c r="AG50" s="1799">
        <v>5</v>
      </c>
      <c r="AH50" s="181"/>
      <c r="AI50" s="182"/>
    </row>
    <row r="51" spans="1:40" ht="22.35" customHeight="1" thickBot="1">
      <c r="A51" s="1786">
        <v>15</v>
      </c>
      <c r="B51" s="1787" t="s">
        <v>92</v>
      </c>
      <c r="C51" s="1788"/>
      <c r="D51" s="1788">
        <v>10</v>
      </c>
      <c r="E51" s="1788">
        <v>10</v>
      </c>
      <c r="F51" s="1793">
        <v>10</v>
      </c>
      <c r="G51" s="1793">
        <v>10</v>
      </c>
      <c r="H51" s="1793">
        <v>10</v>
      </c>
      <c r="I51" s="1793" t="s">
        <v>77</v>
      </c>
      <c r="J51" s="1793" t="s">
        <v>77</v>
      </c>
      <c r="K51" s="1712" t="s">
        <v>36</v>
      </c>
      <c r="L51" s="1788" t="s">
        <v>36</v>
      </c>
      <c r="M51" s="1788" t="s">
        <v>36</v>
      </c>
      <c r="N51" s="1788" t="s">
        <v>36</v>
      </c>
      <c r="O51" s="1788" t="s">
        <v>36</v>
      </c>
      <c r="P51" s="1788" t="s">
        <v>80</v>
      </c>
      <c r="Q51" s="1712" t="s">
        <v>80</v>
      </c>
      <c r="R51" s="1803">
        <v>7</v>
      </c>
      <c r="S51" s="1803">
        <v>7</v>
      </c>
      <c r="T51" s="1803">
        <v>7</v>
      </c>
      <c r="U51" s="1803">
        <v>7</v>
      </c>
      <c r="V51" s="1803">
        <v>7</v>
      </c>
      <c r="W51" s="1803"/>
      <c r="X51" s="1803"/>
      <c r="Y51" s="1803">
        <v>4</v>
      </c>
      <c r="Z51" s="1803">
        <v>4</v>
      </c>
      <c r="AA51" s="1803">
        <v>4</v>
      </c>
      <c r="AB51" s="1803">
        <v>4</v>
      </c>
      <c r="AC51" s="1803">
        <v>4</v>
      </c>
      <c r="AD51" s="1803"/>
      <c r="AE51" s="1803"/>
      <c r="AF51" s="1803">
        <v>3</v>
      </c>
      <c r="AG51" s="1807">
        <v>3</v>
      </c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1808" t="s">
        <v>28</v>
      </c>
      <c r="B54" s="1808"/>
      <c r="C54" s="1797"/>
      <c r="D54" s="1808" t="s">
        <v>94</v>
      </c>
      <c r="E54" s="1809"/>
      <c r="F54" s="1797"/>
      <c r="G54" s="1808" t="s">
        <v>95</v>
      </c>
      <c r="H54" s="1809"/>
      <c r="I54" s="1797"/>
      <c r="J54" s="1808" t="s">
        <v>96</v>
      </c>
      <c r="K54" s="1809"/>
      <c r="L54" s="1797"/>
      <c r="M54" s="1808" t="s">
        <v>97</v>
      </c>
      <c r="N54" s="1809"/>
      <c r="O54" s="1797"/>
      <c r="P54" s="1808" t="s">
        <v>98</v>
      </c>
      <c r="Q54" s="1809"/>
      <c r="R54" s="1810"/>
      <c r="S54" s="1811" t="s">
        <v>99</v>
      </c>
      <c r="T54" s="1809"/>
      <c r="U54" s="1797"/>
      <c r="V54" s="1808" t="s">
        <v>100</v>
      </c>
      <c r="W54" s="1809"/>
      <c r="X54" s="1812" t="s">
        <v>101</v>
      </c>
      <c r="Y54" s="1809"/>
      <c r="Z54" s="1809"/>
      <c r="AA54" s="1813"/>
      <c r="AB54" s="1695"/>
      <c r="AC54" s="1695"/>
      <c r="AD54" s="1695"/>
      <c r="AE54" s="1695"/>
      <c r="AF54" s="1695"/>
      <c r="AG54" s="1696"/>
      <c r="AH54" s="1"/>
    </row>
    <row r="55" spans="1:40" ht="22.35" customHeight="1">
      <c r="A55" s="1814">
        <v>8517</v>
      </c>
      <c r="B55" s="1815"/>
      <c r="C55" s="1816"/>
      <c r="D55" s="1817"/>
      <c r="E55" s="1694"/>
      <c r="F55" s="1816"/>
      <c r="G55" s="1817"/>
      <c r="H55" s="1694"/>
      <c r="I55" s="1816"/>
      <c r="J55" s="1817"/>
      <c r="K55" s="1694"/>
      <c r="L55" s="1816"/>
      <c r="M55" s="1817"/>
      <c r="N55" s="1694"/>
      <c r="O55" s="1816"/>
      <c r="P55" s="1817"/>
      <c r="Q55" s="1694"/>
      <c r="R55" s="1816"/>
      <c r="S55" s="1817"/>
      <c r="T55" s="1694"/>
      <c r="U55" s="1816"/>
      <c r="V55" s="1817"/>
      <c r="W55" s="1694"/>
      <c r="X55" s="1692"/>
      <c r="Y55" s="1695"/>
      <c r="Z55" s="1695"/>
      <c r="AA55" s="1695"/>
      <c r="AB55" s="1695"/>
      <c r="AC55" s="1695"/>
      <c r="AD55" s="1695"/>
      <c r="AE55" s="1695"/>
      <c r="AF55" s="1695"/>
      <c r="AG55" s="1696"/>
      <c r="AH55" s="1"/>
    </row>
    <row r="56" spans="1:40" ht="22.35" customHeight="1">
      <c r="B56" s="1718" t="s">
        <v>102</v>
      </c>
      <c r="C56" s="1818" t="s">
        <v>103</v>
      </c>
      <c r="D56" s="1819"/>
      <c r="E56" s="1820"/>
      <c r="F56" s="1818" t="s">
        <v>103</v>
      </c>
      <c r="G56" s="1821"/>
      <c r="H56" s="1820"/>
      <c r="I56" s="1816" t="s">
        <v>103</v>
      </c>
      <c r="J56" s="1817"/>
      <c r="K56" s="1822"/>
      <c r="L56" s="1816" t="s">
        <v>103</v>
      </c>
      <c r="M56" s="1817"/>
      <c r="N56" s="1822"/>
      <c r="O56" s="1816" t="s">
        <v>104</v>
      </c>
      <c r="P56" s="1817"/>
      <c r="Q56" s="1694"/>
      <c r="R56" s="1823" t="s">
        <v>0</v>
      </c>
      <c r="S56" s="1817"/>
      <c r="T56" s="1822"/>
      <c r="U56" s="1817" t="s">
        <v>0</v>
      </c>
      <c r="V56" s="1817"/>
      <c r="W56" s="1694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1824"/>
      <c r="B57" s="1815" t="s">
        <v>105</v>
      </c>
      <c r="C57" s="1816" t="s">
        <v>106</v>
      </c>
      <c r="D57" s="1817"/>
      <c r="E57" s="1694"/>
      <c r="F57" s="1816" t="s">
        <v>106</v>
      </c>
      <c r="G57" s="1817"/>
      <c r="H57" s="1822"/>
      <c r="I57" s="1816" t="s">
        <v>106</v>
      </c>
      <c r="J57" s="1817"/>
      <c r="K57" s="1822"/>
      <c r="L57" s="1816" t="s">
        <v>106</v>
      </c>
      <c r="M57" s="1817"/>
      <c r="N57" s="1822"/>
      <c r="O57" s="1816" t="s">
        <v>106</v>
      </c>
      <c r="P57" s="1817"/>
      <c r="Q57" s="1694"/>
      <c r="R57" s="112"/>
      <c r="S57" s="113"/>
      <c r="T57" s="1822"/>
      <c r="U57" s="1817"/>
      <c r="V57" s="1817"/>
      <c r="W57" s="1694"/>
      <c r="X57" s="1692"/>
      <c r="Y57" s="1695"/>
      <c r="Z57" s="1695"/>
      <c r="AA57" s="1695"/>
      <c r="AB57" s="1695"/>
      <c r="AC57" s="1695"/>
      <c r="AD57" s="1695"/>
      <c r="AE57" s="1695"/>
      <c r="AF57" s="1695"/>
      <c r="AG57" s="1696"/>
      <c r="AH57" s="1"/>
    </row>
    <row r="58" spans="1:40" ht="22.35" customHeight="1">
      <c r="A58" s="1808"/>
      <c r="B58" s="1718"/>
      <c r="C58" s="1825"/>
      <c r="D58" s="1825"/>
      <c r="E58" s="1826"/>
      <c r="F58" s="1825"/>
      <c r="G58" s="1825"/>
      <c r="H58" s="1826"/>
      <c r="I58" s="1825"/>
      <c r="J58" s="1825"/>
      <c r="K58" s="1826"/>
      <c r="L58" s="1825"/>
      <c r="M58" s="1825"/>
      <c r="N58" s="1826"/>
      <c r="O58" s="1825"/>
      <c r="P58" s="1825"/>
      <c r="Q58" s="1826"/>
      <c r="R58" s="1825"/>
      <c r="S58" s="1825"/>
      <c r="T58" s="1826"/>
      <c r="U58" s="1825"/>
      <c r="V58" s="1825"/>
      <c r="W58" s="1826"/>
      <c r="X58" s="1692"/>
      <c r="Y58" s="1695"/>
      <c r="Z58" s="1695"/>
      <c r="AA58" s="1695"/>
      <c r="AB58" s="1695"/>
      <c r="AC58" s="1695"/>
      <c r="AD58" s="1695"/>
      <c r="AE58" s="1695"/>
      <c r="AF58" s="1695"/>
      <c r="AG58" s="1696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1827"/>
      <c r="B60" s="1710" t="s">
        <v>29</v>
      </c>
      <c r="C60" s="1711">
        <v>1</v>
      </c>
      <c r="D60" s="1712">
        <v>2</v>
      </c>
      <c r="E60" s="1712">
        <v>3</v>
      </c>
      <c r="F60" s="1712">
        <v>4</v>
      </c>
      <c r="G60" s="1712">
        <v>5</v>
      </c>
      <c r="H60" s="1712">
        <v>6</v>
      </c>
      <c r="I60" s="1711">
        <v>7</v>
      </c>
      <c r="J60" s="1711">
        <v>8</v>
      </c>
      <c r="K60" s="1712">
        <v>9</v>
      </c>
      <c r="L60" s="1712">
        <v>10</v>
      </c>
      <c r="M60" s="1712">
        <v>11</v>
      </c>
      <c r="N60" s="1712">
        <v>12</v>
      </c>
      <c r="O60" s="1712">
        <v>13</v>
      </c>
      <c r="P60" s="1711">
        <v>14</v>
      </c>
      <c r="Q60" s="1711">
        <v>15</v>
      </c>
      <c r="R60" s="1712">
        <v>16</v>
      </c>
      <c r="S60" s="1712">
        <v>17</v>
      </c>
      <c r="T60" s="1712">
        <v>18</v>
      </c>
      <c r="U60" s="1712">
        <v>19</v>
      </c>
      <c r="V60" s="1712">
        <v>20</v>
      </c>
      <c r="W60" s="1711">
        <v>21</v>
      </c>
      <c r="X60" s="1711">
        <v>22</v>
      </c>
      <c r="Y60" s="1712">
        <v>23</v>
      </c>
      <c r="Z60" s="1712">
        <v>24</v>
      </c>
      <c r="AA60" s="1712">
        <v>25</v>
      </c>
      <c r="AB60" s="1712">
        <v>26</v>
      </c>
      <c r="AC60" s="1712">
        <v>27</v>
      </c>
      <c r="AD60" s="1711">
        <v>28</v>
      </c>
      <c r="AE60" s="1711">
        <v>29</v>
      </c>
      <c r="AF60" s="1712">
        <v>30</v>
      </c>
      <c r="AG60" s="1713">
        <v>31</v>
      </c>
      <c r="AH60" s="1"/>
      <c r="AJ60" s="1714" t="s">
        <v>30</v>
      </c>
      <c r="AK60" s="1714" t="s">
        <v>43</v>
      </c>
      <c r="AL60" s="1714" t="s">
        <v>44</v>
      </c>
      <c r="AM60" s="1714" t="s">
        <v>45</v>
      </c>
      <c r="AN60" s="1714" t="s">
        <v>46</v>
      </c>
    </row>
    <row r="61" spans="1:40" ht="22.35" customHeight="1" thickBot="1">
      <c r="A61" s="303"/>
      <c r="B61" s="304" t="s">
        <v>107</v>
      </c>
      <c r="C61" s="305"/>
      <c r="D61" s="305">
        <v>7</v>
      </c>
      <c r="E61" s="305">
        <v>7</v>
      </c>
      <c r="F61" s="305">
        <v>7</v>
      </c>
      <c r="G61" s="305">
        <v>7</v>
      </c>
      <c r="H61" s="305">
        <v>7</v>
      </c>
      <c r="I61" s="305"/>
      <c r="J61" s="305"/>
      <c r="K61" s="1748">
        <v>3</v>
      </c>
      <c r="L61" s="1748">
        <v>3</v>
      </c>
      <c r="M61" s="1748">
        <v>3</v>
      </c>
      <c r="N61" s="1748">
        <v>3</v>
      </c>
      <c r="O61" s="1748">
        <v>3</v>
      </c>
      <c r="P61" s="306"/>
      <c r="Q61" s="307"/>
      <c r="R61" s="305">
        <v>25</v>
      </c>
      <c r="S61" s="598">
        <v>25</v>
      </c>
      <c r="T61" s="600">
        <v>25</v>
      </c>
      <c r="U61" s="600">
        <v>25</v>
      </c>
      <c r="V61" s="600">
        <v>25</v>
      </c>
      <c r="W61" s="507"/>
      <c r="X61" s="305"/>
      <c r="Y61" s="1760">
        <v>69</v>
      </c>
      <c r="Z61" s="1828">
        <v>69</v>
      </c>
      <c r="AA61" s="1760">
        <v>69</v>
      </c>
      <c r="AB61" s="1760">
        <v>69</v>
      </c>
      <c r="AC61" s="1760">
        <v>69</v>
      </c>
      <c r="AD61" s="1795" t="s">
        <v>111</v>
      </c>
      <c r="AE61" s="305"/>
      <c r="AF61" s="305" t="s">
        <v>108</v>
      </c>
      <c r="AG61" s="397" t="s">
        <v>108</v>
      </c>
      <c r="AH61" s="1"/>
      <c r="AJ61" s="1742">
        <v>169.25</v>
      </c>
      <c r="AK61" s="1742">
        <v>4.75</v>
      </c>
      <c r="AL61" s="1742">
        <f>IF(AJ61="","",SUM(AJ61:AK61))</f>
        <v>174</v>
      </c>
      <c r="AM61" s="1743">
        <f t="shared" ref="AM61:AM75" si="1">IF(AJ61="","",AL61-NormTid)</f>
        <v>13.669999999999987</v>
      </c>
      <c r="AN61" s="1743">
        <f>IF(AM61="","",AM61+'Juli 2021'!AN61)</f>
        <v>96.109999999999957</v>
      </c>
    </row>
    <row r="62" spans="1:40" ht="22.35" customHeight="1">
      <c r="A62" s="1745"/>
      <c r="B62" s="1829" t="s">
        <v>110</v>
      </c>
      <c r="C62" s="1747"/>
      <c r="D62" s="1747" t="s">
        <v>32</v>
      </c>
      <c r="E62" s="1747" t="s">
        <v>32</v>
      </c>
      <c r="F62" s="1747" t="s">
        <v>32</v>
      </c>
      <c r="G62" s="1747" t="s">
        <v>32</v>
      </c>
      <c r="H62" s="1747" t="s">
        <v>32</v>
      </c>
      <c r="I62" s="1747"/>
      <c r="J62" s="1747"/>
      <c r="K62" s="1747" t="s">
        <v>32</v>
      </c>
      <c r="L62" s="1747" t="s">
        <v>32</v>
      </c>
      <c r="M62" s="1747" t="s">
        <v>32</v>
      </c>
      <c r="N62" s="1747" t="s">
        <v>32</v>
      </c>
      <c r="O62" s="1747" t="s">
        <v>32</v>
      </c>
      <c r="P62" s="1747"/>
      <c r="Q62" s="1747"/>
      <c r="R62" s="1740" t="s">
        <v>242</v>
      </c>
      <c r="S62" s="1748" t="s">
        <v>242</v>
      </c>
      <c r="T62" s="1830" t="s">
        <v>242</v>
      </c>
      <c r="U62" s="1831" t="s">
        <v>242</v>
      </c>
      <c r="V62" s="1831" t="s">
        <v>242</v>
      </c>
      <c r="W62" s="1748"/>
      <c r="X62" s="1748"/>
      <c r="Y62" s="305">
        <v>25</v>
      </c>
      <c r="Z62" s="305">
        <v>25</v>
      </c>
      <c r="AA62" s="305">
        <v>25</v>
      </c>
      <c r="AB62" s="305">
        <v>25</v>
      </c>
      <c r="AC62" s="305">
        <v>25</v>
      </c>
      <c r="AD62" s="1748">
        <v>22</v>
      </c>
      <c r="AE62" s="1748"/>
      <c r="AF62" s="1748" t="s">
        <v>242</v>
      </c>
      <c r="AG62" s="1756" t="s">
        <v>242</v>
      </c>
      <c r="AH62" s="1"/>
      <c r="AJ62" s="1742">
        <v>170.5</v>
      </c>
      <c r="AK62" s="1742">
        <v>3.75</v>
      </c>
      <c r="AL62" s="1742">
        <f t="shared" ref="AL62:AL75" si="2">IF(AJ62="","",SUM(AJ62:AK62))</f>
        <v>174.25</v>
      </c>
      <c r="AM62" s="1743">
        <f t="shared" si="1"/>
        <v>13.919999999999987</v>
      </c>
      <c r="AN62" s="1743">
        <f>IF(AM62="","",AM62+'Juli 2021'!AN62)</f>
        <v>61.349999999999952</v>
      </c>
    </row>
    <row r="63" spans="1:40" ht="22.35" customHeight="1" thickBot="1">
      <c r="A63" s="1745"/>
      <c r="B63" s="1745" t="s">
        <v>112</v>
      </c>
      <c r="C63" s="1754" t="s">
        <v>111</v>
      </c>
      <c r="D63" s="1754">
        <v>25</v>
      </c>
      <c r="E63" s="1754">
        <v>25</v>
      </c>
      <c r="F63" s="1754">
        <v>25</v>
      </c>
      <c r="G63" s="1754">
        <v>25</v>
      </c>
      <c r="H63" s="1754">
        <v>25</v>
      </c>
      <c r="I63" s="1754"/>
      <c r="J63" s="1754"/>
      <c r="K63" s="1754" t="s">
        <v>108</v>
      </c>
      <c r="L63" s="1754" t="s">
        <v>108</v>
      </c>
      <c r="M63" s="1754" t="s">
        <v>108</v>
      </c>
      <c r="N63" s="1754" t="s">
        <v>108</v>
      </c>
      <c r="O63" s="1754" t="s">
        <v>108</v>
      </c>
      <c r="P63" s="1754"/>
      <c r="Q63" s="1754"/>
      <c r="R63" s="1832">
        <v>9</v>
      </c>
      <c r="S63" s="1832">
        <v>9</v>
      </c>
      <c r="T63" s="1833">
        <v>9</v>
      </c>
      <c r="U63" s="1832">
        <v>9</v>
      </c>
      <c r="V63" s="1832">
        <v>9</v>
      </c>
      <c r="W63" s="1833" t="s">
        <v>76</v>
      </c>
      <c r="X63" s="1833" t="s">
        <v>76</v>
      </c>
      <c r="Y63" s="1833" t="s">
        <v>36</v>
      </c>
      <c r="Z63" s="1833" t="s">
        <v>36</v>
      </c>
      <c r="AA63" s="1832" t="s">
        <v>36</v>
      </c>
      <c r="AB63" s="1832" t="s">
        <v>36</v>
      </c>
      <c r="AC63" s="1833" t="s">
        <v>50</v>
      </c>
      <c r="AD63" s="1833" t="s">
        <v>0</v>
      </c>
      <c r="AE63" s="1833" t="s">
        <v>74</v>
      </c>
      <c r="AF63" s="1833">
        <v>6</v>
      </c>
      <c r="AG63" s="1834">
        <v>6</v>
      </c>
      <c r="AH63" s="1"/>
      <c r="AJ63" s="1742">
        <v>156.5</v>
      </c>
      <c r="AK63" s="1742">
        <v>10.25</v>
      </c>
      <c r="AL63" s="1742">
        <f t="shared" si="2"/>
        <v>166.75</v>
      </c>
      <c r="AM63" s="1743">
        <f t="shared" si="1"/>
        <v>6.4199999999999875</v>
      </c>
      <c r="AN63" s="1743">
        <f>IF(AM63="","",AM63+'Juli 2021'!AN63)</f>
        <v>10.349999999999952</v>
      </c>
    </row>
    <row r="64" spans="1:40" ht="22.35" customHeight="1">
      <c r="A64" s="1745"/>
      <c r="B64" s="1745" t="s">
        <v>114</v>
      </c>
      <c r="C64" s="1748"/>
      <c r="D64" s="1748" t="s">
        <v>116</v>
      </c>
      <c r="E64" s="1748" t="s">
        <v>116</v>
      </c>
      <c r="F64" s="1748" t="s">
        <v>116</v>
      </c>
      <c r="G64" s="1748" t="s">
        <v>116</v>
      </c>
      <c r="H64" s="1748" t="s">
        <v>116</v>
      </c>
      <c r="I64" s="1748" t="s">
        <v>109</v>
      </c>
      <c r="J64" s="1748" t="s">
        <v>109</v>
      </c>
      <c r="K64" s="1835" t="s">
        <v>36</v>
      </c>
      <c r="L64" s="1835" t="s">
        <v>36</v>
      </c>
      <c r="M64" s="1835" t="s">
        <v>36</v>
      </c>
      <c r="N64" s="1836" t="s">
        <v>127</v>
      </c>
      <c r="O64" s="1836" t="s">
        <v>32</v>
      </c>
      <c r="P64" s="1740"/>
      <c r="Q64" s="1740"/>
      <c r="R64" s="1758">
        <v>5</v>
      </c>
      <c r="S64" s="1758">
        <v>5</v>
      </c>
      <c r="T64" s="1758" t="s">
        <v>108</v>
      </c>
      <c r="U64" s="1758">
        <v>5</v>
      </c>
      <c r="V64" s="1758">
        <v>5</v>
      </c>
      <c r="W64" s="1740"/>
      <c r="X64" s="1748"/>
      <c r="Y64" s="606" t="s">
        <v>125</v>
      </c>
      <c r="Z64" s="606" t="s">
        <v>125</v>
      </c>
      <c r="AA64" s="606" t="s">
        <v>125</v>
      </c>
      <c r="AB64" s="606" t="s">
        <v>125</v>
      </c>
      <c r="AC64" s="606" t="s">
        <v>125</v>
      </c>
      <c r="AD64" s="1748"/>
      <c r="AE64" s="1837">
        <v>22</v>
      </c>
      <c r="AF64" s="1837">
        <v>25</v>
      </c>
      <c r="AG64" s="1838" t="s">
        <v>36</v>
      </c>
      <c r="AH64" s="1"/>
      <c r="AJ64" s="1742">
        <v>172.5</v>
      </c>
      <c r="AK64" s="1742">
        <v>6.5</v>
      </c>
      <c r="AL64" s="1742">
        <f t="shared" si="2"/>
        <v>179</v>
      </c>
      <c r="AM64" s="1743">
        <f t="shared" si="1"/>
        <v>18.669999999999987</v>
      </c>
      <c r="AN64" s="1743">
        <f>IF(AM64="","",AM64+'Juli 2021'!AN64)</f>
        <v>133.34999999999997</v>
      </c>
    </row>
    <row r="65" spans="1:40" ht="22.35" customHeight="1">
      <c r="A65" s="1745"/>
      <c r="B65" s="1745" t="s">
        <v>117</v>
      </c>
      <c r="C65" s="1756" t="s">
        <v>109</v>
      </c>
      <c r="D65" s="1748" t="s">
        <v>36</v>
      </c>
      <c r="E65" s="1493" t="s">
        <v>115</v>
      </c>
      <c r="F65" s="1493" t="s">
        <v>115</v>
      </c>
      <c r="G65" s="1493" t="s">
        <v>115</v>
      </c>
      <c r="H65" s="1493" t="s">
        <v>115</v>
      </c>
      <c r="I65" s="1748"/>
      <c r="J65" s="1748"/>
      <c r="K65" s="1748" t="s">
        <v>50</v>
      </c>
      <c r="L65" s="1748" t="s">
        <v>50</v>
      </c>
      <c r="M65" s="1748" t="s">
        <v>50</v>
      </c>
      <c r="N65" s="1740" t="s">
        <v>50</v>
      </c>
      <c r="O65" s="1740" t="s">
        <v>50</v>
      </c>
      <c r="P65" s="1740" t="s">
        <v>109</v>
      </c>
      <c r="Q65" s="1751" t="s">
        <v>109</v>
      </c>
      <c r="R65" s="1740" t="s">
        <v>36</v>
      </c>
      <c r="S65" s="1493">
        <v>3</v>
      </c>
      <c r="T65" s="1748" t="s">
        <v>50</v>
      </c>
      <c r="U65" s="1740" t="s">
        <v>50</v>
      </c>
      <c r="V65" s="1740" t="s">
        <v>124</v>
      </c>
      <c r="W65" s="1740"/>
      <c r="X65" s="1740"/>
      <c r="Y65" s="1782">
        <v>3</v>
      </c>
      <c r="Z65" s="1758">
        <v>3</v>
      </c>
      <c r="AA65" s="1758" t="s">
        <v>36</v>
      </c>
      <c r="AB65" s="1740">
        <v>10</v>
      </c>
      <c r="AC65" s="1839">
        <v>23</v>
      </c>
      <c r="AD65" s="1837">
        <v>23</v>
      </c>
      <c r="AE65" s="1837" t="s">
        <v>0</v>
      </c>
      <c r="AF65" s="1839" t="s">
        <v>358</v>
      </c>
      <c r="AG65" s="1742">
        <v>89</v>
      </c>
      <c r="AH65" s="1"/>
      <c r="AJ65" s="1742">
        <v>138.75</v>
      </c>
      <c r="AK65" s="1742">
        <v>3.5</v>
      </c>
      <c r="AL65" s="1742">
        <f t="shared" si="2"/>
        <v>142.25</v>
      </c>
      <c r="AM65" s="1743">
        <f t="shared" si="1"/>
        <v>-18.080000000000013</v>
      </c>
      <c r="AN65" s="1743">
        <f>IF(AM65="","",AM65+'Juli 2021'!AN65)</f>
        <v>9.0999999999999517</v>
      </c>
    </row>
    <row r="66" spans="1:40" ht="22.35" customHeight="1">
      <c r="A66" s="1745"/>
      <c r="B66" s="1745" t="s">
        <v>119</v>
      </c>
      <c r="C66" s="1839"/>
      <c r="D66" s="1839" t="s">
        <v>32</v>
      </c>
      <c r="E66" s="1839" t="s">
        <v>32</v>
      </c>
      <c r="F66" s="1839" t="s">
        <v>32</v>
      </c>
      <c r="G66" s="1839" t="s">
        <v>32</v>
      </c>
      <c r="H66" s="1839" t="s">
        <v>32</v>
      </c>
      <c r="I66" s="1837"/>
      <c r="J66" s="1837"/>
      <c r="K66" s="1837" t="s">
        <v>32</v>
      </c>
      <c r="L66" s="1837" t="s">
        <v>32</v>
      </c>
      <c r="M66" s="1837" t="s">
        <v>32</v>
      </c>
      <c r="N66" s="1839" t="s">
        <v>32</v>
      </c>
      <c r="O66" s="1839" t="s">
        <v>32</v>
      </c>
      <c r="P66" s="1839"/>
      <c r="Q66" s="1840"/>
      <c r="R66" s="1839" t="s">
        <v>32</v>
      </c>
      <c r="S66" s="1837" t="s">
        <v>32</v>
      </c>
      <c r="T66" s="1837" t="s">
        <v>32</v>
      </c>
      <c r="U66" s="1839" t="s">
        <v>32</v>
      </c>
      <c r="V66" s="1839" t="s">
        <v>32</v>
      </c>
      <c r="W66" s="1839"/>
      <c r="X66" s="1837"/>
      <c r="Y66" s="1839" t="s">
        <v>32</v>
      </c>
      <c r="Z66" s="1837" t="s">
        <v>32</v>
      </c>
      <c r="AA66" s="1837" t="s">
        <v>32</v>
      </c>
      <c r="AB66" s="1837" t="s">
        <v>32</v>
      </c>
      <c r="AC66" s="1837" t="s">
        <v>32</v>
      </c>
      <c r="AD66" s="1837"/>
      <c r="AE66" s="1837"/>
      <c r="AF66" s="1837" t="s">
        <v>32</v>
      </c>
      <c r="AG66" s="1841" t="s">
        <v>32</v>
      </c>
      <c r="AH66" s="1"/>
      <c r="AJ66" s="1742"/>
      <c r="AK66" s="1742"/>
      <c r="AL66" s="1742" t="str">
        <f t="shared" si="2"/>
        <v/>
      </c>
      <c r="AM66" s="1743" t="str">
        <f t="shared" si="1"/>
        <v/>
      </c>
      <c r="AN66" s="1743" t="str">
        <f>IF(AM66="","",AM66+'Juli 2021'!AN66)</f>
        <v/>
      </c>
    </row>
    <row r="67" spans="1:40" ht="22.35" customHeight="1" thickBot="1">
      <c r="A67" s="1745"/>
      <c r="B67" s="1745" t="s">
        <v>120</v>
      </c>
      <c r="C67" s="1748"/>
      <c r="D67" s="1748" t="s">
        <v>122</v>
      </c>
      <c r="E67" s="1748" t="s">
        <v>122</v>
      </c>
      <c r="F67" s="1748" t="s">
        <v>122</v>
      </c>
      <c r="G67" s="1748" t="s">
        <v>122</v>
      </c>
      <c r="H67" s="1748" t="s">
        <v>122</v>
      </c>
      <c r="I67" s="1740"/>
      <c r="J67" s="1740"/>
      <c r="K67" s="1740" t="s">
        <v>122</v>
      </c>
      <c r="L67" s="1740" t="s">
        <v>122</v>
      </c>
      <c r="M67" s="1740" t="s">
        <v>122</v>
      </c>
      <c r="N67" s="1740" t="s">
        <v>122</v>
      </c>
      <c r="O67" s="1740" t="s">
        <v>122</v>
      </c>
      <c r="P67" s="1740"/>
      <c r="Q67" s="1740"/>
      <c r="R67" s="1740" t="s">
        <v>122</v>
      </c>
      <c r="S67" s="1740" t="s">
        <v>122</v>
      </c>
      <c r="T67" s="1740" t="s">
        <v>122</v>
      </c>
      <c r="U67" s="1740" t="s">
        <v>122</v>
      </c>
      <c r="V67" s="1740" t="s">
        <v>122</v>
      </c>
      <c r="W67" s="1740"/>
      <c r="X67" s="1748"/>
      <c r="Y67" s="1740" t="s">
        <v>122</v>
      </c>
      <c r="Z67" s="1748" t="s">
        <v>122</v>
      </c>
      <c r="AA67" s="1748" t="s">
        <v>122</v>
      </c>
      <c r="AB67" s="1748" t="s">
        <v>122</v>
      </c>
      <c r="AC67" s="1748" t="s">
        <v>122</v>
      </c>
      <c r="AD67" s="1748"/>
      <c r="AE67" s="1748"/>
      <c r="AF67" s="1748" t="s">
        <v>122</v>
      </c>
      <c r="AG67" s="1756" t="s">
        <v>122</v>
      </c>
      <c r="AH67" s="1"/>
      <c r="AJ67" s="1742">
        <v>163</v>
      </c>
      <c r="AK67" s="1742">
        <v>0</v>
      </c>
      <c r="AL67" s="1742">
        <f t="shared" si="2"/>
        <v>163</v>
      </c>
      <c r="AM67" s="1743">
        <f t="shared" si="1"/>
        <v>2.6699999999999875</v>
      </c>
      <c r="AN67" s="1743">
        <f>IF(AM67="","",AM67+'Juli 2021'!AN67)</f>
        <v>2.67999999999995</v>
      </c>
    </row>
    <row r="68" spans="1:40" ht="22.35" customHeight="1">
      <c r="A68" s="1757"/>
      <c r="B68" s="1829" t="s">
        <v>123</v>
      </c>
      <c r="C68" s="1835" t="s">
        <v>0</v>
      </c>
      <c r="D68" s="1748" t="s">
        <v>50</v>
      </c>
      <c r="E68" s="1748" t="s">
        <v>32</v>
      </c>
      <c r="F68" s="1748" t="s">
        <v>50</v>
      </c>
      <c r="G68" s="1748" t="s">
        <v>50</v>
      </c>
      <c r="H68" s="1748" t="s">
        <v>50</v>
      </c>
      <c r="I68" s="1748" t="s">
        <v>0</v>
      </c>
      <c r="J68" s="1748" t="s">
        <v>0</v>
      </c>
      <c r="K68" s="1748">
        <v>5</v>
      </c>
      <c r="L68" s="1748">
        <v>5</v>
      </c>
      <c r="M68" s="1748">
        <v>5</v>
      </c>
      <c r="N68" s="1748">
        <v>5</v>
      </c>
      <c r="O68" s="1493">
        <v>5</v>
      </c>
      <c r="P68" s="1740"/>
      <c r="Q68" s="1493" t="s">
        <v>73</v>
      </c>
      <c r="R68" s="577">
        <v>11</v>
      </c>
      <c r="S68" s="577">
        <v>11</v>
      </c>
      <c r="T68" s="577">
        <v>11</v>
      </c>
      <c r="U68" s="577">
        <v>11</v>
      </c>
      <c r="V68" s="577">
        <v>11</v>
      </c>
      <c r="W68" s="577" t="s">
        <v>73</v>
      </c>
      <c r="X68" s="577" t="s">
        <v>73</v>
      </c>
      <c r="Y68" s="577" t="s">
        <v>36</v>
      </c>
      <c r="Z68" s="577" t="s">
        <v>36</v>
      </c>
      <c r="AA68" s="574">
        <v>10</v>
      </c>
      <c r="AB68" s="577" t="s">
        <v>36</v>
      </c>
      <c r="AC68" s="605" t="s">
        <v>36</v>
      </c>
      <c r="AD68" s="577" t="s">
        <v>109</v>
      </c>
      <c r="AE68" s="577" t="s">
        <v>74</v>
      </c>
      <c r="AF68" s="577">
        <v>8</v>
      </c>
      <c r="AG68" s="578">
        <v>8</v>
      </c>
      <c r="AH68" s="1"/>
      <c r="AJ68" s="1742">
        <v>177.5</v>
      </c>
      <c r="AK68" s="1742">
        <v>10.5</v>
      </c>
      <c r="AL68" s="1742">
        <f t="shared" si="2"/>
        <v>188</v>
      </c>
      <c r="AM68" s="1743">
        <f t="shared" si="1"/>
        <v>27.669999999999987</v>
      </c>
      <c r="AN68" s="1743">
        <f>IF(AM68="","",AM68+'Juli 2021'!AN68)</f>
        <v>90.849999999999952</v>
      </c>
    </row>
    <row r="69" spans="1:40" ht="22.35" customHeight="1" thickBot="1">
      <c r="A69" s="1745"/>
      <c r="B69" s="1745" t="s">
        <v>128</v>
      </c>
      <c r="C69" s="1747"/>
      <c r="D69" s="1747" t="s">
        <v>32</v>
      </c>
      <c r="E69" s="1747" t="s">
        <v>32</v>
      </c>
      <c r="F69" s="1747" t="s">
        <v>32</v>
      </c>
      <c r="G69" s="1747" t="s">
        <v>32</v>
      </c>
      <c r="H69" s="1747" t="s">
        <v>32</v>
      </c>
      <c r="I69" s="1747"/>
      <c r="J69" s="1747"/>
      <c r="K69" s="1747" t="s">
        <v>32</v>
      </c>
      <c r="L69" s="1747" t="s">
        <v>32</v>
      </c>
      <c r="M69" s="1747" t="s">
        <v>32</v>
      </c>
      <c r="N69" s="1747" t="s">
        <v>32</v>
      </c>
      <c r="O69" s="1747" t="s">
        <v>32</v>
      </c>
      <c r="P69" s="1747"/>
      <c r="Q69" s="1747"/>
      <c r="R69" s="1842">
        <v>69</v>
      </c>
      <c r="S69" s="1730">
        <v>69</v>
      </c>
      <c r="T69" s="1730" t="s">
        <v>242</v>
      </c>
      <c r="U69" s="1730" t="s">
        <v>242</v>
      </c>
      <c r="V69" s="1730" t="s">
        <v>345</v>
      </c>
      <c r="W69" s="1748"/>
      <c r="X69" s="1748"/>
      <c r="Y69" s="1748" t="s">
        <v>113</v>
      </c>
      <c r="Z69" s="1748" t="s">
        <v>113</v>
      </c>
      <c r="AA69" s="1843" t="s">
        <v>113</v>
      </c>
      <c r="AB69" s="1748" t="s">
        <v>113</v>
      </c>
      <c r="AC69" s="1748" t="s">
        <v>113</v>
      </c>
      <c r="AD69" s="1844"/>
      <c r="AE69" s="1748"/>
      <c r="AF69" s="1748" t="s">
        <v>113</v>
      </c>
      <c r="AG69" s="1756" t="s">
        <v>113</v>
      </c>
      <c r="AH69" s="1"/>
      <c r="AJ69" s="1742">
        <v>162</v>
      </c>
      <c r="AK69" s="1742">
        <v>0.5</v>
      </c>
      <c r="AL69" s="1742">
        <f t="shared" si="2"/>
        <v>162.5</v>
      </c>
      <c r="AM69" s="1743">
        <f t="shared" si="1"/>
        <v>2.1699999999999875</v>
      </c>
      <c r="AN69" s="1743">
        <f>IF(AM69="","",AM69+'Juli 2021'!AN69)</f>
        <v>3.8499999999999499</v>
      </c>
    </row>
    <row r="70" spans="1:40" ht="22.35" customHeight="1">
      <c r="A70" s="1745"/>
      <c r="B70" s="1745" t="s">
        <v>130</v>
      </c>
      <c r="C70" s="1748"/>
      <c r="D70" s="1748" t="s">
        <v>115</v>
      </c>
      <c r="E70" s="1748" t="s">
        <v>50</v>
      </c>
      <c r="F70" s="1748" t="s">
        <v>32</v>
      </c>
      <c r="G70" s="1748" t="s">
        <v>32</v>
      </c>
      <c r="H70" s="1748" t="s">
        <v>50</v>
      </c>
      <c r="I70" s="1748"/>
      <c r="J70" s="1748"/>
      <c r="K70" s="1748">
        <v>25</v>
      </c>
      <c r="L70" s="1493">
        <v>25</v>
      </c>
      <c r="M70" s="1493">
        <v>25</v>
      </c>
      <c r="N70" s="1758">
        <v>25</v>
      </c>
      <c r="O70" s="1758">
        <v>25</v>
      </c>
      <c r="P70" s="1748" t="s">
        <v>73</v>
      </c>
      <c r="Q70" s="1748" t="s">
        <v>0</v>
      </c>
      <c r="R70" s="1493" t="s">
        <v>36</v>
      </c>
      <c r="S70" s="1493" t="s">
        <v>36</v>
      </c>
      <c r="T70" s="1493" t="s">
        <v>36</v>
      </c>
      <c r="U70" s="1493" t="s">
        <v>36</v>
      </c>
      <c r="V70" s="1748" t="s">
        <v>36</v>
      </c>
      <c r="W70" s="1759" t="s">
        <v>74</v>
      </c>
      <c r="X70" s="1748" t="s">
        <v>109</v>
      </c>
      <c r="Y70" s="1748">
        <v>8</v>
      </c>
      <c r="Z70" s="1493">
        <v>8</v>
      </c>
      <c r="AA70" s="1748">
        <v>8</v>
      </c>
      <c r="AB70" s="1748">
        <v>8</v>
      </c>
      <c r="AC70" s="1748">
        <v>8</v>
      </c>
      <c r="AD70" s="1748" t="s">
        <v>111</v>
      </c>
      <c r="AE70" s="1748" t="s">
        <v>111</v>
      </c>
      <c r="AF70" s="1830">
        <v>25</v>
      </c>
      <c r="AG70" s="1740">
        <v>25</v>
      </c>
      <c r="AH70" s="1"/>
      <c r="AJ70" s="1742">
        <v>142.25</v>
      </c>
      <c r="AK70" s="1742">
        <v>8.75</v>
      </c>
      <c r="AL70" s="1742">
        <f t="shared" si="2"/>
        <v>151</v>
      </c>
      <c r="AM70" s="1743">
        <f t="shared" si="1"/>
        <v>-9.3300000000000125</v>
      </c>
      <c r="AN70" s="1743">
        <f>IF(AM70="","",AM70+'Juli 2021'!AN70)</f>
        <v>27.099999999999952</v>
      </c>
    </row>
    <row r="71" spans="1:40" ht="22.35" customHeight="1">
      <c r="A71" s="1745"/>
      <c r="B71" s="1745" t="s">
        <v>131</v>
      </c>
      <c r="C71" s="1748" t="s">
        <v>80</v>
      </c>
      <c r="D71" s="1748" t="s">
        <v>36</v>
      </c>
      <c r="E71" s="1748" t="s">
        <v>36</v>
      </c>
      <c r="F71" s="1748" t="s">
        <v>36</v>
      </c>
      <c r="G71" s="1748" t="s">
        <v>127</v>
      </c>
      <c r="H71" s="1748">
        <v>4</v>
      </c>
      <c r="I71" s="1748"/>
      <c r="J71" s="1748"/>
      <c r="K71" s="1748" t="s">
        <v>246</v>
      </c>
      <c r="L71" s="1748" t="s">
        <v>246</v>
      </c>
      <c r="M71" s="1748" t="s">
        <v>246</v>
      </c>
      <c r="N71" s="1748" t="s">
        <v>246</v>
      </c>
      <c r="O71" s="1748" t="s">
        <v>246</v>
      </c>
      <c r="P71" s="1748"/>
      <c r="Q71" s="1748"/>
      <c r="R71" s="1748" t="s">
        <v>246</v>
      </c>
      <c r="S71" s="1748" t="s">
        <v>246</v>
      </c>
      <c r="T71" s="1493" t="s">
        <v>246</v>
      </c>
      <c r="U71" s="1748" t="s">
        <v>246</v>
      </c>
      <c r="V71" s="1748" t="s">
        <v>246</v>
      </c>
      <c r="W71" s="1748"/>
      <c r="X71" s="1748"/>
      <c r="Y71" s="1748" t="s">
        <v>246</v>
      </c>
      <c r="Z71" s="1748" t="s">
        <v>246</v>
      </c>
      <c r="AA71" s="1748" t="s">
        <v>246</v>
      </c>
      <c r="AB71" s="1748" t="s">
        <v>246</v>
      </c>
      <c r="AC71" s="1748" t="s">
        <v>246</v>
      </c>
      <c r="AD71" s="1748" t="s">
        <v>111</v>
      </c>
      <c r="AE71" s="1748"/>
      <c r="AF71" s="1748" t="s">
        <v>124</v>
      </c>
      <c r="AG71" s="1756" t="s">
        <v>124</v>
      </c>
      <c r="AH71" s="1"/>
      <c r="AJ71" s="1742">
        <v>152</v>
      </c>
      <c r="AK71" s="1742">
        <v>0.25</v>
      </c>
      <c r="AL71" s="1742">
        <f t="shared" si="2"/>
        <v>152.25</v>
      </c>
      <c r="AM71" s="1743">
        <f t="shared" si="1"/>
        <v>-8.0800000000000125</v>
      </c>
      <c r="AN71" s="1743">
        <f>IF(AM71="","",AM71+'Juli 2021'!AN71)</f>
        <v>43.35999999999995</v>
      </c>
    </row>
    <row r="72" spans="1:40" ht="22.35" customHeight="1" thickBot="1">
      <c r="A72" s="1745"/>
      <c r="B72" s="1745" t="s">
        <v>133</v>
      </c>
      <c r="C72" s="1747"/>
      <c r="D72" s="1747" t="s">
        <v>32</v>
      </c>
      <c r="E72" s="1747" t="s">
        <v>32</v>
      </c>
      <c r="F72" s="1747" t="s">
        <v>32</v>
      </c>
      <c r="G72" s="1747" t="s">
        <v>32</v>
      </c>
      <c r="H72" s="1747" t="s">
        <v>32</v>
      </c>
      <c r="I72" s="1747"/>
      <c r="J72" s="1747"/>
      <c r="K72" s="1747" t="s">
        <v>32</v>
      </c>
      <c r="L72" s="1747" t="s">
        <v>32</v>
      </c>
      <c r="M72" s="1747" t="s">
        <v>32</v>
      </c>
      <c r="N72" s="1747" t="s">
        <v>32</v>
      </c>
      <c r="O72" s="1747" t="s">
        <v>32</v>
      </c>
      <c r="P72" s="1747"/>
      <c r="Q72" s="1747"/>
      <c r="R72" s="1845" t="s">
        <v>32</v>
      </c>
      <c r="S72" s="1846" t="s">
        <v>32</v>
      </c>
      <c r="T72" s="1748" t="s">
        <v>32</v>
      </c>
      <c r="U72" s="1748" t="s">
        <v>32</v>
      </c>
      <c r="V72" s="1748" t="s">
        <v>32</v>
      </c>
      <c r="W72" s="1748" t="s">
        <v>0</v>
      </c>
      <c r="X72" s="1748"/>
      <c r="Y72" s="1748" t="s">
        <v>50</v>
      </c>
      <c r="Z72" s="1748" t="s">
        <v>50</v>
      </c>
      <c r="AA72" s="1748" t="s">
        <v>50</v>
      </c>
      <c r="AB72" s="1748" t="s">
        <v>32</v>
      </c>
      <c r="AC72" s="1748" t="s">
        <v>32</v>
      </c>
      <c r="AD72" s="1847" t="s">
        <v>74</v>
      </c>
      <c r="AE72" s="1847"/>
      <c r="AF72" s="1847" t="s">
        <v>50</v>
      </c>
      <c r="AG72" s="1847" t="s">
        <v>50</v>
      </c>
      <c r="AH72" s="1"/>
      <c r="AJ72" s="1742">
        <v>164.5</v>
      </c>
      <c r="AK72" s="1742">
        <v>3.25</v>
      </c>
      <c r="AL72" s="1742">
        <f t="shared" si="2"/>
        <v>167.75</v>
      </c>
      <c r="AM72" s="1743">
        <f t="shared" si="1"/>
        <v>7.4199999999999875</v>
      </c>
      <c r="AN72" s="1743">
        <f>IF(AM72="","",AM72+'Juli 2021'!AN72)</f>
        <v>5.3599999999999497</v>
      </c>
    </row>
    <row r="73" spans="1:40" ht="22.35" customHeight="1">
      <c r="A73" s="1848"/>
      <c r="B73" s="1757" t="s">
        <v>134</v>
      </c>
      <c r="C73" s="1748"/>
      <c r="D73" s="350">
        <v>3</v>
      </c>
      <c r="E73" s="361">
        <v>3</v>
      </c>
      <c r="F73" s="349">
        <v>3</v>
      </c>
      <c r="G73" s="349">
        <v>3</v>
      </c>
      <c r="H73" s="349">
        <v>3</v>
      </c>
      <c r="I73" s="349"/>
      <c r="J73" s="349"/>
      <c r="K73" s="349">
        <v>11</v>
      </c>
      <c r="L73" s="349">
        <v>11</v>
      </c>
      <c r="M73" s="349">
        <v>11</v>
      </c>
      <c r="N73" s="349">
        <v>11</v>
      </c>
      <c r="O73" s="349">
        <v>11</v>
      </c>
      <c r="P73" s="566" t="s">
        <v>73</v>
      </c>
      <c r="Q73" s="566" t="s">
        <v>73</v>
      </c>
      <c r="R73" s="541" t="s">
        <v>36</v>
      </c>
      <c r="S73" s="541" t="s">
        <v>36</v>
      </c>
      <c r="T73" s="541" t="s">
        <v>36</v>
      </c>
      <c r="U73" s="541" t="s">
        <v>36</v>
      </c>
      <c r="V73" s="541" t="s">
        <v>36</v>
      </c>
      <c r="W73" s="541" t="s">
        <v>74</v>
      </c>
      <c r="X73" s="541" t="s">
        <v>74</v>
      </c>
      <c r="Y73" s="541">
        <v>8</v>
      </c>
      <c r="Z73" s="541">
        <v>8</v>
      </c>
      <c r="AA73" s="541">
        <v>8</v>
      </c>
      <c r="AB73" s="541">
        <v>8</v>
      </c>
      <c r="AC73" s="541">
        <v>8</v>
      </c>
      <c r="AD73" s="541"/>
      <c r="AE73" s="541"/>
      <c r="AF73" s="541" t="s">
        <v>36</v>
      </c>
      <c r="AG73" s="531" t="s">
        <v>36</v>
      </c>
      <c r="AH73" s="1"/>
      <c r="AJ73" s="1742"/>
      <c r="AK73" s="1742"/>
      <c r="AL73" s="1742" t="str">
        <f t="shared" si="2"/>
        <v/>
      </c>
      <c r="AM73" s="1743" t="str">
        <f t="shared" si="1"/>
        <v/>
      </c>
      <c r="AN73" s="1743" t="str">
        <f>IF(AM73="","",AM73+'Juli 2021'!AN73)</f>
        <v/>
      </c>
    </row>
    <row r="74" spans="1:40" ht="22.35" customHeight="1">
      <c r="A74" s="1745"/>
      <c r="B74" s="1745" t="s">
        <v>137</v>
      </c>
      <c r="C74" s="1748"/>
      <c r="D74" s="1782" t="s">
        <v>32</v>
      </c>
      <c r="E74" s="1849" t="s">
        <v>32</v>
      </c>
      <c r="F74" s="1849" t="s">
        <v>32</v>
      </c>
      <c r="G74" s="1849" t="s">
        <v>32</v>
      </c>
      <c r="H74" s="1849" t="s">
        <v>32</v>
      </c>
      <c r="I74" s="1748"/>
      <c r="J74" s="1748"/>
      <c r="K74" s="1741" t="s">
        <v>32</v>
      </c>
      <c r="L74" s="1746" t="s">
        <v>32</v>
      </c>
      <c r="M74" s="1850" t="s">
        <v>32</v>
      </c>
      <c r="N74" s="1741" t="s">
        <v>32</v>
      </c>
      <c r="O74" s="1850" t="s">
        <v>32</v>
      </c>
      <c r="P74" s="1746"/>
      <c r="Q74" s="1746"/>
      <c r="R74" s="1747" t="s">
        <v>32</v>
      </c>
      <c r="S74" s="1747" t="s">
        <v>32</v>
      </c>
      <c r="T74" s="1747" t="s">
        <v>32</v>
      </c>
      <c r="U74" s="1747" t="s">
        <v>32</v>
      </c>
      <c r="V74" s="1747" t="s">
        <v>32</v>
      </c>
      <c r="W74" s="1746"/>
      <c r="X74" s="1746"/>
      <c r="Y74" s="1741" t="s">
        <v>32</v>
      </c>
      <c r="Z74" s="1746" t="s">
        <v>32</v>
      </c>
      <c r="AA74" s="1741" t="s">
        <v>32</v>
      </c>
      <c r="AB74" s="1741" t="s">
        <v>32</v>
      </c>
      <c r="AC74" s="1741" t="s">
        <v>32</v>
      </c>
      <c r="AD74" s="1746"/>
      <c r="AE74" s="1746"/>
      <c r="AF74" s="1741" t="s">
        <v>32</v>
      </c>
      <c r="AG74" s="1746" t="s">
        <v>32</v>
      </c>
      <c r="AH74" s="1"/>
      <c r="AJ74" s="1742"/>
      <c r="AK74" s="1742"/>
      <c r="AL74" s="1742" t="str">
        <f t="shared" si="2"/>
        <v/>
      </c>
      <c r="AM74" s="1743" t="str">
        <f t="shared" si="1"/>
        <v/>
      </c>
      <c r="AN74" s="1743" t="str">
        <f>IF(AM74="","",AM74+'Juli 2021'!AN74)</f>
        <v/>
      </c>
    </row>
    <row r="75" spans="1:40" ht="22.35" customHeight="1">
      <c r="AJ75" s="1742"/>
      <c r="AK75" s="1742"/>
      <c r="AL75" s="1742" t="str">
        <f t="shared" si="2"/>
        <v/>
      </c>
      <c r="AM75" s="1743" t="str">
        <f t="shared" si="1"/>
        <v/>
      </c>
      <c r="AN75" s="1743" t="str">
        <f>IF(AM75="","",AM75+'Juli 2021'!AN75)</f>
        <v/>
      </c>
    </row>
    <row r="76" spans="1:40" ht="22.35" customHeight="1">
      <c r="AJ76" s="1742"/>
      <c r="AK76" s="1742"/>
      <c r="AL76" s="1742" t="str">
        <f t="shared" ref="AL76" si="3">IF(AJ76="","",SUM(AJ76:AK76))</f>
        <v/>
      </c>
      <c r="AM76" s="1743" t="str">
        <f t="shared" ref="AM76" si="4">IF(AJ76="","",AL76-NormTid)</f>
        <v/>
      </c>
      <c r="AN76" s="1743" t="str">
        <f>IF(AM76="","",AM76+'Juli 2021'!AN76)</f>
        <v/>
      </c>
    </row>
    <row r="77" spans="1:40" ht="22.35" customHeight="1" thickBot="1">
      <c r="A77" s="1851"/>
      <c r="B77" s="1852" t="s">
        <v>138</v>
      </c>
      <c r="C77" s="1853">
        <v>1</v>
      </c>
      <c r="D77" s="1854">
        <v>2</v>
      </c>
      <c r="E77" s="1854">
        <v>3</v>
      </c>
      <c r="F77" s="1854">
        <v>4</v>
      </c>
      <c r="G77" s="1854">
        <v>5</v>
      </c>
      <c r="H77" s="1854">
        <v>6</v>
      </c>
      <c r="I77" s="1853">
        <v>7</v>
      </c>
      <c r="J77" s="1853">
        <v>8</v>
      </c>
      <c r="K77" s="1854">
        <v>9</v>
      </c>
      <c r="L77" s="1854">
        <v>10</v>
      </c>
      <c r="M77" s="1854">
        <v>11</v>
      </c>
      <c r="N77" s="1854">
        <v>12</v>
      </c>
      <c r="O77" s="1854">
        <v>13</v>
      </c>
      <c r="P77" s="1853">
        <v>14</v>
      </c>
      <c r="Q77" s="1853">
        <v>15</v>
      </c>
      <c r="R77" s="1854">
        <v>16</v>
      </c>
      <c r="S77" s="1854">
        <v>17</v>
      </c>
      <c r="T77" s="1854">
        <v>18</v>
      </c>
      <c r="U77" s="1854">
        <v>19</v>
      </c>
      <c r="V77" s="1854">
        <v>20</v>
      </c>
      <c r="W77" s="1853">
        <v>21</v>
      </c>
      <c r="X77" s="1853">
        <v>22</v>
      </c>
      <c r="Y77" s="1854">
        <v>23</v>
      </c>
      <c r="Z77" s="1854">
        <v>24</v>
      </c>
      <c r="AA77" s="1854">
        <v>25</v>
      </c>
      <c r="AB77" s="1854">
        <v>26</v>
      </c>
      <c r="AC77" s="1854">
        <v>27</v>
      </c>
      <c r="AD77" s="1853">
        <v>28</v>
      </c>
      <c r="AE77" s="1853">
        <v>29</v>
      </c>
      <c r="AF77" s="1854">
        <v>30</v>
      </c>
      <c r="AG77" s="1855">
        <v>31</v>
      </c>
      <c r="AH77" s="1"/>
    </row>
    <row r="78" spans="1:40" ht="22.35" customHeight="1">
      <c r="A78" s="308"/>
      <c r="B78" s="308" t="s">
        <v>139</v>
      </c>
      <c r="C78" s="1748" t="s">
        <v>74</v>
      </c>
      <c r="D78" s="1748">
        <v>6</v>
      </c>
      <c r="E78" s="1748">
        <v>6</v>
      </c>
      <c r="F78" s="1748">
        <v>6</v>
      </c>
      <c r="G78" s="1748">
        <v>6</v>
      </c>
      <c r="H78" s="1748">
        <v>6</v>
      </c>
      <c r="I78" s="1748"/>
      <c r="J78" s="1748"/>
      <c r="K78" s="591">
        <v>4</v>
      </c>
      <c r="L78" s="652" t="s">
        <v>334</v>
      </c>
      <c r="M78" s="305">
        <v>4</v>
      </c>
      <c r="N78" s="507">
        <v>4</v>
      </c>
      <c r="O78" s="507">
        <v>4</v>
      </c>
      <c r="P78" s="1740"/>
      <c r="Q78" s="1751"/>
      <c r="R78" s="1741" t="s">
        <v>32</v>
      </c>
      <c r="S78" s="1746" t="s">
        <v>32</v>
      </c>
      <c r="T78" s="1746" t="s">
        <v>32</v>
      </c>
      <c r="U78" s="1741" t="s">
        <v>32</v>
      </c>
      <c r="V78" s="1741" t="s">
        <v>32</v>
      </c>
      <c r="W78" s="1741"/>
      <c r="X78" s="1746"/>
      <c r="Y78" s="361">
        <v>79</v>
      </c>
      <c r="Z78" s="349">
        <v>79</v>
      </c>
      <c r="AA78" s="349">
        <v>79</v>
      </c>
      <c r="AB78" s="350">
        <v>79</v>
      </c>
      <c r="AC78" s="361">
        <v>79</v>
      </c>
      <c r="AD78" t="s">
        <v>73</v>
      </c>
      <c r="AE78" t="s">
        <v>73</v>
      </c>
      <c r="AF78" s="1748" t="s">
        <v>36</v>
      </c>
      <c r="AG78" s="311" t="s">
        <v>36</v>
      </c>
      <c r="AH78" s="1"/>
    </row>
    <row r="79" spans="1:40" ht="22.35" customHeight="1">
      <c r="A79" s="1829"/>
      <c r="B79" s="1829" t="s">
        <v>140</v>
      </c>
      <c r="C79" s="1748"/>
      <c r="D79" s="1748" t="s">
        <v>126</v>
      </c>
      <c r="E79" s="1748" t="s">
        <v>126</v>
      </c>
      <c r="F79" s="1748" t="s">
        <v>126</v>
      </c>
      <c r="G79" s="1748" t="s">
        <v>126</v>
      </c>
      <c r="H79" s="1748" t="s">
        <v>126</v>
      </c>
      <c r="I79" s="1748"/>
      <c r="J79" s="1748"/>
      <c r="K79" s="1754" t="s">
        <v>126</v>
      </c>
      <c r="L79" s="1754" t="s">
        <v>126</v>
      </c>
      <c r="M79" s="1754" t="s">
        <v>126</v>
      </c>
      <c r="N79" s="1754" t="s">
        <v>126</v>
      </c>
      <c r="O79" s="1754" t="s">
        <v>126</v>
      </c>
      <c r="P79" s="1742"/>
      <c r="Q79" s="1742"/>
      <c r="R79" s="1748" t="s">
        <v>32</v>
      </c>
      <c r="S79" s="1748" t="s">
        <v>32</v>
      </c>
      <c r="T79" s="1748" t="s">
        <v>32</v>
      </c>
      <c r="U79" s="1748" t="s">
        <v>32</v>
      </c>
      <c r="V79" s="1748" t="s">
        <v>50</v>
      </c>
      <c r="W79" s="1856"/>
      <c r="X79" s="1748"/>
      <c r="Y79" s="1748" t="s">
        <v>242</v>
      </c>
      <c r="Z79" s="1748" t="s">
        <v>242</v>
      </c>
      <c r="AA79" s="1748" t="s">
        <v>242</v>
      </c>
      <c r="AB79" s="1748" t="s">
        <v>242</v>
      </c>
      <c r="AC79" s="1748" t="s">
        <v>242</v>
      </c>
      <c r="AD79" s="1748"/>
      <c r="AE79" s="1748"/>
      <c r="AF79" s="1748" t="s">
        <v>50</v>
      </c>
      <c r="AG79" s="1756" t="s">
        <v>50</v>
      </c>
      <c r="AH79" s="1"/>
      <c r="AL79" s="589">
        <v>0.625</v>
      </c>
    </row>
    <row r="80" spans="1:40" ht="22.35" customHeight="1">
      <c r="A80" s="1857"/>
      <c r="B80" s="1829" t="s">
        <v>342</v>
      </c>
      <c r="C80" s="1748" t="s">
        <v>111</v>
      </c>
      <c r="D80" s="1748" t="s">
        <v>36</v>
      </c>
      <c r="E80" s="1748" t="s">
        <v>36</v>
      </c>
      <c r="F80" s="1748" t="s">
        <v>36</v>
      </c>
      <c r="G80" s="1748" t="s">
        <v>32</v>
      </c>
      <c r="H80" s="1858">
        <v>79</v>
      </c>
      <c r="I80" s="1748"/>
      <c r="J80" s="1748"/>
      <c r="K80" s="1748">
        <v>69</v>
      </c>
      <c r="L80" s="1748">
        <v>69</v>
      </c>
      <c r="M80" s="1748">
        <v>69</v>
      </c>
      <c r="N80" s="1748">
        <v>69</v>
      </c>
      <c r="O80" s="1748">
        <v>69</v>
      </c>
      <c r="P80" s="1748"/>
      <c r="Q80" s="1748"/>
      <c r="R80" s="1748" t="s">
        <v>52</v>
      </c>
      <c r="S80" s="1748" t="s">
        <v>52</v>
      </c>
      <c r="T80" s="1748" t="s">
        <v>52</v>
      </c>
      <c r="U80" s="1748" t="s">
        <v>52</v>
      </c>
      <c r="V80" s="1748" t="s">
        <v>52</v>
      </c>
      <c r="W80" s="1748"/>
      <c r="X80" s="1748"/>
      <c r="Y80" s="1748">
        <v>4</v>
      </c>
      <c r="Z80" s="1748">
        <v>4</v>
      </c>
      <c r="AA80" s="1748">
        <v>4</v>
      </c>
      <c r="AB80" s="1748">
        <v>4</v>
      </c>
      <c r="AC80" s="1782">
        <v>4</v>
      </c>
      <c r="AD80" s="1782">
        <v>23</v>
      </c>
      <c r="AE80" s="1748"/>
      <c r="AF80" s="1748">
        <v>89</v>
      </c>
      <c r="AG80" s="1838" t="s">
        <v>52</v>
      </c>
      <c r="AH80" s="1"/>
    </row>
    <row r="81" spans="1:35" ht="22.35" customHeight="1" thickBot="1">
      <c r="A81" s="994"/>
      <c r="B81" s="995" t="s">
        <v>350</v>
      </c>
      <c r="C81" s="996"/>
      <c r="D81" s="997">
        <v>99</v>
      </c>
      <c r="E81" s="997">
        <v>99</v>
      </c>
      <c r="F81" s="997">
        <v>99</v>
      </c>
      <c r="G81" s="997">
        <v>99</v>
      </c>
      <c r="H81" s="997" t="s">
        <v>36</v>
      </c>
      <c r="I81" s="996"/>
      <c r="J81" s="996"/>
      <c r="K81" s="997">
        <v>23</v>
      </c>
      <c r="L81" s="997">
        <v>23</v>
      </c>
      <c r="M81" s="997">
        <v>23</v>
      </c>
      <c r="N81" s="997">
        <v>23</v>
      </c>
      <c r="O81" s="997">
        <v>23</v>
      </c>
      <c r="P81" s="996">
        <v>23</v>
      </c>
      <c r="Q81" s="996">
        <v>23</v>
      </c>
      <c r="R81" s="997" t="s">
        <v>36</v>
      </c>
      <c r="S81" s="997" t="s">
        <v>36</v>
      </c>
      <c r="T81" s="1859">
        <v>3</v>
      </c>
      <c r="U81" s="1859">
        <v>3</v>
      </c>
      <c r="V81" s="997" t="s">
        <v>36</v>
      </c>
      <c r="W81" s="998"/>
      <c r="X81" s="996"/>
      <c r="Y81" s="997" t="s">
        <v>52</v>
      </c>
      <c r="Z81" s="1860" t="s">
        <v>256</v>
      </c>
      <c r="AA81" s="1126" t="s">
        <v>52</v>
      </c>
      <c r="AB81" s="997" t="s">
        <v>52</v>
      </c>
      <c r="AC81" s="997" t="s">
        <v>52</v>
      </c>
      <c r="AD81" s="998" t="s">
        <v>78</v>
      </c>
      <c r="AE81" s="998"/>
      <c r="AF81" s="1861" t="s">
        <v>52</v>
      </c>
      <c r="AG81" s="1862" t="s">
        <v>52</v>
      </c>
      <c r="AH81" s="1"/>
    </row>
    <row r="82" spans="1:35" ht="22.35" customHeight="1" thickBot="1">
      <c r="A82" s="592"/>
      <c r="B82" s="593" t="s">
        <v>359</v>
      </c>
      <c r="C82" s="1863"/>
      <c r="D82" s="1864"/>
      <c r="E82" s="1864"/>
      <c r="F82" s="1864"/>
      <c r="G82" s="594"/>
      <c r="H82" s="594"/>
      <c r="I82" s="595"/>
      <c r="J82" s="595"/>
      <c r="K82" s="594"/>
      <c r="L82" s="594"/>
      <c r="M82" s="594" t="s">
        <v>32</v>
      </c>
      <c r="N82" s="599">
        <v>6</v>
      </c>
      <c r="O82" s="599">
        <v>6</v>
      </c>
      <c r="P82" s="595"/>
      <c r="Q82" s="595"/>
      <c r="R82" s="594">
        <v>7</v>
      </c>
      <c r="S82" s="594">
        <v>7</v>
      </c>
      <c r="T82" s="594">
        <v>7</v>
      </c>
      <c r="U82" s="594">
        <v>7</v>
      </c>
      <c r="V82" s="603">
        <v>7</v>
      </c>
      <c r="W82" s="596"/>
      <c r="X82" s="595"/>
      <c r="Y82" s="1740">
        <v>10</v>
      </c>
      <c r="Z82" s="1837">
        <v>10</v>
      </c>
      <c r="AA82" s="1837" t="s">
        <v>360</v>
      </c>
      <c r="AB82" s="1748" t="s">
        <v>36</v>
      </c>
      <c r="AC82" s="1748">
        <v>10</v>
      </c>
      <c r="AD82" s="1748" t="s">
        <v>77</v>
      </c>
      <c r="AE82" s="1748" t="s">
        <v>77</v>
      </c>
      <c r="AF82" s="1748" t="s">
        <v>36</v>
      </c>
      <c r="AG82" s="1748" t="s">
        <v>36</v>
      </c>
      <c r="AH82" s="1"/>
    </row>
    <row r="83" spans="1:35" ht="22.35" customHeight="1" thickBot="1">
      <c r="A83" s="205"/>
      <c r="B83" s="576" t="s">
        <v>352</v>
      </c>
      <c r="C83" s="1748">
        <v>22</v>
      </c>
      <c r="D83" s="1748" t="s">
        <v>36</v>
      </c>
      <c r="E83" s="1748" t="s">
        <v>36</v>
      </c>
      <c r="F83" s="1782" t="s">
        <v>113</v>
      </c>
      <c r="G83" s="207" t="s">
        <v>113</v>
      </c>
      <c r="H83" s="207" t="s">
        <v>113</v>
      </c>
      <c r="I83" s="203"/>
      <c r="J83" s="203"/>
      <c r="K83" s="582" t="s">
        <v>113</v>
      </c>
      <c r="L83" s="582" t="s">
        <v>113</v>
      </c>
      <c r="M83" s="582" t="s">
        <v>113</v>
      </c>
      <c r="N83" s="582" t="s">
        <v>113</v>
      </c>
      <c r="O83" s="582" t="s">
        <v>113</v>
      </c>
      <c r="P83" s="203"/>
      <c r="Q83" s="203"/>
      <c r="R83" s="207">
        <v>23</v>
      </c>
      <c r="S83" s="207">
        <v>23</v>
      </c>
      <c r="T83" s="207">
        <v>23</v>
      </c>
      <c r="U83" s="207">
        <v>23</v>
      </c>
      <c r="V83" s="207">
        <v>23</v>
      </c>
      <c r="W83" s="203">
        <v>23</v>
      </c>
      <c r="X83" s="203">
        <v>23</v>
      </c>
      <c r="Y83" s="207" t="s">
        <v>36</v>
      </c>
      <c r="Z83" s="604" t="s">
        <v>36</v>
      </c>
      <c r="AA83" s="604" t="s">
        <v>36</v>
      </c>
      <c r="AB83" s="604" t="s">
        <v>36</v>
      </c>
      <c r="AC83" s="207" t="s">
        <v>36</v>
      </c>
      <c r="AD83" s="203" t="s">
        <v>0</v>
      </c>
      <c r="AE83" s="203" t="s">
        <v>0</v>
      </c>
      <c r="AF83" s="203">
        <v>21</v>
      </c>
      <c r="AG83" s="225">
        <v>21</v>
      </c>
      <c r="AH83" s="1"/>
    </row>
    <row r="84" spans="1:35" ht="22.35" customHeight="1" thickBot="1">
      <c r="A84" s="592"/>
      <c r="B84" s="508" t="s">
        <v>0</v>
      </c>
      <c r="C84" s="203"/>
      <c r="D84" s="203" t="s">
        <v>32</v>
      </c>
      <c r="E84" s="203" t="s">
        <v>32</v>
      </c>
      <c r="F84" s="203" t="s">
        <v>32</v>
      </c>
      <c r="G84" s="203" t="s">
        <v>32</v>
      </c>
      <c r="H84" s="203" t="s">
        <v>32</v>
      </c>
      <c r="I84" s="203"/>
      <c r="J84" s="203"/>
      <c r="K84" s="203" t="s">
        <v>32</v>
      </c>
      <c r="L84" s="203" t="s">
        <v>32</v>
      </c>
      <c r="M84" s="203" t="s">
        <v>32</v>
      </c>
      <c r="N84" s="203" t="s">
        <v>32</v>
      </c>
      <c r="O84" s="203" t="s">
        <v>32</v>
      </c>
      <c r="P84" s="509"/>
      <c r="Q84" s="510"/>
      <c r="R84" s="509" t="s">
        <v>32</v>
      </c>
      <c r="S84" s="203" t="s">
        <v>32</v>
      </c>
      <c r="T84" s="203" t="s">
        <v>32</v>
      </c>
      <c r="U84" s="509" t="s">
        <v>32</v>
      </c>
      <c r="V84" s="509" t="s">
        <v>32</v>
      </c>
      <c r="W84" s="509"/>
      <c r="X84" s="203"/>
      <c r="Y84" s="509" t="s">
        <v>32</v>
      </c>
      <c r="Z84" s="203" t="s">
        <v>32</v>
      </c>
      <c r="AA84" s="203" t="s">
        <v>32</v>
      </c>
      <c r="AB84" s="203" t="s">
        <v>32</v>
      </c>
      <c r="AC84" s="203" t="s">
        <v>32</v>
      </c>
      <c r="AD84" s="203"/>
      <c r="AE84" s="203"/>
      <c r="AF84" s="203" t="s">
        <v>32</v>
      </c>
      <c r="AG84" s="225" t="s">
        <v>32</v>
      </c>
      <c r="AH84" s="1"/>
    </row>
    <row r="85" spans="1:35" ht="22.35" customHeight="1">
      <c r="A85" s="64" t="s">
        <v>143</v>
      </c>
      <c r="AH85" s="1"/>
    </row>
    <row r="86" spans="1:35" ht="22.35" customHeight="1" thickBot="1">
      <c r="A86" s="1865"/>
      <c r="B86" s="1781" t="s">
        <v>29</v>
      </c>
      <c r="C86" s="1711">
        <v>1</v>
      </c>
      <c r="D86" s="1712">
        <v>2</v>
      </c>
      <c r="E86" s="1712">
        <v>3</v>
      </c>
      <c r="F86" s="1712">
        <v>4</v>
      </c>
      <c r="G86" s="1712">
        <v>5</v>
      </c>
      <c r="H86" s="1712">
        <v>6</v>
      </c>
      <c r="I86" s="1711">
        <v>7</v>
      </c>
      <c r="J86" s="1711">
        <v>8</v>
      </c>
      <c r="K86" s="1712">
        <v>9</v>
      </c>
      <c r="L86" s="1712">
        <v>10</v>
      </c>
      <c r="M86" s="1712">
        <v>11</v>
      </c>
      <c r="N86" s="1712">
        <v>12</v>
      </c>
      <c r="O86" s="1712">
        <v>13</v>
      </c>
      <c r="P86" s="1711">
        <v>14</v>
      </c>
      <c r="Q86" s="1711">
        <v>15</v>
      </c>
      <c r="R86" s="1712">
        <v>16</v>
      </c>
      <c r="S86" s="1712">
        <v>17</v>
      </c>
      <c r="T86" s="1712">
        <v>18</v>
      </c>
      <c r="U86" s="1712">
        <v>19</v>
      </c>
      <c r="V86" s="1712">
        <v>20</v>
      </c>
      <c r="W86" s="1711">
        <v>21</v>
      </c>
      <c r="X86" s="1711">
        <v>22</v>
      </c>
      <c r="Y86" s="1712">
        <v>23</v>
      </c>
      <c r="Z86" s="1712">
        <v>24</v>
      </c>
      <c r="AA86" s="1712">
        <v>25</v>
      </c>
      <c r="AB86" s="1712">
        <v>26</v>
      </c>
      <c r="AC86" s="1712">
        <v>27</v>
      </c>
      <c r="AD86" s="1711">
        <v>28</v>
      </c>
      <c r="AE86" s="1711">
        <v>29</v>
      </c>
      <c r="AF86" s="1712">
        <v>30</v>
      </c>
      <c r="AG86" s="1713">
        <v>31</v>
      </c>
      <c r="AH86" s="1"/>
    </row>
    <row r="87" spans="1:35" ht="22.35" customHeight="1">
      <c r="A87" s="365"/>
      <c r="B87" s="366" t="s">
        <v>144</v>
      </c>
      <c r="C87" s="349"/>
      <c r="D87" s="364"/>
      <c r="E87" s="349"/>
      <c r="F87" s="349"/>
      <c r="G87" s="349"/>
      <c r="H87" s="349"/>
      <c r="I87" s="349"/>
      <c r="J87" s="349"/>
      <c r="K87" s="349"/>
      <c r="L87" s="349"/>
      <c r="M87" s="349"/>
      <c r="N87" s="349"/>
      <c r="O87" s="349"/>
      <c r="P87" s="349"/>
      <c r="Q87" s="349"/>
      <c r="R87" s="349"/>
      <c r="S87" s="349"/>
      <c r="T87" s="349"/>
      <c r="U87" s="349"/>
      <c r="V87" s="349"/>
      <c r="W87" s="349"/>
      <c r="X87" s="349"/>
      <c r="Y87" s="349"/>
      <c r="Z87" s="349"/>
      <c r="AA87" s="349"/>
      <c r="AB87" s="349"/>
      <c r="AC87" s="349"/>
      <c r="AD87" s="349"/>
      <c r="AE87" s="349"/>
      <c r="AF87" s="349"/>
      <c r="AG87" s="352"/>
      <c r="AH87" s="1"/>
    </row>
    <row r="88" spans="1:35" ht="22.35" customHeight="1">
      <c r="A88" s="1866">
        <v>2</v>
      </c>
      <c r="B88" s="1727"/>
      <c r="C88" s="1723"/>
      <c r="D88" s="1723"/>
      <c r="E88" s="1723"/>
      <c r="F88" s="1720"/>
      <c r="G88" s="1720"/>
      <c r="H88" s="1720"/>
      <c r="I88" s="1720"/>
      <c r="J88" s="1720"/>
      <c r="K88" s="1720"/>
      <c r="L88" s="1720"/>
      <c r="M88" s="1720"/>
      <c r="N88" s="1720"/>
      <c r="O88" s="1720"/>
      <c r="P88" s="1720"/>
      <c r="Q88" s="1720"/>
      <c r="R88" s="1867"/>
      <c r="S88" s="1867"/>
      <c r="T88" s="1867"/>
      <c r="U88" s="1867"/>
      <c r="V88" s="1867"/>
      <c r="W88" s="1723"/>
      <c r="X88" s="1723"/>
      <c r="Y88" s="1867"/>
      <c r="Z88" s="1867"/>
      <c r="AA88" s="1867"/>
      <c r="AB88" s="1867"/>
      <c r="AC88" s="1867"/>
      <c r="AD88" s="1723"/>
      <c r="AE88" s="1723"/>
      <c r="AF88" s="1867"/>
      <c r="AG88" s="1868"/>
      <c r="AH88" s="1"/>
    </row>
    <row r="89" spans="1:35" ht="22.35" customHeight="1">
      <c r="A89" s="1866">
        <v>3</v>
      </c>
      <c r="B89" s="1727"/>
      <c r="C89" s="1723"/>
      <c r="D89" s="1723"/>
      <c r="E89" s="1723"/>
      <c r="F89" s="1723"/>
      <c r="G89" s="1723"/>
      <c r="H89" s="1723"/>
      <c r="I89" s="1723"/>
      <c r="J89" s="1723"/>
      <c r="K89" s="1723"/>
      <c r="L89" s="1723"/>
      <c r="M89" s="1723"/>
      <c r="N89" s="1723"/>
      <c r="O89" s="1723"/>
      <c r="P89" s="1723"/>
      <c r="Q89" s="1723"/>
      <c r="R89" s="1723"/>
      <c r="S89" s="1723"/>
      <c r="T89" s="1723"/>
      <c r="U89" s="1723"/>
      <c r="V89" s="1723"/>
      <c r="W89" s="1723"/>
      <c r="X89" s="1723"/>
      <c r="Y89" s="1723"/>
      <c r="Z89" s="1723"/>
      <c r="AA89" s="1723"/>
      <c r="AB89" s="1723"/>
      <c r="AC89" s="1723"/>
      <c r="AD89" s="1723"/>
      <c r="AE89" s="1723"/>
      <c r="AF89" s="1723"/>
      <c r="AG89" s="1785"/>
      <c r="AH89" s="1"/>
    </row>
    <row r="90" spans="1:35" ht="22.35" customHeight="1" thickBot="1">
      <c r="A90" s="1827">
        <v>4</v>
      </c>
      <c r="B90" s="1787"/>
      <c r="C90" s="1844"/>
      <c r="D90" s="1844"/>
      <c r="E90" s="1844"/>
      <c r="F90" s="1844"/>
      <c r="G90" s="1844"/>
      <c r="H90" s="1844"/>
      <c r="I90" s="1844"/>
      <c r="J90" s="1844"/>
      <c r="K90" s="1844"/>
      <c r="L90" s="1844"/>
      <c r="M90" s="1844"/>
      <c r="N90" s="1844"/>
      <c r="O90" s="1844"/>
      <c r="P90" s="1844"/>
      <c r="Q90" s="1844"/>
      <c r="R90" s="1844"/>
      <c r="S90" s="1844"/>
      <c r="T90" s="1844"/>
      <c r="U90" s="1844"/>
      <c r="V90" s="1844"/>
      <c r="W90" s="1844"/>
      <c r="X90" s="1844"/>
      <c r="Y90" s="1844"/>
      <c r="Z90" s="1844"/>
      <c r="AA90" s="1844"/>
      <c r="AB90" s="1844"/>
      <c r="AC90" s="1844"/>
      <c r="AD90" s="1844"/>
      <c r="AE90" s="1844"/>
      <c r="AF90" s="1844"/>
      <c r="AG90" s="1713"/>
      <c r="AH90" s="1"/>
    </row>
    <row r="91" spans="1:35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</row>
    <row r="92" spans="1:35" ht="22.35" customHeight="1">
      <c r="A92" s="209"/>
      <c r="B92" s="210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  <c r="AA92" s="211"/>
      <c r="AB92" s="211"/>
      <c r="AC92" s="211"/>
      <c r="AD92" s="211"/>
      <c r="AE92" s="211"/>
      <c r="AF92" s="211"/>
      <c r="AG92" s="211"/>
      <c r="AH92" s="1"/>
    </row>
    <row r="93" spans="1:35" ht="22.35" customHeight="1" thickBot="1">
      <c r="A93" t="s">
        <v>145</v>
      </c>
    </row>
    <row r="94" spans="1:35" ht="22.35" customHeight="1" thickBot="1">
      <c r="B94" s="323" t="s">
        <v>146</v>
      </c>
      <c r="C94" s="252"/>
      <c r="D94" s="314" t="s">
        <v>94</v>
      </c>
      <c r="E94" s="314"/>
      <c r="F94" s="279"/>
      <c r="G94" s="252"/>
      <c r="H94" s="314" t="s">
        <v>95</v>
      </c>
      <c r="I94" s="314"/>
      <c r="J94" s="279"/>
      <c r="K94" s="252"/>
      <c r="L94" s="314" t="s">
        <v>96</v>
      </c>
      <c r="M94" s="314"/>
      <c r="N94" s="279"/>
      <c r="O94" s="252"/>
      <c r="P94" s="314" t="s">
        <v>97</v>
      </c>
      <c r="Q94" s="314"/>
      <c r="R94" s="279"/>
      <c r="S94" s="252"/>
      <c r="T94" s="314" t="s">
        <v>98</v>
      </c>
      <c r="U94" s="314"/>
      <c r="V94" s="279"/>
      <c r="W94" s="252"/>
      <c r="X94" s="314" t="s">
        <v>99</v>
      </c>
      <c r="Y94" s="314"/>
      <c r="Z94" s="279"/>
      <c r="AA94" s="252"/>
      <c r="AB94" s="314" t="s">
        <v>100</v>
      </c>
      <c r="AC94" s="314"/>
      <c r="AD94" s="314"/>
      <c r="AE94" s="314" t="s">
        <v>147</v>
      </c>
      <c r="AF94" s="314"/>
      <c r="AG94" s="314"/>
      <c r="AH94" s="314"/>
      <c r="AI94" s="267"/>
    </row>
    <row r="95" spans="1:35" ht="22.35" customHeight="1">
      <c r="B95" s="441" t="s">
        <v>148</v>
      </c>
      <c r="C95" s="368" t="s">
        <v>149</v>
      </c>
      <c r="D95" s="314"/>
      <c r="E95" s="357"/>
      <c r="F95" s="372"/>
      <c r="G95" s="368" t="s">
        <v>149</v>
      </c>
      <c r="H95" s="357"/>
      <c r="I95" s="357"/>
      <c r="J95" s="372"/>
      <c r="K95" s="252" t="s">
        <v>149</v>
      </c>
      <c r="L95" s="314"/>
      <c r="M95" s="314"/>
      <c r="N95" s="279"/>
      <c r="O95" s="252" t="s">
        <v>150</v>
      </c>
      <c r="P95" s="314"/>
      <c r="Q95" s="357"/>
      <c r="R95" s="372"/>
      <c r="S95" s="368" t="s">
        <v>151</v>
      </c>
      <c r="T95" s="357"/>
      <c r="U95" s="357"/>
      <c r="V95" s="357"/>
      <c r="W95" s="523"/>
      <c r="X95" s="524"/>
      <c r="Y95" s="524"/>
      <c r="Z95" s="525"/>
      <c r="AA95" s="357"/>
      <c r="AB95" s="357"/>
      <c r="AC95" s="357"/>
      <c r="AD95" s="357"/>
      <c r="AE95" s="368">
        <v>37</v>
      </c>
      <c r="AF95" s="314"/>
      <c r="AG95" s="357"/>
      <c r="AH95" s="357"/>
      <c r="AI95" s="358"/>
    </row>
    <row r="96" spans="1:35" ht="22.35" customHeight="1">
      <c r="B96" s="1869" t="s">
        <v>152</v>
      </c>
      <c r="C96" s="1870" t="s">
        <v>153</v>
      </c>
      <c r="D96" s="1693"/>
      <c r="E96" s="1693"/>
      <c r="F96" s="1701"/>
      <c r="G96" s="1870" t="s">
        <v>154</v>
      </c>
      <c r="H96" s="1693"/>
      <c r="I96" s="1693"/>
      <c r="J96" s="1701"/>
      <c r="K96" s="1870" t="s">
        <v>155</v>
      </c>
      <c r="L96" s="1693" t="s">
        <v>156</v>
      </c>
      <c r="M96" s="1693"/>
      <c r="N96" s="1701"/>
      <c r="O96" s="1870" t="s">
        <v>155</v>
      </c>
      <c r="P96" s="1693" t="s">
        <v>156</v>
      </c>
      <c r="Q96" s="1693"/>
      <c r="R96" s="1701"/>
      <c r="S96" s="1870" t="s">
        <v>154</v>
      </c>
      <c r="T96" s="1693" t="s">
        <v>157</v>
      </c>
      <c r="U96" s="1693"/>
      <c r="V96" s="1701"/>
      <c r="W96" s="8" t="s">
        <v>109</v>
      </c>
      <c r="X96" s="14" t="s">
        <v>158</v>
      </c>
      <c r="Y96" s="14"/>
      <c r="Z96" s="14"/>
      <c r="AA96" s="1870" t="s">
        <v>109</v>
      </c>
      <c r="AB96" s="1693" t="s">
        <v>158</v>
      </c>
      <c r="AC96" s="1870"/>
      <c r="AD96" s="1870"/>
      <c r="AE96" s="1870">
        <v>68</v>
      </c>
      <c r="AF96" s="1693"/>
      <c r="AG96" s="1693"/>
      <c r="AH96" s="1693"/>
      <c r="AI96" s="1702"/>
    </row>
    <row r="97" spans="1:35" ht="22.35" customHeight="1">
      <c r="B97" s="1869" t="s">
        <v>159</v>
      </c>
      <c r="C97" s="1871" t="s">
        <v>160</v>
      </c>
      <c r="D97" s="1693"/>
      <c r="E97" s="1693"/>
      <c r="F97" s="1701"/>
      <c r="G97" s="1693" t="s">
        <v>160</v>
      </c>
      <c r="H97" s="1693"/>
      <c r="I97" s="1693"/>
      <c r="J97" s="1701"/>
      <c r="K97" s="1693" t="s">
        <v>160</v>
      </c>
      <c r="L97" s="1693"/>
      <c r="M97" s="1693"/>
      <c r="N97" s="1701"/>
      <c r="O97" s="1693" t="s">
        <v>160</v>
      </c>
      <c r="P97" s="1693"/>
      <c r="Q97" s="1693"/>
      <c r="R97" s="1701"/>
      <c r="S97" s="1693" t="s">
        <v>160</v>
      </c>
      <c r="T97" s="1693"/>
      <c r="U97" s="1693"/>
      <c r="V97" s="1701"/>
      <c r="W97" s="1870"/>
      <c r="X97" s="1693"/>
      <c r="Y97" s="1693"/>
      <c r="Z97" s="1701"/>
      <c r="AA97" s="1870"/>
      <c r="AB97" s="1693"/>
      <c r="AC97" s="1693"/>
      <c r="AD97" s="1693"/>
      <c r="AE97" s="1870">
        <v>0</v>
      </c>
      <c r="AF97" s="1693"/>
      <c r="AG97" s="1693"/>
      <c r="AH97" s="1693"/>
      <c r="AI97" s="1702"/>
    </row>
    <row r="98" spans="1:35" ht="22.35" customHeight="1" thickBot="1">
      <c r="B98" s="1872" t="s">
        <v>161</v>
      </c>
      <c r="C98" s="1873" t="s">
        <v>149</v>
      </c>
      <c r="D98" s="516"/>
      <c r="E98" s="1772"/>
      <c r="F98" s="1774"/>
      <c r="G98" s="1873" t="s">
        <v>149</v>
      </c>
      <c r="H98" s="516"/>
      <c r="I98" s="1772"/>
      <c r="J98" s="1774"/>
      <c r="K98" s="1873" t="s">
        <v>149</v>
      </c>
      <c r="L98" s="516"/>
      <c r="M98" s="1772"/>
      <c r="N98" s="1774"/>
      <c r="O98" s="1873" t="s">
        <v>150</v>
      </c>
      <c r="P98" s="1772"/>
      <c r="Q98" s="1772"/>
      <c r="R98" s="1774"/>
      <c r="S98" s="1873" t="s">
        <v>151</v>
      </c>
      <c r="T98" s="1772"/>
      <c r="U98" s="1772"/>
      <c r="V98" s="1772"/>
      <c r="W98" s="1874"/>
      <c r="X98" s="1772"/>
      <c r="Y98" s="1772"/>
      <c r="Z98" s="1875"/>
      <c r="AA98" s="1772"/>
      <c r="AB98" s="1772"/>
      <c r="AC98" s="1772"/>
      <c r="AD98" s="1772"/>
      <c r="AE98" s="1873">
        <v>37</v>
      </c>
      <c r="AF98" s="1772"/>
      <c r="AG98" s="1772"/>
      <c r="AH98" s="1772"/>
      <c r="AI98" s="1779"/>
    </row>
    <row r="99" spans="1:35" ht="22.35" customHeight="1">
      <c r="D99" s="14"/>
    </row>
    <row r="100" spans="1:35" ht="22.35" customHeight="1" thickBot="1">
      <c r="A100" s="1810"/>
      <c r="B100" s="1810" t="s">
        <v>29</v>
      </c>
      <c r="C100" s="1711">
        <v>1</v>
      </c>
      <c r="D100" s="1712">
        <v>2</v>
      </c>
      <c r="E100" s="1712">
        <v>3</v>
      </c>
      <c r="F100" s="1712">
        <v>4</v>
      </c>
      <c r="G100" s="1712">
        <v>5</v>
      </c>
      <c r="H100" s="1712">
        <v>6</v>
      </c>
      <c r="I100" s="1711">
        <v>7</v>
      </c>
      <c r="J100" s="1711">
        <v>8</v>
      </c>
      <c r="K100" s="1712">
        <v>9</v>
      </c>
      <c r="L100" s="1712">
        <v>10</v>
      </c>
      <c r="M100" s="1712">
        <v>11</v>
      </c>
      <c r="N100" s="1712">
        <v>12</v>
      </c>
      <c r="O100" s="1712">
        <v>13</v>
      </c>
      <c r="P100" s="1711">
        <v>14</v>
      </c>
      <c r="Q100" s="1711">
        <v>15</v>
      </c>
      <c r="R100" s="1712">
        <v>16</v>
      </c>
      <c r="S100" s="1712">
        <v>17</v>
      </c>
      <c r="T100" s="1712">
        <v>18</v>
      </c>
      <c r="U100" s="1712">
        <v>19</v>
      </c>
      <c r="V100" s="1712">
        <v>20</v>
      </c>
      <c r="W100" s="1711">
        <v>21</v>
      </c>
      <c r="X100" s="1711">
        <v>22</v>
      </c>
      <c r="Y100" s="1712">
        <v>23</v>
      </c>
      <c r="Z100" s="1712">
        <v>24</v>
      </c>
      <c r="AA100" s="1712">
        <v>25</v>
      </c>
      <c r="AB100" s="1712">
        <v>26</v>
      </c>
      <c r="AC100" s="1712">
        <v>27</v>
      </c>
      <c r="AD100" s="1711">
        <v>28</v>
      </c>
      <c r="AE100" s="1711">
        <v>29</v>
      </c>
      <c r="AF100" s="1712">
        <v>30</v>
      </c>
      <c r="AG100" s="1713">
        <v>31</v>
      </c>
      <c r="AH100" s="176"/>
      <c r="AI100" s="177"/>
    </row>
    <row r="101" spans="1:35" ht="22.35" customHeight="1" thickBot="1">
      <c r="A101" s="367">
        <v>1</v>
      </c>
      <c r="B101" s="526" t="s">
        <v>162</v>
      </c>
      <c r="C101" s="349"/>
      <c r="D101" s="349" t="s">
        <v>163</v>
      </c>
      <c r="E101" s="349" t="s">
        <v>163</v>
      </c>
      <c r="F101" s="349" t="s">
        <v>163</v>
      </c>
      <c r="G101" s="349" t="s">
        <v>163</v>
      </c>
      <c r="H101" s="349" t="s">
        <v>163</v>
      </c>
      <c r="I101" s="349"/>
      <c r="J101" s="349"/>
      <c r="K101" s="349" t="s">
        <v>163</v>
      </c>
      <c r="L101" s="349" t="s">
        <v>163</v>
      </c>
      <c r="M101" s="349" t="s">
        <v>163</v>
      </c>
      <c r="N101" s="349" t="s">
        <v>163</v>
      </c>
      <c r="O101" s="349" t="s">
        <v>163</v>
      </c>
      <c r="P101" s="511"/>
      <c r="Q101" s="349"/>
      <c r="R101" s="349" t="s">
        <v>108</v>
      </c>
      <c r="S101" s="349" t="s">
        <v>108</v>
      </c>
      <c r="T101" s="349" t="s">
        <v>108</v>
      </c>
      <c r="U101" s="349" t="s">
        <v>108</v>
      </c>
      <c r="V101" s="349" t="s">
        <v>108</v>
      </c>
      <c r="W101" s="349" t="s">
        <v>109</v>
      </c>
      <c r="X101" s="512" t="s">
        <v>109</v>
      </c>
      <c r="Y101" s="512" t="s">
        <v>36</v>
      </c>
      <c r="Z101" s="512" t="s">
        <v>36</v>
      </c>
      <c r="AA101" s="512" t="s">
        <v>36</v>
      </c>
      <c r="AB101" s="349" t="s">
        <v>36</v>
      </c>
      <c r="AC101" s="349" t="s">
        <v>36</v>
      </c>
      <c r="AD101" s="349"/>
      <c r="AE101" s="349"/>
      <c r="AF101" s="349" t="s">
        <v>163</v>
      </c>
      <c r="AG101" s="352" t="s">
        <v>163</v>
      </c>
      <c r="AH101" s="181"/>
      <c r="AI101" s="182"/>
    </row>
    <row r="102" spans="1:35" ht="22.35" customHeight="1">
      <c r="A102" s="1876">
        <v>2</v>
      </c>
      <c r="B102" s="1877" t="s">
        <v>164</v>
      </c>
      <c r="C102" s="1732" t="s">
        <v>109</v>
      </c>
      <c r="D102" s="1732" t="s">
        <v>36</v>
      </c>
      <c r="E102" s="1732" t="s">
        <v>36</v>
      </c>
      <c r="F102" s="1732" t="s">
        <v>36</v>
      </c>
      <c r="G102" s="1732" t="s">
        <v>36</v>
      </c>
      <c r="H102" s="1732" t="s">
        <v>36</v>
      </c>
      <c r="I102" s="1747"/>
      <c r="J102" s="1747"/>
      <c r="K102" s="1747" t="s">
        <v>163</v>
      </c>
      <c r="L102" s="1747" t="s">
        <v>163</v>
      </c>
      <c r="M102" s="1747" t="s">
        <v>163</v>
      </c>
      <c r="N102" s="1732" t="s">
        <v>163</v>
      </c>
      <c r="O102" s="1732" t="s">
        <v>163</v>
      </c>
      <c r="P102" s="1732"/>
      <c r="Q102" s="1732"/>
      <c r="R102" s="361" t="s">
        <v>183</v>
      </c>
      <c r="S102" s="349" t="s">
        <v>135</v>
      </c>
      <c r="T102" s="349" t="s">
        <v>242</v>
      </c>
      <c r="U102" s="350" t="s">
        <v>242</v>
      </c>
      <c r="V102" s="349" t="s">
        <v>242</v>
      </c>
      <c r="W102" s="1795" t="s">
        <v>109</v>
      </c>
      <c r="X102" s="1723"/>
      <c r="Y102" s="1723" t="s">
        <v>108</v>
      </c>
      <c r="Z102" s="1878" t="s">
        <v>108</v>
      </c>
      <c r="AA102" s="1878" t="s">
        <v>108</v>
      </c>
      <c r="AB102" s="1723" t="s">
        <v>108</v>
      </c>
      <c r="AC102" s="1723" t="s">
        <v>108</v>
      </c>
      <c r="AD102" s="1723" t="s">
        <v>0</v>
      </c>
      <c r="AE102" s="1723" t="s">
        <v>109</v>
      </c>
      <c r="AF102" s="1723" t="s">
        <v>36</v>
      </c>
      <c r="AG102" s="1879" t="s">
        <v>36</v>
      </c>
      <c r="AH102" s="181"/>
      <c r="AI102" s="182"/>
    </row>
    <row r="103" spans="1:35" ht="22.35" customHeight="1">
      <c r="A103" s="1876">
        <v>3</v>
      </c>
      <c r="B103" s="1877" t="s">
        <v>165</v>
      </c>
      <c r="C103" s="1723"/>
      <c r="D103" s="1880" t="s">
        <v>108</v>
      </c>
      <c r="E103" s="1880" t="s">
        <v>108</v>
      </c>
      <c r="F103" s="1880" t="s">
        <v>108</v>
      </c>
      <c r="G103" s="1798" t="s">
        <v>108</v>
      </c>
      <c r="H103" s="1798" t="s">
        <v>108</v>
      </c>
      <c r="I103" s="1798" t="s">
        <v>109</v>
      </c>
      <c r="J103" s="1798" t="s">
        <v>109</v>
      </c>
      <c r="K103" s="1798" t="s">
        <v>36</v>
      </c>
      <c r="L103" s="1798" t="s">
        <v>36</v>
      </c>
      <c r="M103" s="1798" t="s">
        <v>36</v>
      </c>
      <c r="N103" s="1798" t="s">
        <v>36</v>
      </c>
      <c r="O103" s="1798" t="s">
        <v>36</v>
      </c>
      <c r="P103" s="1723"/>
      <c r="Q103" s="1723"/>
      <c r="R103" s="1798" t="s">
        <v>115</v>
      </c>
      <c r="S103" s="1798" t="s">
        <v>115</v>
      </c>
      <c r="T103" s="1798" t="s">
        <v>115</v>
      </c>
      <c r="U103" s="1798" t="s">
        <v>115</v>
      </c>
      <c r="V103" s="1798" t="s">
        <v>115</v>
      </c>
      <c r="W103" s="1723"/>
      <c r="X103" s="1723"/>
      <c r="Y103" s="1798" t="s">
        <v>115</v>
      </c>
      <c r="Z103" s="1798" t="s">
        <v>115</v>
      </c>
      <c r="AA103" s="1798" t="s">
        <v>115</v>
      </c>
      <c r="AB103" s="1798" t="s">
        <v>115</v>
      </c>
      <c r="AC103" s="1881" t="s">
        <v>115</v>
      </c>
      <c r="AD103" s="1796"/>
      <c r="AE103" s="1795"/>
      <c r="AF103" s="1881" t="s">
        <v>115</v>
      </c>
      <c r="AG103" s="1798" t="s">
        <v>115</v>
      </c>
      <c r="AH103" s="181"/>
      <c r="AI103" s="182"/>
    </row>
    <row r="104" spans="1:35" ht="22.35" customHeight="1" thickBot="1">
      <c r="A104" s="1882">
        <v>4</v>
      </c>
      <c r="B104" s="1800" t="s">
        <v>162</v>
      </c>
      <c r="C104" s="1883"/>
      <c r="D104" s="1883" t="s">
        <v>163</v>
      </c>
      <c r="E104" s="1883" t="s">
        <v>163</v>
      </c>
      <c r="F104" s="1883" t="s">
        <v>163</v>
      </c>
      <c r="G104" s="1883" t="s">
        <v>163</v>
      </c>
      <c r="H104" s="1883" t="s">
        <v>163</v>
      </c>
      <c r="I104" s="1883" t="s">
        <v>0</v>
      </c>
      <c r="J104" s="1883" t="s">
        <v>0</v>
      </c>
      <c r="K104" s="1883" t="s">
        <v>108</v>
      </c>
      <c r="L104" s="1883" t="s">
        <v>108</v>
      </c>
      <c r="M104" s="1883" t="s">
        <v>108</v>
      </c>
      <c r="N104" s="1883" t="s">
        <v>108</v>
      </c>
      <c r="O104" s="1883" t="s">
        <v>108</v>
      </c>
      <c r="P104" s="1883" t="s">
        <v>109</v>
      </c>
      <c r="Q104" s="1883" t="s">
        <v>109</v>
      </c>
      <c r="R104" s="1883" t="s">
        <v>36</v>
      </c>
      <c r="S104" s="1883" t="s">
        <v>36</v>
      </c>
      <c r="T104" s="1883" t="s">
        <v>36</v>
      </c>
      <c r="U104" s="1883" t="s">
        <v>36</v>
      </c>
      <c r="V104" s="1883" t="s">
        <v>36</v>
      </c>
      <c r="W104" s="1883"/>
      <c r="X104" s="1883"/>
      <c r="Y104" s="1883" t="s">
        <v>163</v>
      </c>
      <c r="Z104" s="1883" t="s">
        <v>163</v>
      </c>
      <c r="AA104" s="1712" t="s">
        <v>163</v>
      </c>
      <c r="AB104" s="1712" t="s">
        <v>163</v>
      </c>
      <c r="AC104" s="1712" t="s">
        <v>163</v>
      </c>
      <c r="AD104" s="1712"/>
      <c r="AE104" s="1712"/>
      <c r="AF104" s="1883" t="s">
        <v>163</v>
      </c>
      <c r="AG104" s="1713" t="s">
        <v>163</v>
      </c>
      <c r="AH104" s="181"/>
      <c r="AI104" s="182"/>
    </row>
    <row r="105" spans="1:35" ht="22.35" customHeight="1" thickBot="1">
      <c r="A105" s="212"/>
      <c r="B105" s="200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13"/>
      <c r="AF105" s="213"/>
      <c r="AG105" s="214"/>
      <c r="AH105" s="215"/>
      <c r="AI105" s="182"/>
    </row>
    <row r="106" spans="1:35" ht="22.35" customHeight="1">
      <c r="A106" s="72"/>
      <c r="B106" s="248" t="s">
        <v>167</v>
      </c>
      <c r="C106" s="368"/>
      <c r="D106" s="369" t="s">
        <v>94</v>
      </c>
      <c r="E106" s="370"/>
      <c r="F106" s="368"/>
      <c r="G106" s="371" t="s">
        <v>95</v>
      </c>
      <c r="H106" s="372"/>
      <c r="I106" s="373"/>
      <c r="J106" s="371" t="s">
        <v>96</v>
      </c>
      <c r="K106" s="374"/>
      <c r="L106" s="373"/>
      <c r="M106" s="375" t="s">
        <v>97</v>
      </c>
      <c r="N106" s="374"/>
      <c r="O106" s="373"/>
      <c r="P106" s="371" t="s">
        <v>98</v>
      </c>
      <c r="Q106" s="376"/>
      <c r="R106" s="373"/>
      <c r="S106" s="371" t="s">
        <v>99</v>
      </c>
      <c r="T106" s="377"/>
      <c r="U106" s="373"/>
      <c r="V106" s="371" t="s">
        <v>100</v>
      </c>
      <c r="W106" s="376"/>
      <c r="X106" s="378" t="s">
        <v>147</v>
      </c>
      <c r="Y106" s="379"/>
      <c r="Z106" s="379"/>
      <c r="AA106" s="380"/>
      <c r="AB106" s="235" t="s">
        <v>101</v>
      </c>
      <c r="AC106" s="236"/>
      <c r="AD106" s="236"/>
      <c r="AE106" s="237"/>
      <c r="AF106" s="237"/>
      <c r="AG106" s="238"/>
      <c r="AH106" s="215"/>
      <c r="AI106" s="182"/>
    </row>
    <row r="107" spans="1:35" ht="22.35" customHeight="1">
      <c r="A107" s="72"/>
      <c r="B107" s="1884" t="s">
        <v>169</v>
      </c>
      <c r="C107" s="1885" t="s">
        <v>170</v>
      </c>
      <c r="D107" s="1695"/>
      <c r="E107" s="1696"/>
      <c r="F107" s="1885" t="s">
        <v>170</v>
      </c>
      <c r="G107" s="1695"/>
      <c r="H107" s="1696"/>
      <c r="I107" s="1885" t="s">
        <v>170</v>
      </c>
      <c r="J107" s="1695"/>
      <c r="K107" s="1696"/>
      <c r="L107" s="1885" t="s">
        <v>170</v>
      </c>
      <c r="M107" s="1695"/>
      <c r="N107" s="1696"/>
      <c r="O107" s="1885" t="s">
        <v>171</v>
      </c>
      <c r="P107" s="1695"/>
      <c r="Q107" s="1696"/>
      <c r="R107" s="1885"/>
      <c r="S107" s="1695"/>
      <c r="T107" s="1696"/>
      <c r="U107" s="1885"/>
      <c r="V107" s="1695"/>
      <c r="W107" s="1696"/>
      <c r="X107" s="1885"/>
      <c r="Y107" s="1886"/>
      <c r="Z107" s="1886"/>
      <c r="AA107" s="1886"/>
      <c r="AB107" s="1692"/>
      <c r="AC107" s="1886"/>
      <c r="AD107" s="1886"/>
      <c r="AE107" s="1886"/>
      <c r="AF107" s="1886"/>
      <c r="AG107" s="1887"/>
      <c r="AH107" s="215"/>
      <c r="AI107" s="182"/>
    </row>
    <row r="108" spans="1:35" ht="22.35" customHeight="1">
      <c r="A108" s="72"/>
      <c r="B108" s="17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215"/>
      <c r="AI108" s="182"/>
    </row>
    <row r="109" spans="1:35" ht="22.35" customHeight="1" thickBot="1">
      <c r="A109" s="1865" t="s">
        <v>28</v>
      </c>
      <c r="B109" s="1781" t="s">
        <v>29</v>
      </c>
      <c r="C109" s="1711">
        <v>1</v>
      </c>
      <c r="D109" s="1712">
        <v>2</v>
      </c>
      <c r="E109" s="1712">
        <v>3</v>
      </c>
      <c r="F109" s="1712">
        <v>4</v>
      </c>
      <c r="G109" s="1712">
        <v>5</v>
      </c>
      <c r="H109" s="1712">
        <v>6</v>
      </c>
      <c r="I109" s="1711">
        <v>7</v>
      </c>
      <c r="J109" s="1711">
        <v>8</v>
      </c>
      <c r="K109" s="1712">
        <v>9</v>
      </c>
      <c r="L109" s="1712">
        <v>10</v>
      </c>
      <c r="M109" s="1712">
        <v>11</v>
      </c>
      <c r="N109" s="1712">
        <v>12</v>
      </c>
      <c r="O109" s="1712">
        <v>13</v>
      </c>
      <c r="P109" s="1711">
        <v>14</v>
      </c>
      <c r="Q109" s="1711">
        <v>15</v>
      </c>
      <c r="R109" s="1712">
        <v>16</v>
      </c>
      <c r="S109" s="1712">
        <v>17</v>
      </c>
      <c r="T109" s="1712">
        <v>18</v>
      </c>
      <c r="U109" s="1712">
        <v>19</v>
      </c>
      <c r="V109" s="1712">
        <v>20</v>
      </c>
      <c r="W109" s="1711">
        <v>21</v>
      </c>
      <c r="X109" s="1711">
        <v>22</v>
      </c>
      <c r="Y109" s="1712">
        <v>23</v>
      </c>
      <c r="Z109" s="1712">
        <v>24</v>
      </c>
      <c r="AA109" s="1712">
        <v>25</v>
      </c>
      <c r="AB109" s="1712">
        <v>26</v>
      </c>
      <c r="AC109" s="1712">
        <v>27</v>
      </c>
      <c r="AD109" s="1711">
        <v>28</v>
      </c>
      <c r="AE109" s="1711">
        <v>29</v>
      </c>
      <c r="AF109" s="1712">
        <v>30</v>
      </c>
      <c r="AG109" s="1713">
        <v>31</v>
      </c>
      <c r="AH109" s="215"/>
      <c r="AI109" s="182"/>
    </row>
    <row r="110" spans="1:35" ht="22.35" customHeight="1">
      <c r="A110" s="381">
        <v>8520</v>
      </c>
      <c r="B110" s="382" t="s">
        <v>172</v>
      </c>
      <c r="C110" s="349"/>
      <c r="D110" s="349" t="s">
        <v>173</v>
      </c>
      <c r="E110" s="349" t="s">
        <v>173</v>
      </c>
      <c r="F110" s="349" t="s">
        <v>173</v>
      </c>
      <c r="G110" s="349" t="s">
        <v>173</v>
      </c>
      <c r="H110" s="349" t="s">
        <v>173</v>
      </c>
      <c r="I110" s="349"/>
      <c r="J110" s="349"/>
      <c r="K110" s="349" t="s">
        <v>173</v>
      </c>
      <c r="L110" s="349" t="s">
        <v>173</v>
      </c>
      <c r="M110" s="349" t="s">
        <v>173</v>
      </c>
      <c r="N110" s="349" t="s">
        <v>173</v>
      </c>
      <c r="O110" s="349" t="s">
        <v>173</v>
      </c>
      <c r="P110" s="349"/>
      <c r="Q110" s="349"/>
      <c r="R110" s="349" t="s">
        <v>173</v>
      </c>
      <c r="S110" s="349" t="s">
        <v>173</v>
      </c>
      <c r="T110" s="349" t="s">
        <v>173</v>
      </c>
      <c r="U110" s="349" t="s">
        <v>173</v>
      </c>
      <c r="V110" s="349" t="s">
        <v>173</v>
      </c>
      <c r="W110" s="349"/>
      <c r="X110" s="349"/>
      <c r="Y110" s="349" t="s">
        <v>173</v>
      </c>
      <c r="Z110" s="349" t="s">
        <v>173</v>
      </c>
      <c r="AA110" s="349" t="s">
        <v>173</v>
      </c>
      <c r="AB110" s="349" t="s">
        <v>173</v>
      </c>
      <c r="AC110" s="349" t="s">
        <v>173</v>
      </c>
      <c r="AD110" s="349"/>
      <c r="AE110" s="349"/>
      <c r="AF110" s="349" t="s">
        <v>173</v>
      </c>
      <c r="AG110" s="349" t="s">
        <v>173</v>
      </c>
      <c r="AH110" s="215"/>
      <c r="AI110" s="182"/>
    </row>
    <row r="111" spans="1:35" ht="22.35" customHeight="1">
      <c r="A111" s="221"/>
      <c r="B111" s="220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  <c r="AA111" s="211"/>
      <c r="AB111" s="211"/>
      <c r="AC111" s="211"/>
      <c r="AD111" s="211"/>
      <c r="AE111" s="211"/>
      <c r="AF111" s="211"/>
      <c r="AG111" s="211"/>
      <c r="AH111" s="215"/>
      <c r="AI111" s="182"/>
    </row>
    <row r="112" spans="1:35" ht="22.35" customHeight="1">
      <c r="AH112" s="107"/>
      <c r="AI112" s="107"/>
    </row>
    <row r="113" spans="1:35" ht="22.35" customHeight="1" thickBot="1">
      <c r="A113" s="172" t="s">
        <v>174</v>
      </c>
      <c r="B113" s="173"/>
      <c r="C113" s="173"/>
      <c r="D113" s="174"/>
      <c r="E113" s="174"/>
      <c r="F113" s="174"/>
      <c r="G113" s="105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3"/>
      <c r="AI113" s="173"/>
    </row>
    <row r="114" spans="1:35" ht="22.35" customHeight="1">
      <c r="A114" s="172"/>
      <c r="B114" s="248" t="s">
        <v>175</v>
      </c>
      <c r="C114" s="383"/>
      <c r="D114" s="384" t="s">
        <v>94</v>
      </c>
      <c r="E114" s="385"/>
      <c r="F114" s="386"/>
      <c r="G114" s="383"/>
      <c r="H114" s="384" t="s">
        <v>95</v>
      </c>
      <c r="I114" s="385"/>
      <c r="J114" s="386"/>
      <c r="K114" s="383"/>
      <c r="L114" s="384" t="s">
        <v>96</v>
      </c>
      <c r="M114" s="385"/>
      <c r="N114" s="386"/>
      <c r="O114" s="383"/>
      <c r="P114" s="384" t="s">
        <v>97</v>
      </c>
      <c r="Q114" s="385"/>
      <c r="R114" s="386"/>
      <c r="S114" s="383"/>
      <c r="T114" s="384" t="s">
        <v>98</v>
      </c>
      <c r="U114" s="385"/>
      <c r="V114" s="386"/>
      <c r="W114" s="383"/>
      <c r="X114" s="384" t="s">
        <v>99</v>
      </c>
      <c r="Y114" s="385"/>
      <c r="Z114" s="386"/>
      <c r="AA114" s="383"/>
      <c r="AB114" s="384" t="s">
        <v>100</v>
      </c>
      <c r="AC114" s="385"/>
      <c r="AD114" s="385"/>
      <c r="AE114" s="387" t="s">
        <v>101</v>
      </c>
      <c r="AF114" s="385"/>
      <c r="AG114" s="385"/>
      <c r="AH114" s="385"/>
      <c r="AI114" s="388"/>
    </row>
    <row r="115" spans="1:35" ht="22.35" customHeight="1">
      <c r="A115" s="172"/>
      <c r="B115" s="1888" t="s">
        <v>148</v>
      </c>
      <c r="C115" s="1889">
        <v>69</v>
      </c>
      <c r="D115" s="1890" t="s">
        <v>176</v>
      </c>
      <c r="E115" s="1890"/>
      <c r="F115" s="1891"/>
      <c r="G115" s="1889">
        <v>69</v>
      </c>
      <c r="H115" s="1890" t="s">
        <v>176</v>
      </c>
      <c r="I115" s="1890"/>
      <c r="J115" s="1891"/>
      <c r="K115" s="1889">
        <v>69</v>
      </c>
      <c r="L115" s="1890" t="s">
        <v>176</v>
      </c>
      <c r="M115" s="1890"/>
      <c r="N115" s="1891"/>
      <c r="O115" s="1889">
        <v>69</v>
      </c>
      <c r="P115" s="1890" t="s">
        <v>176</v>
      </c>
      <c r="Q115" s="1890"/>
      <c r="R115" s="1891"/>
      <c r="S115" s="1889">
        <v>69</v>
      </c>
      <c r="T115" s="1890" t="s">
        <v>176</v>
      </c>
      <c r="U115" s="1890"/>
      <c r="V115" s="1891"/>
      <c r="W115" s="1889"/>
      <c r="X115" s="1892"/>
      <c r="Y115" s="1892"/>
      <c r="Z115" s="1893"/>
      <c r="AA115" s="1889"/>
      <c r="AB115" s="1890"/>
      <c r="AC115" s="1890"/>
      <c r="AD115" s="1817"/>
      <c r="AE115" s="1894">
        <v>35</v>
      </c>
      <c r="AF115" s="1890"/>
      <c r="AG115" s="1890"/>
      <c r="AH115" s="1817"/>
      <c r="AI115" s="1895"/>
    </row>
    <row r="116" spans="1:35" ht="22.35" customHeight="1">
      <c r="A116" s="172"/>
      <c r="B116" s="1888" t="s">
        <v>152</v>
      </c>
      <c r="C116" s="1889">
        <v>79</v>
      </c>
      <c r="D116" s="1890" t="s">
        <v>177</v>
      </c>
      <c r="E116" s="1890"/>
      <c r="F116" s="1891"/>
      <c r="G116" s="1889">
        <v>79</v>
      </c>
      <c r="H116" s="1890" t="s">
        <v>177</v>
      </c>
      <c r="I116" s="1890"/>
      <c r="J116" s="1891"/>
      <c r="K116" s="1889">
        <v>79</v>
      </c>
      <c r="L116" s="1890" t="s">
        <v>177</v>
      </c>
      <c r="M116" s="1890"/>
      <c r="N116" s="1891"/>
      <c r="O116" s="1889">
        <v>79</v>
      </c>
      <c r="P116" s="1890" t="s">
        <v>177</v>
      </c>
      <c r="Q116" s="1890"/>
      <c r="R116" s="1891"/>
      <c r="S116" s="1889">
        <v>79</v>
      </c>
      <c r="T116" s="1890" t="s">
        <v>177</v>
      </c>
      <c r="U116" s="1890"/>
      <c r="V116" s="1891"/>
      <c r="W116" s="1889"/>
      <c r="X116" s="1890"/>
      <c r="Y116" s="1890"/>
      <c r="Z116" s="1891"/>
      <c r="AA116" s="1890"/>
      <c r="AB116" s="1890"/>
      <c r="AC116" s="1890"/>
      <c r="AD116" s="1817"/>
      <c r="AE116" s="1894">
        <v>40</v>
      </c>
      <c r="AF116" s="1890"/>
      <c r="AG116" s="1890"/>
      <c r="AH116" s="1817"/>
      <c r="AI116" s="1895"/>
    </row>
    <row r="117" spans="1:35" ht="22.35" customHeight="1">
      <c r="A117" s="172"/>
      <c r="B117" s="1888" t="s">
        <v>159</v>
      </c>
      <c r="C117" s="1889">
        <v>89</v>
      </c>
      <c r="D117" s="1890" t="s">
        <v>178</v>
      </c>
      <c r="E117" s="1890"/>
      <c r="F117" s="1891"/>
      <c r="G117" s="1889">
        <v>89</v>
      </c>
      <c r="H117" s="1890" t="s">
        <v>178</v>
      </c>
      <c r="I117" s="1890"/>
      <c r="J117" s="1891"/>
      <c r="K117" s="1889">
        <v>89</v>
      </c>
      <c r="L117" s="1890" t="s">
        <v>178</v>
      </c>
      <c r="M117" s="1890"/>
      <c r="N117" s="1891"/>
      <c r="O117" s="1889">
        <v>89</v>
      </c>
      <c r="P117" s="1890" t="s">
        <v>178</v>
      </c>
      <c r="Q117" s="1890"/>
      <c r="R117" s="1891"/>
      <c r="S117" s="1889">
        <v>89</v>
      </c>
      <c r="T117" s="1890" t="s">
        <v>179</v>
      </c>
      <c r="U117" s="1890"/>
      <c r="V117" s="1891"/>
      <c r="W117" s="1896"/>
      <c r="X117" s="1897" t="s">
        <v>180</v>
      </c>
      <c r="Y117" s="1897"/>
      <c r="Z117" s="1898"/>
      <c r="AA117" s="1896"/>
      <c r="AB117" s="1897"/>
      <c r="AC117" s="1897"/>
      <c r="AD117" s="1819"/>
      <c r="AE117" s="1894">
        <v>44</v>
      </c>
      <c r="AF117" s="1890"/>
      <c r="AG117" s="1890"/>
      <c r="AH117" s="1817"/>
      <c r="AI117" s="1895"/>
    </row>
    <row r="118" spans="1:35" ht="22.35" customHeight="1">
      <c r="A118" s="172"/>
      <c r="B118" s="38" t="s">
        <v>161</v>
      </c>
      <c r="C118" s="1896">
        <v>99</v>
      </c>
      <c r="D118" s="1897" t="s">
        <v>181</v>
      </c>
      <c r="E118" s="1897"/>
      <c r="F118" s="1898"/>
      <c r="G118" s="1896">
        <v>99</v>
      </c>
      <c r="H118" s="1897" t="s">
        <v>181</v>
      </c>
      <c r="I118" s="1897"/>
      <c r="J118" s="1898"/>
      <c r="K118" s="1896">
        <v>99</v>
      </c>
      <c r="L118" s="1897" t="s">
        <v>181</v>
      </c>
      <c r="M118" s="1897"/>
      <c r="N118" s="1898"/>
      <c r="O118" s="1896">
        <v>99</v>
      </c>
      <c r="P118" s="1897" t="s">
        <v>181</v>
      </c>
      <c r="Q118" s="1897"/>
      <c r="R118" s="1898"/>
      <c r="S118" s="1896">
        <v>99</v>
      </c>
      <c r="T118" s="1897" t="s">
        <v>160</v>
      </c>
      <c r="U118" s="1897"/>
      <c r="V118" s="1819"/>
      <c r="W118" s="1818"/>
      <c r="X118" s="1819"/>
      <c r="Y118" s="1897"/>
      <c r="Z118" s="1898"/>
      <c r="AA118" s="1818"/>
      <c r="AB118" s="1819"/>
      <c r="AC118" s="1897"/>
      <c r="AD118" s="1898"/>
      <c r="AE118" s="1899">
        <v>28</v>
      </c>
      <c r="AF118" s="1897"/>
      <c r="AG118" s="1897"/>
      <c r="AH118" s="1819"/>
      <c r="AI118" s="1900"/>
    </row>
    <row r="119" spans="1:35" ht="22.35" customHeight="1" thickBot="1">
      <c r="A119" s="172"/>
      <c r="B119" s="1901" t="s">
        <v>182</v>
      </c>
      <c r="C119" s="1902" t="s">
        <v>183</v>
      </c>
      <c r="D119" s="1903" t="s">
        <v>184</v>
      </c>
      <c r="E119" s="1904"/>
      <c r="F119" s="1774"/>
      <c r="G119" s="1902" t="s">
        <v>183</v>
      </c>
      <c r="H119" s="1903" t="s">
        <v>184</v>
      </c>
      <c r="I119" s="1772"/>
      <c r="J119" s="1904"/>
      <c r="K119" s="1902" t="s">
        <v>183</v>
      </c>
      <c r="L119" s="1903" t="s">
        <v>184</v>
      </c>
      <c r="M119" s="1904"/>
      <c r="N119" s="1905"/>
      <c r="O119" s="1902" t="s">
        <v>183</v>
      </c>
      <c r="P119" s="1903" t="s">
        <v>184</v>
      </c>
      <c r="Q119" s="1904"/>
      <c r="R119" s="1903"/>
      <c r="S119" s="1902" t="s">
        <v>183</v>
      </c>
      <c r="T119" s="1776" t="s">
        <v>185</v>
      </c>
      <c r="U119" s="1903"/>
      <c r="V119" s="1905"/>
      <c r="W119" s="1904"/>
      <c r="X119" s="1903"/>
      <c r="Y119" s="1903"/>
      <c r="Z119" s="1903"/>
      <c r="AA119" s="1906"/>
      <c r="AB119" s="1907"/>
      <c r="AC119" s="1903"/>
      <c r="AD119" s="1908"/>
      <c r="AE119" s="1903"/>
      <c r="AF119" s="1903"/>
      <c r="AG119" s="1903"/>
      <c r="AH119" s="1909"/>
      <c r="AI119" s="1910"/>
    </row>
    <row r="120" spans="1:35" ht="22.35" customHeight="1">
      <c r="A120" s="108"/>
      <c r="B120" s="172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 thickBot="1">
      <c r="A121" s="1865"/>
      <c r="B121" s="1781" t="s">
        <v>29</v>
      </c>
      <c r="C121" s="1711">
        <v>1</v>
      </c>
      <c r="D121" s="1712">
        <v>2</v>
      </c>
      <c r="E121" s="1712">
        <v>3</v>
      </c>
      <c r="F121" s="1712">
        <v>4</v>
      </c>
      <c r="G121" s="1712">
        <v>5</v>
      </c>
      <c r="H121" s="1712">
        <v>6</v>
      </c>
      <c r="I121" s="1711">
        <v>7</v>
      </c>
      <c r="J121" s="1711">
        <v>8</v>
      </c>
      <c r="K121" s="1712">
        <v>9</v>
      </c>
      <c r="L121" s="1712">
        <v>10</v>
      </c>
      <c r="M121" s="1712">
        <v>11</v>
      </c>
      <c r="N121" s="1712">
        <v>12</v>
      </c>
      <c r="O121" s="1712">
        <v>13</v>
      </c>
      <c r="P121" s="1711">
        <v>14</v>
      </c>
      <c r="Q121" s="1711">
        <v>15</v>
      </c>
      <c r="R121" s="1712">
        <v>16</v>
      </c>
      <c r="S121" s="1712">
        <v>17</v>
      </c>
      <c r="T121" s="1712">
        <v>18</v>
      </c>
      <c r="U121" s="1712">
        <v>19</v>
      </c>
      <c r="V121" s="1712">
        <v>20</v>
      </c>
      <c r="W121" s="1711">
        <v>21</v>
      </c>
      <c r="X121" s="1711">
        <v>22</v>
      </c>
      <c r="Y121" s="1712">
        <v>23</v>
      </c>
      <c r="Z121" s="1712">
        <v>24</v>
      </c>
      <c r="AA121" s="1712">
        <v>25</v>
      </c>
      <c r="AB121" s="1712">
        <v>26</v>
      </c>
      <c r="AC121" s="1712">
        <v>27</v>
      </c>
      <c r="AD121" s="1711">
        <v>28</v>
      </c>
      <c r="AE121" s="1711">
        <v>29</v>
      </c>
      <c r="AF121" s="1712">
        <v>30</v>
      </c>
      <c r="AG121" s="1713">
        <v>31</v>
      </c>
      <c r="AH121" s="176"/>
      <c r="AI121" s="177"/>
    </row>
    <row r="122" spans="1:35" ht="22.35" customHeight="1">
      <c r="A122" s="367">
        <v>1</v>
      </c>
      <c r="B122" s="389" t="s">
        <v>186</v>
      </c>
      <c r="C122" s="361"/>
      <c r="D122" s="361">
        <v>69</v>
      </c>
      <c r="E122" s="349">
        <v>69</v>
      </c>
      <c r="F122" s="349">
        <v>69</v>
      </c>
      <c r="G122" s="350">
        <v>69</v>
      </c>
      <c r="H122" s="361">
        <v>69</v>
      </c>
      <c r="I122" s="350"/>
      <c r="J122" s="350"/>
      <c r="K122" s="361">
        <v>79</v>
      </c>
      <c r="L122" s="350">
        <v>79</v>
      </c>
      <c r="M122" s="349">
        <v>79</v>
      </c>
      <c r="N122" s="361">
        <v>79</v>
      </c>
      <c r="O122" s="361">
        <v>79</v>
      </c>
      <c r="P122" s="361"/>
      <c r="Q122" s="361"/>
      <c r="R122" s="361">
        <v>89</v>
      </c>
      <c r="S122" s="349">
        <v>89</v>
      </c>
      <c r="T122" s="349">
        <v>89</v>
      </c>
      <c r="U122" s="361">
        <v>89</v>
      </c>
      <c r="V122" s="1911">
        <v>89</v>
      </c>
      <c r="W122" s="361">
        <v>89</v>
      </c>
      <c r="X122" s="361"/>
      <c r="Y122" s="361">
        <v>99</v>
      </c>
      <c r="Z122" s="552">
        <v>99</v>
      </c>
      <c r="AA122" s="552">
        <v>99</v>
      </c>
      <c r="AB122" s="552">
        <v>99</v>
      </c>
      <c r="AC122" s="552" t="s">
        <v>36</v>
      </c>
      <c r="AD122" s="361" t="s">
        <v>315</v>
      </c>
      <c r="AE122" s="361"/>
      <c r="AF122" s="350" t="s">
        <v>183</v>
      </c>
      <c r="AG122" s="362" t="s">
        <v>183</v>
      </c>
      <c r="AH122" s="201"/>
      <c r="AI122" s="107"/>
    </row>
    <row r="123" spans="1:35" ht="22.35" customHeight="1">
      <c r="A123" s="1876">
        <v>2</v>
      </c>
      <c r="B123" s="1912" t="s">
        <v>188</v>
      </c>
      <c r="C123" s="1724"/>
      <c r="D123" s="1759">
        <v>79</v>
      </c>
      <c r="E123" s="1723">
        <v>79</v>
      </c>
      <c r="F123" s="1723">
        <v>79</v>
      </c>
      <c r="G123" s="1759">
        <v>79</v>
      </c>
      <c r="H123" s="1759">
        <v>79</v>
      </c>
      <c r="I123" s="1759"/>
      <c r="J123" s="1759"/>
      <c r="K123" s="1913">
        <v>89</v>
      </c>
      <c r="L123" s="1723">
        <v>89</v>
      </c>
      <c r="M123" s="1723">
        <v>89</v>
      </c>
      <c r="N123" s="1759">
        <v>89</v>
      </c>
      <c r="O123" s="1759">
        <v>89</v>
      </c>
      <c r="P123" s="1759">
        <v>89</v>
      </c>
      <c r="Q123" s="1759"/>
      <c r="R123" s="1724">
        <v>99</v>
      </c>
      <c r="S123" s="1759">
        <v>99</v>
      </c>
      <c r="T123" s="1723">
        <v>99</v>
      </c>
      <c r="U123" s="1759">
        <v>99</v>
      </c>
      <c r="V123" s="1759" t="s">
        <v>36</v>
      </c>
      <c r="W123" s="1759"/>
      <c r="X123" s="1759"/>
      <c r="Y123" s="1759" t="s">
        <v>183</v>
      </c>
      <c r="Z123" s="1723" t="s">
        <v>183</v>
      </c>
      <c r="AA123" s="1723" t="s">
        <v>183</v>
      </c>
      <c r="AB123" s="1724" t="s">
        <v>183</v>
      </c>
      <c r="AC123" s="1759" t="s">
        <v>183</v>
      </c>
      <c r="AD123" s="1724"/>
      <c r="AE123" s="1795"/>
      <c r="AF123" s="1914">
        <v>69</v>
      </c>
      <c r="AG123" s="1915">
        <v>69</v>
      </c>
      <c r="AH123" s="202"/>
      <c r="AI123" s="171"/>
    </row>
    <row r="124" spans="1:35" ht="22.35" customHeight="1">
      <c r="A124" s="1876">
        <v>3</v>
      </c>
      <c r="B124" s="1912" t="s">
        <v>189</v>
      </c>
      <c r="C124" s="1916"/>
      <c r="D124" s="1916">
        <v>89</v>
      </c>
      <c r="E124" s="1916">
        <v>89</v>
      </c>
      <c r="F124" s="1916">
        <v>89</v>
      </c>
      <c r="G124" s="1916">
        <v>89</v>
      </c>
      <c r="H124" s="1916">
        <v>89</v>
      </c>
      <c r="I124" s="1916">
        <v>89</v>
      </c>
      <c r="J124" s="1916"/>
      <c r="K124" s="1917">
        <v>99</v>
      </c>
      <c r="L124" s="1916">
        <v>99</v>
      </c>
      <c r="M124" s="1916">
        <v>99</v>
      </c>
      <c r="N124" s="1916">
        <v>99</v>
      </c>
      <c r="O124" s="1759" t="s">
        <v>36</v>
      </c>
      <c r="P124" s="1918"/>
      <c r="Q124" s="1916"/>
      <c r="R124" s="1919" t="s">
        <v>183</v>
      </c>
      <c r="S124" s="1919" t="s">
        <v>183</v>
      </c>
      <c r="T124" s="1919" t="s">
        <v>183</v>
      </c>
      <c r="U124" s="1919" t="s">
        <v>183</v>
      </c>
      <c r="V124" s="1919" t="s">
        <v>183</v>
      </c>
      <c r="W124" s="1919"/>
      <c r="X124" s="1919"/>
      <c r="Y124" s="1919">
        <v>69</v>
      </c>
      <c r="Z124" s="1919">
        <v>69</v>
      </c>
      <c r="AA124" s="1919">
        <v>69</v>
      </c>
      <c r="AB124" s="1919">
        <v>69</v>
      </c>
      <c r="AC124" s="1919">
        <v>69</v>
      </c>
      <c r="AD124" s="1919"/>
      <c r="AE124" s="1919"/>
      <c r="AF124" s="1920">
        <v>79</v>
      </c>
      <c r="AG124" s="1921">
        <v>79</v>
      </c>
      <c r="AH124" s="201"/>
      <c r="AI124" s="107"/>
    </row>
    <row r="125" spans="1:35" ht="22.35" customHeight="1">
      <c r="A125" s="1876">
        <v>4</v>
      </c>
      <c r="B125" s="1912" t="s">
        <v>137</v>
      </c>
      <c r="C125" s="1723"/>
      <c r="D125" s="1748">
        <v>99</v>
      </c>
      <c r="E125" s="1748">
        <v>99</v>
      </c>
      <c r="F125" s="1748">
        <v>99</v>
      </c>
      <c r="G125" s="1748">
        <v>99</v>
      </c>
      <c r="H125" s="1782" t="s">
        <v>36</v>
      </c>
      <c r="I125" s="1723"/>
      <c r="J125" s="1723"/>
      <c r="K125" s="1723" t="s">
        <v>183</v>
      </c>
      <c r="L125" s="1723" t="s">
        <v>183</v>
      </c>
      <c r="M125" s="1723" t="s">
        <v>183</v>
      </c>
      <c r="N125" s="1723" t="s">
        <v>343</v>
      </c>
      <c r="O125" s="1723" t="s">
        <v>343</v>
      </c>
      <c r="P125" s="1723"/>
      <c r="Q125" s="1867"/>
      <c r="R125" s="1919">
        <v>69</v>
      </c>
      <c r="S125" s="1919">
        <v>69</v>
      </c>
      <c r="T125" s="1919">
        <v>69</v>
      </c>
      <c r="U125" s="1919">
        <v>69</v>
      </c>
      <c r="V125" s="1919">
        <v>69</v>
      </c>
      <c r="W125" s="1919"/>
      <c r="X125" s="1919"/>
      <c r="Y125" s="1919">
        <v>79</v>
      </c>
      <c r="Z125" s="1919">
        <v>79</v>
      </c>
      <c r="AA125" s="1919">
        <v>79</v>
      </c>
      <c r="AB125" s="1919">
        <v>79</v>
      </c>
      <c r="AC125" s="1919">
        <v>79</v>
      </c>
      <c r="AD125" s="1919"/>
      <c r="AE125" s="1919"/>
      <c r="AF125" s="1919">
        <v>89</v>
      </c>
      <c r="AG125" s="1922">
        <v>89</v>
      </c>
      <c r="AH125" s="201"/>
      <c r="AI125" s="107"/>
    </row>
    <row r="126" spans="1:35" ht="22.35" customHeight="1" thickBot="1">
      <c r="A126" s="1882">
        <v>5</v>
      </c>
      <c r="B126" s="1923" t="s">
        <v>190</v>
      </c>
      <c r="C126" s="1924"/>
      <c r="D126" s="1924" t="s">
        <v>183</v>
      </c>
      <c r="E126" s="1924" t="s">
        <v>183</v>
      </c>
      <c r="F126" s="1924" t="s">
        <v>183</v>
      </c>
      <c r="G126" s="1924" t="s">
        <v>183</v>
      </c>
      <c r="H126" s="1924" t="s">
        <v>183</v>
      </c>
      <c r="I126" s="1924"/>
      <c r="J126" s="1924"/>
      <c r="K126" s="1924">
        <v>69</v>
      </c>
      <c r="L126" s="1924">
        <v>69</v>
      </c>
      <c r="M126" s="1924">
        <v>69</v>
      </c>
      <c r="N126" s="1924">
        <v>69</v>
      </c>
      <c r="O126" s="1924">
        <v>69</v>
      </c>
      <c r="P126" s="1924"/>
      <c r="Q126" s="1924"/>
      <c r="R126" s="1844">
        <v>79</v>
      </c>
      <c r="S126" s="1712">
        <v>79</v>
      </c>
      <c r="T126" s="1925">
        <v>79</v>
      </c>
      <c r="U126" s="1844">
        <v>79</v>
      </c>
      <c r="V126" s="1844">
        <v>79</v>
      </c>
      <c r="W126" s="1844"/>
      <c r="X126" s="1844"/>
      <c r="Y126" s="1844">
        <v>89</v>
      </c>
      <c r="Z126" s="1789">
        <v>89</v>
      </c>
      <c r="AA126" s="1789">
        <v>89</v>
      </c>
      <c r="AB126" s="1844">
        <v>89</v>
      </c>
      <c r="AC126" s="1844">
        <v>89</v>
      </c>
      <c r="AD126" s="1844">
        <v>89</v>
      </c>
      <c r="AE126" s="1844"/>
      <c r="AF126" s="1844">
        <v>99</v>
      </c>
      <c r="AG126" s="1926">
        <v>99</v>
      </c>
      <c r="AH126" s="201"/>
      <c r="AI126" s="107"/>
    </row>
    <row r="127" spans="1:35" ht="22.35" customHeight="1">
      <c r="A127" s="212"/>
      <c r="B127" s="229"/>
      <c r="C127" s="230"/>
      <c r="D127" s="230"/>
      <c r="E127" s="230"/>
      <c r="F127" s="211"/>
      <c r="G127" s="228"/>
      <c r="H127" s="228"/>
      <c r="I127" s="228"/>
      <c r="J127" s="228"/>
      <c r="K127" s="228"/>
      <c r="L127" s="211"/>
      <c r="M127" s="211"/>
      <c r="N127" s="230"/>
      <c r="O127" s="230"/>
      <c r="P127" s="230"/>
      <c r="Q127" s="230"/>
      <c r="R127" s="230"/>
      <c r="S127" s="211"/>
      <c r="T127" s="231"/>
      <c r="U127" s="230"/>
      <c r="V127" s="230"/>
      <c r="W127" s="230"/>
      <c r="X127" s="230"/>
      <c r="Y127" s="230"/>
      <c r="Z127" s="232"/>
      <c r="AA127" s="232"/>
      <c r="AB127" s="230"/>
      <c r="AC127" s="230"/>
      <c r="AD127" s="230"/>
      <c r="AE127" s="230"/>
      <c r="AF127" s="230"/>
      <c r="AG127" s="232"/>
      <c r="AH127" s="201"/>
      <c r="AI127" s="107"/>
    </row>
    <row r="128" spans="1:35" ht="22.35" customHeight="1">
      <c r="A128" s="109"/>
      <c r="B128" s="110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7"/>
      <c r="AI128" s="107"/>
    </row>
    <row r="129" spans="1:35" ht="22.35" customHeight="1" thickBot="1">
      <c r="A129" s="172" t="s">
        <v>191</v>
      </c>
      <c r="B129" s="173"/>
      <c r="C129" s="173"/>
      <c r="D129" s="174"/>
      <c r="E129" s="174"/>
      <c r="F129" s="174"/>
      <c r="G129" s="105"/>
      <c r="H129" s="174"/>
      <c r="I129" s="174"/>
      <c r="J129" s="174"/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V129" s="174"/>
      <c r="W129" s="174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174"/>
      <c r="AH129" s="173"/>
      <c r="AI129" s="173"/>
    </row>
    <row r="130" spans="1:35" ht="22.35" customHeight="1">
      <c r="A130" s="172"/>
      <c r="B130" s="248" t="s">
        <v>175</v>
      </c>
      <c r="C130" s="383"/>
      <c r="D130" s="384" t="s">
        <v>94</v>
      </c>
      <c r="E130" s="385"/>
      <c r="F130" s="386"/>
      <c r="G130" s="383"/>
      <c r="H130" s="384" t="s">
        <v>95</v>
      </c>
      <c r="I130" s="385"/>
      <c r="J130" s="386"/>
      <c r="K130" s="383"/>
      <c r="L130" s="384" t="s">
        <v>96</v>
      </c>
      <c r="M130" s="385"/>
      <c r="N130" s="386"/>
      <c r="O130" s="383"/>
      <c r="P130" s="384" t="s">
        <v>97</v>
      </c>
      <c r="Q130" s="385"/>
      <c r="R130" s="386"/>
      <c r="S130" s="383"/>
      <c r="T130" s="384" t="s">
        <v>98</v>
      </c>
      <c r="U130" s="385"/>
      <c r="V130" s="386"/>
      <c r="W130" s="383"/>
      <c r="X130" s="384" t="s">
        <v>99</v>
      </c>
      <c r="Y130" s="385"/>
      <c r="Z130" s="386"/>
      <c r="AA130" s="383"/>
      <c r="AB130" s="384" t="s">
        <v>100</v>
      </c>
      <c r="AC130" s="385"/>
      <c r="AD130" s="385"/>
      <c r="AE130" s="387" t="s">
        <v>101</v>
      </c>
      <c r="AF130" s="385"/>
      <c r="AG130" s="385"/>
      <c r="AH130" s="385"/>
      <c r="AI130" s="388"/>
    </row>
    <row r="131" spans="1:35" ht="22.35" customHeight="1">
      <c r="A131" s="172"/>
      <c r="B131" s="1888" t="s">
        <v>192</v>
      </c>
      <c r="C131" s="1816" t="s">
        <v>193</v>
      </c>
      <c r="D131" s="1890"/>
      <c r="E131" s="1890"/>
      <c r="F131" s="1891"/>
      <c r="G131" s="1816" t="s">
        <v>193</v>
      </c>
      <c r="H131" s="1890"/>
      <c r="I131" s="1890"/>
      <c r="J131" s="1891"/>
      <c r="K131" s="1816" t="s">
        <v>193</v>
      </c>
      <c r="L131" s="1890"/>
      <c r="M131" s="1890"/>
      <c r="N131" s="1891"/>
      <c r="O131" s="1816" t="s">
        <v>193</v>
      </c>
      <c r="P131" s="1890"/>
      <c r="Q131" s="1890"/>
      <c r="R131" s="1891"/>
      <c r="S131" s="1816" t="s">
        <v>193</v>
      </c>
      <c r="T131" s="1890"/>
      <c r="U131" s="1890"/>
      <c r="V131" s="1891"/>
      <c r="W131" s="1816" t="s">
        <v>194</v>
      </c>
      <c r="X131" s="1892"/>
      <c r="Y131" s="1892"/>
      <c r="Z131" s="1893"/>
      <c r="AA131" s="1816" t="s">
        <v>194</v>
      </c>
      <c r="AB131" s="1890"/>
      <c r="AC131" s="1890"/>
      <c r="AD131" s="1817"/>
      <c r="AE131" s="1894">
        <v>69</v>
      </c>
      <c r="AF131" s="194"/>
      <c r="AG131" s="194"/>
      <c r="AH131" s="194"/>
      <c r="AI131" s="195"/>
    </row>
    <row r="132" spans="1:35" ht="22.35" customHeight="1">
      <c r="A132" s="172"/>
      <c r="B132" s="1888" t="s">
        <v>152</v>
      </c>
      <c r="C132" s="1816" t="s">
        <v>160</v>
      </c>
      <c r="D132" s="1890"/>
      <c r="E132" s="1890"/>
      <c r="F132" s="1891"/>
      <c r="G132" s="1816" t="s">
        <v>160</v>
      </c>
      <c r="H132" s="1890"/>
      <c r="I132" s="1890"/>
      <c r="J132" s="1891"/>
      <c r="K132" s="1816" t="s">
        <v>160</v>
      </c>
      <c r="L132" s="1890"/>
      <c r="M132" s="1890"/>
      <c r="N132" s="1891"/>
      <c r="O132" s="1816" t="s">
        <v>160</v>
      </c>
      <c r="P132" s="1890"/>
      <c r="Q132" s="1890"/>
      <c r="R132" s="1891"/>
      <c r="S132" s="1816" t="s">
        <v>160</v>
      </c>
      <c r="T132" s="1890"/>
      <c r="U132" s="1890"/>
      <c r="V132" s="1891"/>
      <c r="W132" s="1816" t="s">
        <v>160</v>
      </c>
      <c r="X132" s="1890"/>
      <c r="Y132" s="1890"/>
      <c r="Z132" s="1891"/>
      <c r="AA132" s="1890" t="s">
        <v>160</v>
      </c>
      <c r="AB132" s="1890"/>
      <c r="AC132" s="1890"/>
      <c r="AD132" s="1817"/>
      <c r="AE132" s="1894">
        <v>0</v>
      </c>
      <c r="AF132" s="194"/>
      <c r="AG132" s="194"/>
      <c r="AH132" s="194"/>
      <c r="AI132" s="195"/>
    </row>
    <row r="133" spans="1:35" ht="22.35" customHeight="1">
      <c r="A133" s="172"/>
      <c r="B133" s="1888" t="s">
        <v>195</v>
      </c>
      <c r="C133" s="1816" t="s">
        <v>193</v>
      </c>
      <c r="D133" s="1890"/>
      <c r="E133" s="1890"/>
      <c r="F133" s="1891"/>
      <c r="G133" s="1816" t="s">
        <v>193</v>
      </c>
      <c r="H133" s="1890"/>
      <c r="I133" s="1890"/>
      <c r="J133" s="1891"/>
      <c r="K133" s="1816" t="s">
        <v>193</v>
      </c>
      <c r="L133" s="1890"/>
      <c r="M133" s="1890"/>
      <c r="N133" s="1891"/>
      <c r="O133" s="1816" t="s">
        <v>193</v>
      </c>
      <c r="P133" s="1890"/>
      <c r="Q133" s="1890"/>
      <c r="R133" s="1891"/>
      <c r="S133" s="1816" t="s">
        <v>193</v>
      </c>
      <c r="T133" s="1890"/>
      <c r="U133" s="1890"/>
      <c r="V133" s="1891"/>
      <c r="W133" s="1816" t="s">
        <v>194</v>
      </c>
      <c r="X133" s="1892"/>
      <c r="Y133" s="1892"/>
      <c r="Z133" s="1893"/>
      <c r="AA133" s="1816" t="s">
        <v>194</v>
      </c>
      <c r="AB133" s="1890"/>
      <c r="AC133" s="1890"/>
      <c r="AD133" s="1817"/>
      <c r="AE133" s="1894">
        <v>69</v>
      </c>
      <c r="AF133" s="1890"/>
      <c r="AG133" s="1890" t="s">
        <v>0</v>
      </c>
      <c r="AH133" s="1817"/>
      <c r="AI133" s="1895"/>
    </row>
    <row r="134" spans="1:35" ht="22.35" customHeight="1">
      <c r="A134" s="172"/>
      <c r="B134" s="1888" t="s">
        <v>161</v>
      </c>
      <c r="C134" s="1816" t="s">
        <v>160</v>
      </c>
      <c r="D134" s="1890"/>
      <c r="E134" s="1890"/>
      <c r="F134" s="1891"/>
      <c r="G134" s="1816" t="s">
        <v>160</v>
      </c>
      <c r="H134" s="1890"/>
      <c r="I134" s="1890"/>
      <c r="J134" s="1891"/>
      <c r="K134" s="1816" t="s">
        <v>160</v>
      </c>
      <c r="L134" s="1890"/>
      <c r="M134" s="1890"/>
      <c r="N134" s="1891"/>
      <c r="O134" s="1816" t="s">
        <v>160</v>
      </c>
      <c r="P134" s="1890"/>
      <c r="Q134" s="1890"/>
      <c r="R134" s="1891"/>
      <c r="S134" s="1816" t="s">
        <v>160</v>
      </c>
      <c r="T134" s="1890"/>
      <c r="U134" s="1890"/>
      <c r="V134" s="1891"/>
      <c r="W134" s="1816" t="s">
        <v>160</v>
      </c>
      <c r="X134" s="1890"/>
      <c r="Y134" s="1890"/>
      <c r="Z134" s="1891"/>
      <c r="AA134" s="1890" t="s">
        <v>160</v>
      </c>
      <c r="AB134" s="1890"/>
      <c r="AC134" s="1890"/>
      <c r="AD134" s="1817"/>
      <c r="AE134" s="1894">
        <v>0</v>
      </c>
      <c r="AF134" s="1890"/>
      <c r="AG134" s="1890"/>
      <c r="AH134" s="1817"/>
      <c r="AI134" s="1895"/>
    </row>
    <row r="135" spans="1:35" ht="22.35" customHeight="1">
      <c r="A135" s="172"/>
      <c r="B135" s="1888" t="s">
        <v>196</v>
      </c>
      <c r="C135" s="1816" t="s">
        <v>193</v>
      </c>
      <c r="D135" s="1890"/>
      <c r="E135" s="1890"/>
      <c r="F135" s="1891"/>
      <c r="G135" s="1816" t="s">
        <v>193</v>
      </c>
      <c r="H135" s="1890"/>
      <c r="I135" s="1890"/>
      <c r="J135" s="1891"/>
      <c r="K135" s="1816" t="s">
        <v>193</v>
      </c>
      <c r="L135" s="1890"/>
      <c r="M135" s="1890"/>
      <c r="N135" s="1891"/>
      <c r="O135" s="1816" t="s">
        <v>193</v>
      </c>
      <c r="P135" s="1890"/>
      <c r="Q135" s="1890"/>
      <c r="R135" s="1891"/>
      <c r="S135" s="1816" t="s">
        <v>193</v>
      </c>
      <c r="T135" s="1890"/>
      <c r="U135" s="1890"/>
      <c r="V135" s="1891"/>
      <c r="W135" s="1816" t="s">
        <v>197</v>
      </c>
      <c r="X135" s="1897"/>
      <c r="Y135" s="1897"/>
      <c r="Z135" s="1898"/>
      <c r="AA135" s="1816" t="s">
        <v>197</v>
      </c>
      <c r="AB135" s="1897"/>
      <c r="AC135" s="1897"/>
      <c r="AD135" s="1819"/>
      <c r="AE135" s="1894">
        <v>66</v>
      </c>
      <c r="AF135" s="1890"/>
      <c r="AG135" s="1890"/>
      <c r="AH135" s="1817"/>
      <c r="AI135" s="1895"/>
    </row>
    <row r="136" spans="1:35" ht="22.35" customHeight="1" thickBot="1">
      <c r="A136" s="172"/>
      <c r="B136" s="1888" t="s">
        <v>198</v>
      </c>
      <c r="C136" s="1927" t="s">
        <v>160</v>
      </c>
      <c r="D136" s="1928"/>
      <c r="E136" s="1928"/>
      <c r="F136" s="1929"/>
      <c r="G136" s="1927" t="s">
        <v>160</v>
      </c>
      <c r="H136" s="1928"/>
      <c r="I136" s="1928"/>
      <c r="J136" s="1929"/>
      <c r="K136" s="1927" t="s">
        <v>160</v>
      </c>
      <c r="L136" s="1928"/>
      <c r="M136" s="1928"/>
      <c r="N136" s="1929"/>
      <c r="O136" s="1927" t="s">
        <v>160</v>
      </c>
      <c r="P136" s="1928"/>
      <c r="Q136" s="1928"/>
      <c r="R136" s="1929"/>
      <c r="S136" s="1927" t="s">
        <v>160</v>
      </c>
      <c r="T136" s="1928"/>
      <c r="U136" s="1928"/>
      <c r="V136" s="1909"/>
      <c r="W136" s="1927" t="s">
        <v>160</v>
      </c>
      <c r="X136" s="1909"/>
      <c r="Y136" s="1928"/>
      <c r="Z136" s="1929"/>
      <c r="AA136" s="1927" t="s">
        <v>160</v>
      </c>
      <c r="AB136" s="1909"/>
      <c r="AC136" s="1928"/>
      <c r="AD136" s="1929"/>
      <c r="AE136" s="1930" t="s">
        <v>168</v>
      </c>
      <c r="AF136" s="1928"/>
      <c r="AG136" s="1928"/>
      <c r="AH136" s="1909"/>
      <c r="AI136" s="1910"/>
    </row>
    <row r="137" spans="1:35" ht="22.35" customHeight="1">
      <c r="A137" s="108"/>
      <c r="B137" s="172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3"/>
      <c r="AI137" s="173"/>
    </row>
    <row r="138" spans="1:35" ht="22.35" customHeight="1" thickBot="1">
      <c r="A138" s="1865"/>
      <c r="B138" s="1710" t="s">
        <v>29</v>
      </c>
      <c r="C138" s="1711">
        <v>1</v>
      </c>
      <c r="D138" s="1712">
        <v>2</v>
      </c>
      <c r="E138" s="1712">
        <v>3</v>
      </c>
      <c r="F138" s="1712">
        <v>4</v>
      </c>
      <c r="G138" s="1712">
        <v>5</v>
      </c>
      <c r="H138" s="1712">
        <v>6</v>
      </c>
      <c r="I138" s="1711">
        <v>7</v>
      </c>
      <c r="J138" s="1711">
        <v>8</v>
      </c>
      <c r="K138" s="1712">
        <v>9</v>
      </c>
      <c r="L138" s="1712">
        <v>10</v>
      </c>
      <c r="M138" s="1712">
        <v>11</v>
      </c>
      <c r="N138" s="1712">
        <v>12</v>
      </c>
      <c r="O138" s="1712">
        <v>13</v>
      </c>
      <c r="P138" s="1711">
        <v>14</v>
      </c>
      <c r="Q138" s="1711">
        <v>15</v>
      </c>
      <c r="R138" s="1712">
        <v>16</v>
      </c>
      <c r="S138" s="1712">
        <v>17</v>
      </c>
      <c r="T138" s="1712">
        <v>18</v>
      </c>
      <c r="U138" s="1712">
        <v>19</v>
      </c>
      <c r="V138" s="1712">
        <v>20</v>
      </c>
      <c r="W138" s="1711">
        <v>21</v>
      </c>
      <c r="X138" s="1711">
        <v>22</v>
      </c>
      <c r="Y138" s="1712">
        <v>23</v>
      </c>
      <c r="Z138" s="1712">
        <v>24</v>
      </c>
      <c r="AA138" s="1712">
        <v>25</v>
      </c>
      <c r="AB138" s="1712">
        <v>26</v>
      </c>
      <c r="AC138" s="1712">
        <v>27</v>
      </c>
      <c r="AD138" s="1711">
        <v>28</v>
      </c>
      <c r="AE138" s="1711">
        <v>29</v>
      </c>
      <c r="AF138" s="1712">
        <v>30</v>
      </c>
      <c r="AG138" s="1713">
        <v>31</v>
      </c>
      <c r="AH138" s="176"/>
      <c r="AI138" s="177"/>
    </row>
    <row r="139" spans="1:35" ht="22.35" customHeight="1">
      <c r="A139" s="317">
        <v>1</v>
      </c>
      <c r="B139" s="227" t="s">
        <v>199</v>
      </c>
      <c r="C139" s="309"/>
      <c r="D139" s="309">
        <v>21</v>
      </c>
      <c r="E139" s="309">
        <v>21</v>
      </c>
      <c r="F139" s="309">
        <v>21</v>
      </c>
      <c r="G139" s="312">
        <v>21</v>
      </c>
      <c r="H139" s="309">
        <v>21</v>
      </c>
      <c r="I139" s="310">
        <v>21</v>
      </c>
      <c r="J139" s="312">
        <v>21</v>
      </c>
      <c r="K139" s="309" t="s">
        <v>36</v>
      </c>
      <c r="L139" s="310" t="s">
        <v>36</v>
      </c>
      <c r="M139" s="312" t="s">
        <v>36</v>
      </c>
      <c r="N139" s="312" t="s">
        <v>36</v>
      </c>
      <c r="O139" s="309" t="s">
        <v>36</v>
      </c>
      <c r="P139" s="309"/>
      <c r="Q139" s="309"/>
      <c r="R139" s="309">
        <v>22</v>
      </c>
      <c r="S139" s="309">
        <v>22</v>
      </c>
      <c r="T139" s="309">
        <v>22</v>
      </c>
      <c r="U139" s="309">
        <v>22</v>
      </c>
      <c r="V139" s="309">
        <v>22</v>
      </c>
      <c r="W139" s="310">
        <v>22</v>
      </c>
      <c r="X139" s="309">
        <v>22</v>
      </c>
      <c r="Y139" s="309" t="s">
        <v>36</v>
      </c>
      <c r="Z139" s="310" t="s">
        <v>36</v>
      </c>
      <c r="AA139" s="309" t="s">
        <v>36</v>
      </c>
      <c r="AB139" s="309" t="s">
        <v>36</v>
      </c>
      <c r="AC139" s="309" t="s">
        <v>36</v>
      </c>
      <c r="AD139" s="309"/>
      <c r="AE139" s="309"/>
      <c r="AF139" s="309">
        <v>23</v>
      </c>
      <c r="AG139" s="311">
        <v>23</v>
      </c>
      <c r="AH139" s="107"/>
      <c r="AI139" s="107"/>
    </row>
    <row r="140" spans="1:35" ht="22.35" customHeight="1">
      <c r="A140" s="1560">
        <v>2</v>
      </c>
      <c r="B140" s="1745" t="s">
        <v>200</v>
      </c>
      <c r="C140" s="1748"/>
      <c r="D140" s="1748">
        <v>22</v>
      </c>
      <c r="E140" s="1748">
        <v>22</v>
      </c>
      <c r="F140" s="1748">
        <v>22</v>
      </c>
      <c r="G140" s="1748">
        <v>22</v>
      </c>
      <c r="H140" s="1748">
        <v>22</v>
      </c>
      <c r="I140" s="1856">
        <v>22</v>
      </c>
      <c r="J140" s="1748">
        <v>22</v>
      </c>
      <c r="K140" s="1748" t="s">
        <v>36</v>
      </c>
      <c r="L140" s="1856" t="s">
        <v>36</v>
      </c>
      <c r="M140" s="1751" t="s">
        <v>36</v>
      </c>
      <c r="N140" s="1751" t="s">
        <v>36</v>
      </c>
      <c r="O140" s="1751" t="s">
        <v>36</v>
      </c>
      <c r="P140" s="1751"/>
      <c r="Q140" s="1751"/>
      <c r="R140" s="1747">
        <v>23</v>
      </c>
      <c r="S140" s="1747">
        <v>23</v>
      </c>
      <c r="T140" s="1747">
        <v>23</v>
      </c>
      <c r="U140" s="1747">
        <v>23</v>
      </c>
      <c r="V140" s="1747">
        <v>23</v>
      </c>
      <c r="W140" s="1747">
        <v>23</v>
      </c>
      <c r="X140" s="1747">
        <v>23</v>
      </c>
      <c r="Y140" s="1747" t="s">
        <v>36</v>
      </c>
      <c r="Z140" s="1747" t="s">
        <v>36</v>
      </c>
      <c r="AA140" s="1747" t="s">
        <v>36</v>
      </c>
      <c r="AB140" s="1747" t="s">
        <v>36</v>
      </c>
      <c r="AC140" s="1747" t="s">
        <v>36</v>
      </c>
      <c r="AD140" s="1747"/>
      <c r="AE140" s="1747"/>
      <c r="AF140" s="1747">
        <v>21</v>
      </c>
      <c r="AG140" s="1752">
        <v>21</v>
      </c>
      <c r="AH140" s="107"/>
      <c r="AI140" s="107"/>
    </row>
    <row r="141" spans="1:35" ht="22.35" customHeight="1">
      <c r="A141" s="1560">
        <v>3</v>
      </c>
      <c r="B141" s="1745" t="s">
        <v>201</v>
      </c>
      <c r="C141" s="1748"/>
      <c r="D141" s="1748">
        <v>23</v>
      </c>
      <c r="E141" s="1748">
        <v>23</v>
      </c>
      <c r="F141" s="1748">
        <v>23</v>
      </c>
      <c r="G141" s="1751">
        <v>23</v>
      </c>
      <c r="H141" s="1751">
        <v>23</v>
      </c>
      <c r="I141" s="1740">
        <v>23</v>
      </c>
      <c r="J141" s="1740">
        <v>23</v>
      </c>
      <c r="K141" s="1740" t="s">
        <v>36</v>
      </c>
      <c r="L141" s="1740" t="s">
        <v>36</v>
      </c>
      <c r="M141" s="1740" t="s">
        <v>36</v>
      </c>
      <c r="N141" s="1740" t="s">
        <v>36</v>
      </c>
      <c r="O141" s="1740" t="s">
        <v>36</v>
      </c>
      <c r="P141" s="1748"/>
      <c r="Q141" s="1748"/>
      <c r="R141" s="1755">
        <v>21</v>
      </c>
      <c r="S141" s="1755">
        <v>21</v>
      </c>
      <c r="T141" s="1748">
        <v>21</v>
      </c>
      <c r="U141" s="1751">
        <v>21</v>
      </c>
      <c r="V141" s="1751">
        <v>21</v>
      </c>
      <c r="W141" s="1856">
        <v>21</v>
      </c>
      <c r="X141" s="1748">
        <v>21</v>
      </c>
      <c r="Y141" s="1748" t="s">
        <v>36</v>
      </c>
      <c r="Z141" s="1856" t="s">
        <v>36</v>
      </c>
      <c r="AA141" s="1748" t="s">
        <v>36</v>
      </c>
      <c r="AB141" s="1748" t="s">
        <v>36</v>
      </c>
      <c r="AC141" s="1748" t="s">
        <v>36</v>
      </c>
      <c r="AD141" s="1748"/>
      <c r="AE141" s="1748"/>
      <c r="AF141" s="1748">
        <v>22</v>
      </c>
      <c r="AG141" s="1756">
        <v>22</v>
      </c>
      <c r="AH141" s="107"/>
      <c r="AI141" s="107"/>
    </row>
    <row r="142" spans="1:35" ht="22.35" customHeight="1">
      <c r="A142" s="1560">
        <v>4</v>
      </c>
      <c r="B142" s="1745" t="s">
        <v>202</v>
      </c>
      <c r="C142" s="1748">
        <v>23</v>
      </c>
      <c r="D142" s="1748" t="s">
        <v>36</v>
      </c>
      <c r="E142" s="1856" t="s">
        <v>36</v>
      </c>
      <c r="F142" s="1748" t="s">
        <v>36</v>
      </c>
      <c r="G142" s="1748" t="s">
        <v>36</v>
      </c>
      <c r="H142" s="1748" t="s">
        <v>36</v>
      </c>
      <c r="I142" s="1748"/>
      <c r="J142" s="1748"/>
      <c r="K142" s="1748">
        <v>21</v>
      </c>
      <c r="L142" s="1748">
        <v>21</v>
      </c>
      <c r="M142" s="1748">
        <v>21</v>
      </c>
      <c r="N142" s="1748">
        <v>21</v>
      </c>
      <c r="O142" s="1563">
        <v>21</v>
      </c>
      <c r="P142" s="1740">
        <v>21</v>
      </c>
      <c r="Q142" s="1740">
        <v>21</v>
      </c>
      <c r="R142" s="1740" t="s">
        <v>36</v>
      </c>
      <c r="S142" s="1740" t="s">
        <v>36</v>
      </c>
      <c r="T142" s="1740" t="s">
        <v>36</v>
      </c>
      <c r="U142" s="1740" t="s">
        <v>36</v>
      </c>
      <c r="V142" s="1740" t="s">
        <v>36</v>
      </c>
      <c r="W142" s="1748"/>
      <c r="X142" s="1748"/>
      <c r="Y142" s="1748">
        <v>22</v>
      </c>
      <c r="Z142" s="1931">
        <v>22</v>
      </c>
      <c r="AA142" s="1931">
        <v>22</v>
      </c>
      <c r="AB142" s="1931">
        <v>22</v>
      </c>
      <c r="AC142" s="1931">
        <v>22</v>
      </c>
      <c r="AD142" s="1932">
        <v>22</v>
      </c>
      <c r="AE142" s="1931" t="s">
        <v>361</v>
      </c>
      <c r="AF142" s="1748" t="s">
        <v>36</v>
      </c>
      <c r="AG142" s="1838" t="s">
        <v>36</v>
      </c>
      <c r="AH142" s="107"/>
      <c r="AI142" s="107"/>
    </row>
    <row r="143" spans="1:35" ht="22.35" customHeight="1">
      <c r="A143" s="1560">
        <v>5</v>
      </c>
      <c r="B143" s="1745" t="s">
        <v>203</v>
      </c>
      <c r="C143" s="1748">
        <v>21</v>
      </c>
      <c r="D143" s="1748" t="s">
        <v>36</v>
      </c>
      <c r="E143" s="1856" t="s">
        <v>36</v>
      </c>
      <c r="F143" s="1751" t="s">
        <v>36</v>
      </c>
      <c r="G143" s="1748" t="s">
        <v>36</v>
      </c>
      <c r="H143" s="1748" t="s">
        <v>36</v>
      </c>
      <c r="I143" s="1748"/>
      <c r="J143" s="1748"/>
      <c r="K143" s="1748">
        <v>22</v>
      </c>
      <c r="L143" s="1748">
        <v>22</v>
      </c>
      <c r="M143" s="1748">
        <v>22</v>
      </c>
      <c r="N143" s="1748">
        <v>22</v>
      </c>
      <c r="O143" s="1748">
        <v>22</v>
      </c>
      <c r="P143" s="1856">
        <v>22</v>
      </c>
      <c r="Q143" s="1748">
        <v>22</v>
      </c>
      <c r="R143" s="1748" t="s">
        <v>36</v>
      </c>
      <c r="S143" s="1856" t="s">
        <v>36</v>
      </c>
      <c r="T143" s="1748" t="s">
        <v>36</v>
      </c>
      <c r="U143" s="1748" t="s">
        <v>36</v>
      </c>
      <c r="V143" s="1748" t="s">
        <v>36</v>
      </c>
      <c r="W143" s="1748"/>
      <c r="X143" s="1748"/>
      <c r="Y143" s="1748">
        <v>23</v>
      </c>
      <c r="Z143" s="1748">
        <v>23</v>
      </c>
      <c r="AA143" s="1748">
        <v>23</v>
      </c>
      <c r="AB143" s="1748">
        <v>23</v>
      </c>
      <c r="AC143" s="1933">
        <v>23</v>
      </c>
      <c r="AD143" s="1933">
        <v>23</v>
      </c>
      <c r="AE143" s="1751">
        <v>23</v>
      </c>
      <c r="AF143" s="1748" t="s">
        <v>36</v>
      </c>
      <c r="AG143" s="1838" t="s">
        <v>36</v>
      </c>
      <c r="AH143" s="107"/>
      <c r="AI143" s="107"/>
    </row>
    <row r="144" spans="1:35" ht="22.35" customHeight="1" thickBot="1">
      <c r="A144" s="1068">
        <v>6</v>
      </c>
      <c r="B144" s="1069" t="s">
        <v>204</v>
      </c>
      <c r="C144" s="1564">
        <v>22</v>
      </c>
      <c r="D144" s="1564" t="s">
        <v>36</v>
      </c>
      <c r="E144" s="1564" t="s">
        <v>36</v>
      </c>
      <c r="F144" s="1564" t="s">
        <v>36</v>
      </c>
      <c r="G144" s="1564" t="s">
        <v>36</v>
      </c>
      <c r="H144" s="1564" t="s">
        <v>36</v>
      </c>
      <c r="I144" s="1564"/>
      <c r="J144" s="1564"/>
      <c r="K144" s="1564">
        <v>23</v>
      </c>
      <c r="L144" s="1564">
        <v>23</v>
      </c>
      <c r="M144" s="1564">
        <v>23</v>
      </c>
      <c r="N144" s="1564">
        <v>23</v>
      </c>
      <c r="O144" s="1564">
        <v>23</v>
      </c>
      <c r="P144" s="1564">
        <v>23</v>
      </c>
      <c r="Q144" s="1564">
        <v>23</v>
      </c>
      <c r="R144" s="996" t="s">
        <v>36</v>
      </c>
      <c r="S144" s="998" t="s">
        <v>36</v>
      </c>
      <c r="T144" s="996" t="s">
        <v>36</v>
      </c>
      <c r="U144" s="996" t="s">
        <v>36</v>
      </c>
      <c r="V144" s="996" t="s">
        <v>36</v>
      </c>
      <c r="W144" s="996"/>
      <c r="X144" s="996"/>
      <c r="Y144" s="996">
        <v>21</v>
      </c>
      <c r="Z144" s="996">
        <v>21</v>
      </c>
      <c r="AA144" s="996">
        <v>21</v>
      </c>
      <c r="AB144" s="1072">
        <v>21</v>
      </c>
      <c r="AC144" s="1072">
        <v>21</v>
      </c>
      <c r="AD144" s="998">
        <v>21</v>
      </c>
      <c r="AE144" s="996">
        <v>21</v>
      </c>
      <c r="AF144" s="996" t="s">
        <v>36</v>
      </c>
      <c r="AG144" s="1074" t="s">
        <v>36</v>
      </c>
      <c r="AH144" s="107"/>
      <c r="AI144" s="107"/>
    </row>
    <row r="145" spans="1:35" ht="22.35" customHeight="1">
      <c r="A145" s="212"/>
      <c r="B145" s="210"/>
      <c r="C145" s="211"/>
      <c r="D145" s="211"/>
      <c r="E145" s="228"/>
      <c r="F145" s="211"/>
      <c r="G145" s="211"/>
      <c r="H145" s="233"/>
      <c r="I145" s="233"/>
      <c r="J145" s="233"/>
      <c r="K145" s="233"/>
      <c r="L145" s="233"/>
      <c r="M145" s="233"/>
      <c r="N145" s="202"/>
      <c r="O145" s="202"/>
      <c r="P145" s="228"/>
      <c r="Q145" s="211"/>
      <c r="R145" s="211"/>
      <c r="S145" s="228"/>
      <c r="T145" s="211"/>
      <c r="U145" s="211"/>
      <c r="V145" s="211"/>
      <c r="W145" s="211"/>
      <c r="X145" s="211"/>
      <c r="Y145" s="211"/>
      <c r="Z145" s="211"/>
      <c r="AA145" s="211"/>
      <c r="AB145" s="202"/>
      <c r="AC145" s="202"/>
      <c r="AD145" s="228"/>
      <c r="AE145" s="211"/>
      <c r="AF145" s="211"/>
      <c r="AG145" s="228"/>
      <c r="AH145" s="107"/>
      <c r="AI145" s="107"/>
    </row>
    <row r="146" spans="1:35" ht="22.35" customHeight="1">
      <c r="A146" s="109"/>
      <c r="B146" s="110"/>
      <c r="C146" s="192"/>
      <c r="D146" s="192"/>
      <c r="E146" s="171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71"/>
      <c r="Q146" s="192"/>
      <c r="R146" s="192"/>
      <c r="S146" s="171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3"/>
      <c r="AD146" s="193"/>
      <c r="AE146" s="193"/>
      <c r="AF146" s="192"/>
      <c r="AG146" s="171"/>
      <c r="AH146" s="107"/>
      <c r="AI146" s="107"/>
    </row>
    <row r="147" spans="1:35" ht="22.35" customHeight="1" thickBot="1">
      <c r="A147" s="161" t="s">
        <v>205</v>
      </c>
      <c r="D147" s="72"/>
      <c r="E147" s="72"/>
      <c r="F147" s="72"/>
      <c r="G147" s="105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</row>
    <row r="148" spans="1:35" ht="22.35" customHeight="1">
      <c r="A148" s="1"/>
      <c r="B148" s="248" t="s">
        <v>175</v>
      </c>
      <c r="C148" s="368"/>
      <c r="D148" s="384" t="s">
        <v>94</v>
      </c>
      <c r="E148" s="357"/>
      <c r="F148" s="372"/>
      <c r="G148" s="368"/>
      <c r="H148" s="384" t="s">
        <v>95</v>
      </c>
      <c r="I148" s="357"/>
      <c r="J148" s="372"/>
      <c r="K148" s="368"/>
      <c r="L148" s="384" t="s">
        <v>96</v>
      </c>
      <c r="M148" s="357"/>
      <c r="N148" s="372"/>
      <c r="O148" s="368"/>
      <c r="P148" s="384" t="s">
        <v>97</v>
      </c>
      <c r="Q148" s="357"/>
      <c r="R148" s="372"/>
      <c r="S148" s="368"/>
      <c r="T148" s="384" t="s">
        <v>98</v>
      </c>
      <c r="U148" s="357"/>
      <c r="V148" s="372"/>
      <c r="W148" s="368"/>
      <c r="X148" s="384" t="s">
        <v>99</v>
      </c>
      <c r="Y148" s="357"/>
      <c r="Z148" s="372"/>
      <c r="AA148" s="368"/>
      <c r="AB148" s="384" t="s">
        <v>100</v>
      </c>
      <c r="AC148" s="357"/>
      <c r="AD148" s="357"/>
      <c r="AE148" s="387" t="s">
        <v>101</v>
      </c>
      <c r="AF148" s="357"/>
      <c r="AG148" s="357"/>
      <c r="AH148" s="357"/>
      <c r="AI148" s="358"/>
    </row>
    <row r="149" spans="1:35" ht="22.35" customHeight="1">
      <c r="A149" s="1"/>
      <c r="B149" s="1888" t="s">
        <v>148</v>
      </c>
      <c r="C149" s="1816" t="s">
        <v>176</v>
      </c>
      <c r="D149" s="1693"/>
      <c r="E149" s="1693"/>
      <c r="F149" s="1891"/>
      <c r="G149" s="1816" t="s">
        <v>176</v>
      </c>
      <c r="H149" s="1693"/>
      <c r="I149" s="1693"/>
      <c r="J149" s="1891"/>
      <c r="K149" s="1816" t="s">
        <v>176</v>
      </c>
      <c r="L149" s="1693"/>
      <c r="M149" s="1693"/>
      <c r="N149" s="1891"/>
      <c r="O149" s="1816" t="s">
        <v>206</v>
      </c>
      <c r="P149" s="1693"/>
      <c r="Q149" s="1693"/>
      <c r="R149" s="1891"/>
      <c r="S149" s="1816" t="s">
        <v>160</v>
      </c>
      <c r="T149" s="1693"/>
      <c r="U149" s="1693"/>
      <c r="V149" s="1891"/>
      <c r="W149" s="1934"/>
      <c r="X149" s="1935"/>
      <c r="Y149" s="1935"/>
      <c r="Z149" s="1893"/>
      <c r="AA149" s="1889"/>
      <c r="AB149" s="1693"/>
      <c r="AC149" s="1693"/>
      <c r="AD149" s="1817"/>
      <c r="AE149" s="1894">
        <v>27</v>
      </c>
      <c r="AF149" s="1693"/>
      <c r="AG149" s="1693"/>
      <c r="AH149" s="1817"/>
      <c r="AI149" s="1702"/>
    </row>
    <row r="150" spans="1:35" ht="22.35" customHeight="1">
      <c r="A150" s="1"/>
      <c r="B150" s="1888" t="s">
        <v>152</v>
      </c>
      <c r="C150" s="1816" t="s">
        <v>207</v>
      </c>
      <c r="D150" s="1693"/>
      <c r="E150" s="1693"/>
      <c r="F150" s="1891"/>
      <c r="G150" s="1816" t="s">
        <v>207</v>
      </c>
      <c r="H150" s="1693"/>
      <c r="I150" s="1693"/>
      <c r="J150" s="1891"/>
      <c r="K150" s="1816" t="s">
        <v>207</v>
      </c>
      <c r="L150" s="1693"/>
      <c r="M150" s="1693"/>
      <c r="N150" s="1891"/>
      <c r="O150" s="1816" t="s">
        <v>207</v>
      </c>
      <c r="P150" s="1693"/>
      <c r="Q150" s="1693"/>
      <c r="R150" s="1891"/>
      <c r="S150" s="1816" t="s">
        <v>176</v>
      </c>
      <c r="T150" s="1693"/>
      <c r="U150" s="1693"/>
      <c r="V150" s="1891"/>
      <c r="W150" s="1816"/>
      <c r="X150" s="1693"/>
      <c r="Y150" s="1693"/>
      <c r="Z150" s="1891"/>
      <c r="AA150" s="1693"/>
      <c r="AB150" s="1693"/>
      <c r="AC150" s="1693"/>
      <c r="AD150" s="1817"/>
      <c r="AE150" s="1894">
        <v>39</v>
      </c>
      <c r="AF150" s="1693"/>
      <c r="AG150" s="1693"/>
      <c r="AH150" s="1817"/>
      <c r="AI150" s="1702"/>
    </row>
    <row r="151" spans="1:35" ht="22.35" customHeight="1">
      <c r="A151" s="1"/>
      <c r="B151" s="1888" t="s">
        <v>159</v>
      </c>
      <c r="C151" s="1816" t="s">
        <v>207</v>
      </c>
      <c r="D151" s="1693"/>
      <c r="E151" s="1693"/>
      <c r="F151" s="1891"/>
      <c r="G151" s="1816" t="s">
        <v>207</v>
      </c>
      <c r="H151" s="1693"/>
      <c r="I151" s="1693"/>
      <c r="J151" s="1891"/>
      <c r="K151" s="1816" t="s">
        <v>207</v>
      </c>
      <c r="L151" s="1693"/>
      <c r="M151" s="1693"/>
      <c r="N151" s="1891"/>
      <c r="O151" s="1816" t="s">
        <v>207</v>
      </c>
      <c r="P151" s="1693"/>
      <c r="Q151" s="1693"/>
      <c r="R151" s="1891"/>
      <c r="S151" s="1816" t="s">
        <v>207</v>
      </c>
      <c r="T151" s="1693"/>
      <c r="U151" s="1693"/>
      <c r="V151" s="1891"/>
      <c r="W151" s="1818" t="s">
        <v>208</v>
      </c>
      <c r="X151" s="1706"/>
      <c r="Y151" s="1706"/>
      <c r="Z151" s="1898"/>
      <c r="AA151" s="1896"/>
      <c r="AB151" s="1706"/>
      <c r="AC151" s="1706"/>
      <c r="AD151" s="1819"/>
      <c r="AE151" s="1894">
        <v>45</v>
      </c>
      <c r="AF151" s="1693"/>
      <c r="AG151" s="1693"/>
      <c r="AH151" s="1817"/>
      <c r="AI151" s="1702"/>
    </row>
    <row r="152" spans="1:35" ht="22.35" customHeight="1" thickBot="1">
      <c r="A152" s="1"/>
      <c r="B152" s="454" t="s">
        <v>161</v>
      </c>
      <c r="C152" s="1927"/>
      <c r="D152" s="1772"/>
      <c r="E152" s="1772"/>
      <c r="F152" s="1929"/>
      <c r="G152" s="1927"/>
      <c r="H152" s="1772"/>
      <c r="I152" s="1772"/>
      <c r="J152" s="1929"/>
      <c r="K152" s="1927"/>
      <c r="L152" s="1772"/>
      <c r="M152" s="1772"/>
      <c r="N152" s="1929"/>
      <c r="O152" s="1927"/>
      <c r="P152" s="1772"/>
      <c r="Q152" s="1772"/>
      <c r="R152" s="1929"/>
      <c r="S152" s="1927"/>
      <c r="T152" s="1772"/>
      <c r="U152" s="1772"/>
      <c r="V152" s="1909"/>
      <c r="W152" s="1927"/>
      <c r="X152" s="1909"/>
      <c r="Y152" s="1772"/>
      <c r="Z152" s="1929"/>
      <c r="AA152" s="1927"/>
      <c r="AB152" s="1909"/>
      <c r="AC152" s="1772"/>
      <c r="AD152" s="1929"/>
      <c r="AE152" s="1936"/>
      <c r="AF152" s="1772"/>
      <c r="AG152" s="1772"/>
      <c r="AH152" s="1909"/>
      <c r="AI152" s="1779"/>
    </row>
    <row r="153" spans="1:35" ht="22.35" customHeight="1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35" customHeight="1" thickBot="1">
      <c r="A154" s="1865"/>
      <c r="B154" s="1781" t="s">
        <v>29</v>
      </c>
      <c r="C154" s="1711">
        <v>1</v>
      </c>
      <c r="D154" s="1712">
        <v>2</v>
      </c>
      <c r="E154" s="1712">
        <v>3</v>
      </c>
      <c r="F154" s="1712">
        <v>4</v>
      </c>
      <c r="G154" s="1712">
        <v>5</v>
      </c>
      <c r="H154" s="1712">
        <v>6</v>
      </c>
      <c r="I154" s="1711">
        <v>7</v>
      </c>
      <c r="J154" s="1711">
        <v>8</v>
      </c>
      <c r="K154" s="1712">
        <v>9</v>
      </c>
      <c r="L154" s="1712">
        <v>10</v>
      </c>
      <c r="M154" s="1712">
        <v>11</v>
      </c>
      <c r="N154" s="1712">
        <v>12</v>
      </c>
      <c r="O154" s="1712">
        <v>13</v>
      </c>
      <c r="P154" s="1711">
        <v>14</v>
      </c>
      <c r="Q154" s="1711">
        <v>15</v>
      </c>
      <c r="R154" s="1712">
        <v>16</v>
      </c>
      <c r="S154" s="1712">
        <v>17</v>
      </c>
      <c r="T154" s="1712">
        <v>18</v>
      </c>
      <c r="U154" s="1712">
        <v>19</v>
      </c>
      <c r="V154" s="1712">
        <v>20</v>
      </c>
      <c r="W154" s="1711">
        <v>21</v>
      </c>
      <c r="X154" s="1711">
        <v>22</v>
      </c>
      <c r="Y154" s="1712">
        <v>23</v>
      </c>
      <c r="Z154" s="1712">
        <v>24</v>
      </c>
      <c r="AA154" s="1712">
        <v>25</v>
      </c>
      <c r="AB154" s="1712">
        <v>26</v>
      </c>
      <c r="AC154" s="1712">
        <v>27</v>
      </c>
      <c r="AD154" s="1711">
        <v>28</v>
      </c>
      <c r="AE154" s="1711">
        <v>29</v>
      </c>
      <c r="AF154" s="1712">
        <v>30</v>
      </c>
      <c r="AG154" s="1713">
        <v>31</v>
      </c>
      <c r="AH154" s="176"/>
      <c r="AI154" s="177"/>
    </row>
    <row r="155" spans="1:35" ht="22.35" customHeight="1">
      <c r="A155" s="367">
        <v>1</v>
      </c>
      <c r="B155" s="390" t="s">
        <v>209</v>
      </c>
      <c r="C155" s="350"/>
      <c r="D155" s="349" t="s">
        <v>32</v>
      </c>
      <c r="E155" s="349" t="s">
        <v>32</v>
      </c>
      <c r="F155" s="349" t="s">
        <v>32</v>
      </c>
      <c r="G155" s="349" t="s">
        <v>32</v>
      </c>
      <c r="H155" s="349" t="s">
        <v>32</v>
      </c>
      <c r="I155" s="349"/>
      <c r="J155" s="349"/>
      <c r="K155" s="541" t="s">
        <v>32</v>
      </c>
      <c r="L155" s="541" t="s">
        <v>32</v>
      </c>
      <c r="M155" s="541" t="s">
        <v>32</v>
      </c>
      <c r="N155" s="541" t="s">
        <v>32</v>
      </c>
      <c r="O155" s="541" t="s">
        <v>32</v>
      </c>
      <c r="P155" s="541"/>
      <c r="Q155" s="541"/>
      <c r="R155" s="541" t="s">
        <v>32</v>
      </c>
      <c r="S155" s="541" t="s">
        <v>32</v>
      </c>
      <c r="T155" s="541" t="s">
        <v>32</v>
      </c>
      <c r="U155" s="541" t="s">
        <v>32</v>
      </c>
      <c r="V155" s="541" t="s">
        <v>32</v>
      </c>
      <c r="W155" s="541"/>
      <c r="X155" s="541"/>
      <c r="Y155" s="541" t="s">
        <v>32</v>
      </c>
      <c r="Z155" s="541" t="s">
        <v>32</v>
      </c>
      <c r="AA155" s="541" t="s">
        <v>32</v>
      </c>
      <c r="AB155" s="541" t="s">
        <v>32</v>
      </c>
      <c r="AC155" s="541" t="s">
        <v>32</v>
      </c>
      <c r="AD155" s="541"/>
      <c r="AE155" s="541"/>
      <c r="AF155" s="541" t="s">
        <v>32</v>
      </c>
      <c r="AG155" s="531" t="s">
        <v>32</v>
      </c>
      <c r="AH155" s="215"/>
      <c r="AI155" s="182"/>
    </row>
    <row r="156" spans="1:35" ht="22.35" customHeight="1">
      <c r="A156" s="1876">
        <v>2</v>
      </c>
      <c r="B156" s="1937" t="s">
        <v>210</v>
      </c>
      <c r="C156" s="1723"/>
      <c r="D156" s="1723" t="s">
        <v>211</v>
      </c>
      <c r="E156" s="1723" t="s">
        <v>211</v>
      </c>
      <c r="F156" s="1723" t="s">
        <v>211</v>
      </c>
      <c r="G156" s="1723" t="s">
        <v>211</v>
      </c>
      <c r="H156" s="1723" t="s">
        <v>211</v>
      </c>
      <c r="I156" s="1938" t="s">
        <v>212</v>
      </c>
      <c r="J156" s="1723"/>
      <c r="K156" s="1759" t="s">
        <v>212</v>
      </c>
      <c r="L156" s="1723" t="s">
        <v>212</v>
      </c>
      <c r="M156" s="1723" t="s">
        <v>212</v>
      </c>
      <c r="N156" s="1723" t="s">
        <v>212</v>
      </c>
      <c r="O156" s="1723" t="s">
        <v>212</v>
      </c>
      <c r="P156" s="1723" t="s">
        <v>212</v>
      </c>
      <c r="Q156" s="1723"/>
      <c r="R156" s="1723" t="s">
        <v>213</v>
      </c>
      <c r="S156" s="1723" t="s">
        <v>213</v>
      </c>
      <c r="T156" s="1723" t="s">
        <v>213</v>
      </c>
      <c r="U156" s="1723" t="s">
        <v>213</v>
      </c>
      <c r="V156" s="1723" t="s">
        <v>36</v>
      </c>
      <c r="W156" s="1723"/>
      <c r="X156" s="1723"/>
      <c r="Y156" s="1723" t="s">
        <v>211</v>
      </c>
      <c r="Z156" s="1723" t="s">
        <v>211</v>
      </c>
      <c r="AA156" s="1723" t="s">
        <v>211</v>
      </c>
      <c r="AB156" s="1723" t="s">
        <v>211</v>
      </c>
      <c r="AC156" s="1723" t="s">
        <v>211</v>
      </c>
      <c r="AD156" s="1723"/>
      <c r="AE156" s="1723"/>
      <c r="AF156" s="1723" t="s">
        <v>212</v>
      </c>
      <c r="AG156" s="1723" t="s">
        <v>212</v>
      </c>
      <c r="AH156" s="215"/>
      <c r="AI156" s="182"/>
    </row>
    <row r="157" spans="1:35" ht="22.35" customHeight="1">
      <c r="A157" s="1876">
        <v>3</v>
      </c>
      <c r="B157" s="1939" t="s">
        <v>214</v>
      </c>
      <c r="C157" s="1940"/>
      <c r="D157" s="1941" t="s">
        <v>212</v>
      </c>
      <c r="E157" s="1940" t="s">
        <v>212</v>
      </c>
      <c r="F157" s="1940" t="s">
        <v>212</v>
      </c>
      <c r="G157" s="1940" t="s">
        <v>212</v>
      </c>
      <c r="H157" s="1940" t="s">
        <v>212</v>
      </c>
      <c r="I157" s="1940" t="s">
        <v>212</v>
      </c>
      <c r="J157" s="1940"/>
      <c r="K157" s="1723" t="s">
        <v>213</v>
      </c>
      <c r="L157" s="1723" t="s">
        <v>213</v>
      </c>
      <c r="M157" s="1723" t="s">
        <v>213</v>
      </c>
      <c r="N157" s="1723" t="s">
        <v>213</v>
      </c>
      <c r="O157" s="1723" t="s">
        <v>36</v>
      </c>
      <c r="P157" s="1723"/>
      <c r="Q157" s="1723"/>
      <c r="R157" s="1940" t="s">
        <v>211</v>
      </c>
      <c r="S157" s="1940" t="s">
        <v>211</v>
      </c>
      <c r="T157" s="1940" t="s">
        <v>211</v>
      </c>
      <c r="U157" s="1940" t="s">
        <v>211</v>
      </c>
      <c r="V157" s="1940" t="s">
        <v>211</v>
      </c>
      <c r="W157" s="1940"/>
      <c r="X157" s="1940"/>
      <c r="Y157" s="1940" t="s">
        <v>212</v>
      </c>
      <c r="Z157" s="1940" t="s">
        <v>212</v>
      </c>
      <c r="AA157" s="1919" t="s">
        <v>212</v>
      </c>
      <c r="AB157" s="1919" t="s">
        <v>212</v>
      </c>
      <c r="AC157" s="1919" t="s">
        <v>212</v>
      </c>
      <c r="AD157" s="1919" t="s">
        <v>212</v>
      </c>
      <c r="AE157" s="1919"/>
      <c r="AF157" s="1919" t="s">
        <v>213</v>
      </c>
      <c r="AG157" s="1942" t="s">
        <v>213</v>
      </c>
      <c r="AH157" s="215"/>
      <c r="AI157" s="182"/>
    </row>
    <row r="158" spans="1:35" ht="22.35" customHeight="1">
      <c r="A158" s="1876">
        <v>4</v>
      </c>
      <c r="B158" s="1939" t="s">
        <v>215</v>
      </c>
      <c r="C158" s="1723"/>
      <c r="D158" s="1723"/>
      <c r="E158" s="1723" t="s">
        <v>125</v>
      </c>
      <c r="F158" s="1723" t="s">
        <v>32</v>
      </c>
      <c r="G158" s="1723"/>
      <c r="H158" s="1723" t="s">
        <v>32</v>
      </c>
      <c r="I158" s="1723"/>
      <c r="J158" s="1723"/>
      <c r="K158" s="1723"/>
      <c r="L158" s="1723" t="s">
        <v>125</v>
      </c>
      <c r="M158" s="1723" t="s">
        <v>32</v>
      </c>
      <c r="N158" s="1723"/>
      <c r="O158" s="1723" t="s">
        <v>32</v>
      </c>
      <c r="P158" s="1723"/>
      <c r="Q158" s="1720"/>
      <c r="R158" s="1720"/>
      <c r="S158" s="1720" t="s">
        <v>125</v>
      </c>
      <c r="T158" s="1720"/>
      <c r="U158" s="1720"/>
      <c r="V158" s="1723" t="s">
        <v>32</v>
      </c>
      <c r="W158" s="1797" t="s">
        <v>212</v>
      </c>
      <c r="X158" s="1723"/>
      <c r="Y158" s="1723"/>
      <c r="Z158" s="1723" t="s">
        <v>125</v>
      </c>
      <c r="AA158" s="1723" t="s">
        <v>32</v>
      </c>
      <c r="AB158" s="1723"/>
      <c r="AC158" s="1723" t="s">
        <v>32</v>
      </c>
      <c r="AD158" s="1723"/>
      <c r="AE158" s="1723"/>
      <c r="AF158" s="1723"/>
      <c r="AG158" s="1785" t="s">
        <v>125</v>
      </c>
      <c r="AH158" s="215"/>
      <c r="AI158" s="182"/>
    </row>
    <row r="159" spans="1:35" ht="22.35" customHeight="1">
      <c r="A159" s="1876">
        <v>5</v>
      </c>
      <c r="B159" s="1939" t="s">
        <v>216</v>
      </c>
      <c r="C159" s="1730"/>
      <c r="D159" s="1730" t="s">
        <v>125</v>
      </c>
      <c r="E159" s="1730"/>
      <c r="F159" s="1730"/>
      <c r="G159" s="1730" t="s">
        <v>32</v>
      </c>
      <c r="H159" s="1730"/>
      <c r="I159" s="1730"/>
      <c r="J159" s="1730"/>
      <c r="K159" s="1730" t="s">
        <v>125</v>
      </c>
      <c r="L159" s="1730"/>
      <c r="M159" s="1730"/>
      <c r="N159" s="1730" t="s">
        <v>32</v>
      </c>
      <c r="O159" s="1730"/>
      <c r="P159" s="1730"/>
      <c r="Q159" s="1730"/>
      <c r="R159" s="1730" t="s">
        <v>125</v>
      </c>
      <c r="S159" s="1730"/>
      <c r="T159" s="1730"/>
      <c r="U159" s="1730" t="s">
        <v>32</v>
      </c>
      <c r="V159" s="1730"/>
      <c r="W159" s="1730"/>
      <c r="X159" s="1730"/>
      <c r="Y159" s="1730" t="s">
        <v>125</v>
      </c>
      <c r="Z159" s="1730"/>
      <c r="AA159" s="1730"/>
      <c r="AB159" s="1730" t="s">
        <v>32</v>
      </c>
      <c r="AC159" s="1730"/>
      <c r="AD159" s="1730"/>
      <c r="AE159" s="1730"/>
      <c r="AF159" s="1730" t="s">
        <v>125</v>
      </c>
      <c r="AG159" s="1943"/>
      <c r="AH159" s="215"/>
      <c r="AI159" s="182"/>
    </row>
    <row r="160" spans="1:35" ht="22.35" customHeight="1">
      <c r="A160" s="1876">
        <v>6</v>
      </c>
      <c r="B160" s="1727" t="s">
        <v>217</v>
      </c>
      <c r="C160" s="1732"/>
      <c r="D160" s="1732" t="s">
        <v>32</v>
      </c>
      <c r="E160" s="1732" t="s">
        <v>32</v>
      </c>
      <c r="F160" s="1732" t="s">
        <v>32</v>
      </c>
      <c r="G160" s="1732" t="s">
        <v>32</v>
      </c>
      <c r="H160" s="1732" t="s">
        <v>32</v>
      </c>
      <c r="I160" s="1732"/>
      <c r="J160" s="1732"/>
      <c r="K160" s="1732" t="s">
        <v>32</v>
      </c>
      <c r="L160" s="1732" t="s">
        <v>32</v>
      </c>
      <c r="M160" s="1732" t="s">
        <v>32</v>
      </c>
      <c r="N160" s="1723" t="s">
        <v>32</v>
      </c>
      <c r="O160" s="1723" t="s">
        <v>32</v>
      </c>
      <c r="P160" s="1723"/>
      <c r="Q160" s="1723"/>
      <c r="R160" s="1723" t="s">
        <v>32</v>
      </c>
      <c r="S160" s="1723" t="s">
        <v>32</v>
      </c>
      <c r="T160" s="1720" t="s">
        <v>32</v>
      </c>
      <c r="U160" s="1720" t="s">
        <v>32</v>
      </c>
      <c r="V160" s="1720" t="s">
        <v>32</v>
      </c>
      <c r="W160" s="1720"/>
      <c r="X160" s="1720"/>
      <c r="Y160" s="1723" t="s">
        <v>32</v>
      </c>
      <c r="Z160" s="1723" t="s">
        <v>32</v>
      </c>
      <c r="AA160" s="1944" t="s">
        <v>32</v>
      </c>
      <c r="AB160" s="1944" t="s">
        <v>32</v>
      </c>
      <c r="AC160" s="1944" t="s">
        <v>32</v>
      </c>
      <c r="AD160" s="1723"/>
      <c r="AE160" s="1723"/>
      <c r="AF160" s="1944" t="s">
        <v>32</v>
      </c>
      <c r="AG160" s="1785" t="s">
        <v>32</v>
      </c>
      <c r="AH160" s="201"/>
      <c r="AI160" s="107"/>
    </row>
    <row r="161" spans="1:36" ht="22.35" customHeight="1" thickBot="1">
      <c r="A161" s="1882"/>
      <c r="B161" s="1787"/>
      <c r="C161" s="1712"/>
      <c r="D161" s="1712"/>
      <c r="E161" s="1712"/>
      <c r="F161" s="1712"/>
      <c r="G161" s="1712"/>
      <c r="H161" s="1712"/>
      <c r="I161" s="1712"/>
      <c r="J161" s="1712"/>
      <c r="K161" s="1712"/>
      <c r="L161" s="1712"/>
      <c r="M161" s="1712"/>
      <c r="N161" s="1712"/>
      <c r="O161" s="1712"/>
      <c r="P161" s="1712"/>
      <c r="Q161" s="1712"/>
      <c r="R161" s="1712"/>
      <c r="S161" s="1712"/>
      <c r="T161" s="1712"/>
      <c r="U161" s="1712"/>
      <c r="V161" s="1712"/>
      <c r="W161" s="1712"/>
      <c r="X161" s="1712"/>
      <c r="Y161" s="1712"/>
      <c r="Z161" s="1712"/>
      <c r="AA161" s="1712"/>
      <c r="AB161" s="1712"/>
      <c r="AC161" s="1712"/>
      <c r="AD161" s="1712"/>
      <c r="AE161" s="1712"/>
      <c r="AF161" s="1712"/>
      <c r="AG161" s="1713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>
      <c r="A163" s="212"/>
      <c r="B163" s="210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  <c r="AA163" s="211"/>
      <c r="AB163" s="211"/>
      <c r="AC163" s="211"/>
      <c r="AD163" s="211"/>
      <c r="AE163" s="211"/>
      <c r="AF163" s="211"/>
      <c r="AG163" s="211"/>
      <c r="AH163" s="107"/>
      <c r="AI163" s="107"/>
    </row>
    <row r="164" spans="1:36" ht="22.35" customHeight="1" thickBot="1">
      <c r="A164" s="150" t="s">
        <v>218</v>
      </c>
      <c r="B164" s="72"/>
      <c r="C164" s="106" t="s">
        <v>219</v>
      </c>
      <c r="D164" s="72"/>
      <c r="E164" s="72"/>
      <c r="F164" s="106" t="s">
        <v>219</v>
      </c>
      <c r="G164" s="72"/>
      <c r="H164" s="72"/>
      <c r="I164" s="106" t="s">
        <v>219</v>
      </c>
      <c r="J164" s="106"/>
      <c r="K164" s="72"/>
      <c r="L164" s="106" t="s">
        <v>219</v>
      </c>
      <c r="M164" s="72"/>
      <c r="N164" s="72"/>
      <c r="O164" s="106" t="s">
        <v>219</v>
      </c>
      <c r="P164" s="72"/>
      <c r="Q164" s="106"/>
      <c r="R164" s="106" t="s">
        <v>219</v>
      </c>
      <c r="S164" s="72"/>
      <c r="T164" s="72"/>
      <c r="U164" s="106" t="s">
        <v>219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35" customHeight="1">
      <c r="A165" s="109"/>
      <c r="B165" s="239" t="s">
        <v>220</v>
      </c>
      <c r="C165" s="240"/>
      <c r="D165" s="241" t="s">
        <v>94</v>
      </c>
      <c r="E165" s="242"/>
      <c r="F165" s="243"/>
      <c r="G165" s="244"/>
      <c r="H165" s="241" t="s">
        <v>95</v>
      </c>
      <c r="I165" s="242"/>
      <c r="J165" s="243"/>
      <c r="K165" s="244"/>
      <c r="L165" s="241" t="s">
        <v>96</v>
      </c>
      <c r="M165" s="242"/>
      <c r="N165" s="243"/>
      <c r="O165" s="244"/>
      <c r="P165" s="241" t="s">
        <v>97</v>
      </c>
      <c r="Q165" s="242"/>
      <c r="R165" s="243"/>
      <c r="S165" s="244"/>
      <c r="T165" s="241" t="s">
        <v>98</v>
      </c>
      <c r="U165" s="242"/>
      <c r="V165" s="243"/>
      <c r="W165" s="244"/>
      <c r="X165" s="241" t="s">
        <v>99</v>
      </c>
      <c r="Y165" s="242"/>
      <c r="Z165" s="243"/>
      <c r="AA165" s="244"/>
      <c r="AB165" s="241" t="s">
        <v>100</v>
      </c>
      <c r="AC165" s="242"/>
      <c r="AD165" s="242"/>
      <c r="AE165" s="245" t="s">
        <v>101</v>
      </c>
      <c r="AF165" s="242"/>
      <c r="AG165" s="242"/>
      <c r="AH165" s="242"/>
      <c r="AI165" s="246"/>
    </row>
    <row r="166" spans="1:36" ht="22.35" customHeight="1">
      <c r="A166" s="109"/>
      <c r="B166" s="1572" t="s">
        <v>221</v>
      </c>
      <c r="C166" s="1573" t="s">
        <v>113</v>
      </c>
      <c r="D166" s="1945" t="s">
        <v>222</v>
      </c>
      <c r="E166" s="1946"/>
      <c r="F166" s="1947"/>
      <c r="G166" s="1948"/>
      <c r="H166" s="1945" t="s">
        <v>222</v>
      </c>
      <c r="I166" s="1946"/>
      <c r="J166" s="1947"/>
      <c r="K166" s="1948"/>
      <c r="L166" s="1945" t="s">
        <v>222</v>
      </c>
      <c r="M166" s="1946"/>
      <c r="N166" s="1947"/>
      <c r="O166" s="1948"/>
      <c r="P166" s="1945" t="s">
        <v>223</v>
      </c>
      <c r="Q166" s="1946"/>
      <c r="R166" s="1947"/>
      <c r="S166" s="1948"/>
      <c r="T166" s="1945" t="s">
        <v>224</v>
      </c>
      <c r="U166" s="1947"/>
      <c r="V166" s="1947"/>
      <c r="W166" s="1949"/>
      <c r="X166" s="1950"/>
      <c r="Y166" s="1950"/>
      <c r="Z166" s="1951"/>
      <c r="AA166" s="1949"/>
      <c r="AB166" s="1950"/>
      <c r="AC166" s="1950"/>
      <c r="AD166" s="1950"/>
      <c r="AE166" s="1949"/>
      <c r="AF166" s="1950"/>
      <c r="AG166" s="1950"/>
      <c r="AH166" s="1952"/>
      <c r="AI166" s="1953"/>
    </row>
    <row r="167" spans="1:36" ht="22.35" customHeight="1">
      <c r="A167" s="109"/>
      <c r="B167" s="1572" t="s">
        <v>221</v>
      </c>
      <c r="C167" s="1573" t="s">
        <v>118</v>
      </c>
      <c r="D167" s="1945" t="s">
        <v>222</v>
      </c>
      <c r="E167" s="1946"/>
      <c r="F167" s="1947"/>
      <c r="G167" s="1948"/>
      <c r="H167" s="1945" t="s">
        <v>222</v>
      </c>
      <c r="I167" s="1946"/>
      <c r="J167" s="1947"/>
      <c r="K167" s="1948"/>
      <c r="L167" s="1945" t="s">
        <v>222</v>
      </c>
      <c r="M167" s="1946"/>
      <c r="N167" s="1947"/>
      <c r="O167" s="1948"/>
      <c r="P167" s="1945" t="s">
        <v>223</v>
      </c>
      <c r="Q167" s="1946"/>
      <c r="R167" s="1947"/>
      <c r="S167" s="1948"/>
      <c r="T167" s="1945" t="s">
        <v>224</v>
      </c>
      <c r="U167" s="1947"/>
      <c r="V167" s="1947"/>
      <c r="W167" s="1949"/>
      <c r="X167" s="1950"/>
      <c r="Y167" s="1950"/>
      <c r="Z167" s="1951"/>
      <c r="AA167" s="1949"/>
      <c r="AB167" s="1950"/>
      <c r="AC167" s="1950"/>
      <c r="AD167" s="1950"/>
      <c r="AE167" s="1949"/>
      <c r="AF167" s="1950"/>
      <c r="AG167" s="1950"/>
      <c r="AH167" s="1952"/>
      <c r="AI167" s="1953"/>
    </row>
    <row r="168" spans="1:36" ht="22.35" customHeight="1">
      <c r="A168" s="109"/>
      <c r="B168" s="1572">
        <v>8</v>
      </c>
      <c r="C168" s="1573" t="s">
        <v>126</v>
      </c>
      <c r="D168" s="1945" t="s">
        <v>222</v>
      </c>
      <c r="E168" s="1946"/>
      <c r="F168" s="1947"/>
      <c r="G168" s="1948"/>
      <c r="H168" s="1945" t="s">
        <v>222</v>
      </c>
      <c r="I168" s="1946"/>
      <c r="J168" s="1947"/>
      <c r="K168" s="1948"/>
      <c r="L168" s="1945" t="s">
        <v>222</v>
      </c>
      <c r="M168" s="1946"/>
      <c r="N168" s="1947"/>
      <c r="O168" s="1948"/>
      <c r="P168" s="1945" t="s">
        <v>223</v>
      </c>
      <c r="Q168" s="1946"/>
      <c r="R168" s="1947"/>
      <c r="S168" s="1948"/>
      <c r="T168" s="1945" t="s">
        <v>224</v>
      </c>
      <c r="U168" s="1947"/>
      <c r="V168" s="1947"/>
      <c r="W168" s="1949"/>
      <c r="X168" s="1950"/>
      <c r="Y168" s="1950"/>
      <c r="Z168" s="1951"/>
      <c r="AA168" s="1949"/>
      <c r="AB168" s="1950"/>
      <c r="AC168" s="1950"/>
      <c r="AD168" s="1950"/>
      <c r="AE168" s="1949"/>
      <c r="AF168" s="1950"/>
      <c r="AG168" s="1950"/>
      <c r="AH168" s="1952"/>
      <c r="AI168" s="1953"/>
    </row>
    <row r="169" spans="1:36" ht="22.35" customHeight="1">
      <c r="A169" s="109"/>
      <c r="B169" s="1572" t="s">
        <v>226</v>
      </c>
      <c r="C169" s="1573" t="s">
        <v>50</v>
      </c>
      <c r="D169" s="1945" t="s">
        <v>227</v>
      </c>
      <c r="E169" s="1946"/>
      <c r="F169" s="1947"/>
      <c r="G169" s="1948"/>
      <c r="H169" s="1945" t="s">
        <v>227</v>
      </c>
      <c r="I169" s="1946"/>
      <c r="J169" s="1947"/>
      <c r="K169" s="1948"/>
      <c r="L169" s="1945" t="s">
        <v>228</v>
      </c>
      <c r="M169" s="1946"/>
      <c r="N169" s="1947"/>
      <c r="O169" s="1948"/>
      <c r="P169" s="1945" t="s">
        <v>229</v>
      </c>
      <c r="Q169" s="1946"/>
      <c r="R169" s="1947"/>
      <c r="S169" s="1948"/>
      <c r="T169" s="1945" t="s">
        <v>230</v>
      </c>
      <c r="U169" s="1947"/>
      <c r="V169" s="1947"/>
      <c r="W169" s="1949"/>
      <c r="X169" s="1950"/>
      <c r="Y169" s="1950"/>
      <c r="Z169" s="1951"/>
      <c r="AA169" s="1949"/>
      <c r="AB169" s="1950"/>
      <c r="AC169" s="1950"/>
      <c r="AD169" s="1950"/>
      <c r="AE169" s="1949"/>
      <c r="AF169" s="1950"/>
      <c r="AG169" s="1950"/>
      <c r="AH169" s="1952"/>
      <c r="AI169" s="1953"/>
    </row>
    <row r="170" spans="1:36" ht="22.35" customHeight="1">
      <c r="A170" s="109"/>
      <c r="B170" s="1572" t="s">
        <v>231</v>
      </c>
      <c r="C170" s="1573" t="s">
        <v>115</v>
      </c>
      <c r="D170" s="1945" t="s">
        <v>232</v>
      </c>
      <c r="E170" s="1946"/>
      <c r="F170" s="1947"/>
      <c r="G170" s="1948"/>
      <c r="H170" s="1945" t="s">
        <v>232</v>
      </c>
      <c r="I170" s="1946"/>
      <c r="J170" s="1947"/>
      <c r="K170" s="1948"/>
      <c r="L170" s="1945" t="s">
        <v>233</v>
      </c>
      <c r="M170" s="1946"/>
      <c r="N170" s="1947"/>
      <c r="O170" s="1948"/>
      <c r="P170" s="1945" t="s">
        <v>234</v>
      </c>
      <c r="Q170" s="1946"/>
      <c r="R170" s="1947"/>
      <c r="S170" s="1948"/>
      <c r="T170" s="1945" t="s">
        <v>235</v>
      </c>
      <c r="U170" s="1947"/>
      <c r="V170" s="1947"/>
      <c r="W170" s="1949"/>
      <c r="X170" s="1950"/>
      <c r="Y170" s="1950"/>
      <c r="Z170" s="1951"/>
      <c r="AA170" s="1949"/>
      <c r="AB170" s="1950"/>
      <c r="AC170" s="1950"/>
      <c r="AD170" s="1950"/>
      <c r="AE170" s="1949"/>
      <c r="AF170" s="1950"/>
      <c r="AG170" s="1950"/>
      <c r="AH170" s="1952"/>
      <c r="AI170" s="1953"/>
    </row>
    <row r="171" spans="1:36" ht="22.35" customHeight="1">
      <c r="A171" s="109"/>
      <c r="B171" s="1572" t="s">
        <v>236</v>
      </c>
      <c r="C171" s="1573" t="s">
        <v>132</v>
      </c>
      <c r="D171" s="1945" t="s">
        <v>222</v>
      </c>
      <c r="E171" s="1946"/>
      <c r="F171" s="1947"/>
      <c r="G171" s="1948"/>
      <c r="H171" s="1945" t="s">
        <v>222</v>
      </c>
      <c r="I171" s="1946"/>
      <c r="J171" s="1947"/>
      <c r="K171" s="1948"/>
      <c r="L171" s="1945" t="s">
        <v>222</v>
      </c>
      <c r="M171" s="1946"/>
      <c r="N171" s="1947"/>
      <c r="O171" s="1948"/>
      <c r="P171" s="1945" t="s">
        <v>222</v>
      </c>
      <c r="Q171" s="1946"/>
      <c r="R171" s="1947"/>
      <c r="S171" s="1948"/>
      <c r="T171" s="1945" t="s">
        <v>232</v>
      </c>
      <c r="U171" s="1947"/>
      <c r="V171" s="1947"/>
      <c r="W171" s="1949"/>
      <c r="X171" s="1950"/>
      <c r="Y171" s="1950"/>
      <c r="Z171" s="1951"/>
      <c r="AA171" s="1949"/>
      <c r="AB171" s="1950"/>
      <c r="AC171" s="1950"/>
      <c r="AD171" s="1950"/>
      <c r="AE171" s="1949"/>
      <c r="AF171" s="1950"/>
      <c r="AG171" s="1950"/>
      <c r="AH171" s="1952"/>
      <c r="AI171" s="1953"/>
    </row>
    <row r="172" spans="1:36" ht="22.35" customHeight="1">
      <c r="A172" s="109"/>
      <c r="B172" s="1572" t="s">
        <v>237</v>
      </c>
      <c r="C172" s="1573" t="s">
        <v>135</v>
      </c>
      <c r="D172" s="1945" t="s">
        <v>222</v>
      </c>
      <c r="E172" s="1946"/>
      <c r="F172" s="1947"/>
      <c r="G172" s="1948"/>
      <c r="H172" s="1945" t="s">
        <v>222</v>
      </c>
      <c r="I172" s="1946"/>
      <c r="J172" s="1947"/>
      <c r="K172" s="1948"/>
      <c r="L172" s="1945" t="s">
        <v>222</v>
      </c>
      <c r="M172" s="1946"/>
      <c r="N172" s="1947"/>
      <c r="O172" s="1948"/>
      <c r="P172" s="1945" t="s">
        <v>223</v>
      </c>
      <c r="Q172" s="1946"/>
      <c r="R172" s="1947"/>
      <c r="S172" s="1948"/>
      <c r="T172" s="1945" t="s">
        <v>224</v>
      </c>
      <c r="U172" s="1947"/>
      <c r="V172" s="1947"/>
      <c r="W172" s="1949"/>
      <c r="X172" s="1950"/>
      <c r="Y172" s="1950"/>
      <c r="Z172" s="1951"/>
      <c r="AA172" s="1949"/>
      <c r="AB172" s="1950"/>
      <c r="AC172" s="1950"/>
      <c r="AD172" s="1950"/>
      <c r="AE172" s="1949"/>
      <c r="AF172" s="1950"/>
      <c r="AG172" s="1950"/>
      <c r="AH172" s="1952"/>
      <c r="AI172" s="1953"/>
    </row>
    <row r="173" spans="1:36" ht="22.35" customHeight="1">
      <c r="A173" s="109"/>
      <c r="B173" s="1572" t="s">
        <v>237</v>
      </c>
      <c r="C173" s="1573" t="s">
        <v>52</v>
      </c>
      <c r="D173" s="1945" t="s">
        <v>222</v>
      </c>
      <c r="E173" s="1946"/>
      <c r="F173" s="1947"/>
      <c r="G173" s="1948"/>
      <c r="H173" s="1945" t="s">
        <v>222</v>
      </c>
      <c r="I173" s="1946"/>
      <c r="J173" s="1947"/>
      <c r="K173" s="1948"/>
      <c r="L173" s="1945" t="s">
        <v>222</v>
      </c>
      <c r="M173" s="1946"/>
      <c r="N173" s="1947"/>
      <c r="O173" s="1948"/>
      <c r="P173" s="1945" t="s">
        <v>223</v>
      </c>
      <c r="Q173" s="1946"/>
      <c r="R173" s="1947"/>
      <c r="S173" s="1948"/>
      <c r="T173" s="1945" t="s">
        <v>224</v>
      </c>
      <c r="U173" s="1947"/>
      <c r="V173" s="1947"/>
      <c r="W173" s="1949"/>
      <c r="X173" s="1950"/>
      <c r="Y173" s="1950"/>
      <c r="Z173" s="1951"/>
      <c r="AA173" s="1949"/>
      <c r="AB173" s="1950"/>
      <c r="AC173" s="1950"/>
      <c r="AD173" s="1950"/>
      <c r="AE173" s="1949"/>
      <c r="AF173" s="1950"/>
      <c r="AG173" s="1950"/>
      <c r="AH173" s="1952"/>
      <c r="AI173" s="1953"/>
    </row>
    <row r="174" spans="1:36" ht="22.35" customHeight="1">
      <c r="A174" s="109"/>
      <c r="B174" s="1572" t="s">
        <v>238</v>
      </c>
      <c r="C174" s="1573" t="s">
        <v>141</v>
      </c>
      <c r="D174" s="1945" t="s">
        <v>222</v>
      </c>
      <c r="E174" s="1946"/>
      <c r="F174" s="1947"/>
      <c r="G174" s="1948"/>
      <c r="H174" s="1945" t="s">
        <v>222</v>
      </c>
      <c r="I174" s="1946"/>
      <c r="J174" s="1947"/>
      <c r="K174" s="1948"/>
      <c r="L174" s="1945" t="s">
        <v>222</v>
      </c>
      <c r="M174" s="1946"/>
      <c r="N174" s="1947"/>
      <c r="O174" s="1948"/>
      <c r="P174" s="1945" t="s">
        <v>239</v>
      </c>
      <c r="Q174" s="1946"/>
      <c r="R174" s="1947"/>
      <c r="S174" s="1948"/>
      <c r="T174" s="1945" t="s">
        <v>235</v>
      </c>
      <c r="U174" s="1947"/>
      <c r="V174" s="1947"/>
      <c r="W174" s="1949"/>
      <c r="X174" s="1950"/>
      <c r="Y174" s="1950"/>
      <c r="Z174" s="1951"/>
      <c r="AA174" s="1949"/>
      <c r="AB174" s="1950"/>
      <c r="AC174" s="1950"/>
      <c r="AD174" s="1950"/>
      <c r="AE174" s="1949"/>
      <c r="AF174" s="1950"/>
      <c r="AG174" s="1950"/>
      <c r="AH174" s="1952"/>
      <c r="AI174" s="1953"/>
    </row>
    <row r="175" spans="1:36" ht="22.35" customHeight="1">
      <c r="A175" s="109"/>
      <c r="B175" s="1954" t="s">
        <v>240</v>
      </c>
      <c r="C175" s="1955" t="s">
        <v>124</v>
      </c>
      <c r="D175" s="1956" t="s">
        <v>222</v>
      </c>
      <c r="E175" s="1957"/>
      <c r="F175" s="1958"/>
      <c r="G175" s="1959"/>
      <c r="H175" s="1956" t="s">
        <v>222</v>
      </c>
      <c r="I175" s="1957"/>
      <c r="J175" s="1958"/>
      <c r="K175" s="1959"/>
      <c r="L175" s="1956" t="s">
        <v>222</v>
      </c>
      <c r="M175" s="1957"/>
      <c r="N175" s="1958"/>
      <c r="O175" s="1959"/>
      <c r="P175" s="1956" t="s">
        <v>223</v>
      </c>
      <c r="Q175" s="1957"/>
      <c r="R175" s="1958"/>
      <c r="S175" s="1959"/>
      <c r="T175" s="1956" t="s">
        <v>224</v>
      </c>
      <c r="U175" s="1958"/>
      <c r="V175" s="198"/>
      <c r="W175" s="1960"/>
      <c r="X175" s="197"/>
      <c r="Y175" s="197"/>
      <c r="Z175" s="198"/>
      <c r="AA175" s="1960"/>
      <c r="AB175" s="197"/>
      <c r="AC175" s="197"/>
      <c r="AD175" s="197"/>
      <c r="AE175" s="1960"/>
      <c r="AF175" s="197"/>
      <c r="AG175" s="197"/>
      <c r="AH175" s="199"/>
      <c r="AI175" s="1961"/>
      <c r="AJ175" s="200"/>
    </row>
    <row r="176" spans="1:36" ht="22.35" customHeight="1">
      <c r="A176" s="109"/>
      <c r="B176" s="1572" t="s">
        <v>241</v>
      </c>
      <c r="C176" s="1573" t="s">
        <v>242</v>
      </c>
      <c r="D176" s="1945" t="s">
        <v>222</v>
      </c>
      <c r="E176" s="1946"/>
      <c r="F176" s="1947"/>
      <c r="G176" s="1948"/>
      <c r="H176" s="1945" t="s">
        <v>222</v>
      </c>
      <c r="I176" s="1946"/>
      <c r="J176" s="1947"/>
      <c r="K176" s="1948"/>
      <c r="L176" s="1945" t="s">
        <v>222</v>
      </c>
      <c r="M176" s="1946"/>
      <c r="N176" s="1947"/>
      <c r="O176" s="1948"/>
      <c r="P176" s="1945" t="s">
        <v>223</v>
      </c>
      <c r="Q176" s="1946"/>
      <c r="R176" s="1947"/>
      <c r="S176" s="1948"/>
      <c r="T176" s="1945" t="s">
        <v>224</v>
      </c>
      <c r="U176" s="1947"/>
      <c r="V176" s="1946"/>
      <c r="W176" s="1949"/>
      <c r="X176" s="1950"/>
      <c r="Y176" s="1950"/>
      <c r="Z176" s="1950"/>
      <c r="AA176" s="1949"/>
      <c r="AB176" s="1950"/>
      <c r="AC176" s="1950"/>
      <c r="AD176" s="1950"/>
      <c r="AE176" s="1949"/>
      <c r="AF176" s="1950"/>
      <c r="AG176" s="1950"/>
      <c r="AH176" s="1952"/>
      <c r="AI176" s="1953"/>
      <c r="AJ176" s="200"/>
    </row>
    <row r="177" spans="1:36" ht="22.35" customHeight="1">
      <c r="A177" s="109"/>
      <c r="B177" s="1572" t="s">
        <v>243</v>
      </c>
      <c r="C177" s="1573" t="s">
        <v>122</v>
      </c>
      <c r="D177" s="1945" t="s">
        <v>244</v>
      </c>
      <c r="E177" s="1946"/>
      <c r="F177" s="1947"/>
      <c r="G177" s="1948"/>
      <c r="H177" s="1945" t="s">
        <v>244</v>
      </c>
      <c r="I177" s="1946"/>
      <c r="J177" s="1947"/>
      <c r="K177" s="1948"/>
      <c r="L177" s="1945" t="s">
        <v>244</v>
      </c>
      <c r="M177" s="1946"/>
      <c r="N177" s="1946"/>
      <c r="O177" s="1948"/>
      <c r="P177" s="1945" t="s">
        <v>244</v>
      </c>
      <c r="Q177" s="1946"/>
      <c r="R177" s="1946"/>
      <c r="S177" s="1948"/>
      <c r="T177" s="1945" t="s">
        <v>235</v>
      </c>
      <c r="U177" s="1947"/>
      <c r="V177" s="1946"/>
      <c r="W177" s="1962"/>
      <c r="X177" s="1950"/>
      <c r="Y177" s="1950"/>
      <c r="Z177" s="1950"/>
      <c r="AA177" s="1949"/>
      <c r="AB177" s="1950"/>
      <c r="AC177" s="1950"/>
      <c r="AD177" s="1950"/>
      <c r="AE177" s="1949"/>
      <c r="AF177" s="1950"/>
      <c r="AG177" s="1950"/>
      <c r="AH177" s="1952"/>
      <c r="AI177" s="1953"/>
      <c r="AJ177" s="200"/>
    </row>
    <row r="178" spans="1:36" ht="22.35" customHeight="1">
      <c r="A178" s="109"/>
      <c r="B178" s="1572" t="s">
        <v>245</v>
      </c>
      <c r="C178" s="1573" t="s">
        <v>246</v>
      </c>
      <c r="D178" s="1945" t="s">
        <v>244</v>
      </c>
      <c r="E178" s="1946"/>
      <c r="F178" s="1947"/>
      <c r="G178" s="1948"/>
      <c r="H178" s="1945" t="s">
        <v>244</v>
      </c>
      <c r="I178" s="1946"/>
      <c r="J178" s="1947"/>
      <c r="K178" s="1948"/>
      <c r="L178" s="1945" t="s">
        <v>244</v>
      </c>
      <c r="M178" s="1946"/>
      <c r="N178" s="1946"/>
      <c r="O178" s="1948"/>
      <c r="P178" s="1945" t="s">
        <v>244</v>
      </c>
      <c r="Q178" s="1946"/>
      <c r="R178" s="1946"/>
      <c r="S178" s="1948"/>
      <c r="T178" s="1945" t="s">
        <v>235</v>
      </c>
      <c r="U178" s="1947"/>
      <c r="V178" s="1946"/>
      <c r="W178" s="1962"/>
      <c r="X178" s="1950"/>
      <c r="Y178" s="1950"/>
      <c r="Z178" s="1951"/>
      <c r="AA178" s="1963"/>
      <c r="AB178" s="1950"/>
      <c r="AC178" s="1950"/>
      <c r="AD178" s="1950"/>
      <c r="AE178" s="1949"/>
      <c r="AF178" s="1950"/>
      <c r="AG178" s="1950"/>
      <c r="AH178" s="1952"/>
      <c r="AI178" s="1953"/>
      <c r="AJ178" s="200"/>
    </row>
    <row r="179" spans="1:36" ht="22.35" customHeight="1" thickBot="1">
      <c r="A179" s="109"/>
      <c r="B179" s="1100" t="s">
        <v>247</v>
      </c>
      <c r="C179" s="1101" t="s">
        <v>127</v>
      </c>
      <c r="D179" s="1586" t="s">
        <v>244</v>
      </c>
      <c r="E179" s="1587"/>
      <c r="F179" s="1104"/>
      <c r="G179" s="1105"/>
      <c r="H179" s="1586" t="s">
        <v>244</v>
      </c>
      <c r="I179" s="1587"/>
      <c r="J179" s="1104"/>
      <c r="K179" s="1105"/>
      <c r="L179" s="1586" t="s">
        <v>244</v>
      </c>
      <c r="M179" s="1587"/>
      <c r="N179" s="1587"/>
      <c r="O179" s="1105"/>
      <c r="P179" s="1586" t="s">
        <v>244</v>
      </c>
      <c r="Q179" s="1587"/>
      <c r="R179" s="1587"/>
      <c r="S179" s="1105"/>
      <c r="T179" s="1586" t="s">
        <v>235</v>
      </c>
      <c r="U179" s="1104"/>
      <c r="V179" s="1587"/>
      <c r="W179" s="1106"/>
      <c r="X179" s="1588"/>
      <c r="Y179" s="1588"/>
      <c r="Z179" s="1108"/>
      <c r="AA179" s="1589"/>
      <c r="AB179" s="1588"/>
      <c r="AC179" s="1588"/>
      <c r="AD179" s="1588"/>
      <c r="AE179" s="1110"/>
      <c r="AF179" s="1588"/>
      <c r="AG179" s="1588"/>
      <c r="AH179" s="1590"/>
      <c r="AI179" s="1112"/>
      <c r="AJ179" s="200"/>
    </row>
    <row r="180" spans="1:36" ht="22.35" customHeight="1">
      <c r="A180" s="109"/>
      <c r="B180" s="218"/>
      <c r="C180" s="219"/>
      <c r="D180" s="220"/>
      <c r="E180" s="221"/>
      <c r="F180" s="221"/>
      <c r="G180" s="222"/>
      <c r="H180" s="220"/>
      <c r="I180" s="221"/>
      <c r="J180" s="221"/>
      <c r="K180" s="222"/>
      <c r="L180" s="220"/>
      <c r="M180" s="221"/>
      <c r="N180" s="221"/>
      <c r="O180" s="222"/>
      <c r="P180" s="210"/>
      <c r="Q180" s="221"/>
      <c r="R180" s="221"/>
      <c r="S180" s="222"/>
      <c r="T180" s="210"/>
      <c r="U180" s="221"/>
      <c r="V180" s="221"/>
      <c r="W180" s="221"/>
      <c r="X180" s="221"/>
      <c r="Y180" s="221"/>
      <c r="Z180" s="221"/>
      <c r="AA180" s="222"/>
      <c r="AB180" s="221"/>
      <c r="AC180" s="221"/>
      <c r="AD180" s="221"/>
      <c r="AE180" s="222"/>
      <c r="AF180" s="221"/>
      <c r="AG180" s="221"/>
      <c r="AH180" s="201"/>
      <c r="AI180" s="201"/>
      <c r="AJ180" s="200"/>
    </row>
    <row r="181" spans="1:36" ht="22.35" customHeight="1" thickBot="1">
      <c r="A181" s="148"/>
      <c r="B181" s="1964" t="s">
        <v>29</v>
      </c>
      <c r="C181" s="1711">
        <v>1</v>
      </c>
      <c r="D181" s="1712">
        <v>2</v>
      </c>
      <c r="E181" s="1712">
        <v>3</v>
      </c>
      <c r="F181" s="1712">
        <v>4</v>
      </c>
      <c r="G181" s="1712">
        <v>5</v>
      </c>
      <c r="H181" s="1712">
        <v>6</v>
      </c>
      <c r="I181" s="1711">
        <v>7</v>
      </c>
      <c r="J181" s="1711">
        <v>8</v>
      </c>
      <c r="K181" s="1712">
        <v>9</v>
      </c>
      <c r="L181" s="1712">
        <v>10</v>
      </c>
      <c r="M181" s="1712">
        <v>11</v>
      </c>
      <c r="N181" s="1712">
        <v>12</v>
      </c>
      <c r="O181" s="1712">
        <v>13</v>
      </c>
      <c r="P181" s="1711">
        <v>14</v>
      </c>
      <c r="Q181" s="1711">
        <v>15</v>
      </c>
      <c r="R181" s="1712">
        <v>16</v>
      </c>
      <c r="S181" s="1712">
        <v>17</v>
      </c>
      <c r="T181" s="1712">
        <v>18</v>
      </c>
      <c r="U181" s="1712">
        <v>19</v>
      </c>
      <c r="V181" s="1712">
        <v>20</v>
      </c>
      <c r="W181" s="1711">
        <v>21</v>
      </c>
      <c r="X181" s="1711">
        <v>22</v>
      </c>
      <c r="Y181" s="1712">
        <v>23</v>
      </c>
      <c r="Z181" s="1712">
        <v>24</v>
      </c>
      <c r="AA181" s="1712">
        <v>25</v>
      </c>
      <c r="AB181" s="1712">
        <v>26</v>
      </c>
      <c r="AC181" s="1712">
        <v>27</v>
      </c>
      <c r="AD181" s="1711">
        <v>28</v>
      </c>
      <c r="AE181" s="1711">
        <v>29</v>
      </c>
      <c r="AF181" s="1712">
        <v>30</v>
      </c>
      <c r="AG181" s="1713">
        <v>31</v>
      </c>
      <c r="AH181" s="183"/>
      <c r="AI181" s="177"/>
    </row>
    <row r="182" spans="1:36" ht="22.35" customHeight="1">
      <c r="A182" s="109"/>
      <c r="B182" s="318" t="s">
        <v>248</v>
      </c>
      <c r="C182" s="514"/>
      <c r="D182" s="514" t="s">
        <v>113</v>
      </c>
      <c r="E182" s="514" t="s">
        <v>113</v>
      </c>
      <c r="F182" s="514" t="s">
        <v>113</v>
      </c>
      <c r="G182" s="514" t="s">
        <v>113</v>
      </c>
      <c r="H182" s="514" t="s">
        <v>113</v>
      </c>
      <c r="I182" s="514"/>
      <c r="J182" s="514"/>
      <c r="K182" s="514" t="s">
        <v>113</v>
      </c>
      <c r="L182" s="514" t="s">
        <v>113</v>
      </c>
      <c r="M182" s="514" t="s">
        <v>113</v>
      </c>
      <c r="N182" s="514" t="s">
        <v>113</v>
      </c>
      <c r="O182" s="514" t="s">
        <v>113</v>
      </c>
      <c r="P182" s="514"/>
      <c r="Q182" s="514"/>
      <c r="R182" s="514" t="s">
        <v>113</v>
      </c>
      <c r="S182" s="514" t="s">
        <v>113</v>
      </c>
      <c r="T182" s="514" t="s">
        <v>113</v>
      </c>
      <c r="U182" s="514" t="s">
        <v>113</v>
      </c>
      <c r="V182" s="514" t="s">
        <v>113</v>
      </c>
      <c r="W182" s="514"/>
      <c r="X182" s="514"/>
      <c r="Y182" s="514" t="s">
        <v>113</v>
      </c>
      <c r="Z182" s="514" t="s">
        <v>113</v>
      </c>
      <c r="AA182" s="514" t="s">
        <v>113</v>
      </c>
      <c r="AB182" s="579" t="s">
        <v>113</v>
      </c>
      <c r="AC182" s="579" t="s">
        <v>362</v>
      </c>
      <c r="AD182" s="514"/>
      <c r="AE182" s="514"/>
      <c r="AF182" s="561" t="s">
        <v>113</v>
      </c>
      <c r="AG182" s="562" t="s">
        <v>113</v>
      </c>
      <c r="AH182" s="182"/>
      <c r="AI182" s="182"/>
    </row>
    <row r="183" spans="1:36" ht="22.35" customHeight="1">
      <c r="A183" s="109"/>
      <c r="B183" s="1592" t="s">
        <v>249</v>
      </c>
      <c r="C183" s="1965"/>
      <c r="D183" s="1965" t="s">
        <v>113</v>
      </c>
      <c r="E183" s="1965" t="s">
        <v>113</v>
      </c>
      <c r="F183" s="1965" t="s">
        <v>113</v>
      </c>
      <c r="G183" s="1965" t="s">
        <v>113</v>
      </c>
      <c r="H183" s="1965" t="s">
        <v>113</v>
      </c>
      <c r="I183" s="1965"/>
      <c r="J183" s="1965"/>
      <c r="K183" s="1965" t="s">
        <v>113</v>
      </c>
      <c r="L183" s="1965" t="s">
        <v>113</v>
      </c>
      <c r="M183" s="1965" t="s">
        <v>113</v>
      </c>
      <c r="N183" s="1965" t="s">
        <v>113</v>
      </c>
      <c r="O183" s="1965" t="s">
        <v>113</v>
      </c>
      <c r="P183" s="1965"/>
      <c r="Q183" s="1965"/>
      <c r="R183" s="1966" t="s">
        <v>113</v>
      </c>
      <c r="S183" s="1966" t="s">
        <v>113</v>
      </c>
      <c r="T183" s="1966" t="s">
        <v>113</v>
      </c>
      <c r="U183" s="1966" t="s">
        <v>113</v>
      </c>
      <c r="V183" s="1966" t="s">
        <v>113</v>
      </c>
      <c r="W183" s="1966"/>
      <c r="X183" s="1966"/>
      <c r="Y183" s="1966" t="s">
        <v>113</v>
      </c>
      <c r="Z183" s="1966" t="s">
        <v>113</v>
      </c>
      <c r="AA183" s="1966" t="s">
        <v>113</v>
      </c>
      <c r="AB183" s="1966" t="s">
        <v>113</v>
      </c>
      <c r="AC183" s="1966" t="s">
        <v>113</v>
      </c>
      <c r="AD183" s="1966"/>
      <c r="AE183" s="1966"/>
      <c r="AF183" s="1967" t="s">
        <v>113</v>
      </c>
      <c r="AG183" s="1968" t="s">
        <v>113</v>
      </c>
      <c r="AH183" s="182"/>
      <c r="AI183" s="182"/>
    </row>
    <row r="184" spans="1:36" ht="22.35" customHeight="1">
      <c r="A184" s="109"/>
      <c r="B184" s="1592" t="s">
        <v>250</v>
      </c>
      <c r="C184" s="1965"/>
      <c r="D184" s="1969" t="s">
        <v>118</v>
      </c>
      <c r="E184" s="1969" t="s">
        <v>118</v>
      </c>
      <c r="F184" s="1969" t="s">
        <v>118</v>
      </c>
      <c r="G184" s="1969" t="s">
        <v>118</v>
      </c>
      <c r="H184" s="1969" t="s">
        <v>118</v>
      </c>
      <c r="I184" s="1969"/>
      <c r="J184" s="1969"/>
      <c r="K184" s="1969" t="s">
        <v>118</v>
      </c>
      <c r="L184" s="1969" t="s">
        <v>118</v>
      </c>
      <c r="M184" s="1969" t="s">
        <v>118</v>
      </c>
      <c r="N184" s="1969" t="s">
        <v>118</v>
      </c>
      <c r="O184" s="1969" t="s">
        <v>118</v>
      </c>
      <c r="P184" s="1969"/>
      <c r="Q184" s="1969"/>
      <c r="R184" s="1969" t="s">
        <v>118</v>
      </c>
      <c r="S184" s="1969" t="s">
        <v>118</v>
      </c>
      <c r="T184" s="1969" t="s">
        <v>118</v>
      </c>
      <c r="U184" s="1969" t="s">
        <v>118</v>
      </c>
      <c r="V184" s="1969" t="s">
        <v>118</v>
      </c>
      <c r="W184" s="1969"/>
      <c r="X184" s="1969"/>
      <c r="Y184" s="1969" t="s">
        <v>118</v>
      </c>
      <c r="Z184" s="1969" t="s">
        <v>118</v>
      </c>
      <c r="AA184" s="1969" t="s">
        <v>118</v>
      </c>
      <c r="AB184" s="1969" t="s">
        <v>129</v>
      </c>
      <c r="AC184" s="1965" t="s">
        <v>118</v>
      </c>
      <c r="AD184" s="1965"/>
      <c r="AE184" s="1965"/>
      <c r="AF184" s="1965" t="s">
        <v>118</v>
      </c>
      <c r="AG184" s="1970" t="s">
        <v>118</v>
      </c>
      <c r="AH184" s="182"/>
      <c r="AI184" s="182"/>
    </row>
    <row r="185" spans="1:36" ht="22.35" customHeight="1">
      <c r="A185" s="109"/>
      <c r="B185" s="1592" t="s">
        <v>251</v>
      </c>
      <c r="C185" s="1966"/>
      <c r="D185" s="1966" t="s">
        <v>126</v>
      </c>
      <c r="E185" s="1966" t="s">
        <v>126</v>
      </c>
      <c r="F185" s="1966" t="s">
        <v>126</v>
      </c>
      <c r="G185" s="1966" t="s">
        <v>126</v>
      </c>
      <c r="H185" s="1966" t="s">
        <v>126</v>
      </c>
      <c r="I185" s="1966"/>
      <c r="J185" s="1966"/>
      <c r="K185" s="1966" t="s">
        <v>126</v>
      </c>
      <c r="L185" s="1971" t="s">
        <v>126</v>
      </c>
      <c r="M185" s="1966" t="s">
        <v>126</v>
      </c>
      <c r="N185" s="1966" t="s">
        <v>126</v>
      </c>
      <c r="O185" s="1966" t="s">
        <v>126</v>
      </c>
      <c r="P185" s="1966"/>
      <c r="Q185" s="1966"/>
      <c r="R185" s="1965" t="s">
        <v>126</v>
      </c>
      <c r="S185" s="1965" t="s">
        <v>126</v>
      </c>
      <c r="T185" s="1965" t="s">
        <v>126</v>
      </c>
      <c r="U185" s="1965" t="s">
        <v>126</v>
      </c>
      <c r="V185" s="1965" t="s">
        <v>126</v>
      </c>
      <c r="W185" s="1965"/>
      <c r="X185" s="1965"/>
      <c r="Y185" s="1965" t="s">
        <v>126</v>
      </c>
      <c r="Z185" s="1965" t="s">
        <v>126</v>
      </c>
      <c r="AA185" s="1965" t="s">
        <v>126</v>
      </c>
      <c r="AB185" s="1965" t="s">
        <v>126</v>
      </c>
      <c r="AC185" s="1965" t="s">
        <v>126</v>
      </c>
      <c r="AD185" s="1965"/>
      <c r="AE185" s="1965"/>
      <c r="AF185" s="1965" t="s">
        <v>126</v>
      </c>
      <c r="AG185" s="1970" t="s">
        <v>126</v>
      </c>
      <c r="AH185" s="182"/>
      <c r="AI185" s="182"/>
    </row>
    <row r="186" spans="1:36" ht="22.35" customHeight="1">
      <c r="A186" s="109"/>
      <c r="B186" s="1757" t="s">
        <v>252</v>
      </c>
      <c r="C186" s="1965"/>
      <c r="D186" s="1965" t="s">
        <v>50</v>
      </c>
      <c r="E186" s="1965" t="s">
        <v>50</v>
      </c>
      <c r="F186" s="1965" t="s">
        <v>50</v>
      </c>
      <c r="G186" s="1965" t="s">
        <v>50</v>
      </c>
      <c r="H186" s="1965" t="s">
        <v>50</v>
      </c>
      <c r="I186" s="1965"/>
      <c r="J186" s="1965"/>
      <c r="K186" s="1965" t="s">
        <v>50</v>
      </c>
      <c r="L186" s="1965" t="s">
        <v>50</v>
      </c>
      <c r="M186" s="1965" t="s">
        <v>50</v>
      </c>
      <c r="N186" s="1965" t="s">
        <v>50</v>
      </c>
      <c r="O186" s="1965" t="s">
        <v>50</v>
      </c>
      <c r="P186" s="1972"/>
      <c r="Q186" s="1972"/>
      <c r="R186" s="1972" t="s">
        <v>50</v>
      </c>
      <c r="S186" s="1972" t="s">
        <v>50</v>
      </c>
      <c r="T186" s="1972" t="s">
        <v>50</v>
      </c>
      <c r="U186" s="1973" t="s">
        <v>358</v>
      </c>
      <c r="V186" s="1965" t="s">
        <v>50</v>
      </c>
      <c r="W186" s="1965"/>
      <c r="X186" s="1965"/>
      <c r="Y186" s="1965" t="s">
        <v>50</v>
      </c>
      <c r="Z186" s="1965" t="s">
        <v>50</v>
      </c>
      <c r="AA186" s="1965" t="s">
        <v>50</v>
      </c>
      <c r="AB186" s="1965" t="s">
        <v>50</v>
      </c>
      <c r="AC186" s="1965" t="s">
        <v>50</v>
      </c>
      <c r="AD186" s="1965"/>
      <c r="AE186" s="1965"/>
      <c r="AF186" s="1965" t="s">
        <v>50</v>
      </c>
      <c r="AG186" s="1970" t="s">
        <v>50</v>
      </c>
      <c r="AH186" s="182"/>
      <c r="AI186" s="182"/>
    </row>
    <row r="187" spans="1:36" ht="22.35" customHeight="1">
      <c r="A187" s="109"/>
      <c r="B187" s="1745"/>
      <c r="C187" s="1965"/>
      <c r="D187" s="1965" t="s">
        <v>115</v>
      </c>
      <c r="E187" s="1965" t="s">
        <v>115</v>
      </c>
      <c r="F187" s="1965" t="s">
        <v>115</v>
      </c>
      <c r="G187" s="1965" t="s">
        <v>115</v>
      </c>
      <c r="H187" s="1965" t="s">
        <v>115</v>
      </c>
      <c r="I187" s="1965"/>
      <c r="J187" s="1965"/>
      <c r="K187" s="1965" t="s">
        <v>115</v>
      </c>
      <c r="L187" s="1965" t="s">
        <v>115</v>
      </c>
      <c r="M187" s="1965" t="s">
        <v>115</v>
      </c>
      <c r="N187" s="1965" t="s">
        <v>115</v>
      </c>
      <c r="O187" s="1965" t="s">
        <v>115</v>
      </c>
      <c r="P187" s="1965"/>
      <c r="Q187" s="1965"/>
      <c r="R187" s="1965" t="s">
        <v>115</v>
      </c>
      <c r="S187" s="1965" t="s">
        <v>115</v>
      </c>
      <c r="T187" s="1965" t="s">
        <v>115</v>
      </c>
      <c r="U187" s="1965" t="s">
        <v>115</v>
      </c>
      <c r="V187" s="1965" t="s">
        <v>115</v>
      </c>
      <c r="W187" s="1965"/>
      <c r="X187" s="1965"/>
      <c r="Y187" s="1965" t="s">
        <v>115</v>
      </c>
      <c r="Z187" s="1965" t="s">
        <v>115</v>
      </c>
      <c r="AA187" s="1965" t="s">
        <v>115</v>
      </c>
      <c r="AB187" s="1965" t="s">
        <v>115</v>
      </c>
      <c r="AC187" s="1965" t="s">
        <v>115</v>
      </c>
      <c r="AD187" s="1965"/>
      <c r="AE187" s="1965"/>
      <c r="AF187" s="1965" t="s">
        <v>115</v>
      </c>
      <c r="AG187" s="1970" t="s">
        <v>115</v>
      </c>
      <c r="AH187" s="182"/>
      <c r="AI187" s="182"/>
    </row>
    <row r="188" spans="1:36" ht="22.35" customHeight="1">
      <c r="A188" s="109"/>
      <c r="B188" s="1592" t="s">
        <v>253</v>
      </c>
      <c r="C188" s="1974"/>
      <c r="D188" s="1974" t="s">
        <v>132</v>
      </c>
      <c r="E188" s="1974" t="s">
        <v>132</v>
      </c>
      <c r="F188" s="1974" t="s">
        <v>132</v>
      </c>
      <c r="G188" s="1974" t="s">
        <v>132</v>
      </c>
      <c r="H188" s="1974" t="s">
        <v>132</v>
      </c>
      <c r="I188" s="1974"/>
      <c r="J188" s="1974"/>
      <c r="K188" s="1974" t="s">
        <v>132</v>
      </c>
      <c r="L188" s="1974" t="s">
        <v>132</v>
      </c>
      <c r="M188" s="1974" t="s">
        <v>132</v>
      </c>
      <c r="N188" s="1974" t="s">
        <v>132</v>
      </c>
      <c r="O188" s="1974" t="s">
        <v>132</v>
      </c>
      <c r="P188" s="1974"/>
      <c r="Q188" s="1974"/>
      <c r="R188" s="1974" t="s">
        <v>132</v>
      </c>
      <c r="S188" s="1974" t="s">
        <v>132</v>
      </c>
      <c r="T188" s="1974" t="s">
        <v>132</v>
      </c>
      <c r="U188" s="1974" t="s">
        <v>132</v>
      </c>
      <c r="V188" s="1974" t="s">
        <v>132</v>
      </c>
      <c r="W188" s="1974"/>
      <c r="X188" s="1974"/>
      <c r="Y188" s="1974" t="s">
        <v>132</v>
      </c>
      <c r="Z188" s="1974" t="s">
        <v>132</v>
      </c>
      <c r="AA188" s="1974" t="s">
        <v>132</v>
      </c>
      <c r="AB188" s="1974" t="s">
        <v>132</v>
      </c>
      <c r="AC188" s="1974" t="s">
        <v>132</v>
      </c>
      <c r="AD188" s="1974"/>
      <c r="AE188" s="1974"/>
      <c r="AF188" s="1974" t="s">
        <v>132</v>
      </c>
      <c r="AG188" s="1970" t="s">
        <v>132</v>
      </c>
      <c r="AH188" s="182"/>
      <c r="AI188" s="182"/>
    </row>
    <row r="189" spans="1:36" ht="22.35" customHeight="1">
      <c r="A189" s="109"/>
      <c r="B189" s="1829" t="s">
        <v>254</v>
      </c>
      <c r="C189" s="1965"/>
      <c r="D189" s="1965" t="s">
        <v>135</v>
      </c>
      <c r="E189" s="1965" t="s">
        <v>135</v>
      </c>
      <c r="F189" s="1965" t="s">
        <v>135</v>
      </c>
      <c r="G189" s="1965" t="s">
        <v>135</v>
      </c>
      <c r="H189" s="1965" t="s">
        <v>135</v>
      </c>
      <c r="I189" s="1965"/>
      <c r="J189" s="1965"/>
      <c r="K189" s="1965" t="s">
        <v>135</v>
      </c>
      <c r="L189" s="1965" t="s">
        <v>135</v>
      </c>
      <c r="M189" s="1965" t="s">
        <v>135</v>
      </c>
      <c r="N189" s="1965" t="s">
        <v>135</v>
      </c>
      <c r="O189" s="1965" t="s">
        <v>135</v>
      </c>
      <c r="P189" s="1965"/>
      <c r="Q189" s="1965"/>
      <c r="R189" s="1965" t="s">
        <v>135</v>
      </c>
      <c r="S189" s="1965" t="s">
        <v>135</v>
      </c>
      <c r="T189" s="1965" t="s">
        <v>135</v>
      </c>
      <c r="U189" s="1965" t="s">
        <v>135</v>
      </c>
      <c r="V189" s="1965" t="s">
        <v>135</v>
      </c>
      <c r="W189" s="1965"/>
      <c r="X189" s="1965"/>
      <c r="Y189" s="1965" t="s">
        <v>135</v>
      </c>
      <c r="Z189" s="1975" t="s">
        <v>355</v>
      </c>
      <c r="AA189" s="1976" t="s">
        <v>135</v>
      </c>
      <c r="AB189" s="1965" t="s">
        <v>135</v>
      </c>
      <c r="AC189" s="1965" t="s">
        <v>135</v>
      </c>
      <c r="AD189" s="1965"/>
      <c r="AE189" s="1965"/>
      <c r="AF189" s="1965" t="s">
        <v>135</v>
      </c>
      <c r="AG189" s="1970" t="s">
        <v>135</v>
      </c>
      <c r="AH189" s="182"/>
      <c r="AI189" s="182"/>
    </row>
    <row r="190" spans="1:36" ht="22.35" customHeight="1">
      <c r="A190" s="109"/>
      <c r="B190" s="1592" t="s">
        <v>255</v>
      </c>
      <c r="C190" s="522"/>
      <c r="D190" s="522" t="s">
        <v>52</v>
      </c>
      <c r="E190" s="522" t="s">
        <v>52</v>
      </c>
      <c r="F190" s="522" t="s">
        <v>52</v>
      </c>
      <c r="G190" s="522" t="s">
        <v>52</v>
      </c>
      <c r="H190" s="522" t="s">
        <v>52</v>
      </c>
      <c r="I190" s="522"/>
      <c r="J190" s="522"/>
      <c r="K190" s="522" t="s">
        <v>52</v>
      </c>
      <c r="L190" s="522" t="s">
        <v>52</v>
      </c>
      <c r="M190" s="522" t="s">
        <v>52</v>
      </c>
      <c r="N190" s="522" t="s">
        <v>52</v>
      </c>
      <c r="O190" s="522" t="s">
        <v>52</v>
      </c>
      <c r="P190" s="522"/>
      <c r="Q190" s="522"/>
      <c r="R190" s="543" t="s">
        <v>52</v>
      </c>
      <c r="S190" s="543" t="s">
        <v>52</v>
      </c>
      <c r="T190" s="543" t="s">
        <v>52</v>
      </c>
      <c r="U190" s="543" t="s">
        <v>52</v>
      </c>
      <c r="V190" s="543" t="s">
        <v>52</v>
      </c>
      <c r="W190" s="543"/>
      <c r="X190" s="543"/>
      <c r="Y190" s="543" t="s">
        <v>52</v>
      </c>
      <c r="Z190" s="543" t="s">
        <v>52</v>
      </c>
      <c r="AA190" s="543" t="s">
        <v>52</v>
      </c>
      <c r="AB190" s="543" t="s">
        <v>52</v>
      </c>
      <c r="AC190" s="543" t="s">
        <v>52</v>
      </c>
      <c r="AD190" s="543"/>
      <c r="AE190" s="543"/>
      <c r="AF190" s="543" t="s">
        <v>52</v>
      </c>
      <c r="AG190" s="544" t="s">
        <v>52</v>
      </c>
      <c r="AH190" s="182"/>
      <c r="AI190" s="182"/>
    </row>
    <row r="191" spans="1:36" ht="22.35" customHeight="1">
      <c r="A191" s="109"/>
      <c r="B191" s="1592" t="s">
        <v>257</v>
      </c>
      <c r="C191" s="1856"/>
      <c r="D191" s="1856" t="s">
        <v>141</v>
      </c>
      <c r="E191" s="1856" t="s">
        <v>141</v>
      </c>
      <c r="F191" s="1856" t="s">
        <v>141</v>
      </c>
      <c r="G191" s="1856" t="s">
        <v>141</v>
      </c>
      <c r="H191" s="1856" t="s">
        <v>141</v>
      </c>
      <c r="I191" s="1856"/>
      <c r="J191" s="1856"/>
      <c r="K191" s="1856" t="s">
        <v>141</v>
      </c>
      <c r="L191" s="1856" t="s">
        <v>141</v>
      </c>
      <c r="M191" s="1856" t="s">
        <v>141</v>
      </c>
      <c r="N191" s="1856" t="s">
        <v>141</v>
      </c>
      <c r="O191" s="1856" t="s">
        <v>141</v>
      </c>
      <c r="P191" s="1856"/>
      <c r="Q191" s="1856"/>
      <c r="R191" s="1856" t="s">
        <v>141</v>
      </c>
      <c r="S191" s="1856" t="s">
        <v>141</v>
      </c>
      <c r="T191" s="1856" t="s">
        <v>141</v>
      </c>
      <c r="U191" s="1856" t="s">
        <v>141</v>
      </c>
      <c r="V191" s="1856" t="s">
        <v>141</v>
      </c>
      <c r="W191" s="1856"/>
      <c r="X191" s="1856"/>
      <c r="Y191" s="1856" t="s">
        <v>141</v>
      </c>
      <c r="Z191" s="1856" t="s">
        <v>141</v>
      </c>
      <c r="AA191" s="1856" t="s">
        <v>141</v>
      </c>
      <c r="AB191" s="1856" t="s">
        <v>141</v>
      </c>
      <c r="AC191" s="1856" t="s">
        <v>141</v>
      </c>
      <c r="AD191" s="1856"/>
      <c r="AE191" s="1856"/>
      <c r="AF191" s="1856" t="s">
        <v>141</v>
      </c>
      <c r="AG191" s="1838" t="s">
        <v>141</v>
      </c>
      <c r="AH191" s="182"/>
      <c r="AI191" s="182"/>
    </row>
    <row r="192" spans="1:36" ht="22.35" customHeight="1">
      <c r="A192" s="109"/>
      <c r="B192" s="1829" t="s">
        <v>259</v>
      </c>
      <c r="C192" s="1856"/>
      <c r="D192" s="1856" t="s">
        <v>124</v>
      </c>
      <c r="E192" s="1856" t="s">
        <v>124</v>
      </c>
      <c r="F192" s="1856" t="s">
        <v>124</v>
      </c>
      <c r="G192" s="1856" t="s">
        <v>124</v>
      </c>
      <c r="H192" s="1856" t="s">
        <v>124</v>
      </c>
      <c r="I192" s="1856"/>
      <c r="J192" s="1856"/>
      <c r="K192" s="1856" t="s">
        <v>124</v>
      </c>
      <c r="L192" s="1856" t="s">
        <v>124</v>
      </c>
      <c r="M192" s="1856" t="s">
        <v>124</v>
      </c>
      <c r="N192" s="1856" t="s">
        <v>124</v>
      </c>
      <c r="O192" s="1856" t="s">
        <v>124</v>
      </c>
      <c r="P192" s="1856"/>
      <c r="Q192" s="1856"/>
      <c r="R192" s="1856" t="s">
        <v>124</v>
      </c>
      <c r="S192" s="1856" t="s">
        <v>124</v>
      </c>
      <c r="T192" s="1623" t="s">
        <v>124</v>
      </c>
      <c r="U192" s="1623" t="s">
        <v>124</v>
      </c>
      <c r="V192" s="1623" t="s">
        <v>260</v>
      </c>
      <c r="W192" s="1856"/>
      <c r="X192" s="1856"/>
      <c r="Y192" s="1856" t="s">
        <v>124</v>
      </c>
      <c r="Z192" s="1856" t="s">
        <v>124</v>
      </c>
      <c r="AA192" s="1856" t="s">
        <v>124</v>
      </c>
      <c r="AB192" s="1856" t="s">
        <v>124</v>
      </c>
      <c r="AC192" s="1856" t="s">
        <v>124</v>
      </c>
      <c r="AD192" s="1856"/>
      <c r="AE192" s="1856"/>
      <c r="AF192" s="1977" t="s">
        <v>124</v>
      </c>
      <c r="AG192" s="1978" t="s">
        <v>124</v>
      </c>
      <c r="AH192" s="182"/>
      <c r="AI192" s="182"/>
    </row>
    <row r="193" spans="1:35" ht="22.35" customHeight="1">
      <c r="A193" s="109"/>
      <c r="B193" s="1592" t="s">
        <v>261</v>
      </c>
      <c r="C193" s="1856"/>
      <c r="D193" s="1856" t="s">
        <v>242</v>
      </c>
      <c r="E193" s="1856" t="s">
        <v>242</v>
      </c>
      <c r="F193" s="1856" t="s">
        <v>242</v>
      </c>
      <c r="G193" s="1856" t="s">
        <v>242</v>
      </c>
      <c r="H193" s="1856" t="s">
        <v>242</v>
      </c>
      <c r="I193" s="1856"/>
      <c r="J193" s="1856"/>
      <c r="K193" s="1856" t="s">
        <v>242</v>
      </c>
      <c r="L193" s="1856" t="s">
        <v>242</v>
      </c>
      <c r="M193" s="1856" t="s">
        <v>242</v>
      </c>
      <c r="N193" s="1856" t="s">
        <v>242</v>
      </c>
      <c r="O193" s="1856" t="s">
        <v>242</v>
      </c>
      <c r="P193" s="1856"/>
      <c r="Q193" s="1856"/>
      <c r="R193" s="1747" t="s">
        <v>242</v>
      </c>
      <c r="S193" s="1747" t="s">
        <v>242</v>
      </c>
      <c r="T193" s="1747" t="s">
        <v>242</v>
      </c>
      <c r="U193" s="1747" t="s">
        <v>242</v>
      </c>
      <c r="V193" s="1747" t="s">
        <v>242</v>
      </c>
      <c r="W193" s="1747"/>
      <c r="X193" s="1747"/>
      <c r="Y193" s="1747" t="s">
        <v>242</v>
      </c>
      <c r="Z193" s="1747" t="s">
        <v>242</v>
      </c>
      <c r="AA193" s="1747" t="s">
        <v>242</v>
      </c>
      <c r="AB193" s="1747" t="s">
        <v>242</v>
      </c>
      <c r="AC193" s="1747" t="s">
        <v>242</v>
      </c>
      <c r="AD193" s="1747"/>
      <c r="AE193" s="1747"/>
      <c r="AF193" s="1747" t="s">
        <v>242</v>
      </c>
      <c r="AG193" s="1979" t="s">
        <v>242</v>
      </c>
      <c r="AH193" s="182"/>
      <c r="AI193" s="182"/>
    </row>
    <row r="194" spans="1:35" ht="22.35" customHeight="1">
      <c r="A194" s="109"/>
      <c r="B194" s="1829"/>
      <c r="C194" s="1856"/>
      <c r="D194" s="1856" t="s">
        <v>122</v>
      </c>
      <c r="E194" s="1856" t="s">
        <v>122</v>
      </c>
      <c r="F194" s="1856" t="s">
        <v>122</v>
      </c>
      <c r="G194" s="1856" t="s">
        <v>122</v>
      </c>
      <c r="H194" s="1856" t="s">
        <v>122</v>
      </c>
      <c r="I194" s="1856"/>
      <c r="J194" s="1856"/>
      <c r="K194" s="1856" t="s">
        <v>122</v>
      </c>
      <c r="L194" s="1856" t="s">
        <v>122</v>
      </c>
      <c r="M194" s="1856" t="s">
        <v>122</v>
      </c>
      <c r="N194" s="1856" t="s">
        <v>122</v>
      </c>
      <c r="O194" s="1856" t="s">
        <v>122</v>
      </c>
      <c r="P194" s="1856"/>
      <c r="Q194" s="1856"/>
      <c r="R194" s="1856" t="s">
        <v>122</v>
      </c>
      <c r="S194" s="1856" t="s">
        <v>122</v>
      </c>
      <c r="T194" s="1856" t="s">
        <v>122</v>
      </c>
      <c r="U194" s="1740" t="s">
        <v>122</v>
      </c>
      <c r="V194" s="1740" t="s">
        <v>122</v>
      </c>
      <c r="W194" s="1856"/>
      <c r="X194" s="1856"/>
      <c r="Y194" s="1856" t="s">
        <v>122</v>
      </c>
      <c r="Z194" s="1856" t="s">
        <v>122</v>
      </c>
      <c r="AA194" s="1856" t="s">
        <v>122</v>
      </c>
      <c r="AB194" s="1856" t="s">
        <v>122</v>
      </c>
      <c r="AC194" s="1856" t="s">
        <v>122</v>
      </c>
      <c r="AD194" s="1856"/>
      <c r="AE194" s="1856"/>
      <c r="AF194" s="1856" t="s">
        <v>122</v>
      </c>
      <c r="AG194" s="1838" t="s">
        <v>122</v>
      </c>
      <c r="AH194" s="182"/>
      <c r="AI194" s="182"/>
    </row>
    <row r="195" spans="1:35" ht="22.35" customHeight="1">
      <c r="A195" s="109"/>
      <c r="B195" s="1829" t="s">
        <v>262</v>
      </c>
      <c r="C195" s="1856"/>
      <c r="D195" s="1856" t="s">
        <v>246</v>
      </c>
      <c r="E195" s="1856" t="s">
        <v>246</v>
      </c>
      <c r="F195" s="1856" t="s">
        <v>246</v>
      </c>
      <c r="G195" s="1856" t="s">
        <v>246</v>
      </c>
      <c r="H195" s="1856" t="s">
        <v>246</v>
      </c>
      <c r="I195" s="1856"/>
      <c r="J195" s="1856"/>
      <c r="K195" s="1977" t="s">
        <v>246</v>
      </c>
      <c r="L195" s="1977" t="s">
        <v>246</v>
      </c>
      <c r="M195" s="1977" t="s">
        <v>246</v>
      </c>
      <c r="N195" s="1977" t="s">
        <v>246</v>
      </c>
      <c r="O195" s="1977" t="s">
        <v>246</v>
      </c>
      <c r="P195" s="1977"/>
      <c r="Q195" s="1977"/>
      <c r="R195" s="1977" t="s">
        <v>246</v>
      </c>
      <c r="S195" s="1977" t="s">
        <v>246</v>
      </c>
      <c r="T195" s="1977" t="s">
        <v>246</v>
      </c>
      <c r="U195" s="1977" t="s">
        <v>246</v>
      </c>
      <c r="V195" s="1977" t="s">
        <v>246</v>
      </c>
      <c r="W195" s="1977"/>
      <c r="X195" s="1977"/>
      <c r="Y195" s="1977" t="s">
        <v>246</v>
      </c>
      <c r="Z195" s="1977" t="s">
        <v>246</v>
      </c>
      <c r="AA195" s="1977" t="s">
        <v>246</v>
      </c>
      <c r="AB195" s="1977" t="s">
        <v>246</v>
      </c>
      <c r="AC195" s="1977" t="s">
        <v>246</v>
      </c>
      <c r="AD195" s="1977"/>
      <c r="AE195" s="1977"/>
      <c r="AF195" s="1980" t="s">
        <v>246</v>
      </c>
      <c r="AG195" s="1981" t="s">
        <v>246</v>
      </c>
      <c r="AH195" s="107"/>
      <c r="AI195" s="107"/>
    </row>
    <row r="196" spans="1:35" ht="21" customHeight="1" thickBot="1">
      <c r="A196" s="148"/>
      <c r="B196" s="995" t="s">
        <v>263</v>
      </c>
      <c r="C196" s="1564"/>
      <c r="D196" s="1564" t="s">
        <v>127</v>
      </c>
      <c r="E196" s="1564" t="s">
        <v>127</v>
      </c>
      <c r="F196" s="1564" t="s">
        <v>127</v>
      </c>
      <c r="G196" s="1564" t="s">
        <v>127</v>
      </c>
      <c r="H196" s="1564" t="s">
        <v>127</v>
      </c>
      <c r="I196" s="1564"/>
      <c r="J196" s="1564"/>
      <c r="K196" s="1564" t="s">
        <v>127</v>
      </c>
      <c r="L196" s="1564" t="s">
        <v>127</v>
      </c>
      <c r="M196" s="1564" t="s">
        <v>127</v>
      </c>
      <c r="N196" s="1564" t="s">
        <v>127</v>
      </c>
      <c r="O196" s="1564" t="s">
        <v>127</v>
      </c>
      <c r="P196" s="1564"/>
      <c r="Q196" s="1564"/>
      <c r="R196" s="998" t="s">
        <v>127</v>
      </c>
      <c r="S196" s="998" t="s">
        <v>127</v>
      </c>
      <c r="T196" s="998" t="s">
        <v>127</v>
      </c>
      <c r="U196" s="998" t="s">
        <v>127</v>
      </c>
      <c r="V196" s="998" t="s">
        <v>127</v>
      </c>
      <c r="W196" s="1072"/>
      <c r="X196" s="1072"/>
      <c r="Y196" s="1072" t="s">
        <v>127</v>
      </c>
      <c r="Z196" s="998" t="s">
        <v>127</v>
      </c>
      <c r="AA196" s="998" t="s">
        <v>127</v>
      </c>
      <c r="AB196" s="998" t="s">
        <v>127</v>
      </c>
      <c r="AC196" s="998" t="s">
        <v>127</v>
      </c>
      <c r="AD196" s="1072"/>
      <c r="AE196" s="1072"/>
      <c r="AF196" s="1072" t="s">
        <v>127</v>
      </c>
      <c r="AG196" s="1982" t="s">
        <v>127</v>
      </c>
      <c r="AH196" s="115"/>
    </row>
    <row r="197" spans="1:35" ht="21" customHeight="1">
      <c r="A197" s="148"/>
      <c r="B197" s="229"/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  <c r="M197" s="228"/>
      <c r="N197" s="228"/>
      <c r="O197" s="228"/>
      <c r="P197" s="228"/>
      <c r="Q197" s="228"/>
      <c r="R197" s="228"/>
      <c r="S197" s="228"/>
      <c r="T197" s="228"/>
      <c r="U197" s="228"/>
      <c r="V197" s="228"/>
      <c r="W197" s="228"/>
      <c r="X197" s="228"/>
      <c r="Y197" s="228"/>
      <c r="Z197" s="228"/>
      <c r="AA197" s="228"/>
      <c r="AB197" s="228"/>
      <c r="AC197" s="228"/>
      <c r="AD197" s="228"/>
      <c r="AE197" s="228"/>
      <c r="AF197" s="228"/>
      <c r="AG197" s="228"/>
      <c r="AH197" s="115"/>
    </row>
    <row r="198" spans="1:35" ht="22.35" customHeight="1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35" customHeight="1" thickBot="1">
      <c r="A199" s="1" t="s">
        <v>265</v>
      </c>
      <c r="B199" s="59"/>
    </row>
    <row r="200" spans="1:35" ht="22.35" customHeight="1">
      <c r="A200" s="1"/>
      <c r="B200" s="1983" t="s">
        <v>266</v>
      </c>
      <c r="C200" s="391" t="s">
        <v>94</v>
      </c>
      <c r="D200" s="391"/>
      <c r="E200" s="391"/>
      <c r="F200" s="391"/>
      <c r="G200" s="392" t="s">
        <v>95</v>
      </c>
      <c r="H200" s="391"/>
      <c r="I200" s="391"/>
      <c r="J200" s="391"/>
      <c r="K200" s="392" t="s">
        <v>96</v>
      </c>
      <c r="L200" s="391"/>
      <c r="M200" s="391"/>
      <c r="N200" s="391"/>
      <c r="O200" s="392" t="s">
        <v>97</v>
      </c>
      <c r="P200" s="391"/>
      <c r="Q200" s="391"/>
      <c r="R200" s="391"/>
      <c r="S200" s="392" t="s">
        <v>98</v>
      </c>
      <c r="T200" s="391"/>
      <c r="U200" s="391"/>
      <c r="V200" s="391"/>
      <c r="W200" s="393" t="s">
        <v>99</v>
      </c>
      <c r="X200" s="357"/>
      <c r="Y200" s="391"/>
      <c r="Z200" s="394"/>
      <c r="AA200" s="393" t="s">
        <v>100</v>
      </c>
      <c r="AB200" s="357"/>
      <c r="AC200" s="391"/>
      <c r="AD200" s="394"/>
      <c r="AE200" s="395" t="s">
        <v>101</v>
      </c>
      <c r="AF200" s="391"/>
      <c r="AG200" s="391"/>
      <c r="AH200" s="391"/>
      <c r="AI200" s="358"/>
    </row>
    <row r="201" spans="1:35" ht="22.35" customHeight="1">
      <c r="A201" s="1"/>
      <c r="B201" s="1984">
        <v>3701</v>
      </c>
      <c r="C201" s="110" t="s">
        <v>267</v>
      </c>
      <c r="D201" s="110"/>
      <c r="E201" s="110"/>
      <c r="F201" s="110"/>
      <c r="G201" s="742" t="s">
        <v>268</v>
      </c>
      <c r="H201" s="110"/>
      <c r="I201" s="110"/>
      <c r="J201" s="110"/>
      <c r="K201" s="742" t="s">
        <v>268</v>
      </c>
      <c r="L201" s="110"/>
      <c r="M201" s="110"/>
      <c r="N201" s="110"/>
      <c r="O201" s="742" t="s">
        <v>268</v>
      </c>
      <c r="P201" s="110"/>
      <c r="Q201" s="110"/>
      <c r="R201" s="110"/>
      <c r="S201" s="742" t="s">
        <v>269</v>
      </c>
      <c r="T201" s="110"/>
      <c r="U201" s="110"/>
      <c r="V201" s="110"/>
      <c r="W201" s="1985"/>
      <c r="X201" s="1986"/>
      <c r="Y201" s="1769"/>
      <c r="Z201" s="1987"/>
      <c r="AA201" s="1985"/>
      <c r="AB201" s="1986"/>
      <c r="AC201" s="1769"/>
      <c r="AD201" s="1987"/>
      <c r="AE201" s="1889"/>
      <c r="AF201" s="1769"/>
      <c r="AG201" s="1769"/>
      <c r="AH201" s="1769"/>
      <c r="AI201" s="1702"/>
    </row>
    <row r="202" spans="1:35" ht="22.35" customHeight="1">
      <c r="B202" s="1983">
        <v>3700</v>
      </c>
      <c r="C202" s="1769" t="s">
        <v>170</v>
      </c>
      <c r="D202" s="1769"/>
      <c r="E202" s="1769"/>
      <c r="F202" s="1769"/>
      <c r="G202" s="1988" t="s">
        <v>170</v>
      </c>
      <c r="H202" s="1769"/>
      <c r="I202" s="1769"/>
      <c r="J202" s="1769"/>
      <c r="K202" s="1988" t="s">
        <v>170</v>
      </c>
      <c r="L202" s="1769"/>
      <c r="M202" s="1769"/>
      <c r="N202" s="1769"/>
      <c r="O202" s="1988" t="s">
        <v>170</v>
      </c>
      <c r="P202" s="1769"/>
      <c r="Q202" s="1769"/>
      <c r="R202" s="1769"/>
      <c r="S202" s="1988" t="s">
        <v>171</v>
      </c>
      <c r="T202" s="1769"/>
      <c r="U202" s="1769"/>
      <c r="V202" s="1769"/>
      <c r="W202" s="1769"/>
      <c r="X202" s="1988"/>
      <c r="Y202" s="1769"/>
      <c r="Z202" s="1891"/>
      <c r="AA202" s="1889"/>
      <c r="AB202" s="1769"/>
      <c r="AC202" s="1769"/>
      <c r="AD202" s="1817"/>
      <c r="AE202" s="1989"/>
      <c r="AF202" s="1769"/>
      <c r="AG202" s="1769"/>
      <c r="AH202" s="1817"/>
      <c r="AI202" s="1702"/>
    </row>
    <row r="203" spans="1:35" ht="22.35" customHeight="1">
      <c r="A203" s="1"/>
      <c r="B203" s="1983">
        <v>8514</v>
      </c>
      <c r="C203" s="1769" t="s">
        <v>268</v>
      </c>
      <c r="D203" s="1769"/>
      <c r="E203" s="1769"/>
      <c r="F203" s="1769"/>
      <c r="G203" s="1988" t="s">
        <v>268</v>
      </c>
      <c r="H203" s="1769"/>
      <c r="I203" s="1769"/>
      <c r="J203" s="1769"/>
      <c r="K203" s="1988" t="s">
        <v>268</v>
      </c>
      <c r="L203" s="1769"/>
      <c r="M203" s="1769"/>
      <c r="N203" s="1769"/>
      <c r="O203" s="1988" t="s">
        <v>268</v>
      </c>
      <c r="P203" s="1769"/>
      <c r="Q203" s="1769"/>
      <c r="R203" s="1769"/>
      <c r="S203" s="1988" t="s">
        <v>270</v>
      </c>
      <c r="T203" s="1769"/>
      <c r="U203" s="1769"/>
      <c r="V203" s="1769"/>
      <c r="W203" s="1769"/>
      <c r="X203" s="1988"/>
      <c r="Y203" s="1769"/>
      <c r="Z203" s="1891"/>
      <c r="AA203" s="1816"/>
      <c r="AB203" s="1769"/>
      <c r="AC203" s="1769"/>
      <c r="AD203" s="1817"/>
      <c r="AE203" s="1816"/>
      <c r="AF203" s="1769"/>
      <c r="AG203" s="1769"/>
      <c r="AH203" s="1817"/>
      <c r="AI203" s="1702"/>
    </row>
    <row r="204" spans="1:35" ht="22.35" customHeight="1">
      <c r="A204" s="1"/>
      <c r="B204" s="1983">
        <v>8500</v>
      </c>
      <c r="C204" s="165" t="s">
        <v>271</v>
      </c>
      <c r="D204" s="165"/>
      <c r="E204" s="165"/>
      <c r="F204" s="165"/>
      <c r="G204" s="166" t="s">
        <v>271</v>
      </c>
      <c r="H204" s="165"/>
      <c r="I204" s="165"/>
      <c r="J204" s="165"/>
      <c r="K204" s="166" t="s">
        <v>271</v>
      </c>
      <c r="L204" s="165"/>
      <c r="M204" s="165"/>
      <c r="N204" s="165"/>
      <c r="O204" s="166" t="s">
        <v>271</v>
      </c>
      <c r="P204" s="165"/>
      <c r="Q204" s="165"/>
      <c r="R204" s="165"/>
      <c r="S204" s="166" t="s">
        <v>272</v>
      </c>
      <c r="T204" s="165"/>
      <c r="U204" s="165"/>
      <c r="V204" s="165"/>
      <c r="W204" s="165"/>
      <c r="X204" s="166"/>
      <c r="Y204" s="165"/>
      <c r="Z204" s="121"/>
      <c r="AA204" s="120"/>
      <c r="AB204" s="165"/>
      <c r="AC204" s="165"/>
      <c r="AD204" s="121"/>
      <c r="AE204" s="120"/>
      <c r="AF204" s="165"/>
      <c r="AG204" s="165"/>
      <c r="AH204" s="113"/>
      <c r="AI204" s="119"/>
    </row>
    <row r="205" spans="1:35" ht="22.35" customHeight="1">
      <c r="A205" s="1"/>
      <c r="B205" s="1983">
        <v>8514</v>
      </c>
      <c r="C205" s="168" t="s">
        <v>268</v>
      </c>
      <c r="D205" s="168"/>
      <c r="E205" s="168"/>
      <c r="F205" s="168"/>
      <c r="G205" s="169" t="s">
        <v>268</v>
      </c>
      <c r="H205" s="168"/>
      <c r="I205" s="168"/>
      <c r="J205" s="168"/>
      <c r="K205" s="169" t="s">
        <v>268</v>
      </c>
      <c r="L205" s="168"/>
      <c r="M205" s="168"/>
      <c r="N205" s="168"/>
      <c r="O205" s="169" t="s">
        <v>268</v>
      </c>
      <c r="P205" s="168"/>
      <c r="Q205" s="168"/>
      <c r="R205" s="168"/>
      <c r="S205" s="169" t="s">
        <v>270</v>
      </c>
      <c r="T205" s="168"/>
      <c r="U205" s="168"/>
      <c r="V205" s="168"/>
      <c r="W205" s="168"/>
      <c r="X205" s="149"/>
      <c r="Y205" s="165"/>
      <c r="Z205" s="167"/>
      <c r="AA205" s="156"/>
      <c r="AB205" s="117"/>
      <c r="AC205" s="165"/>
      <c r="AD205" s="165"/>
      <c r="AE205" s="118"/>
      <c r="AF205" s="165"/>
      <c r="AG205" s="165"/>
      <c r="AH205" s="165"/>
      <c r="AI205" s="119"/>
    </row>
    <row r="206" spans="1:35" ht="22.35" customHeight="1" thickBot="1">
      <c r="A206" s="1"/>
      <c r="B206" s="1990" t="s">
        <v>273</v>
      </c>
      <c r="C206" s="1776" t="s">
        <v>274</v>
      </c>
      <c r="D206" s="1776"/>
      <c r="E206" s="1776"/>
      <c r="F206" s="1776"/>
      <c r="G206" s="1991" t="s">
        <v>274</v>
      </c>
      <c r="H206" s="1776"/>
      <c r="I206" s="1776"/>
      <c r="J206" s="1776"/>
      <c r="K206" s="1992" t="s">
        <v>274</v>
      </c>
      <c r="L206" s="1776"/>
      <c r="M206" s="1776"/>
      <c r="N206" s="1776"/>
      <c r="O206" s="1991" t="s">
        <v>274</v>
      </c>
      <c r="P206" s="1776"/>
      <c r="Q206" s="1776"/>
      <c r="R206" s="1776"/>
      <c r="S206" s="1991" t="s">
        <v>275</v>
      </c>
      <c r="T206" s="1776"/>
      <c r="U206" s="1776"/>
      <c r="V206" s="1776"/>
      <c r="W206" s="1776"/>
      <c r="X206" s="1991"/>
      <c r="Y206" s="1776"/>
      <c r="Z206" s="1929"/>
      <c r="AA206" s="1902"/>
      <c r="AB206" s="1776"/>
      <c r="AC206" s="1776"/>
      <c r="AD206" s="1909"/>
      <c r="AE206" s="1993"/>
      <c r="AF206" s="1776"/>
      <c r="AG206" s="1776"/>
      <c r="AH206" s="1909"/>
      <c r="AI206" s="1779"/>
    </row>
    <row r="207" spans="1:35" ht="22.35" customHeight="1">
      <c r="A207" s="1"/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>
      <c r="A208" s="1" t="s">
        <v>276</v>
      </c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thickBot="1">
      <c r="A209" s="1865"/>
      <c r="B209" s="1781" t="s">
        <v>29</v>
      </c>
      <c r="C209" s="1711">
        <v>1</v>
      </c>
      <c r="D209" s="1712">
        <v>2</v>
      </c>
      <c r="E209" s="1712">
        <v>3</v>
      </c>
      <c r="F209" s="1712">
        <v>4</v>
      </c>
      <c r="G209" s="1712">
        <v>5</v>
      </c>
      <c r="H209" s="1712">
        <v>6</v>
      </c>
      <c r="I209" s="1711">
        <v>7</v>
      </c>
      <c r="J209" s="1711">
        <v>8</v>
      </c>
      <c r="K209" s="1712">
        <v>9</v>
      </c>
      <c r="L209" s="1712">
        <v>10</v>
      </c>
      <c r="M209" s="1712">
        <v>11</v>
      </c>
      <c r="N209" s="1712">
        <v>12</v>
      </c>
      <c r="O209" s="1712">
        <v>13</v>
      </c>
      <c r="P209" s="1711">
        <v>14</v>
      </c>
      <c r="Q209" s="1711">
        <v>15</v>
      </c>
      <c r="R209" s="1712">
        <v>16</v>
      </c>
      <c r="S209" s="1712">
        <v>17</v>
      </c>
      <c r="T209" s="1712">
        <v>18</v>
      </c>
      <c r="U209" s="1712">
        <v>19</v>
      </c>
      <c r="V209" s="1712">
        <v>20</v>
      </c>
      <c r="W209" s="1711">
        <v>21</v>
      </c>
      <c r="X209" s="1711">
        <v>22</v>
      </c>
      <c r="Y209" s="1712">
        <v>23</v>
      </c>
      <c r="Z209" s="1712">
        <v>24</v>
      </c>
      <c r="AA209" s="1712">
        <v>25</v>
      </c>
      <c r="AB209" s="1712">
        <v>26</v>
      </c>
      <c r="AC209" s="1712">
        <v>27</v>
      </c>
      <c r="AD209" s="1711">
        <v>28</v>
      </c>
      <c r="AE209" s="1711">
        <v>29</v>
      </c>
      <c r="AF209" s="1712">
        <v>30</v>
      </c>
      <c r="AG209" s="1713">
        <v>31</v>
      </c>
      <c r="AH209" s="176"/>
      <c r="AI209" s="177"/>
    </row>
    <row r="210" spans="1:35" ht="22.35" customHeight="1">
      <c r="A210" s="249"/>
      <c r="B210" s="540" t="s">
        <v>277</v>
      </c>
      <c r="C210" s="1748"/>
      <c r="D210" s="1748" t="s">
        <v>32</v>
      </c>
      <c r="E210" s="1748" t="s">
        <v>32</v>
      </c>
      <c r="F210" s="1748" t="s">
        <v>32</v>
      </c>
      <c r="G210" s="1748" t="s">
        <v>32</v>
      </c>
      <c r="H210" s="1748" t="s">
        <v>32</v>
      </c>
      <c r="I210" s="1748"/>
      <c r="J210" s="1748"/>
      <c r="K210" s="1748" t="s">
        <v>32</v>
      </c>
      <c r="L210" s="1748" t="s">
        <v>32</v>
      </c>
      <c r="M210" s="1748" t="s">
        <v>32</v>
      </c>
      <c r="N210" s="1740" t="s">
        <v>32</v>
      </c>
      <c r="O210" s="1740" t="s">
        <v>32</v>
      </c>
      <c r="P210" s="1740"/>
      <c r="Q210" s="1751"/>
      <c r="R210" s="1740" t="s">
        <v>32</v>
      </c>
      <c r="S210" s="1740" t="s">
        <v>32</v>
      </c>
      <c r="T210" s="1748" t="s">
        <v>32</v>
      </c>
      <c r="U210" s="1740" t="s">
        <v>32</v>
      </c>
      <c r="V210" s="1740" t="s">
        <v>32</v>
      </c>
      <c r="W210" s="1740"/>
      <c r="X210" s="1748"/>
      <c r="Y210" s="1740" t="s">
        <v>32</v>
      </c>
      <c r="Z210" s="1748" t="s">
        <v>32</v>
      </c>
      <c r="AA210" s="1748" t="s">
        <v>32</v>
      </c>
      <c r="AB210" s="1748" t="s">
        <v>32</v>
      </c>
      <c r="AC210" s="1748" t="s">
        <v>32</v>
      </c>
      <c r="AD210" s="1748"/>
      <c r="AE210" s="1748"/>
      <c r="AF210" s="1748" t="s">
        <v>32</v>
      </c>
      <c r="AG210" s="234" t="s">
        <v>32</v>
      </c>
      <c r="AH210" s="176"/>
      <c r="AI210" s="177"/>
    </row>
    <row r="211" spans="1:35" ht="22.35" customHeight="1">
      <c r="A211" s="1611"/>
      <c r="B211" s="1612" t="s">
        <v>279</v>
      </c>
      <c r="C211" s="1748"/>
      <c r="D211" s="1748" t="s">
        <v>32</v>
      </c>
      <c r="E211" s="1748" t="s">
        <v>32</v>
      </c>
      <c r="F211" s="1748" t="s">
        <v>32</v>
      </c>
      <c r="G211" s="1748" t="s">
        <v>32</v>
      </c>
      <c r="H211" s="1748" t="s">
        <v>32</v>
      </c>
      <c r="I211" s="1748"/>
      <c r="J211" s="1748"/>
      <c r="K211" s="1748" t="s">
        <v>32</v>
      </c>
      <c r="L211" s="1748" t="s">
        <v>32</v>
      </c>
      <c r="M211" s="1748" t="s">
        <v>32</v>
      </c>
      <c r="N211" s="1740" t="s">
        <v>32</v>
      </c>
      <c r="O211" s="1740" t="s">
        <v>32</v>
      </c>
      <c r="P211" s="1740"/>
      <c r="Q211" s="1751"/>
      <c r="R211" s="1740" t="s">
        <v>32</v>
      </c>
      <c r="S211" s="1748" t="s">
        <v>32</v>
      </c>
      <c r="T211" s="1748" t="s">
        <v>32</v>
      </c>
      <c r="U211" s="1740" t="s">
        <v>32</v>
      </c>
      <c r="V211" s="1740" t="s">
        <v>32</v>
      </c>
      <c r="W211" s="1740"/>
      <c r="X211" s="1748"/>
      <c r="Y211" s="1740" t="s">
        <v>32</v>
      </c>
      <c r="Z211" s="1748" t="s">
        <v>32</v>
      </c>
      <c r="AA211" s="1748" t="s">
        <v>32</v>
      </c>
      <c r="AB211" s="1748" t="s">
        <v>32</v>
      </c>
      <c r="AC211" s="1748" t="s">
        <v>32</v>
      </c>
      <c r="AD211" s="1751"/>
      <c r="AE211" s="1751"/>
      <c r="AF211" s="1751" t="s">
        <v>32</v>
      </c>
      <c r="AG211" s="1619" t="s">
        <v>32</v>
      </c>
      <c r="AH211" s="176"/>
      <c r="AI211" s="177"/>
    </row>
    <row r="212" spans="1:35" ht="22.35" customHeight="1">
      <c r="A212" s="1614">
        <v>8514</v>
      </c>
      <c r="B212" s="1615" t="s">
        <v>280</v>
      </c>
      <c r="C212" s="1748"/>
      <c r="D212" s="1748" t="s">
        <v>32</v>
      </c>
      <c r="E212" s="1748" t="s">
        <v>32</v>
      </c>
      <c r="F212" s="1748" t="s">
        <v>32</v>
      </c>
      <c r="G212" s="1748" t="s">
        <v>32</v>
      </c>
      <c r="H212" s="1748" t="s">
        <v>32</v>
      </c>
      <c r="I212" s="1748"/>
      <c r="J212" s="1748"/>
      <c r="K212" s="1748" t="s">
        <v>32</v>
      </c>
      <c r="L212" s="1748" t="s">
        <v>32</v>
      </c>
      <c r="M212" s="1748" t="s">
        <v>32</v>
      </c>
      <c r="N212" s="1740" t="s">
        <v>32</v>
      </c>
      <c r="O212" s="1740" t="s">
        <v>32</v>
      </c>
      <c r="P212" s="1740"/>
      <c r="Q212" s="1751"/>
      <c r="R212" s="1740" t="s">
        <v>32</v>
      </c>
      <c r="S212" s="1748" t="s">
        <v>32</v>
      </c>
      <c r="T212" s="1748" t="s">
        <v>32</v>
      </c>
      <c r="U212" s="1740" t="s">
        <v>32</v>
      </c>
      <c r="V212" s="1740" t="s">
        <v>32</v>
      </c>
      <c r="W212" s="1740"/>
      <c r="X212" s="1740"/>
      <c r="Y212" s="1740" t="s">
        <v>32</v>
      </c>
      <c r="Z212" s="1748" t="s">
        <v>32</v>
      </c>
      <c r="AA212" s="1748" t="s">
        <v>32</v>
      </c>
      <c r="AB212" s="1748" t="s">
        <v>32</v>
      </c>
      <c r="AC212" s="1748" t="s">
        <v>32</v>
      </c>
      <c r="AD212" s="1751"/>
      <c r="AE212" s="1751"/>
      <c r="AF212" s="1751" t="s">
        <v>32</v>
      </c>
      <c r="AG212" s="1619" t="s">
        <v>32</v>
      </c>
      <c r="AH212" s="181"/>
      <c r="AI212" s="182"/>
    </row>
    <row r="213" spans="1:35" ht="21" customHeight="1">
      <c r="A213" s="1614">
        <v>3701</v>
      </c>
      <c r="B213" s="1618" t="s">
        <v>281</v>
      </c>
      <c r="C213" s="1748"/>
      <c r="D213" s="1748" t="s">
        <v>32</v>
      </c>
      <c r="E213" s="1748" t="s">
        <v>32</v>
      </c>
      <c r="F213" s="1748" t="s">
        <v>32</v>
      </c>
      <c r="G213" s="1748" t="s">
        <v>32</v>
      </c>
      <c r="H213" s="1748" t="s">
        <v>32</v>
      </c>
      <c r="I213" s="1748"/>
      <c r="J213" s="1748"/>
      <c r="K213" s="1748" t="s">
        <v>32</v>
      </c>
      <c r="L213" s="1748" t="s">
        <v>32</v>
      </c>
      <c r="M213" s="1748" t="s">
        <v>32</v>
      </c>
      <c r="N213" s="1740" t="s">
        <v>32</v>
      </c>
      <c r="O213" s="1740" t="s">
        <v>32</v>
      </c>
      <c r="P213" s="1740"/>
      <c r="Q213" s="1751"/>
      <c r="R213" s="1740" t="s">
        <v>32</v>
      </c>
      <c r="S213" s="1748" t="s">
        <v>32</v>
      </c>
      <c r="T213" s="1748" t="s">
        <v>32</v>
      </c>
      <c r="U213" s="1740" t="s">
        <v>32</v>
      </c>
      <c r="V213" s="1740" t="s">
        <v>32</v>
      </c>
      <c r="W213" s="1740"/>
      <c r="X213" s="1748"/>
      <c r="Y213" s="1740" t="s">
        <v>32</v>
      </c>
      <c r="Z213" s="1748" t="s">
        <v>32</v>
      </c>
      <c r="AA213" s="1748" t="s">
        <v>32</v>
      </c>
      <c r="AB213" s="1748" t="s">
        <v>32</v>
      </c>
      <c r="AC213" s="1748" t="s">
        <v>32</v>
      </c>
      <c r="AD213" s="1740"/>
      <c r="AE213" s="1740"/>
      <c r="AF213" s="1740" t="s">
        <v>32</v>
      </c>
      <c r="AG213" s="1619" t="s">
        <v>32</v>
      </c>
      <c r="AH213" s="181"/>
      <c r="AI213" s="182"/>
    </row>
    <row r="214" spans="1:35" ht="21" customHeight="1">
      <c r="A214" s="1614">
        <v>3701</v>
      </c>
      <c r="B214" s="1757" t="s">
        <v>282</v>
      </c>
      <c r="C214" s="1747"/>
      <c r="D214" s="1747" t="s">
        <v>32</v>
      </c>
      <c r="E214" s="1747" t="s">
        <v>32</v>
      </c>
      <c r="F214" s="1747" t="s">
        <v>32</v>
      </c>
      <c r="G214" s="1747" t="s">
        <v>32</v>
      </c>
      <c r="H214" s="1747" t="s">
        <v>32</v>
      </c>
      <c r="I214" s="1747"/>
      <c r="J214" s="1747"/>
      <c r="K214" s="1748" t="s">
        <v>32</v>
      </c>
      <c r="L214" s="1748" t="s">
        <v>32</v>
      </c>
      <c r="M214" s="1748" t="s">
        <v>32</v>
      </c>
      <c r="N214" s="1740" t="s">
        <v>32</v>
      </c>
      <c r="O214" s="1740" t="s">
        <v>32</v>
      </c>
      <c r="P214" s="1740"/>
      <c r="Q214" s="1751"/>
      <c r="R214" s="1740" t="s">
        <v>32</v>
      </c>
      <c r="S214" s="1740" t="s">
        <v>32</v>
      </c>
      <c r="T214" s="1748" t="s">
        <v>32</v>
      </c>
      <c r="U214" s="1740" t="s">
        <v>32</v>
      </c>
      <c r="V214" s="1740" t="s">
        <v>32</v>
      </c>
      <c r="W214" s="1740"/>
      <c r="X214" s="1740"/>
      <c r="Y214" s="1740" t="s">
        <v>32</v>
      </c>
      <c r="Z214" s="1740" t="s">
        <v>32</v>
      </c>
      <c r="AA214" s="1748" t="s">
        <v>32</v>
      </c>
      <c r="AB214" s="1748" t="s">
        <v>32</v>
      </c>
      <c r="AC214" s="1748" t="s">
        <v>32</v>
      </c>
      <c r="AD214" s="1740"/>
      <c r="AE214" s="1740"/>
      <c r="AF214" s="1740" t="s">
        <v>32</v>
      </c>
      <c r="AG214" s="1740" t="s">
        <v>32</v>
      </c>
      <c r="AH214" s="181"/>
      <c r="AI214" s="182"/>
    </row>
    <row r="215" spans="1:35" ht="21" customHeight="1">
      <c r="A215" s="1614">
        <v>3701</v>
      </c>
      <c r="B215" s="1757" t="s">
        <v>283</v>
      </c>
      <c r="C215" s="1747"/>
      <c r="D215" s="1747" t="s">
        <v>32</v>
      </c>
      <c r="E215" s="1747" t="s">
        <v>32</v>
      </c>
      <c r="F215" s="1747" t="s">
        <v>32</v>
      </c>
      <c r="G215" s="1747" t="s">
        <v>32</v>
      </c>
      <c r="H215" s="1747" t="s">
        <v>32</v>
      </c>
      <c r="I215" s="1747"/>
      <c r="J215" s="1747"/>
      <c r="K215" s="1994" t="s">
        <v>32</v>
      </c>
      <c r="L215" s="1748" t="s">
        <v>32</v>
      </c>
      <c r="M215" s="1748" t="s">
        <v>32</v>
      </c>
      <c r="N215" s="1740" t="s">
        <v>32</v>
      </c>
      <c r="O215" s="1740" t="s">
        <v>32</v>
      </c>
      <c r="P215" s="1740"/>
      <c r="Q215" s="1751"/>
      <c r="R215" s="1740" t="s">
        <v>32</v>
      </c>
      <c r="S215" s="1748" t="s">
        <v>32</v>
      </c>
      <c r="T215" s="1748" t="s">
        <v>32</v>
      </c>
      <c r="U215" s="1740" t="s">
        <v>32</v>
      </c>
      <c r="V215" s="1740" t="s">
        <v>32</v>
      </c>
      <c r="W215" s="1740"/>
      <c r="X215" s="1748"/>
      <c r="Y215" s="1755" t="s">
        <v>32</v>
      </c>
      <c r="Z215" s="1748" t="s">
        <v>32</v>
      </c>
      <c r="AA215" s="1748" t="s">
        <v>32</v>
      </c>
      <c r="AB215" s="1748" t="s">
        <v>32</v>
      </c>
      <c r="AC215" s="1748" t="s">
        <v>32</v>
      </c>
      <c r="AD215" s="1755"/>
      <c r="AE215" s="1751"/>
      <c r="AF215" s="1751" t="s">
        <v>32</v>
      </c>
      <c r="AG215" s="1619" t="s">
        <v>32</v>
      </c>
      <c r="AH215" s="181"/>
      <c r="AI215" s="182"/>
    </row>
    <row r="216" spans="1:35" ht="21" customHeight="1">
      <c r="A216" s="1614">
        <v>3701</v>
      </c>
      <c r="B216" s="1618" t="s">
        <v>284</v>
      </c>
      <c r="C216" s="1748"/>
      <c r="D216" s="1748" t="s">
        <v>32</v>
      </c>
      <c r="E216" s="1748" t="s">
        <v>32</v>
      </c>
      <c r="F216" s="1748" t="s">
        <v>32</v>
      </c>
      <c r="G216" s="1748" t="s">
        <v>32</v>
      </c>
      <c r="H216" s="1748" t="s">
        <v>32</v>
      </c>
      <c r="I216" s="1748"/>
      <c r="J216" s="1748"/>
      <c r="K216" s="1748" t="s">
        <v>32</v>
      </c>
      <c r="L216" s="1748" t="s">
        <v>32</v>
      </c>
      <c r="M216" s="1748" t="s">
        <v>32</v>
      </c>
      <c r="N216" s="1740" t="s">
        <v>32</v>
      </c>
      <c r="O216" s="1740" t="s">
        <v>32</v>
      </c>
      <c r="P216" s="1740"/>
      <c r="Q216" s="1751"/>
      <c r="R216" s="1740" t="s">
        <v>32</v>
      </c>
      <c r="S216" s="1748" t="s">
        <v>32</v>
      </c>
      <c r="T216" s="1748" t="s">
        <v>32</v>
      </c>
      <c r="U216" s="1740" t="s">
        <v>32</v>
      </c>
      <c r="V216" s="1740" t="s">
        <v>32</v>
      </c>
      <c r="W216" s="1740"/>
      <c r="X216" s="1748"/>
      <c r="Y216" s="1740" t="s">
        <v>32</v>
      </c>
      <c r="Z216" s="1748" t="s">
        <v>32</v>
      </c>
      <c r="AA216" s="1748" t="s">
        <v>32</v>
      </c>
      <c r="AB216" s="1748" t="s">
        <v>32</v>
      </c>
      <c r="AC216" s="1748" t="s">
        <v>32</v>
      </c>
      <c r="AD216" s="1751"/>
      <c r="AE216" s="1751"/>
      <c r="AF216" s="1751" t="s">
        <v>32</v>
      </c>
      <c r="AG216" s="1619" t="s">
        <v>32</v>
      </c>
      <c r="AH216" s="181"/>
      <c r="AI216" s="182"/>
    </row>
    <row r="217" spans="1:35" ht="22.35" customHeight="1">
      <c r="A217" s="1614">
        <v>3701</v>
      </c>
      <c r="B217" s="1757" t="s">
        <v>285</v>
      </c>
      <c r="C217" s="1748"/>
      <c r="D217" s="1748" t="s">
        <v>32</v>
      </c>
      <c r="E217" s="1748" t="s">
        <v>32</v>
      </c>
      <c r="F217" s="1748" t="s">
        <v>32</v>
      </c>
      <c r="G217" s="1748" t="s">
        <v>32</v>
      </c>
      <c r="H217" s="1748" t="s">
        <v>32</v>
      </c>
      <c r="I217" s="1748"/>
      <c r="J217" s="1748"/>
      <c r="K217" s="1748" t="s">
        <v>32</v>
      </c>
      <c r="L217" s="1748" t="s">
        <v>32</v>
      </c>
      <c r="M217" s="1748" t="s">
        <v>32</v>
      </c>
      <c r="N217" s="1740" t="s">
        <v>32</v>
      </c>
      <c r="O217" s="1740" t="s">
        <v>32</v>
      </c>
      <c r="P217" s="1740"/>
      <c r="Q217" s="1751"/>
      <c r="R217" s="1740" t="s">
        <v>32</v>
      </c>
      <c r="S217" s="1748" t="s">
        <v>32</v>
      </c>
      <c r="T217" s="1748" t="s">
        <v>32</v>
      </c>
      <c r="U217" s="1740" t="s">
        <v>32</v>
      </c>
      <c r="V217" s="1740" t="s">
        <v>32</v>
      </c>
      <c r="W217" s="1740"/>
      <c r="X217" s="1748"/>
      <c r="Y217" s="1740" t="s">
        <v>32</v>
      </c>
      <c r="Z217" s="1748" t="s">
        <v>32</v>
      </c>
      <c r="AA217" s="1748" t="s">
        <v>32</v>
      </c>
      <c r="AB217" s="1748" t="s">
        <v>32</v>
      </c>
      <c r="AC217" s="1748" t="s">
        <v>32</v>
      </c>
      <c r="AD217" s="1740"/>
      <c r="AE217" s="1740"/>
      <c r="AF217" s="1740" t="s">
        <v>32</v>
      </c>
      <c r="AG217" s="1619" t="s">
        <v>32</v>
      </c>
      <c r="AH217" s="181"/>
      <c r="AI217" s="182"/>
    </row>
    <row r="218" spans="1:35" ht="22.35" customHeight="1">
      <c r="A218" s="1614">
        <v>3701</v>
      </c>
      <c r="B218" s="1757" t="s">
        <v>286</v>
      </c>
      <c r="C218" s="1623"/>
      <c r="D218" s="1623" t="s">
        <v>346</v>
      </c>
      <c r="E218" s="1995" t="s">
        <v>32</v>
      </c>
      <c r="F218" s="1995" t="s">
        <v>32</v>
      </c>
      <c r="G218" s="1995" t="s">
        <v>32</v>
      </c>
      <c r="H218" s="1995" t="s">
        <v>32</v>
      </c>
      <c r="I218" s="1748"/>
      <c r="J218" s="1748"/>
      <c r="K218" s="1748" t="s">
        <v>32</v>
      </c>
      <c r="L218" s="1748" t="s">
        <v>32</v>
      </c>
      <c r="M218" s="1748" t="s">
        <v>32</v>
      </c>
      <c r="N218" s="1740" t="s">
        <v>32</v>
      </c>
      <c r="O218" s="1740" t="s">
        <v>32</v>
      </c>
      <c r="P218" s="1740"/>
      <c r="Q218" s="1751"/>
      <c r="R218" s="1747" t="s">
        <v>32</v>
      </c>
      <c r="S218" s="1747" t="s">
        <v>32</v>
      </c>
      <c r="T218" s="1747" t="s">
        <v>32</v>
      </c>
      <c r="U218" s="1747" t="s">
        <v>32</v>
      </c>
      <c r="V218" s="1747" t="s">
        <v>32</v>
      </c>
      <c r="W218" s="1747"/>
      <c r="X218" s="1747"/>
      <c r="Y218" s="1747" t="s">
        <v>32</v>
      </c>
      <c r="Z218" s="1747" t="s">
        <v>32</v>
      </c>
      <c r="AA218" s="1747" t="s">
        <v>32</v>
      </c>
      <c r="AB218" s="1747" t="s">
        <v>32</v>
      </c>
      <c r="AC218" s="1747" t="s">
        <v>32</v>
      </c>
      <c r="AD218" s="1747"/>
      <c r="AE218" s="1747"/>
      <c r="AF218" s="1747" t="s">
        <v>32</v>
      </c>
      <c r="AG218" s="1617" t="s">
        <v>32</v>
      </c>
      <c r="AH218" s="181"/>
      <c r="AI218" s="182"/>
    </row>
    <row r="219" spans="1:35" ht="22.35" customHeight="1">
      <c r="A219" s="1614">
        <v>3701</v>
      </c>
      <c r="B219" s="1757" t="s">
        <v>287</v>
      </c>
      <c r="C219" s="1748"/>
      <c r="D219" s="1748" t="s">
        <v>32</v>
      </c>
      <c r="E219" s="1748" t="s">
        <v>32</v>
      </c>
      <c r="F219" s="1748" t="s">
        <v>32</v>
      </c>
      <c r="G219" s="1748" t="s">
        <v>32</v>
      </c>
      <c r="H219" s="1747" t="s">
        <v>32</v>
      </c>
      <c r="I219" s="1748"/>
      <c r="J219" s="1748"/>
      <c r="K219" s="1748" t="s">
        <v>32</v>
      </c>
      <c r="L219" s="1748" t="s">
        <v>32</v>
      </c>
      <c r="M219" s="1748" t="s">
        <v>32</v>
      </c>
      <c r="N219" s="1740" t="s">
        <v>32</v>
      </c>
      <c r="O219" s="1747" t="s">
        <v>32</v>
      </c>
      <c r="P219" s="1740"/>
      <c r="Q219" s="1751"/>
      <c r="R219" s="1740" t="s">
        <v>32</v>
      </c>
      <c r="S219" s="1748" t="s">
        <v>32</v>
      </c>
      <c r="T219" s="1748" t="s">
        <v>32</v>
      </c>
      <c r="U219" s="1740" t="s">
        <v>32</v>
      </c>
      <c r="V219" s="1740" t="s">
        <v>32</v>
      </c>
      <c r="W219" s="1740"/>
      <c r="X219" s="1748"/>
      <c r="Y219" s="1740" t="s">
        <v>32</v>
      </c>
      <c r="Z219" s="1748" t="s">
        <v>32</v>
      </c>
      <c r="AA219" s="1748" t="s">
        <v>32</v>
      </c>
      <c r="AB219" s="1748" t="s">
        <v>32</v>
      </c>
      <c r="AC219" s="1748" t="s">
        <v>32</v>
      </c>
      <c r="AD219" s="1740"/>
      <c r="AE219" s="1740"/>
      <c r="AF219" s="1740" t="s">
        <v>32</v>
      </c>
      <c r="AG219" s="1619" t="s">
        <v>32</v>
      </c>
      <c r="AH219" s="181"/>
      <c r="AI219" s="182"/>
    </row>
    <row r="220" spans="1:35" ht="22.35" customHeight="1">
      <c r="A220" s="1626">
        <v>3701</v>
      </c>
      <c r="B220" s="1757" t="s">
        <v>288</v>
      </c>
      <c r="C220" s="1748"/>
      <c r="D220" s="1748" t="s">
        <v>32</v>
      </c>
      <c r="E220" s="1748" t="s">
        <v>32</v>
      </c>
      <c r="F220" s="1748" t="s">
        <v>32</v>
      </c>
      <c r="G220" s="1748" t="s">
        <v>32</v>
      </c>
      <c r="H220" s="1748" t="s">
        <v>32</v>
      </c>
      <c r="I220" s="1748"/>
      <c r="J220" s="1748"/>
      <c r="K220" s="1748" t="s">
        <v>32</v>
      </c>
      <c r="L220" s="1748" t="s">
        <v>32</v>
      </c>
      <c r="M220" s="1627" t="s">
        <v>32</v>
      </c>
      <c r="N220" s="1740" t="s">
        <v>32</v>
      </c>
      <c r="O220" s="1740" t="s">
        <v>32</v>
      </c>
      <c r="P220" s="1740"/>
      <c r="Q220" s="1751"/>
      <c r="R220" s="1740" t="s">
        <v>32</v>
      </c>
      <c r="S220" s="1748" t="s">
        <v>32</v>
      </c>
      <c r="T220" s="1748" t="s">
        <v>32</v>
      </c>
      <c r="U220" s="1740" t="s">
        <v>32</v>
      </c>
      <c r="V220" s="1740" t="s">
        <v>32</v>
      </c>
      <c r="W220" s="1740"/>
      <c r="X220" s="1748"/>
      <c r="Y220" s="1740" t="s">
        <v>32</v>
      </c>
      <c r="Z220" s="1748" t="s">
        <v>32</v>
      </c>
      <c r="AA220" s="1748" t="s">
        <v>32</v>
      </c>
      <c r="AB220" s="1748" t="s">
        <v>32</v>
      </c>
      <c r="AC220" s="1748" t="s">
        <v>32</v>
      </c>
      <c r="AD220" s="1740"/>
      <c r="AE220" s="1740"/>
      <c r="AF220" s="1740" t="s">
        <v>32</v>
      </c>
      <c r="AG220" s="1619" t="s">
        <v>32</v>
      </c>
      <c r="AH220" s="181"/>
      <c r="AI220" s="182"/>
    </row>
    <row r="221" spans="1:35" ht="22.35" customHeight="1">
      <c r="A221" s="1614">
        <v>3701</v>
      </c>
      <c r="B221" s="1757" t="s">
        <v>289</v>
      </c>
      <c r="C221" s="1748"/>
      <c r="D221" s="1748" t="s">
        <v>32</v>
      </c>
      <c r="E221" s="1748" t="s">
        <v>32</v>
      </c>
      <c r="F221" s="1748" t="s">
        <v>32</v>
      </c>
      <c r="G221" s="1748" t="s">
        <v>32</v>
      </c>
      <c r="H221" s="1748" t="s">
        <v>32</v>
      </c>
      <c r="I221" s="1748"/>
      <c r="J221" s="1748"/>
      <c r="K221" s="1748" t="s">
        <v>32</v>
      </c>
      <c r="L221" s="1748" t="s">
        <v>32</v>
      </c>
      <c r="M221" s="1748" t="s">
        <v>32</v>
      </c>
      <c r="N221" s="1740" t="s">
        <v>32</v>
      </c>
      <c r="O221" s="1740" t="s">
        <v>32</v>
      </c>
      <c r="P221" s="1740"/>
      <c r="Q221" s="1751"/>
      <c r="R221" s="1740" t="s">
        <v>32</v>
      </c>
      <c r="S221" s="1748" t="s">
        <v>32</v>
      </c>
      <c r="T221" s="1748" t="s">
        <v>32</v>
      </c>
      <c r="U221" s="1740" t="s">
        <v>32</v>
      </c>
      <c r="V221" s="1740" t="s">
        <v>32</v>
      </c>
      <c r="W221" s="1740"/>
      <c r="X221" s="1748"/>
      <c r="Y221" s="1740" t="s">
        <v>32</v>
      </c>
      <c r="Z221" s="1748" t="s">
        <v>32</v>
      </c>
      <c r="AA221" s="1748" t="s">
        <v>32</v>
      </c>
      <c r="AB221" s="1748" t="s">
        <v>32</v>
      </c>
      <c r="AC221" s="1748" t="s">
        <v>32</v>
      </c>
      <c r="AD221" s="1740"/>
      <c r="AE221" s="1740"/>
      <c r="AF221" s="1740" t="s">
        <v>32</v>
      </c>
      <c r="AG221" s="1996" t="s">
        <v>32</v>
      </c>
      <c r="AH221" s="181"/>
      <c r="AI221" s="182"/>
    </row>
    <row r="222" spans="1:35" ht="22.35" customHeight="1">
      <c r="A222" s="1614">
        <v>3701</v>
      </c>
      <c r="B222" s="1757" t="s">
        <v>290</v>
      </c>
      <c r="C222" s="1748"/>
      <c r="D222" s="1748" t="s">
        <v>32</v>
      </c>
      <c r="E222" s="1748" t="s">
        <v>32</v>
      </c>
      <c r="F222" s="1748" t="s">
        <v>32</v>
      </c>
      <c r="G222" s="1748" t="s">
        <v>32</v>
      </c>
      <c r="H222" s="1748" t="s">
        <v>32</v>
      </c>
      <c r="I222" s="1748"/>
      <c r="J222" s="1748"/>
      <c r="K222" s="1748" t="s">
        <v>32</v>
      </c>
      <c r="L222" s="1748" t="s">
        <v>32</v>
      </c>
      <c r="M222" s="1748" t="s">
        <v>32</v>
      </c>
      <c r="N222" s="1740" t="s">
        <v>32</v>
      </c>
      <c r="O222" s="1740" t="s">
        <v>32</v>
      </c>
      <c r="P222" s="1740"/>
      <c r="Q222" s="1751"/>
      <c r="R222" s="1740" t="s">
        <v>32</v>
      </c>
      <c r="S222" s="1748" t="s">
        <v>32</v>
      </c>
      <c r="T222" s="1748" t="s">
        <v>32</v>
      </c>
      <c r="U222" s="1740" t="s">
        <v>32</v>
      </c>
      <c r="V222" s="1740" t="s">
        <v>32</v>
      </c>
      <c r="W222" s="1740"/>
      <c r="X222" s="1748"/>
      <c r="Y222" s="1740" t="s">
        <v>32</v>
      </c>
      <c r="Z222" s="1748" t="s">
        <v>32</v>
      </c>
      <c r="AA222" s="1748" t="s">
        <v>32</v>
      </c>
      <c r="AB222" s="1748" t="s">
        <v>32</v>
      </c>
      <c r="AC222" s="1748" t="s">
        <v>32</v>
      </c>
      <c r="AD222" s="1740"/>
      <c r="AE222" s="1740"/>
      <c r="AF222" s="1740" t="s">
        <v>32</v>
      </c>
      <c r="AG222" s="1629" t="s">
        <v>32</v>
      </c>
      <c r="AH222" s="181"/>
      <c r="AI222" s="182"/>
    </row>
    <row r="223" spans="1:35" ht="22.35" customHeight="1">
      <c r="A223" s="1614"/>
      <c r="B223" s="1757" t="s">
        <v>291</v>
      </c>
      <c r="C223" s="1747"/>
      <c r="D223" s="1747" t="s">
        <v>32</v>
      </c>
      <c r="E223" s="1747" t="s">
        <v>32</v>
      </c>
      <c r="F223" s="1747" t="s">
        <v>32</v>
      </c>
      <c r="G223" s="1747" t="s">
        <v>32</v>
      </c>
      <c r="H223" s="1747" t="s">
        <v>32</v>
      </c>
      <c r="I223" s="1747"/>
      <c r="J223" s="1747"/>
      <c r="K223" s="1748" t="s">
        <v>32</v>
      </c>
      <c r="L223" s="1748" t="s">
        <v>32</v>
      </c>
      <c r="M223" s="1748" t="s">
        <v>32</v>
      </c>
      <c r="N223" s="1740" t="s">
        <v>32</v>
      </c>
      <c r="O223" s="1740" t="s">
        <v>32</v>
      </c>
      <c r="P223" s="1740"/>
      <c r="Q223" s="1751"/>
      <c r="R223" s="1740" t="s">
        <v>32</v>
      </c>
      <c r="S223" s="1748" t="s">
        <v>32</v>
      </c>
      <c r="T223" s="1748" t="s">
        <v>32</v>
      </c>
      <c r="U223" s="1740" t="s">
        <v>32</v>
      </c>
      <c r="V223" s="1740" t="s">
        <v>32</v>
      </c>
      <c r="W223" s="1740"/>
      <c r="X223" s="1748"/>
      <c r="Y223" s="1740" t="s">
        <v>32</v>
      </c>
      <c r="Z223" s="1748" t="s">
        <v>32</v>
      </c>
      <c r="AA223" s="1748" t="s">
        <v>32</v>
      </c>
      <c r="AB223" s="1748" t="s">
        <v>32</v>
      </c>
      <c r="AC223" s="1748" t="s">
        <v>32</v>
      </c>
      <c r="AD223" s="1740"/>
      <c r="AE223" s="1740"/>
      <c r="AF223" s="1740" t="s">
        <v>32</v>
      </c>
      <c r="AG223" s="1619" t="s">
        <v>32</v>
      </c>
      <c r="AH223" s="181"/>
      <c r="AI223" s="182"/>
    </row>
    <row r="224" spans="1:35" ht="22.35" customHeight="1">
      <c r="A224" s="1614"/>
      <c r="B224" s="1757"/>
      <c r="C224" s="1748"/>
      <c r="D224" s="1748" t="s">
        <v>32</v>
      </c>
      <c r="E224" s="1748" t="s">
        <v>32</v>
      </c>
      <c r="F224" s="1748" t="s">
        <v>32</v>
      </c>
      <c r="G224" s="1748" t="s">
        <v>32</v>
      </c>
      <c r="H224" s="1748" t="s">
        <v>32</v>
      </c>
      <c r="I224" s="1748"/>
      <c r="J224" s="1748"/>
      <c r="K224" s="1748" t="s">
        <v>32</v>
      </c>
      <c r="L224" s="1748" t="s">
        <v>32</v>
      </c>
      <c r="M224" s="1748" t="s">
        <v>32</v>
      </c>
      <c r="N224" s="1740" t="s">
        <v>32</v>
      </c>
      <c r="O224" s="1740" t="s">
        <v>32</v>
      </c>
      <c r="P224" s="1740"/>
      <c r="Q224" s="1751"/>
      <c r="R224" s="1740" t="s">
        <v>32</v>
      </c>
      <c r="S224" s="1748" t="s">
        <v>32</v>
      </c>
      <c r="T224" s="1748" t="s">
        <v>32</v>
      </c>
      <c r="U224" s="1740" t="s">
        <v>32</v>
      </c>
      <c r="V224" s="1740" t="s">
        <v>32</v>
      </c>
      <c r="W224" s="1740"/>
      <c r="X224" s="1748"/>
      <c r="Y224" s="1740" t="s">
        <v>32</v>
      </c>
      <c r="Z224" s="1748" t="s">
        <v>32</v>
      </c>
      <c r="AA224" s="1748" t="s">
        <v>32</v>
      </c>
      <c r="AB224" s="1748" t="s">
        <v>32</v>
      </c>
      <c r="AC224" s="1748" t="s">
        <v>32</v>
      </c>
      <c r="AD224" s="1748"/>
      <c r="AE224" s="1755"/>
      <c r="AF224" s="1748" t="s">
        <v>32</v>
      </c>
      <c r="AG224" s="1619" t="s">
        <v>32</v>
      </c>
      <c r="AH224" s="181"/>
      <c r="AI224" s="182"/>
    </row>
    <row r="225" spans="1:35" ht="22.35" customHeight="1">
      <c r="A225" s="1614"/>
      <c r="B225" s="1618" t="s">
        <v>293</v>
      </c>
      <c r="C225" s="1748"/>
      <c r="D225" s="1748" t="s">
        <v>32</v>
      </c>
      <c r="E225" s="1748" t="s">
        <v>32</v>
      </c>
      <c r="F225" s="1748" t="s">
        <v>32</v>
      </c>
      <c r="G225" s="1748" t="s">
        <v>32</v>
      </c>
      <c r="H225" s="1748" t="s">
        <v>32</v>
      </c>
      <c r="I225" s="1748"/>
      <c r="J225" s="1748"/>
      <c r="K225" s="1748" t="s">
        <v>32</v>
      </c>
      <c r="L225" s="1748" t="s">
        <v>32</v>
      </c>
      <c r="M225" s="1748" t="s">
        <v>32</v>
      </c>
      <c r="N225" s="1740" t="s">
        <v>32</v>
      </c>
      <c r="O225" s="1740" t="s">
        <v>32</v>
      </c>
      <c r="P225" s="1740"/>
      <c r="Q225" s="1751"/>
      <c r="R225" s="1740" t="s">
        <v>32</v>
      </c>
      <c r="S225" s="1748" t="s">
        <v>32</v>
      </c>
      <c r="T225" s="1748" t="s">
        <v>32</v>
      </c>
      <c r="U225" s="1740" t="s">
        <v>32</v>
      </c>
      <c r="V225" s="1740" t="s">
        <v>32</v>
      </c>
      <c r="W225" s="1740"/>
      <c r="X225" s="1748"/>
      <c r="Y225" s="1740" t="s">
        <v>32</v>
      </c>
      <c r="Z225" s="1748" t="s">
        <v>32</v>
      </c>
      <c r="AA225" s="1748" t="s">
        <v>32</v>
      </c>
      <c r="AB225" s="1748" t="s">
        <v>32</v>
      </c>
      <c r="AC225" s="1748" t="s">
        <v>32</v>
      </c>
      <c r="AD225" s="1748"/>
      <c r="AE225" s="1748"/>
      <c r="AF225" s="1748" t="s">
        <v>32</v>
      </c>
      <c r="AG225" s="1619" t="s">
        <v>32</v>
      </c>
      <c r="AH225" s="181"/>
      <c r="AI225" s="182"/>
    </row>
    <row r="226" spans="1:35" ht="22.35" customHeight="1">
      <c r="A226" s="1614"/>
      <c r="B226" s="1757" t="s">
        <v>294</v>
      </c>
      <c r="C226" s="1630"/>
      <c r="D226" s="1630" t="s">
        <v>32</v>
      </c>
      <c r="E226" s="1630" t="s">
        <v>32</v>
      </c>
      <c r="F226" s="1630" t="s">
        <v>32</v>
      </c>
      <c r="G226" s="1630" t="s">
        <v>32</v>
      </c>
      <c r="H226" s="1630" t="s">
        <v>32</v>
      </c>
      <c r="I226" s="1630"/>
      <c r="J226" s="1630"/>
      <c r="K226" s="1630" t="s">
        <v>32</v>
      </c>
      <c r="L226" s="1630" t="s">
        <v>32</v>
      </c>
      <c r="M226" s="1630" t="s">
        <v>32</v>
      </c>
      <c r="N226" s="1630" t="s">
        <v>32</v>
      </c>
      <c r="O226" s="1630" t="s">
        <v>32</v>
      </c>
      <c r="P226" s="1630"/>
      <c r="Q226" s="1630"/>
      <c r="R226" s="1630" t="s">
        <v>32</v>
      </c>
      <c r="S226" s="1630" t="s">
        <v>32</v>
      </c>
      <c r="T226" s="1630" t="s">
        <v>32</v>
      </c>
      <c r="U226" s="1630" t="s">
        <v>32</v>
      </c>
      <c r="V226" s="1630" t="s">
        <v>32</v>
      </c>
      <c r="W226" s="1630"/>
      <c r="X226" s="1630"/>
      <c r="Y226" s="1630" t="s">
        <v>32</v>
      </c>
      <c r="Z226" s="1630" t="s">
        <v>32</v>
      </c>
      <c r="AA226" s="1630" t="s">
        <v>32</v>
      </c>
      <c r="AB226" s="1630" t="s">
        <v>32</v>
      </c>
      <c r="AC226" s="1630" t="s">
        <v>32</v>
      </c>
      <c r="AD226" s="1630"/>
      <c r="AE226" s="1630"/>
      <c r="AF226" s="1630" t="s">
        <v>32</v>
      </c>
      <c r="AG226" s="1631" t="s">
        <v>32</v>
      </c>
      <c r="AH226" s="181"/>
      <c r="AI226" s="182"/>
    </row>
    <row r="227" spans="1:35" ht="22.35" customHeight="1">
      <c r="A227" s="1614"/>
      <c r="B227" s="1757" t="s">
        <v>295</v>
      </c>
      <c r="C227" s="1747"/>
      <c r="D227" s="1747" t="s">
        <v>32</v>
      </c>
      <c r="E227" s="1747" t="s">
        <v>32</v>
      </c>
      <c r="F227" s="1747" t="s">
        <v>32</v>
      </c>
      <c r="G227" s="1748" t="s">
        <v>32</v>
      </c>
      <c r="H227" s="1748" t="s">
        <v>32</v>
      </c>
      <c r="I227" s="1748"/>
      <c r="J227" s="1748"/>
      <c r="K227" s="1748" t="s">
        <v>32</v>
      </c>
      <c r="L227" s="1748" t="s">
        <v>32</v>
      </c>
      <c r="M227" s="1748" t="s">
        <v>32</v>
      </c>
      <c r="N227" s="1740" t="s">
        <v>32</v>
      </c>
      <c r="O227" s="1740" t="s">
        <v>32</v>
      </c>
      <c r="P227" s="1740"/>
      <c r="Q227" s="1751"/>
      <c r="R227" s="1740" t="s">
        <v>32</v>
      </c>
      <c r="S227" s="1748" t="s">
        <v>32</v>
      </c>
      <c r="T227" s="1748" t="s">
        <v>32</v>
      </c>
      <c r="U227" s="1740" t="s">
        <v>32</v>
      </c>
      <c r="V227" s="1740" t="s">
        <v>32</v>
      </c>
      <c r="W227" s="1740"/>
      <c r="X227" s="1748"/>
      <c r="Y227" s="1740" t="s">
        <v>32</v>
      </c>
      <c r="Z227" s="1748" t="s">
        <v>32</v>
      </c>
      <c r="AA227" s="1748" t="s">
        <v>32</v>
      </c>
      <c r="AB227" s="1748" t="s">
        <v>32</v>
      </c>
      <c r="AC227" s="1748" t="s">
        <v>32</v>
      </c>
      <c r="AD227" s="1748"/>
      <c r="AE227" s="1748"/>
      <c r="AF227" s="1740" t="s">
        <v>32</v>
      </c>
      <c r="AG227" s="1996" t="s">
        <v>32</v>
      </c>
      <c r="AH227" s="181"/>
      <c r="AI227" s="182"/>
    </row>
    <row r="228" spans="1:35" ht="22.35" customHeight="1">
      <c r="A228" s="1614"/>
      <c r="B228" s="1757" t="s">
        <v>296</v>
      </c>
      <c r="C228" s="1748"/>
      <c r="D228" s="1748" t="s">
        <v>32</v>
      </c>
      <c r="E228" s="1748" t="s">
        <v>32</v>
      </c>
      <c r="F228" s="1748" t="s">
        <v>32</v>
      </c>
      <c r="G228" s="1748" t="s">
        <v>32</v>
      </c>
      <c r="H228" s="1748" t="s">
        <v>32</v>
      </c>
      <c r="I228" s="1748"/>
      <c r="J228" s="1748"/>
      <c r="K228" s="1748" t="s">
        <v>32</v>
      </c>
      <c r="L228" s="1748" t="s">
        <v>32</v>
      </c>
      <c r="M228" s="1748" t="s">
        <v>32</v>
      </c>
      <c r="N228" s="1740" t="s">
        <v>32</v>
      </c>
      <c r="O228" s="1740" t="s">
        <v>32</v>
      </c>
      <c r="P228" s="1740"/>
      <c r="Q228" s="1751"/>
      <c r="R228" s="1740" t="s">
        <v>32</v>
      </c>
      <c r="S228" s="1748" t="s">
        <v>32</v>
      </c>
      <c r="T228" s="1748" t="s">
        <v>32</v>
      </c>
      <c r="U228" s="1740" t="s">
        <v>32</v>
      </c>
      <c r="V228" s="1740" t="s">
        <v>32</v>
      </c>
      <c r="W228" s="1740"/>
      <c r="X228" s="1748"/>
      <c r="Y228" s="1740" t="s">
        <v>32</v>
      </c>
      <c r="Z228" s="1748" t="s">
        <v>32</v>
      </c>
      <c r="AA228" s="1748" t="s">
        <v>32</v>
      </c>
      <c r="AB228" s="1748" t="s">
        <v>32</v>
      </c>
      <c r="AC228" s="1748" t="s">
        <v>32</v>
      </c>
      <c r="AD228" s="1740"/>
      <c r="AE228" s="1740"/>
      <c r="AF228" s="1747" t="s">
        <v>32</v>
      </c>
      <c r="AG228" s="1617" t="s">
        <v>32</v>
      </c>
      <c r="AH228" s="178"/>
      <c r="AI228" s="107"/>
    </row>
    <row r="229" spans="1:35" ht="22.35" customHeight="1">
      <c r="A229" s="1614"/>
      <c r="B229" s="1757" t="s">
        <v>297</v>
      </c>
      <c r="C229" s="1748"/>
      <c r="D229" s="1748" t="s">
        <v>32</v>
      </c>
      <c r="E229" s="1748" t="s">
        <v>32</v>
      </c>
      <c r="F229" s="1748" t="s">
        <v>32</v>
      </c>
      <c r="G229" s="1748" t="s">
        <v>32</v>
      </c>
      <c r="H229" s="1748" t="s">
        <v>32</v>
      </c>
      <c r="I229" s="1748"/>
      <c r="J229" s="1748"/>
      <c r="K229" s="1748" t="s">
        <v>32</v>
      </c>
      <c r="L229" s="1748" t="s">
        <v>32</v>
      </c>
      <c r="M229" s="1748" t="s">
        <v>32</v>
      </c>
      <c r="N229" s="1740" t="s">
        <v>32</v>
      </c>
      <c r="O229" s="1740" t="s">
        <v>32</v>
      </c>
      <c r="P229" s="1740"/>
      <c r="Q229" s="1751"/>
      <c r="R229" s="1740" t="s">
        <v>32</v>
      </c>
      <c r="S229" s="1623" t="s">
        <v>346</v>
      </c>
      <c r="T229" t="s">
        <v>32</v>
      </c>
      <c r="U229" t="s">
        <v>32</v>
      </c>
      <c r="V229" t="s">
        <v>32</v>
      </c>
      <c r="Y229" s="1740" t="s">
        <v>32</v>
      </c>
      <c r="Z229" s="1748" t="s">
        <v>32</v>
      </c>
      <c r="AA229" s="1748" t="s">
        <v>32</v>
      </c>
      <c r="AB229" s="1748" t="s">
        <v>32</v>
      </c>
      <c r="AC229" s="1748" t="s">
        <v>32</v>
      </c>
      <c r="AD229" s="1740"/>
      <c r="AE229" s="1740"/>
      <c r="AF229" s="1740" t="s">
        <v>32</v>
      </c>
      <c r="AG229" s="1619" t="s">
        <v>32</v>
      </c>
      <c r="AH229" s="178"/>
      <c r="AI229" s="107"/>
    </row>
    <row r="230" spans="1:35" ht="22.35" customHeight="1">
      <c r="A230" s="1742"/>
      <c r="B230" s="1997"/>
      <c r="C230" s="1748"/>
      <c r="D230" s="1748"/>
      <c r="E230" s="1748"/>
      <c r="F230" s="1748"/>
      <c r="G230" s="1748"/>
      <c r="H230" s="1748"/>
      <c r="I230" s="1748"/>
      <c r="J230" s="1748"/>
      <c r="K230" s="1748"/>
      <c r="L230" s="1748"/>
      <c r="M230" s="1748"/>
      <c r="N230" s="1748"/>
      <c r="O230" s="1748"/>
      <c r="P230" s="1748"/>
      <c r="Q230" s="1748"/>
      <c r="R230" s="1748"/>
      <c r="S230" s="1748"/>
      <c r="T230" s="1748"/>
      <c r="U230" s="1748"/>
      <c r="V230" s="1748"/>
      <c r="W230" s="1748"/>
      <c r="X230" s="1748"/>
      <c r="Y230" s="1748"/>
      <c r="Z230" s="1748"/>
      <c r="AA230" s="1748"/>
      <c r="AB230" s="1748"/>
      <c r="AC230" s="1748"/>
      <c r="AD230" s="1748"/>
      <c r="AE230" s="1748"/>
      <c r="AF230" s="1748"/>
      <c r="AG230" s="1619"/>
      <c r="AH230" s="178"/>
      <c r="AI230" s="107"/>
    </row>
    <row r="231" spans="1:35" ht="22.35" customHeight="1">
      <c r="A231" s="1742"/>
      <c r="B231" s="1757"/>
      <c r="C231" s="1748"/>
      <c r="D231" s="1748"/>
      <c r="E231" s="1748"/>
      <c r="F231" s="1748"/>
      <c r="G231" s="1748"/>
      <c r="H231" s="1748"/>
      <c r="I231" s="1748"/>
      <c r="J231" s="1748"/>
      <c r="K231" s="1748"/>
      <c r="L231" s="1748"/>
      <c r="M231" s="1748"/>
      <c r="N231" s="1740"/>
      <c r="O231" s="1740"/>
      <c r="P231" s="1740"/>
      <c r="Q231" s="1751"/>
      <c r="R231" s="1740"/>
      <c r="S231" s="1748"/>
      <c r="T231" s="1748"/>
      <c r="U231" s="1740"/>
      <c r="V231" s="1740"/>
      <c r="W231" s="1740"/>
      <c r="X231" s="1748"/>
      <c r="Y231" s="1740"/>
      <c r="Z231" s="1748"/>
      <c r="AA231" s="1748"/>
      <c r="AB231" s="1748"/>
      <c r="AC231" s="1748"/>
      <c r="AD231" s="1748"/>
      <c r="AE231" s="1748"/>
      <c r="AF231" s="1740"/>
      <c r="AG231" s="1996"/>
      <c r="AH231" s="178"/>
      <c r="AI231" s="107"/>
    </row>
    <row r="232" spans="1:35" ht="22.35" customHeight="1">
      <c r="A232" s="1742"/>
      <c r="B232" s="1742"/>
      <c r="C232" s="1748"/>
      <c r="D232" s="1748"/>
      <c r="E232" s="1748"/>
      <c r="F232" s="1748"/>
      <c r="G232" s="1748"/>
      <c r="H232" s="1748"/>
      <c r="I232" s="1748"/>
      <c r="J232" s="1748"/>
      <c r="K232" s="1748"/>
      <c r="L232" s="1748"/>
      <c r="M232" s="1748"/>
      <c r="N232" s="1748"/>
      <c r="O232" s="1748"/>
      <c r="P232" s="1748"/>
      <c r="Q232" s="1748"/>
      <c r="R232" s="1748"/>
      <c r="S232" s="1748"/>
      <c r="T232" s="1748"/>
      <c r="U232" s="1748"/>
      <c r="V232" s="1748"/>
      <c r="W232" s="1748"/>
      <c r="X232" s="1748"/>
      <c r="Y232" s="1748"/>
      <c r="Z232" s="1748"/>
      <c r="AA232" s="1748"/>
      <c r="AB232" s="1748"/>
      <c r="AC232" s="1748"/>
      <c r="AD232" s="1748"/>
      <c r="AE232" s="1748"/>
      <c r="AF232" s="1748"/>
      <c r="AG232" s="1619"/>
      <c r="AH232" s="178"/>
      <c r="AI232" s="107"/>
    </row>
    <row r="233" spans="1:35" ht="22.35" customHeight="1">
      <c r="A233" s="1742"/>
      <c r="B233" s="1742"/>
      <c r="C233" s="1748"/>
      <c r="D233" s="1748"/>
      <c r="E233" s="1748"/>
      <c r="F233" s="1748"/>
      <c r="G233" s="1748"/>
      <c r="H233" s="1634"/>
      <c r="I233" s="1748"/>
      <c r="J233" s="1748"/>
      <c r="K233" s="1748"/>
      <c r="L233" s="1748"/>
      <c r="M233" s="1748"/>
      <c r="N233" s="1748"/>
      <c r="O233" s="1748"/>
      <c r="P233" s="1748"/>
      <c r="Q233" s="1748"/>
      <c r="R233" s="1748"/>
      <c r="S233" s="1748"/>
      <c r="T233" s="1748"/>
      <c r="U233" s="1748"/>
      <c r="V233" s="1748"/>
      <c r="W233" s="1748"/>
      <c r="X233" s="1748"/>
      <c r="Y233" s="1748"/>
      <c r="Z233" s="1748"/>
      <c r="AA233" s="1748"/>
      <c r="AB233" s="1748"/>
      <c r="AC233" s="1748"/>
      <c r="AD233" s="1748"/>
      <c r="AE233" s="1748"/>
      <c r="AF233" s="1748"/>
      <c r="AG233" s="1633"/>
      <c r="AH233" s="178"/>
      <c r="AI233" s="107"/>
    </row>
    <row r="234" spans="1:35" ht="22.35" customHeight="1">
      <c r="A234" s="1614"/>
      <c r="B234" s="1635"/>
      <c r="C234" s="1748"/>
      <c r="D234" s="1748"/>
      <c r="E234" s="1748"/>
      <c r="F234" s="1748"/>
      <c r="G234" s="1748"/>
      <c r="H234" s="1748"/>
      <c r="I234" s="1748"/>
      <c r="J234" s="1748"/>
      <c r="K234" s="1748"/>
      <c r="L234" s="1748"/>
      <c r="M234" s="1748"/>
      <c r="N234" s="1748"/>
      <c r="O234" s="1748"/>
      <c r="P234" s="1748"/>
      <c r="Q234" s="1748"/>
      <c r="R234" s="1748"/>
      <c r="S234" s="1748"/>
      <c r="T234" s="1748"/>
      <c r="U234" s="1748"/>
      <c r="V234" s="1748"/>
      <c r="W234" s="1748"/>
      <c r="X234" s="1748"/>
      <c r="Y234" s="1748"/>
      <c r="Z234" s="1748"/>
      <c r="AA234" s="1748"/>
      <c r="AB234" s="1748"/>
      <c r="AC234" s="1748"/>
      <c r="AD234" s="1748"/>
      <c r="AE234" s="1748"/>
      <c r="AF234" s="1748"/>
      <c r="AG234" s="1633"/>
      <c r="AH234" s="178"/>
      <c r="AI234" s="107"/>
    </row>
    <row r="235" spans="1:35" ht="22.35" customHeight="1">
      <c r="A235" s="1614"/>
      <c r="B235" s="1636"/>
      <c r="C235" s="1748"/>
      <c r="D235" s="1748"/>
      <c r="E235" s="1748"/>
      <c r="F235" s="1748"/>
      <c r="G235" s="1748"/>
      <c r="H235" s="1748"/>
      <c r="I235" s="1748"/>
      <c r="J235" s="1748"/>
      <c r="K235" s="1748"/>
      <c r="L235" s="1748"/>
      <c r="M235" s="1748"/>
      <c r="N235" s="1748"/>
      <c r="O235" s="1748"/>
      <c r="P235" s="1748"/>
      <c r="Q235" s="1748"/>
      <c r="R235" s="1748"/>
      <c r="S235" s="1748"/>
      <c r="T235" s="1748"/>
      <c r="U235" s="1748"/>
      <c r="V235" s="1748"/>
      <c r="W235" s="1748"/>
      <c r="X235" s="1748"/>
      <c r="Y235" s="1748"/>
      <c r="Z235" s="1748"/>
      <c r="AA235" s="1748"/>
      <c r="AB235" s="1748"/>
      <c r="AC235" s="1748"/>
      <c r="AD235" s="1748"/>
      <c r="AE235" s="1748"/>
      <c r="AF235" s="1748"/>
      <c r="AG235" s="1633"/>
      <c r="AH235" s="178"/>
      <c r="AI235" s="107"/>
    </row>
    <row r="236" spans="1:35" ht="22.35" customHeight="1">
      <c r="A236" s="108"/>
      <c r="B236" s="122"/>
      <c r="C236" s="106"/>
      <c r="D236" s="106"/>
      <c r="E236" s="106"/>
      <c r="F236" s="106"/>
      <c r="G236" s="106"/>
      <c r="H236" s="106"/>
      <c r="I236" s="106"/>
      <c r="J236" s="106"/>
      <c r="L236" s="106"/>
      <c r="M236" s="106"/>
      <c r="N236" s="106"/>
      <c r="O236" s="106"/>
      <c r="P236" s="72"/>
      <c r="Q236" s="72"/>
      <c r="R236" s="72"/>
      <c r="S236" s="106"/>
      <c r="T236" s="106"/>
      <c r="U236" s="106"/>
      <c r="V236" s="106"/>
      <c r="W236" s="106"/>
      <c r="X236" s="106"/>
      <c r="Y236" s="106"/>
      <c r="Z236" s="106"/>
      <c r="AA236" s="106"/>
      <c r="AB236" s="106"/>
      <c r="AC236" s="106"/>
      <c r="AD236" s="106"/>
      <c r="AE236" s="106"/>
      <c r="AF236" s="106"/>
      <c r="AG236" s="106"/>
      <c r="AH236" s="107"/>
      <c r="AI236" s="107"/>
    </row>
    <row r="240" spans="1:35" ht="21" customHeight="1" thickBot="1">
      <c r="A240" s="161" t="s">
        <v>298</v>
      </c>
    </row>
    <row r="241" spans="1:35" ht="21" customHeight="1">
      <c r="B241" s="396" t="s">
        <v>266</v>
      </c>
      <c r="C241" s="368"/>
      <c r="D241" s="384" t="s">
        <v>94</v>
      </c>
      <c r="E241" s="357"/>
      <c r="F241" s="372"/>
      <c r="G241" s="368"/>
      <c r="H241" s="384" t="s">
        <v>95</v>
      </c>
      <c r="I241" s="357"/>
      <c r="J241" s="372"/>
      <c r="K241" s="368"/>
      <c r="L241" s="384" t="s">
        <v>96</v>
      </c>
      <c r="M241" s="357"/>
      <c r="N241" s="372"/>
      <c r="O241" s="368"/>
      <c r="P241" s="384" t="s">
        <v>97</v>
      </c>
      <c r="Q241" s="357"/>
      <c r="R241" s="372"/>
      <c r="S241" s="368"/>
      <c r="T241" s="384" t="s">
        <v>98</v>
      </c>
      <c r="U241" s="357"/>
      <c r="V241" s="372"/>
      <c r="W241" s="368"/>
      <c r="X241" s="384" t="s">
        <v>99</v>
      </c>
      <c r="Y241" s="357"/>
      <c r="Z241" s="372"/>
      <c r="AA241" s="368"/>
      <c r="AB241" s="384" t="s">
        <v>100</v>
      </c>
      <c r="AC241" s="357"/>
      <c r="AD241" s="357"/>
      <c r="AE241" s="387" t="s">
        <v>101</v>
      </c>
      <c r="AF241" s="357"/>
      <c r="AG241" s="357"/>
      <c r="AH241" s="357"/>
      <c r="AI241" s="358"/>
    </row>
    <row r="242" spans="1:35" ht="21" customHeight="1">
      <c r="B242" s="3"/>
      <c r="C242" s="537" t="s">
        <v>299</v>
      </c>
      <c r="D242" s="117"/>
      <c r="E242" s="533"/>
      <c r="F242" s="534"/>
      <c r="G242" s="537" t="s">
        <v>299</v>
      </c>
      <c r="H242" s="117"/>
      <c r="I242" s="533"/>
      <c r="J242" s="534"/>
      <c r="K242" s="537" t="s">
        <v>299</v>
      </c>
      <c r="L242" s="117"/>
      <c r="M242" s="533"/>
      <c r="N242" s="534"/>
      <c r="O242" s="537" t="s">
        <v>299</v>
      </c>
      <c r="P242" s="532"/>
      <c r="Q242" s="533"/>
      <c r="R242" s="534"/>
      <c r="S242" s="538" t="s">
        <v>300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A243" s="110"/>
      <c r="B243" s="1998"/>
      <c r="C243" s="1934" t="s">
        <v>178</v>
      </c>
      <c r="D243" s="1999"/>
      <c r="E243" s="533"/>
      <c r="F243" s="534"/>
      <c r="G243" s="1934" t="s">
        <v>178</v>
      </c>
      <c r="H243" s="117"/>
      <c r="I243" s="533"/>
      <c r="J243" s="534"/>
      <c r="K243" s="1934" t="s">
        <v>178</v>
      </c>
      <c r="L243" s="117"/>
      <c r="M243" s="533"/>
      <c r="N243" s="534"/>
      <c r="O243" s="1934" t="s">
        <v>178</v>
      </c>
      <c r="P243" s="117"/>
      <c r="Q243" s="533"/>
      <c r="R243" s="534"/>
      <c r="S243" s="537" t="s">
        <v>301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1998"/>
      <c r="C244" s="1934" t="s">
        <v>181</v>
      </c>
      <c r="D244" s="1999"/>
      <c r="E244" s="533"/>
      <c r="F244" s="534"/>
      <c r="G244" s="1934" t="s">
        <v>181</v>
      </c>
      <c r="H244" s="117"/>
      <c r="I244" s="533"/>
      <c r="J244" s="534"/>
      <c r="K244" s="1934" t="s">
        <v>181</v>
      </c>
      <c r="L244" s="117"/>
      <c r="M244" s="533"/>
      <c r="N244" s="534"/>
      <c r="O244" s="1934" t="s">
        <v>181</v>
      </c>
      <c r="P244" s="117"/>
      <c r="Q244" s="533"/>
      <c r="R244" s="534"/>
      <c r="S244" s="1934" t="s">
        <v>176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1998"/>
      <c r="C245" s="1816"/>
      <c r="D245" s="1817"/>
      <c r="E245" s="165"/>
      <c r="F245" s="167"/>
      <c r="G245" s="1816"/>
      <c r="H245" s="1817"/>
      <c r="I245" s="165"/>
      <c r="J245" s="167"/>
      <c r="K245" s="1816"/>
      <c r="L245" s="1817"/>
      <c r="M245" s="165"/>
      <c r="N245" s="167"/>
      <c r="O245" s="1816"/>
      <c r="P245" s="1817"/>
      <c r="Q245" s="165"/>
      <c r="R245" s="167"/>
      <c r="S245" s="1816"/>
      <c r="T245" s="18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1998"/>
      <c r="C246" s="1889"/>
      <c r="D246" s="1817"/>
      <c r="E246" s="165"/>
      <c r="F246" s="167"/>
      <c r="G246" s="117"/>
      <c r="H246" s="117"/>
      <c r="I246" s="165"/>
      <c r="J246" s="167"/>
      <c r="K246" s="117"/>
      <c r="L246" s="117"/>
      <c r="M246" s="165"/>
      <c r="N246" s="167"/>
      <c r="O246" s="117"/>
      <c r="P246" s="117"/>
      <c r="Q246" s="165"/>
      <c r="R246" s="167"/>
      <c r="S246" s="117"/>
      <c r="T246" s="117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1998" t="s">
        <v>148</v>
      </c>
      <c r="C247" s="1889" t="s">
        <v>302</v>
      </c>
      <c r="D247" s="1999"/>
      <c r="E247" s="533"/>
      <c r="F247" s="534"/>
      <c r="G247" s="1889" t="s">
        <v>302</v>
      </c>
      <c r="H247" s="1999"/>
      <c r="I247" s="533"/>
      <c r="J247" s="534"/>
      <c r="K247" s="1889" t="s">
        <v>302</v>
      </c>
      <c r="L247" s="1999"/>
      <c r="M247" s="533"/>
      <c r="N247" s="534"/>
      <c r="O247" s="1889" t="s">
        <v>302</v>
      </c>
      <c r="P247" s="1999"/>
      <c r="Q247" s="533"/>
      <c r="R247" s="534"/>
      <c r="S247" s="117" t="s">
        <v>303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1998" t="s">
        <v>152</v>
      </c>
      <c r="C248" s="1889" t="s">
        <v>304</v>
      </c>
      <c r="D248" s="1999"/>
      <c r="E248" s="533"/>
      <c r="F248" s="534"/>
      <c r="G248" s="1889" t="s">
        <v>304</v>
      </c>
      <c r="H248" s="1999"/>
      <c r="I248" s="533"/>
      <c r="J248" s="534"/>
      <c r="K248" s="1889" t="s">
        <v>304</v>
      </c>
      <c r="L248" s="1999"/>
      <c r="M248" s="533"/>
      <c r="N248" s="534"/>
      <c r="O248" s="1889" t="s">
        <v>304</v>
      </c>
      <c r="P248" s="1999"/>
      <c r="Q248" s="533"/>
      <c r="R248" s="534"/>
      <c r="S248" s="117" t="s">
        <v>305</v>
      </c>
      <c r="T248" s="117"/>
      <c r="U248" s="533"/>
      <c r="V248" s="534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thickBot="1">
      <c r="B249" s="2000" t="s">
        <v>159</v>
      </c>
      <c r="C249" s="1902" t="s">
        <v>306</v>
      </c>
      <c r="D249" s="2001"/>
      <c r="E249" s="535"/>
      <c r="F249" s="536"/>
      <c r="G249" s="1902" t="s">
        <v>306</v>
      </c>
      <c r="H249" s="2001"/>
      <c r="I249" s="535"/>
      <c r="J249" s="536"/>
      <c r="K249" s="1902" t="s">
        <v>306</v>
      </c>
      <c r="L249" s="2001"/>
      <c r="M249" s="535"/>
      <c r="N249" s="536"/>
      <c r="O249" s="1902" t="s">
        <v>306</v>
      </c>
      <c r="P249" s="2001"/>
      <c r="Q249" s="535"/>
      <c r="R249" s="536"/>
      <c r="S249" s="456" t="s">
        <v>307</v>
      </c>
      <c r="T249" s="456"/>
      <c r="U249" s="535"/>
      <c r="V249" s="536"/>
      <c r="W249" s="517"/>
      <c r="X249" s="456"/>
      <c r="Y249" s="518"/>
      <c r="Z249" s="519"/>
      <c r="AA249" s="520"/>
      <c r="AB249" s="456"/>
      <c r="AC249" s="518"/>
      <c r="AD249" s="518"/>
      <c r="AE249" s="521"/>
      <c r="AF249" s="518"/>
      <c r="AG249" s="516"/>
      <c r="AH249" s="516"/>
      <c r="AI249" s="453"/>
    </row>
    <row r="250" spans="1:35" ht="21" customHeight="1">
      <c r="B250" s="59"/>
      <c r="C250" s="64"/>
      <c r="D250" s="18"/>
      <c r="G250" s="64"/>
      <c r="H250" s="18"/>
      <c r="K250" s="64"/>
      <c r="L250" s="18"/>
      <c r="O250" s="64"/>
      <c r="P250" s="18"/>
      <c r="S250" s="64"/>
      <c r="T250" s="64"/>
      <c r="X250" s="64"/>
      <c r="AB250" s="64"/>
      <c r="AE250" s="64"/>
    </row>
    <row r="251" spans="1:35" ht="21" customHeight="1">
      <c r="A251" s="123" t="s">
        <v>308</v>
      </c>
    </row>
    <row r="252" spans="1:35" ht="21" customHeight="1" thickBot="1">
      <c r="A252" s="1865"/>
      <c r="B252" s="1710" t="s">
        <v>29</v>
      </c>
      <c r="C252" s="1711">
        <v>1</v>
      </c>
      <c r="D252" s="1712">
        <v>2</v>
      </c>
      <c r="E252" s="1712">
        <v>3</v>
      </c>
      <c r="F252" s="1712">
        <v>4</v>
      </c>
      <c r="G252" s="1712">
        <v>5</v>
      </c>
      <c r="H252" s="1712">
        <v>6</v>
      </c>
      <c r="I252" s="1711">
        <v>7</v>
      </c>
      <c r="J252" s="1711">
        <v>8</v>
      </c>
      <c r="K252" s="1712">
        <v>9</v>
      </c>
      <c r="L252" s="1712">
        <v>10</v>
      </c>
      <c r="M252" s="1712">
        <v>11</v>
      </c>
      <c r="N252" s="1712">
        <v>12</v>
      </c>
      <c r="O252" s="1712">
        <v>13</v>
      </c>
      <c r="P252" s="1711">
        <v>14</v>
      </c>
      <c r="Q252" s="1711">
        <v>15</v>
      </c>
      <c r="R252" s="1712">
        <v>16</v>
      </c>
      <c r="S252" s="1712">
        <v>17</v>
      </c>
      <c r="T252" s="1712">
        <v>18</v>
      </c>
      <c r="U252" s="1712">
        <v>19</v>
      </c>
      <c r="V252" s="1712">
        <v>20</v>
      </c>
      <c r="W252" s="1711">
        <v>21</v>
      </c>
      <c r="X252" s="1711">
        <v>22</v>
      </c>
      <c r="Y252" s="1712">
        <v>23</v>
      </c>
      <c r="Z252" s="1712">
        <v>24</v>
      </c>
      <c r="AA252" s="1712">
        <v>25</v>
      </c>
      <c r="AB252" s="1712">
        <v>26</v>
      </c>
      <c r="AC252" s="1712">
        <v>27</v>
      </c>
      <c r="AD252" s="1711">
        <v>28</v>
      </c>
      <c r="AE252" s="1711">
        <v>29</v>
      </c>
      <c r="AF252" s="1712">
        <v>30</v>
      </c>
      <c r="AG252" s="1713">
        <v>31</v>
      </c>
      <c r="AH252" s="176"/>
      <c r="AI252" s="177"/>
    </row>
    <row r="253" spans="1:35" ht="21" customHeight="1">
      <c r="A253" s="2002">
        <v>3702</v>
      </c>
      <c r="B253" s="175" t="s">
        <v>309</v>
      </c>
      <c r="C253" s="1748"/>
      <c r="D253" s="1747" t="s">
        <v>32</v>
      </c>
      <c r="E253" s="1747" t="s">
        <v>32</v>
      </c>
      <c r="F253" s="1747" t="s">
        <v>32</v>
      </c>
      <c r="G253" s="1747" t="s">
        <v>32</v>
      </c>
      <c r="H253" s="1747" t="s">
        <v>32</v>
      </c>
      <c r="I253" s="1747"/>
      <c r="J253" s="1747"/>
      <c r="K253" s="1747" t="s">
        <v>32</v>
      </c>
      <c r="L253" s="1747" t="s">
        <v>32</v>
      </c>
      <c r="M253" s="1747" t="s">
        <v>32</v>
      </c>
      <c r="N253" s="1747" t="s">
        <v>32</v>
      </c>
      <c r="O253" s="1747" t="s">
        <v>32</v>
      </c>
      <c r="P253" s="1740"/>
      <c r="Q253" s="1751"/>
      <c r="R253" s="1740" t="s">
        <v>32</v>
      </c>
      <c r="S253" s="1748" t="s">
        <v>32</v>
      </c>
      <c r="T253" s="1748" t="s">
        <v>32</v>
      </c>
      <c r="U253" s="1740" t="s">
        <v>32</v>
      </c>
      <c r="V253" s="1740" t="s">
        <v>32</v>
      </c>
      <c r="W253" s="1740"/>
      <c r="X253" s="1748"/>
      <c r="Y253" s="1740" t="s">
        <v>32</v>
      </c>
      <c r="Z253" s="1748" t="s">
        <v>32</v>
      </c>
      <c r="AA253" s="1748" t="s">
        <v>32</v>
      </c>
      <c r="AB253" s="1748" t="s">
        <v>32</v>
      </c>
      <c r="AC253" s="1748" t="s">
        <v>32</v>
      </c>
      <c r="AD253" s="1748"/>
      <c r="AE253" s="1748"/>
      <c r="AF253" s="1748" t="s">
        <v>32</v>
      </c>
      <c r="AG253" s="362"/>
      <c r="AH253" s="181"/>
      <c r="AI253" s="182"/>
    </row>
    <row r="254" spans="1:35" ht="21" customHeight="1">
      <c r="A254" s="1718"/>
      <c r="B254" s="1877" t="s">
        <v>310</v>
      </c>
      <c r="C254" s="1748"/>
      <c r="D254" s="1748" t="s">
        <v>32</v>
      </c>
      <c r="E254" s="1748" t="s">
        <v>32</v>
      </c>
      <c r="F254" s="1748" t="s">
        <v>32</v>
      </c>
      <c r="G254" s="1748" t="s">
        <v>32</v>
      </c>
      <c r="H254" s="1748" t="s">
        <v>32</v>
      </c>
      <c r="I254" s="1748"/>
      <c r="J254" s="1748"/>
      <c r="K254" s="1747" t="s">
        <v>32</v>
      </c>
      <c r="L254" s="1747" t="s">
        <v>32</v>
      </c>
      <c r="M254" s="1747" t="s">
        <v>32</v>
      </c>
      <c r="N254" s="1747" t="s">
        <v>32</v>
      </c>
      <c r="O254" s="1747" t="s">
        <v>32</v>
      </c>
      <c r="P254" s="1747"/>
      <c r="Q254" s="1747"/>
      <c r="R254" s="1747" t="s">
        <v>32</v>
      </c>
      <c r="S254" s="1747" t="s">
        <v>32</v>
      </c>
      <c r="T254" s="1747" t="s">
        <v>32</v>
      </c>
      <c r="U254" s="1747" t="s">
        <v>32</v>
      </c>
      <c r="V254" s="1747" t="s">
        <v>32</v>
      </c>
      <c r="W254" s="1747"/>
      <c r="X254" s="1747"/>
      <c r="Y254" s="1740" t="s">
        <v>32</v>
      </c>
      <c r="Z254" s="1748" t="s">
        <v>32</v>
      </c>
      <c r="AA254" s="1748" t="s">
        <v>32</v>
      </c>
      <c r="AB254" s="1748" t="s">
        <v>32</v>
      </c>
      <c r="AC254" s="1748" t="s">
        <v>32</v>
      </c>
      <c r="AD254" s="1748"/>
      <c r="AE254" s="1748"/>
      <c r="AF254" s="1748" t="s">
        <v>32</v>
      </c>
      <c r="AG254" s="1799" t="s">
        <v>32</v>
      </c>
      <c r="AH254" s="181"/>
      <c r="AI254" s="182"/>
    </row>
    <row r="255" spans="1:35" ht="21" customHeight="1">
      <c r="A255" s="2003"/>
      <c r="B255" s="1877" t="s">
        <v>311</v>
      </c>
      <c r="C255" s="1748"/>
      <c r="D255" s="1748" t="s">
        <v>32</v>
      </c>
      <c r="E255" s="1748" t="s">
        <v>32</v>
      </c>
      <c r="F255" s="1748" t="s">
        <v>32</v>
      </c>
      <c r="G255" s="1748" t="s">
        <v>32</v>
      </c>
      <c r="H255" s="1748" t="s">
        <v>32</v>
      </c>
      <c r="I255" s="1748"/>
      <c r="J255" s="1748"/>
      <c r="K255" s="1748" t="s">
        <v>32</v>
      </c>
      <c r="L255" s="1748" t="s">
        <v>32</v>
      </c>
      <c r="M255" s="1748" t="s">
        <v>32</v>
      </c>
      <c r="N255" s="1740" t="s">
        <v>32</v>
      </c>
      <c r="O255" s="1740" t="s">
        <v>32</v>
      </c>
      <c r="P255" s="1740"/>
      <c r="Q255" s="1751"/>
      <c r="R255" s="1740" t="s">
        <v>32</v>
      </c>
      <c r="S255" s="1740" t="s">
        <v>32</v>
      </c>
      <c r="T255" s="1748" t="s">
        <v>32</v>
      </c>
      <c r="U255" s="1740" t="s">
        <v>32</v>
      </c>
      <c r="V255" s="1740" t="s">
        <v>32</v>
      </c>
      <c r="W255" s="1740"/>
      <c r="X255" s="1748"/>
      <c r="Y255" s="1747" t="s">
        <v>32</v>
      </c>
      <c r="Z255" s="1747" t="s">
        <v>32</v>
      </c>
      <c r="AA255" s="1747" t="s">
        <v>32</v>
      </c>
      <c r="AB255" s="1747" t="s">
        <v>32</v>
      </c>
      <c r="AC255" s="1747" t="s">
        <v>32</v>
      </c>
      <c r="AD255" s="1747"/>
      <c r="AE255" s="1747"/>
      <c r="AF255" s="1747" t="s">
        <v>32</v>
      </c>
      <c r="AG255" s="1802"/>
      <c r="AH255" s="181"/>
      <c r="AI255" s="182"/>
    </row>
    <row r="256" spans="1:35" ht="21" customHeight="1" thickBot="1">
      <c r="A256" s="2004"/>
      <c r="B256" s="2005"/>
      <c r="C256" s="1712"/>
      <c r="D256" s="1712"/>
      <c r="E256" s="1712"/>
      <c r="F256" s="1712"/>
      <c r="G256" s="1712"/>
      <c r="H256" s="1712"/>
      <c r="I256" s="1712"/>
      <c r="J256" s="1712"/>
      <c r="K256" s="1712"/>
      <c r="L256" s="1712"/>
      <c r="M256" s="1712"/>
      <c r="N256" s="1712"/>
      <c r="O256" s="1712"/>
      <c r="P256" s="1712"/>
      <c r="Q256" s="1712"/>
      <c r="R256" s="1712"/>
      <c r="S256" s="1712"/>
      <c r="T256" s="1712"/>
      <c r="U256" s="1712"/>
      <c r="V256" s="1712"/>
      <c r="W256" s="1712"/>
      <c r="X256" s="1712"/>
      <c r="Y256" s="1712"/>
      <c r="Z256" s="1712"/>
      <c r="AA256" s="1712"/>
      <c r="AB256" s="1712"/>
      <c r="AC256" s="1712"/>
      <c r="AD256" s="1712"/>
      <c r="AE256" s="1712"/>
      <c r="AF256" s="1712"/>
      <c r="AG256" s="1713"/>
      <c r="AH256" s="181"/>
      <c r="AI256" s="182"/>
    </row>
    <row r="257" spans="1:35" ht="21" customHeight="1">
      <c r="A257" s="226"/>
      <c r="B257" s="743" t="s">
        <v>312</v>
      </c>
      <c r="C257" s="744"/>
      <c r="D257" s="744"/>
      <c r="E257" s="744"/>
      <c r="F257" s="744"/>
      <c r="G257" s="744"/>
      <c r="H257" s="744"/>
      <c r="I257" s="744"/>
      <c r="J257" s="744"/>
      <c r="K257" s="744"/>
      <c r="L257" s="744"/>
      <c r="M257" s="744"/>
      <c r="N257" s="744"/>
      <c r="O257" s="744"/>
      <c r="P257" s="744"/>
      <c r="Q257" s="744"/>
      <c r="R257" s="744"/>
      <c r="S257" s="744"/>
      <c r="T257" s="744"/>
      <c r="U257" s="744"/>
      <c r="V257" s="744"/>
      <c r="W257" s="744"/>
      <c r="X257" s="744"/>
      <c r="Y257" s="744"/>
      <c r="Z257" s="744"/>
      <c r="AA257" s="744"/>
      <c r="AB257" s="744"/>
      <c r="AC257" s="744"/>
      <c r="AD257" s="744"/>
      <c r="AE257" s="744"/>
      <c r="AF257" s="744"/>
      <c r="AG257" s="745"/>
      <c r="AH257" s="179"/>
      <c r="AI257" s="180"/>
    </row>
    <row r="258" spans="1:35" ht="21" customHeight="1">
      <c r="A258" s="2002">
        <v>3702</v>
      </c>
      <c r="B258" s="2006" t="s">
        <v>313</v>
      </c>
      <c r="C258" s="1759"/>
      <c r="D258" s="1759" t="s">
        <v>314</v>
      </c>
      <c r="E258" s="1759" t="s">
        <v>314</v>
      </c>
      <c r="F258" s="1759" t="s">
        <v>314</v>
      </c>
      <c r="G258" s="1759" t="s">
        <v>314</v>
      </c>
      <c r="H258" s="1759" t="s">
        <v>314</v>
      </c>
      <c r="I258" s="1759"/>
      <c r="J258" s="1759"/>
      <c r="K258" s="1732" t="s">
        <v>314</v>
      </c>
      <c r="L258" s="1732" t="s">
        <v>314</v>
      </c>
      <c r="M258" s="1732" t="s">
        <v>314</v>
      </c>
      <c r="N258" s="1732" t="s">
        <v>314</v>
      </c>
      <c r="O258" s="1732" t="s">
        <v>314</v>
      </c>
      <c r="P258" s="1732"/>
      <c r="Q258" s="1732"/>
      <c r="R258" s="1732" t="s">
        <v>314</v>
      </c>
      <c r="S258" s="1732" t="s">
        <v>314</v>
      </c>
      <c r="T258" s="1732" t="s">
        <v>314</v>
      </c>
      <c r="U258" s="1732" t="s">
        <v>314</v>
      </c>
      <c r="V258" s="1732" t="s">
        <v>314</v>
      </c>
      <c r="W258" s="1732"/>
      <c r="X258" s="1732"/>
      <c r="Y258" s="1732" t="s">
        <v>314</v>
      </c>
      <c r="Z258" s="1732" t="s">
        <v>314</v>
      </c>
      <c r="AA258" s="1732" t="s">
        <v>314</v>
      </c>
      <c r="AB258" s="1732" t="s">
        <v>314</v>
      </c>
      <c r="AC258" s="1732" t="s">
        <v>314</v>
      </c>
      <c r="AD258" s="1759"/>
      <c r="AE258" s="1759"/>
      <c r="AF258" s="1759" t="s">
        <v>314</v>
      </c>
      <c r="AG258" s="1759" t="s">
        <v>314</v>
      </c>
      <c r="AH258" s="181"/>
      <c r="AI258" s="182"/>
    </row>
    <row r="259" spans="1:35" ht="21" customHeight="1">
      <c r="A259" s="2002"/>
      <c r="B259" s="1985" t="s">
        <v>316</v>
      </c>
      <c r="C259" s="1732"/>
      <c r="D259" s="1732" t="s">
        <v>317</v>
      </c>
      <c r="E259" s="1732" t="s">
        <v>317</v>
      </c>
      <c r="F259" s="1732" t="s">
        <v>317</v>
      </c>
      <c r="G259" s="1732" t="s">
        <v>317</v>
      </c>
      <c r="H259" s="1732" t="s">
        <v>317</v>
      </c>
      <c r="I259" s="1759"/>
      <c r="J259" s="1759"/>
      <c r="K259" s="1730" t="s">
        <v>317</v>
      </c>
      <c r="L259" s="1730" t="s">
        <v>317</v>
      </c>
      <c r="M259" s="1730" t="s">
        <v>317</v>
      </c>
      <c r="N259" s="1730" t="s">
        <v>317</v>
      </c>
      <c r="O259" s="1730" t="s">
        <v>356</v>
      </c>
      <c r="P259" s="1759"/>
      <c r="Q259" s="1759"/>
      <c r="R259" s="1759" t="s">
        <v>317</v>
      </c>
      <c r="S259" s="1759" t="s">
        <v>317</v>
      </c>
      <c r="T259" s="1759" t="s">
        <v>317</v>
      </c>
      <c r="U259" s="1759" t="s">
        <v>317</v>
      </c>
      <c r="V259" s="1759" t="s">
        <v>317</v>
      </c>
      <c r="W259" s="1759"/>
      <c r="X259" s="1759"/>
      <c r="Y259" s="1759" t="s">
        <v>317</v>
      </c>
      <c r="Z259" s="1759" t="s">
        <v>317</v>
      </c>
      <c r="AA259" s="1759" t="s">
        <v>317</v>
      </c>
      <c r="AB259" s="1759" t="s">
        <v>317</v>
      </c>
      <c r="AC259" s="1759" t="s">
        <v>317</v>
      </c>
      <c r="AD259" s="1759"/>
      <c r="AE259" s="1759"/>
      <c r="AF259" s="1759" t="s">
        <v>317</v>
      </c>
      <c r="AG259" s="1759" t="s">
        <v>317</v>
      </c>
      <c r="AH259" s="181"/>
      <c r="AI259" s="182"/>
    </row>
    <row r="260" spans="1:35" ht="21" customHeight="1" thickBot="1">
      <c r="A260" s="2007"/>
      <c r="B260" s="2008" t="s">
        <v>318</v>
      </c>
      <c r="C260" s="1788"/>
      <c r="D260" s="1788" t="s">
        <v>319</v>
      </c>
      <c r="E260" s="1788" t="s">
        <v>319</v>
      </c>
      <c r="F260" s="1788" t="s">
        <v>319</v>
      </c>
      <c r="G260" s="1788" t="s">
        <v>319</v>
      </c>
      <c r="H260" s="1788" t="s">
        <v>319</v>
      </c>
      <c r="I260" s="1788"/>
      <c r="J260" s="1788"/>
      <c r="K260" s="1788" t="s">
        <v>319</v>
      </c>
      <c r="L260" s="1788" t="s">
        <v>319</v>
      </c>
      <c r="M260" s="1788" t="s">
        <v>319</v>
      </c>
      <c r="N260" s="1788" t="s">
        <v>319</v>
      </c>
      <c r="O260" s="1788" t="s">
        <v>319</v>
      </c>
      <c r="P260" s="1788"/>
      <c r="Q260" s="1788"/>
      <c r="R260" s="1740" t="s">
        <v>319</v>
      </c>
      <c r="S260" s="1740" t="s">
        <v>319</v>
      </c>
      <c r="T260" s="1788" t="s">
        <v>319</v>
      </c>
      <c r="U260" s="1788" t="s">
        <v>319</v>
      </c>
      <c r="V260" s="1788" t="s">
        <v>319</v>
      </c>
      <c r="W260" s="1788"/>
      <c r="X260" s="1788"/>
      <c r="Y260" s="1803" t="s">
        <v>319</v>
      </c>
      <c r="Z260" s="1803" t="s">
        <v>319</v>
      </c>
      <c r="AA260" s="1803" t="s">
        <v>319</v>
      </c>
      <c r="AB260" s="1803" t="s">
        <v>319</v>
      </c>
      <c r="AC260" s="1803" t="s">
        <v>319</v>
      </c>
      <c r="AD260" s="1803"/>
      <c r="AE260" s="1803"/>
      <c r="AF260" s="1803" t="s">
        <v>319</v>
      </c>
      <c r="AG260" s="1803" t="s">
        <v>319</v>
      </c>
      <c r="AH260" s="181"/>
      <c r="AI260" s="182"/>
    </row>
    <row r="261" spans="1:35" ht="21" customHeight="1"/>
    <row r="262" spans="1:35" ht="24" customHeight="1"/>
    <row r="263" spans="1:35" ht="25.5" customHeight="1" thickBot="1">
      <c r="A263" s="161" t="s">
        <v>320</v>
      </c>
    </row>
    <row r="264" spans="1:35" ht="21" customHeight="1">
      <c r="A264" s="1"/>
      <c r="B264" s="396" t="s">
        <v>266</v>
      </c>
      <c r="C264" s="368"/>
      <c r="D264" s="384" t="s">
        <v>94</v>
      </c>
      <c r="E264" s="357"/>
      <c r="F264" s="372"/>
      <c r="G264" s="368"/>
      <c r="H264" s="384" t="s">
        <v>95</v>
      </c>
      <c r="I264" s="357"/>
      <c r="J264" s="372"/>
      <c r="K264" s="368"/>
      <c r="L264" s="384" t="s">
        <v>96</v>
      </c>
      <c r="M264" s="357"/>
      <c r="N264" s="372"/>
      <c r="O264" s="368"/>
      <c r="P264" s="384" t="s">
        <v>97</v>
      </c>
      <c r="Q264" s="357"/>
      <c r="R264" s="372"/>
      <c r="S264" s="368"/>
      <c r="T264" s="384" t="s">
        <v>98</v>
      </c>
      <c r="U264" s="357"/>
      <c r="V264" s="372"/>
      <c r="W264" s="368"/>
      <c r="X264" s="384" t="s">
        <v>99</v>
      </c>
      <c r="Y264" s="357"/>
      <c r="Z264" s="372"/>
      <c r="AA264" s="368"/>
      <c r="AB264" s="384" t="s">
        <v>100</v>
      </c>
      <c r="AC264" s="357"/>
      <c r="AD264" s="357"/>
      <c r="AE264" s="387" t="s">
        <v>101</v>
      </c>
      <c r="AF264" s="357"/>
      <c r="AG264" s="357"/>
      <c r="AH264" s="357"/>
      <c r="AI264" s="358"/>
    </row>
    <row r="265" spans="1:35" ht="21" customHeight="1">
      <c r="A265" s="1"/>
      <c r="B265" s="3"/>
      <c r="C265" s="8"/>
      <c r="D265" s="117"/>
      <c r="E265" s="14"/>
      <c r="F265" s="116"/>
      <c r="G265" s="8"/>
      <c r="H265" s="117"/>
      <c r="I265" s="14"/>
      <c r="J265" s="116"/>
      <c r="K265" s="8"/>
      <c r="L265" s="117"/>
      <c r="M265" s="14"/>
      <c r="N265" s="116"/>
      <c r="O265" s="8"/>
      <c r="P265" s="117"/>
      <c r="Q265" s="14"/>
      <c r="R265" s="116"/>
      <c r="S265" s="8"/>
      <c r="T265" s="117"/>
      <c r="U265" s="14"/>
      <c r="V265" s="116"/>
      <c r="W265" s="8"/>
      <c r="X265" s="117"/>
      <c r="Y265" s="14"/>
      <c r="Z265" s="116"/>
      <c r="AA265" s="8"/>
      <c r="AB265" s="117"/>
      <c r="AC265" s="14"/>
      <c r="AD265" s="14"/>
      <c r="AE265" s="118"/>
      <c r="AF265" s="14"/>
      <c r="AG265" s="14"/>
      <c r="AH265" s="14"/>
      <c r="AI265" s="119"/>
    </row>
    <row r="266" spans="1:35" ht="21" customHeight="1">
      <c r="A266" s="110"/>
      <c r="B266" s="1998"/>
      <c r="C266" s="1816"/>
      <c r="D266" s="1693"/>
      <c r="E266" s="1693"/>
      <c r="F266" s="1891"/>
      <c r="G266" s="1816"/>
      <c r="H266" s="1693"/>
      <c r="I266" s="1693"/>
      <c r="J266" s="1891"/>
      <c r="K266" s="1816"/>
      <c r="L266" s="1693"/>
      <c r="M266" s="1693"/>
      <c r="N266" s="1891"/>
      <c r="O266" s="1816"/>
      <c r="P266" s="1693"/>
      <c r="Q266" s="1693"/>
      <c r="R266" s="1891"/>
      <c r="S266" s="1816"/>
      <c r="T266" s="1693"/>
      <c r="U266" s="1693"/>
      <c r="V266" s="1891"/>
      <c r="W266" s="1816"/>
      <c r="X266" s="1693"/>
      <c r="Y266" s="1693"/>
      <c r="Z266" s="1891"/>
      <c r="AA266" s="1889"/>
      <c r="AB266" s="1693"/>
      <c r="AC266" s="1693"/>
      <c r="AD266" s="1817"/>
      <c r="AE266" s="2009"/>
      <c r="AF266" s="1693"/>
      <c r="AG266" s="1693"/>
      <c r="AH266" s="1817"/>
      <c r="AI266" s="1702"/>
    </row>
    <row r="267" spans="1:35" ht="21" customHeight="1" thickBot="1">
      <c r="A267" s="1"/>
      <c r="B267" s="1901"/>
      <c r="C267" s="1902"/>
      <c r="D267" s="1772"/>
      <c r="E267" s="1772"/>
      <c r="F267" s="1929"/>
      <c r="G267" s="1902"/>
      <c r="H267" s="1772"/>
      <c r="I267" s="1772"/>
      <c r="J267" s="1929"/>
      <c r="K267" s="1902"/>
      <c r="L267" s="1772"/>
      <c r="M267" s="1772"/>
      <c r="N267" s="1929"/>
      <c r="O267" s="1902"/>
      <c r="P267" s="1772"/>
      <c r="Q267" s="1772"/>
      <c r="R267" s="1929"/>
      <c r="S267" s="1902"/>
      <c r="T267" s="1772"/>
      <c r="U267" s="1772"/>
      <c r="V267" s="1929"/>
      <c r="W267" s="1927"/>
      <c r="X267" s="1772"/>
      <c r="Y267" s="1772"/>
      <c r="Z267" s="1929"/>
      <c r="AA267" s="1927"/>
      <c r="AB267" s="1772"/>
      <c r="AC267" s="1772"/>
      <c r="AD267" s="1909"/>
      <c r="AE267" s="1927"/>
      <c r="AF267" s="1772"/>
      <c r="AG267" s="1772"/>
      <c r="AH267" s="1909"/>
      <c r="AI267" s="1779"/>
    </row>
    <row r="268" spans="1:35" ht="21" customHeight="1">
      <c r="A268" s="1"/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33" customHeight="1">
      <c r="A269" s="161" t="s">
        <v>321</v>
      </c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 thickBot="1">
      <c r="A270" s="2010" t="s">
        <v>28</v>
      </c>
      <c r="B270" s="2011" t="s">
        <v>29</v>
      </c>
      <c r="C270" s="1711">
        <v>1</v>
      </c>
      <c r="D270" s="1712">
        <v>2</v>
      </c>
      <c r="E270" s="1712">
        <v>3</v>
      </c>
      <c r="F270" s="1712">
        <v>4</v>
      </c>
      <c r="G270" s="1712">
        <v>5</v>
      </c>
      <c r="H270" s="1712">
        <v>6</v>
      </c>
      <c r="I270" s="1711">
        <v>7</v>
      </c>
      <c r="J270" s="1711">
        <v>8</v>
      </c>
      <c r="K270" s="1712">
        <v>9</v>
      </c>
      <c r="L270" s="1712">
        <v>10</v>
      </c>
      <c r="M270" s="1712">
        <v>11</v>
      </c>
      <c r="N270" s="1712">
        <v>12</v>
      </c>
      <c r="O270" s="1712">
        <v>13</v>
      </c>
      <c r="P270" s="1711">
        <v>14</v>
      </c>
      <c r="Q270" s="1711">
        <v>15</v>
      </c>
      <c r="R270" s="1712">
        <v>16</v>
      </c>
      <c r="S270" s="1712">
        <v>17</v>
      </c>
      <c r="T270" s="1712">
        <v>18</v>
      </c>
      <c r="U270" s="1712">
        <v>19</v>
      </c>
      <c r="V270" s="1712">
        <v>20</v>
      </c>
      <c r="W270" s="1711">
        <v>21</v>
      </c>
      <c r="X270" s="1711">
        <v>22</v>
      </c>
      <c r="Y270" s="1712">
        <v>23</v>
      </c>
      <c r="Z270" s="1712">
        <v>24</v>
      </c>
      <c r="AA270" s="1712">
        <v>25</v>
      </c>
      <c r="AB270" s="1712">
        <v>26</v>
      </c>
      <c r="AC270" s="1712">
        <v>27</v>
      </c>
      <c r="AD270" s="1711">
        <v>28</v>
      </c>
      <c r="AE270" s="1711">
        <v>29</v>
      </c>
      <c r="AF270" s="1712">
        <v>30</v>
      </c>
      <c r="AG270" s="1713">
        <v>31</v>
      </c>
      <c r="AH270" s="186"/>
      <c r="AI270" s="177"/>
    </row>
    <row r="271" spans="1:35" ht="21" customHeight="1">
      <c r="A271" s="88"/>
      <c r="B271" s="157" t="s">
        <v>322</v>
      </c>
      <c r="C271" s="1754"/>
      <c r="D271" s="1754" t="s">
        <v>32</v>
      </c>
      <c r="E271" s="1754" t="s">
        <v>32</v>
      </c>
      <c r="F271" s="1754" t="s">
        <v>32</v>
      </c>
      <c r="G271" s="1748" t="s">
        <v>32</v>
      </c>
      <c r="H271" s="1748" t="s">
        <v>32</v>
      </c>
      <c r="I271" s="1748"/>
      <c r="J271" s="1748"/>
      <c r="K271" s="1748" t="s">
        <v>32</v>
      </c>
      <c r="L271" s="1748" t="s">
        <v>32</v>
      </c>
      <c r="M271" s="1748" t="s">
        <v>32</v>
      </c>
      <c r="N271" s="1740" t="s">
        <v>32</v>
      </c>
      <c r="O271" s="1740" t="s">
        <v>32</v>
      </c>
      <c r="P271" s="1740"/>
      <c r="Q271" s="1751"/>
      <c r="R271" s="1740" t="s">
        <v>32</v>
      </c>
      <c r="S271" s="1748" t="s">
        <v>32</v>
      </c>
      <c r="T271" s="1748" t="s">
        <v>32</v>
      </c>
      <c r="U271" s="1740" t="s">
        <v>32</v>
      </c>
      <c r="V271" s="1740" t="s">
        <v>32</v>
      </c>
      <c r="W271" s="1740"/>
      <c r="X271" s="1748"/>
      <c r="Y271" s="1740" t="s">
        <v>32</v>
      </c>
      <c r="Z271" s="1742" t="s">
        <v>32</v>
      </c>
      <c r="AA271" s="1623" t="s">
        <v>32</v>
      </c>
      <c r="AB271" s="1623" t="s">
        <v>32</v>
      </c>
      <c r="AC271" s="1623" t="s">
        <v>346</v>
      </c>
      <c r="AD271" s="1748"/>
      <c r="AE271" s="1748"/>
      <c r="AF271" s="1748" t="s">
        <v>32</v>
      </c>
      <c r="AG271" s="1748" t="s">
        <v>32</v>
      </c>
      <c r="AH271" s="187"/>
      <c r="AI271" s="184"/>
    </row>
    <row r="272" spans="1:35" ht="21" customHeight="1">
      <c r="A272" s="2012"/>
      <c r="B272" s="2013" t="s">
        <v>323</v>
      </c>
      <c r="C272" s="1748"/>
      <c r="D272" s="1748" t="s">
        <v>32</v>
      </c>
      <c r="E272" s="1748" t="s">
        <v>32</v>
      </c>
      <c r="F272" s="1748" t="s">
        <v>32</v>
      </c>
      <c r="G272" s="1748" t="s">
        <v>32</v>
      </c>
      <c r="H272" s="1748" t="s">
        <v>32</v>
      </c>
      <c r="I272" s="1748"/>
      <c r="J272" s="1748"/>
      <c r="K272" s="1748" t="s">
        <v>32</v>
      </c>
      <c r="L272" s="1748" t="s">
        <v>32</v>
      </c>
      <c r="M272" s="1748" t="s">
        <v>32</v>
      </c>
      <c r="N272" s="1740" t="s">
        <v>32</v>
      </c>
      <c r="O272" s="1740" t="s">
        <v>32</v>
      </c>
      <c r="P272" s="1740"/>
      <c r="Q272" s="1751"/>
      <c r="R272" s="1740" t="s">
        <v>32</v>
      </c>
      <c r="S272" s="1748" t="s">
        <v>32</v>
      </c>
      <c r="T272" s="1748" t="s">
        <v>32</v>
      </c>
      <c r="U272" s="1740" t="s">
        <v>32</v>
      </c>
      <c r="V272" s="1740" t="s">
        <v>32</v>
      </c>
      <c r="W272" s="1740"/>
      <c r="X272" s="1748"/>
      <c r="Y272" s="1740" t="s">
        <v>32</v>
      </c>
      <c r="Z272" s="1748" t="s">
        <v>32</v>
      </c>
      <c r="AA272" s="1748" t="s">
        <v>32</v>
      </c>
      <c r="AB272" s="1748" t="s">
        <v>32</v>
      </c>
      <c r="AC272" s="1748" t="s">
        <v>32</v>
      </c>
      <c r="AD272" s="1748"/>
      <c r="AE272" s="1751"/>
      <c r="AF272" s="1751" t="s">
        <v>32</v>
      </c>
      <c r="AG272" s="1748" t="s">
        <v>32</v>
      </c>
      <c r="AH272" s="187"/>
      <c r="AI272" s="184"/>
    </row>
    <row r="273" spans="1:35" ht="21" customHeight="1">
      <c r="A273" s="2002"/>
      <c r="B273" s="2013" t="s">
        <v>324</v>
      </c>
      <c r="C273" s="1748"/>
      <c r="D273" s="1748" t="s">
        <v>32</v>
      </c>
      <c r="E273" s="1747" t="s">
        <v>32</v>
      </c>
      <c r="F273" s="1747" t="s">
        <v>32</v>
      </c>
      <c r="G273" s="1747" t="s">
        <v>32</v>
      </c>
      <c r="H273" s="1747" t="s">
        <v>32</v>
      </c>
      <c r="I273" s="1748"/>
      <c r="J273" s="1748"/>
      <c r="K273" s="1748" t="s">
        <v>32</v>
      </c>
      <c r="L273" s="1748" t="s">
        <v>32</v>
      </c>
      <c r="M273" s="1748" t="s">
        <v>32</v>
      </c>
      <c r="N273" s="1740" t="s">
        <v>32</v>
      </c>
      <c r="O273" s="1740" t="s">
        <v>32</v>
      </c>
      <c r="P273" s="1740"/>
      <c r="Q273" s="1751"/>
      <c r="R273" s="1740" t="s">
        <v>32</v>
      </c>
      <c r="S273" s="1748" t="s">
        <v>32</v>
      </c>
      <c r="T273" s="1748" t="s">
        <v>32</v>
      </c>
      <c r="U273" s="1740" t="s">
        <v>32</v>
      </c>
      <c r="V273" s="1740" t="s">
        <v>32</v>
      </c>
      <c r="W273" s="1740"/>
      <c r="X273" s="1748"/>
      <c r="Y273" s="1740" t="s">
        <v>32</v>
      </c>
      <c r="Z273" s="1748" t="s">
        <v>32</v>
      </c>
      <c r="AA273" s="1748" t="s">
        <v>32</v>
      </c>
      <c r="AB273" s="1748" t="s">
        <v>32</v>
      </c>
      <c r="AC273" s="1748" t="s">
        <v>32</v>
      </c>
      <c r="AD273" s="1748"/>
      <c r="AE273" s="1748"/>
      <c r="AF273" s="1748" t="s">
        <v>32</v>
      </c>
      <c r="AG273" s="1748" t="s">
        <v>32</v>
      </c>
      <c r="AH273" s="187"/>
      <c r="AI273" s="184"/>
    </row>
    <row r="274" spans="1:35" ht="21" customHeight="1">
      <c r="A274" s="2002"/>
      <c r="B274" s="2013" t="s">
        <v>325</v>
      </c>
      <c r="C274" s="1748"/>
      <c r="D274" s="1748" t="s">
        <v>32</v>
      </c>
      <c r="E274" s="1748" t="s">
        <v>32</v>
      </c>
      <c r="F274" s="1748" t="s">
        <v>32</v>
      </c>
      <c r="G274" s="1748" t="s">
        <v>32</v>
      </c>
      <c r="H274" s="1748" t="s">
        <v>32</v>
      </c>
      <c r="I274" s="1748"/>
      <c r="J274" s="1748"/>
      <c r="K274" s="1748" t="s">
        <v>32</v>
      </c>
      <c r="L274" s="1748" t="s">
        <v>32</v>
      </c>
      <c r="M274" s="1748" t="s">
        <v>32</v>
      </c>
      <c r="N274" s="1740" t="s">
        <v>32</v>
      </c>
      <c r="O274" s="1740" t="s">
        <v>32</v>
      </c>
      <c r="P274" s="1740"/>
      <c r="Q274" s="1751"/>
      <c r="R274" s="1747" t="s">
        <v>32</v>
      </c>
      <c r="S274" s="1747" t="s">
        <v>32</v>
      </c>
      <c r="T274" s="1747" t="s">
        <v>32</v>
      </c>
      <c r="U274" s="1747" t="s">
        <v>32</v>
      </c>
      <c r="V274" s="1747" t="s">
        <v>32</v>
      </c>
      <c r="W274" s="1747"/>
      <c r="X274" s="1747"/>
      <c r="Y274" s="1747" t="s">
        <v>32</v>
      </c>
      <c r="Z274" s="1747" t="s">
        <v>32</v>
      </c>
      <c r="AA274" s="1747" t="s">
        <v>32</v>
      </c>
      <c r="AB274" s="1747" t="s">
        <v>32</v>
      </c>
      <c r="AC274" s="1747" t="s">
        <v>32</v>
      </c>
      <c r="AD274" s="1747"/>
      <c r="AE274" s="1747"/>
      <c r="AF274" s="1747" t="s">
        <v>32</v>
      </c>
      <c r="AG274" s="1747" t="s">
        <v>32</v>
      </c>
      <c r="AH274" s="187"/>
      <c r="AI274" s="184"/>
    </row>
    <row r="275" spans="1:35" ht="21" customHeight="1">
      <c r="A275" s="2002"/>
      <c r="B275" s="2013" t="s">
        <v>326</v>
      </c>
      <c r="C275" s="1748"/>
      <c r="D275" s="1616" t="s">
        <v>32</v>
      </c>
      <c r="E275" s="1616" t="s">
        <v>32</v>
      </c>
      <c r="F275" s="1616" t="s">
        <v>32</v>
      </c>
      <c r="G275" s="1616" t="s">
        <v>32</v>
      </c>
      <c r="H275" s="1748" t="s">
        <v>32</v>
      </c>
      <c r="I275" s="1748"/>
      <c r="J275" s="1748"/>
      <c r="K275" s="1748" t="s">
        <v>32</v>
      </c>
      <c r="L275" s="1748" t="s">
        <v>32</v>
      </c>
      <c r="M275" s="1748" t="s">
        <v>32</v>
      </c>
      <c r="N275" s="1740" t="s">
        <v>32</v>
      </c>
      <c r="O275" s="1740" t="s">
        <v>32</v>
      </c>
      <c r="P275" s="1740"/>
      <c r="Q275" s="1751"/>
      <c r="R275" s="1740" t="s">
        <v>32</v>
      </c>
      <c r="S275" s="1748" t="s">
        <v>32</v>
      </c>
      <c r="T275" s="1748" t="s">
        <v>32</v>
      </c>
      <c r="U275" s="1740" t="s">
        <v>32</v>
      </c>
      <c r="V275" s="1740" t="s">
        <v>32</v>
      </c>
      <c r="W275" s="1740"/>
      <c r="X275" s="1748"/>
      <c r="Y275" s="1740" t="s">
        <v>32</v>
      </c>
      <c r="Z275" s="1616" t="s">
        <v>32</v>
      </c>
      <c r="AA275" s="1748" t="s">
        <v>32</v>
      </c>
      <c r="AB275" s="1748" t="s">
        <v>32</v>
      </c>
      <c r="AC275" s="1748" t="s">
        <v>32</v>
      </c>
      <c r="AD275" s="1748"/>
      <c r="AE275" s="1748"/>
      <c r="AF275" s="1748" t="s">
        <v>32</v>
      </c>
      <c r="AG275" s="1759" t="s">
        <v>32</v>
      </c>
      <c r="AH275" s="187"/>
      <c r="AI275" s="184"/>
    </row>
    <row r="276" spans="1:35" ht="21" customHeight="1">
      <c r="A276" s="2002"/>
      <c r="B276" s="2013" t="s">
        <v>327</v>
      </c>
      <c r="C276" s="1748"/>
      <c r="D276" s="1742" t="s">
        <v>32</v>
      </c>
      <c r="E276" s="1742" t="s">
        <v>32</v>
      </c>
      <c r="F276" s="1742" t="s">
        <v>32</v>
      </c>
      <c r="G276" s="1616" t="s">
        <v>32</v>
      </c>
      <c r="H276" s="1616" t="s">
        <v>32</v>
      </c>
      <c r="I276" s="1742"/>
      <c r="J276" s="1742"/>
      <c r="K276" s="1747" t="s">
        <v>32</v>
      </c>
      <c r="L276" s="1747" t="s">
        <v>32</v>
      </c>
      <c r="M276" s="1747" t="s">
        <v>32</v>
      </c>
      <c r="N276" s="1747" t="s">
        <v>32</v>
      </c>
      <c r="O276" s="1747" t="s">
        <v>32</v>
      </c>
      <c r="P276" s="1747"/>
      <c r="Q276" s="1747"/>
      <c r="R276" s="1747" t="s">
        <v>32</v>
      </c>
      <c r="S276" s="1747" t="s">
        <v>32</v>
      </c>
      <c r="T276" s="1747" t="s">
        <v>32</v>
      </c>
      <c r="U276" s="1747" t="s">
        <v>32</v>
      </c>
      <c r="V276" s="1747" t="s">
        <v>32</v>
      </c>
      <c r="W276" s="1747"/>
      <c r="X276" s="1747"/>
      <c r="Y276" s="1747" t="s">
        <v>32</v>
      </c>
      <c r="Z276" s="1747" t="s">
        <v>32</v>
      </c>
      <c r="AA276" s="1747" t="s">
        <v>32</v>
      </c>
      <c r="AB276" s="1747" t="s">
        <v>32</v>
      </c>
      <c r="AC276" s="1747" t="s">
        <v>32</v>
      </c>
      <c r="AD276" s="1748"/>
      <c r="AE276" s="1748"/>
      <c r="AF276" s="1748" t="s">
        <v>32</v>
      </c>
      <c r="AG276" s="1759" t="s">
        <v>32</v>
      </c>
      <c r="AH276" s="187"/>
      <c r="AI276" s="184"/>
    </row>
    <row r="277" spans="1:35" ht="21" customHeight="1">
      <c r="A277" s="2002"/>
      <c r="B277" s="2013" t="s">
        <v>328</v>
      </c>
      <c r="C277" s="1748"/>
      <c r="D277" s="1748" t="s">
        <v>32</v>
      </c>
      <c r="E277" s="1748" t="s">
        <v>32</v>
      </c>
      <c r="F277" s="1748" t="s">
        <v>32</v>
      </c>
      <c r="G277" s="1748" t="s">
        <v>32</v>
      </c>
      <c r="H277" s="1747" t="s">
        <v>32</v>
      </c>
      <c r="I277" s="1747"/>
      <c r="J277" s="1747"/>
      <c r="K277" s="1747" t="s">
        <v>32</v>
      </c>
      <c r="L277" s="1747" t="s">
        <v>32</v>
      </c>
      <c r="M277" s="1747" t="s">
        <v>32</v>
      </c>
      <c r="N277" s="1747" t="s">
        <v>32</v>
      </c>
      <c r="O277" s="1747" t="s">
        <v>32</v>
      </c>
      <c r="P277" s="1740"/>
      <c r="Q277" s="1751"/>
      <c r="R277" s="1740" t="s">
        <v>32</v>
      </c>
      <c r="S277" s="1748" t="s">
        <v>32</v>
      </c>
      <c r="T277" s="1748" t="s">
        <v>32</v>
      </c>
      <c r="U277" s="1740" t="s">
        <v>32</v>
      </c>
      <c r="V277" s="1740" t="s">
        <v>32</v>
      </c>
      <c r="W277" s="1740"/>
      <c r="X277" s="1748"/>
      <c r="Y277" s="1740" t="s">
        <v>32</v>
      </c>
      <c r="Z277" s="1748" t="s">
        <v>32</v>
      </c>
      <c r="AA277" s="1748" t="s">
        <v>32</v>
      </c>
      <c r="AB277" s="1748" t="s">
        <v>32</v>
      </c>
      <c r="AC277" s="1623" t="s">
        <v>346</v>
      </c>
      <c r="AD277" s="1742"/>
      <c r="AE277" s="1742"/>
      <c r="AF277" s="1742" t="s">
        <v>32</v>
      </c>
      <c r="AG277" s="1797" t="s">
        <v>32</v>
      </c>
      <c r="AH277" s="187"/>
      <c r="AI277" s="184"/>
    </row>
    <row r="278" spans="1:35" ht="21" customHeight="1">
      <c r="A278" s="2002"/>
      <c r="B278" s="2013" t="s">
        <v>329</v>
      </c>
      <c r="C278" s="1742"/>
      <c r="D278" s="1742" t="s">
        <v>32</v>
      </c>
      <c r="E278" s="1742" t="s">
        <v>32</v>
      </c>
      <c r="F278" s="1742" t="s">
        <v>32</v>
      </c>
      <c r="G278" s="1742" t="s">
        <v>32</v>
      </c>
      <c r="H278" s="1742" t="s">
        <v>32</v>
      </c>
      <c r="I278" s="1748"/>
      <c r="J278" s="1748"/>
      <c r="K278" s="1748" t="s">
        <v>32</v>
      </c>
      <c r="L278" s="1748" t="s">
        <v>32</v>
      </c>
      <c r="M278" s="1748" t="s">
        <v>32</v>
      </c>
      <c r="N278" s="1740" t="s">
        <v>32</v>
      </c>
      <c r="O278" s="1740" t="s">
        <v>32</v>
      </c>
      <c r="P278" s="1740"/>
      <c r="Q278" s="1751"/>
      <c r="R278" s="1740" t="s">
        <v>32</v>
      </c>
      <c r="S278" s="1748" t="s">
        <v>32</v>
      </c>
      <c r="T278" s="1748" t="s">
        <v>32</v>
      </c>
      <c r="U278" s="1740" t="s">
        <v>32</v>
      </c>
      <c r="V278" s="1740" t="s">
        <v>32</v>
      </c>
      <c r="W278" s="1740"/>
      <c r="X278" s="1748"/>
      <c r="Y278" s="1740" t="s">
        <v>32</v>
      </c>
      <c r="Z278" s="1748" t="s">
        <v>32</v>
      </c>
      <c r="AA278" s="1748" t="s">
        <v>32</v>
      </c>
      <c r="AB278" s="1748" t="s">
        <v>32</v>
      </c>
      <c r="AC278" s="1748" t="s">
        <v>32</v>
      </c>
      <c r="AD278" s="1748"/>
      <c r="AE278" s="1748"/>
      <c r="AF278" s="1748" t="s">
        <v>32</v>
      </c>
      <c r="AG278" s="1759" t="s">
        <v>32</v>
      </c>
      <c r="AH278" s="187"/>
      <c r="AI278" s="184"/>
    </row>
    <row r="279" spans="1:35" ht="21" customHeight="1">
      <c r="A279" s="2002"/>
      <c r="B279" s="2014" t="s">
        <v>330</v>
      </c>
      <c r="C279" s="1748"/>
      <c r="D279" s="1748" t="s">
        <v>32</v>
      </c>
      <c r="E279" s="1748" t="s">
        <v>32</v>
      </c>
      <c r="F279" s="1748" t="s">
        <v>32</v>
      </c>
      <c r="G279" s="1748" t="s">
        <v>32</v>
      </c>
      <c r="H279" s="1748" t="s">
        <v>32</v>
      </c>
      <c r="I279" s="1748"/>
      <c r="J279" s="1748"/>
      <c r="K279" s="1748" t="s">
        <v>32</v>
      </c>
      <c r="L279" s="1748" t="s">
        <v>32</v>
      </c>
      <c r="M279" s="1748" t="s">
        <v>32</v>
      </c>
      <c r="N279" s="1740" t="s">
        <v>32</v>
      </c>
      <c r="O279" s="1740" t="s">
        <v>32</v>
      </c>
      <c r="P279" s="1740"/>
      <c r="Q279" s="1751"/>
      <c r="R279" s="1740" t="s">
        <v>32</v>
      </c>
      <c r="S279" s="1748" t="s">
        <v>32</v>
      </c>
      <c r="T279" s="1748" t="s">
        <v>32</v>
      </c>
      <c r="U279" s="1740" t="s">
        <v>32</v>
      </c>
      <c r="V279" s="1740" t="s">
        <v>32</v>
      </c>
      <c r="W279" s="1740"/>
      <c r="X279" s="1748"/>
      <c r="Y279" s="1740" t="s">
        <v>32</v>
      </c>
      <c r="Z279" s="1748" t="s">
        <v>32</v>
      </c>
      <c r="AA279" s="1748" t="s">
        <v>32</v>
      </c>
      <c r="AB279" s="1748" t="s">
        <v>32</v>
      </c>
      <c r="AC279" s="1748" t="s">
        <v>32</v>
      </c>
      <c r="AD279" s="1748"/>
      <c r="AE279" s="1748"/>
      <c r="AF279" s="1748" t="s">
        <v>32</v>
      </c>
      <c r="AG279" s="1759" t="s">
        <v>32</v>
      </c>
      <c r="AH279" s="187"/>
      <c r="AI279" s="184"/>
    </row>
    <row r="280" spans="1:35" ht="21" customHeight="1">
      <c r="A280" s="2002"/>
      <c r="B280" s="2015" t="s">
        <v>331</v>
      </c>
      <c r="C280" s="1747"/>
      <c r="D280" s="1747" t="s">
        <v>32</v>
      </c>
      <c r="E280" s="1747" t="s">
        <v>32</v>
      </c>
      <c r="F280" s="1747" t="s">
        <v>32</v>
      </c>
      <c r="G280" s="1747" t="s">
        <v>32</v>
      </c>
      <c r="H280" s="1747" t="s">
        <v>32</v>
      </c>
      <c r="I280" s="1747"/>
      <c r="J280" s="1747"/>
      <c r="K280" s="1747" t="s">
        <v>32</v>
      </c>
      <c r="L280" s="1747" t="s">
        <v>32</v>
      </c>
      <c r="M280" s="1747" t="s">
        <v>32</v>
      </c>
      <c r="N280" s="1747" t="s">
        <v>32</v>
      </c>
      <c r="O280" s="1747" t="s">
        <v>32</v>
      </c>
      <c r="P280" s="1740"/>
      <c r="Q280" s="1751"/>
      <c r="R280" s="1740" t="s">
        <v>32</v>
      </c>
      <c r="S280" s="1748" t="s">
        <v>32</v>
      </c>
      <c r="T280" s="1748" t="s">
        <v>32</v>
      </c>
      <c r="U280" s="1740" t="s">
        <v>32</v>
      </c>
      <c r="V280" s="1740" t="s">
        <v>32</v>
      </c>
      <c r="W280" s="1740"/>
      <c r="X280" s="1748"/>
      <c r="Y280" s="1658" t="s">
        <v>32</v>
      </c>
      <c r="Z280" s="1748" t="s">
        <v>32</v>
      </c>
      <c r="AA280" s="1748" t="s">
        <v>32</v>
      </c>
      <c r="AB280" s="1748" t="s">
        <v>32</v>
      </c>
      <c r="AC280" s="1742" t="s">
        <v>32</v>
      </c>
      <c r="AD280" s="1748"/>
      <c r="AE280" s="1740"/>
      <c r="AF280" s="1740" t="s">
        <v>32</v>
      </c>
      <c r="AG280" s="1759" t="s">
        <v>32</v>
      </c>
      <c r="AH280" s="187"/>
      <c r="AI280" s="184"/>
    </row>
    <row r="281" spans="1:35" ht="21" customHeight="1">
      <c r="A281" s="2002"/>
      <c r="B281" s="1757" t="s">
        <v>332</v>
      </c>
      <c r="C281" s="1747"/>
      <c r="D281" s="1747" t="s">
        <v>32</v>
      </c>
      <c r="E281" s="1747" t="s">
        <v>32</v>
      </c>
      <c r="F281" s="1747" t="s">
        <v>32</v>
      </c>
      <c r="G281" s="1747" t="s">
        <v>32</v>
      </c>
      <c r="H281" s="1747" t="s">
        <v>32</v>
      </c>
      <c r="I281" s="1748"/>
      <c r="J281" s="1748"/>
      <c r="K281" s="1748" t="s">
        <v>32</v>
      </c>
      <c r="L281" s="1748" t="s">
        <v>32</v>
      </c>
      <c r="M281" s="1748" t="s">
        <v>32</v>
      </c>
      <c r="N281" s="1740" t="s">
        <v>32</v>
      </c>
      <c r="O281" s="1740" t="s">
        <v>32</v>
      </c>
      <c r="P281" s="1740"/>
      <c r="Q281" s="1751"/>
      <c r="R281" s="1740" t="s">
        <v>32</v>
      </c>
      <c r="S281" s="1748" t="s">
        <v>32</v>
      </c>
      <c r="T281" s="1748" t="s">
        <v>32</v>
      </c>
      <c r="U281" s="1740" t="s">
        <v>32</v>
      </c>
      <c r="V281" s="1740" t="s">
        <v>32</v>
      </c>
      <c r="W281" s="1740"/>
      <c r="X281" s="1748"/>
      <c r="Y281" s="1740" t="s">
        <v>32</v>
      </c>
      <c r="Z281" s="1748" t="s">
        <v>32</v>
      </c>
      <c r="AA281" s="1748" t="s">
        <v>32</v>
      </c>
      <c r="AB281" s="1748" t="s">
        <v>32</v>
      </c>
      <c r="AC281" s="1748" t="s">
        <v>32</v>
      </c>
      <c r="AD281" s="1748"/>
      <c r="AE281" s="1748"/>
      <c r="AF281" s="1748" t="s">
        <v>32</v>
      </c>
      <c r="AG281" s="1759" t="s">
        <v>32</v>
      </c>
      <c r="AH281" s="187"/>
      <c r="AI281" s="184"/>
    </row>
    <row r="282" spans="1:35" ht="21" customHeight="1">
      <c r="A282" s="2002"/>
      <c r="B282" s="2015"/>
      <c r="C282" s="1748"/>
      <c r="D282" s="1659"/>
      <c r="E282" s="1748"/>
      <c r="F282" s="1748"/>
      <c r="G282" s="1748"/>
      <c r="H282" s="1748"/>
      <c r="I282" s="1748"/>
      <c r="J282" s="1748"/>
      <c r="K282" s="1748"/>
      <c r="L282" s="1748"/>
      <c r="M282" s="1748"/>
      <c r="N282" s="1748"/>
      <c r="O282" s="1748"/>
      <c r="P282" s="1748"/>
      <c r="Q282" s="1748"/>
      <c r="R282" s="1748"/>
      <c r="S282" s="1748"/>
      <c r="T282" s="1748"/>
      <c r="U282" s="1748"/>
      <c r="V282" s="1748"/>
      <c r="W282" s="1748"/>
      <c r="X282" s="1748"/>
      <c r="Y282" s="1748"/>
      <c r="Z282" s="1748"/>
      <c r="AA282" s="1748"/>
      <c r="AB282" s="1748"/>
      <c r="AC282" s="1748"/>
      <c r="AD282" s="1748"/>
      <c r="AE282" s="1748"/>
      <c r="AF282" s="1748"/>
      <c r="AG282" s="1759"/>
      <c r="AH282" s="187"/>
      <c r="AI282" s="184"/>
    </row>
    <row r="283" spans="1:35" ht="21" customHeight="1">
      <c r="A283" s="1810"/>
      <c r="B283" s="2015"/>
      <c r="C283" s="1759"/>
      <c r="D283" s="1759"/>
      <c r="E283" s="1759"/>
      <c r="F283" s="1759"/>
      <c r="G283" s="1759"/>
      <c r="H283" s="1759"/>
      <c r="I283" s="1759"/>
      <c r="J283" s="1759"/>
      <c r="K283" s="1759"/>
      <c r="L283" s="1759"/>
      <c r="M283" s="1759"/>
      <c r="N283" s="1723"/>
      <c r="O283" s="1723"/>
      <c r="P283" s="1759"/>
      <c r="Q283" s="1759"/>
      <c r="R283" s="1759"/>
      <c r="S283" s="1759"/>
      <c r="T283" s="1759"/>
      <c r="U283" s="1759"/>
      <c r="V283" s="1759"/>
      <c r="W283" s="1759"/>
      <c r="X283" s="1759"/>
      <c r="Y283" s="1759"/>
      <c r="Z283" s="1759"/>
      <c r="AA283" s="1759"/>
      <c r="AB283" s="1723"/>
      <c r="AC283" s="1723"/>
      <c r="AD283" s="1759"/>
      <c r="AE283" s="1759"/>
      <c r="AF283" s="1759"/>
      <c r="AG283" s="1759"/>
      <c r="AH283" s="187"/>
      <c r="AI283" s="185"/>
    </row>
    <row r="284" spans="1:35" ht="21" customHeight="1" thickBot="1">
      <c r="A284" s="1126"/>
      <c r="B284" s="1188"/>
      <c r="C284" s="2016"/>
      <c r="D284" s="2017"/>
      <c r="E284" s="2017"/>
      <c r="F284" s="2017"/>
      <c r="G284" s="2017"/>
      <c r="H284" s="2017"/>
      <c r="I284" s="2017"/>
      <c r="J284" s="2017"/>
      <c r="K284" s="2017"/>
      <c r="L284" s="2017"/>
      <c r="M284" s="2017"/>
      <c r="N284" s="2018"/>
      <c r="O284" s="2018"/>
      <c r="P284" s="2017"/>
      <c r="Q284" s="2017"/>
      <c r="R284" s="2017"/>
      <c r="S284" s="2017"/>
      <c r="T284" s="2017"/>
      <c r="U284" s="2017"/>
      <c r="V284" s="2017"/>
      <c r="W284" s="2017"/>
      <c r="X284" s="2017"/>
      <c r="Y284" s="2017"/>
      <c r="Z284" s="2017"/>
      <c r="AA284" s="2017"/>
      <c r="AB284" s="2018"/>
      <c r="AC284" s="2018"/>
      <c r="AD284" s="2017"/>
      <c r="AE284" s="2017"/>
      <c r="AF284" s="2017"/>
      <c r="AG284" s="2017"/>
      <c r="AH284" s="187"/>
      <c r="AI284" s="185"/>
    </row>
  </sheetData>
  <protectedRanges>
    <protectedRange sqref="B122:B123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11D5-6CCD-4279-B7BB-D1579C70D7D2}">
  <sheetPr codeName="Ark76"/>
  <dimension ref="A1:AN284"/>
  <sheetViews>
    <sheetView zoomScale="90" zoomScaleNormal="90" workbookViewId="0">
      <pane xSplit="2" ySplit="3" topLeftCell="C10" activePane="bottomRight" state="frozen"/>
      <selection pane="topRight" activeCell="AK175" sqref="AK175"/>
      <selection pane="bottomLeft" activeCell="AK175" sqref="AK175"/>
      <selection pane="bottomRight" activeCell="AJ103" sqref="AJ103"/>
    </sheetView>
  </sheetViews>
  <sheetFormatPr defaultColWidth="9.140625" defaultRowHeight="12"/>
  <cols>
    <col min="1" max="1" width="5.7109375" customWidth="1"/>
    <col min="2" max="2" width="26.425781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2019" t="s">
        <v>2</v>
      </c>
      <c r="C2" s="2020" t="s">
        <v>3</v>
      </c>
      <c r="D2" s="2021"/>
      <c r="E2" s="2022" t="s">
        <v>4</v>
      </c>
      <c r="F2" s="2023"/>
      <c r="G2" s="2024"/>
      <c r="H2" s="2024"/>
      <c r="I2" s="2024"/>
      <c r="J2" s="2024"/>
      <c r="K2" s="2025"/>
      <c r="L2" s="2026" t="s">
        <v>5</v>
      </c>
      <c r="M2" s="2027"/>
      <c r="N2" s="2028"/>
      <c r="O2" s="2029" t="s">
        <v>6</v>
      </c>
      <c r="P2" s="2030"/>
      <c r="Q2" s="2031"/>
      <c r="R2" s="2032"/>
      <c r="S2" s="2033" t="s">
        <v>7</v>
      </c>
      <c r="T2" s="2034"/>
      <c r="U2" s="2035"/>
      <c r="V2" s="2034"/>
      <c r="W2" s="2036" t="s">
        <v>8</v>
      </c>
      <c r="X2" s="2037"/>
      <c r="Y2" s="2038"/>
      <c r="Z2" s="163" t="s">
        <v>9</v>
      </c>
      <c r="AA2" s="2039"/>
      <c r="AB2" s="2040"/>
      <c r="AC2" s="2041"/>
      <c r="AD2" s="2042" t="s">
        <v>10</v>
      </c>
      <c r="AE2" s="2043"/>
      <c r="AF2" s="2043"/>
      <c r="AG2" s="2044"/>
    </row>
    <row r="3" spans="1:38" ht="13.35" customHeight="1">
      <c r="A3" s="1"/>
      <c r="B3" s="2045" t="s">
        <v>11</v>
      </c>
      <c r="C3" s="2046" t="s">
        <v>12</v>
      </c>
      <c r="D3" s="2047"/>
      <c r="E3" s="91"/>
      <c r="F3" s="92"/>
      <c r="G3" s="92"/>
      <c r="H3" s="164" t="s">
        <v>13</v>
      </c>
      <c r="I3" s="93"/>
      <c r="J3" s="93"/>
      <c r="K3" s="94"/>
      <c r="L3" s="2048" t="s">
        <v>14</v>
      </c>
      <c r="M3" s="2049"/>
      <c r="N3" s="2050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049"/>
      <c r="AA3" s="2049"/>
      <c r="AB3" s="2051"/>
      <c r="AC3" s="2052"/>
      <c r="AD3" s="2053" t="s">
        <v>17</v>
      </c>
      <c r="AE3" s="2054"/>
      <c r="AF3" s="2054"/>
      <c r="AG3" s="2055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2056" t="s">
        <v>20</v>
      </c>
      <c r="B6" s="2049"/>
      <c r="C6" s="2057"/>
      <c r="D6" s="2056" t="s">
        <v>21</v>
      </c>
      <c r="E6" s="2049"/>
      <c r="F6" s="2049"/>
      <c r="G6" s="2049"/>
      <c r="H6" s="2058"/>
      <c r="I6" s="2049"/>
      <c r="J6" s="2049"/>
      <c r="K6" s="2049"/>
      <c r="L6" s="2059" t="s">
        <v>22</v>
      </c>
      <c r="M6" s="2049"/>
      <c r="N6" s="2049"/>
      <c r="O6" s="2049"/>
      <c r="P6" s="2049"/>
      <c r="Q6" s="2049"/>
      <c r="R6" s="2049"/>
      <c r="S6" s="2057"/>
      <c r="T6" s="2060"/>
      <c r="U6" s="2049"/>
      <c r="V6" s="2049"/>
      <c r="W6" s="2049"/>
      <c r="X6" s="2049"/>
      <c r="Y6" s="2049"/>
      <c r="Z6" s="2049"/>
      <c r="AA6" s="2057"/>
      <c r="AB6" s="2061"/>
      <c r="AC6" s="2062"/>
      <c r="AD6" s="2062"/>
      <c r="AE6" s="2062"/>
      <c r="AF6" s="2062"/>
      <c r="AG6" s="2063"/>
    </row>
    <row r="7" spans="1:38" ht="22.35" customHeight="1">
      <c r="A7" s="2056" t="s">
        <v>23</v>
      </c>
      <c r="B7" s="2049"/>
      <c r="C7" s="2049"/>
      <c r="D7" s="2049"/>
      <c r="E7" s="2049"/>
      <c r="F7" s="2049"/>
      <c r="G7" s="2049"/>
      <c r="H7" s="2049"/>
      <c r="I7" s="2049"/>
      <c r="J7" s="2049"/>
      <c r="K7" s="2057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049"/>
      <c r="V7" s="2049"/>
      <c r="W7" s="2049"/>
      <c r="X7" s="2049"/>
      <c r="Y7" s="2049"/>
      <c r="Z7" s="2049"/>
      <c r="AA7" s="2049"/>
      <c r="AB7" s="2064"/>
      <c r="AC7" s="2049"/>
      <c r="AD7" s="2049"/>
      <c r="AE7" s="2049"/>
      <c r="AF7" s="2049"/>
      <c r="AG7" s="2057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2065" t="s">
        <v>28</v>
      </c>
      <c r="B11" s="2066" t="s">
        <v>29</v>
      </c>
      <c r="C11" s="2067">
        <v>1</v>
      </c>
      <c r="D11" s="2067">
        <v>2</v>
      </c>
      <c r="E11" s="2067">
        <v>3</v>
      </c>
      <c r="F11" s="2068">
        <v>4</v>
      </c>
      <c r="G11" s="2068">
        <v>5</v>
      </c>
      <c r="H11" s="2067">
        <v>6</v>
      </c>
      <c r="I11" s="2067">
        <v>7</v>
      </c>
      <c r="J11" s="2067">
        <v>8</v>
      </c>
      <c r="K11" s="2067">
        <v>9</v>
      </c>
      <c r="L11" s="2067">
        <v>10</v>
      </c>
      <c r="M11" s="2068">
        <v>11</v>
      </c>
      <c r="N11" s="2068">
        <v>12</v>
      </c>
      <c r="O11" s="2067">
        <v>13</v>
      </c>
      <c r="P11" s="2067">
        <v>14</v>
      </c>
      <c r="Q11" s="2067">
        <v>15</v>
      </c>
      <c r="R11" s="2067">
        <v>16</v>
      </c>
      <c r="S11" s="2067">
        <v>17</v>
      </c>
      <c r="T11" s="2068">
        <v>18</v>
      </c>
      <c r="U11" s="2068">
        <v>19</v>
      </c>
      <c r="V11" s="2067">
        <v>20</v>
      </c>
      <c r="W11" s="2067">
        <v>21</v>
      </c>
      <c r="X11" s="2067">
        <v>22</v>
      </c>
      <c r="Y11" s="2067">
        <v>23</v>
      </c>
      <c r="Z11" s="2067">
        <v>24</v>
      </c>
      <c r="AA11" s="2068">
        <v>25</v>
      </c>
      <c r="AB11" s="2068">
        <v>26</v>
      </c>
      <c r="AC11" s="2067">
        <v>27</v>
      </c>
      <c r="AD11" s="2067">
        <v>28</v>
      </c>
      <c r="AE11" s="2067">
        <v>29</v>
      </c>
      <c r="AF11" s="2067">
        <v>30</v>
      </c>
      <c r="AG11" s="2069"/>
      <c r="AH11" s="176"/>
      <c r="AI11" s="177"/>
      <c r="AJ11" s="1714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349" t="s">
        <v>32</v>
      </c>
      <c r="E12" s="349" t="s">
        <v>32</v>
      </c>
      <c r="F12" s="349"/>
      <c r="G12" s="349"/>
      <c r="H12" s="350" t="s">
        <v>32</v>
      </c>
      <c r="I12" s="350">
        <v>1</v>
      </c>
      <c r="J12" s="350" t="s">
        <v>32</v>
      </c>
      <c r="K12" s="539" t="s">
        <v>32</v>
      </c>
      <c r="L12" s="539" t="s">
        <v>32</v>
      </c>
      <c r="M12" s="350"/>
      <c r="N12" s="350"/>
      <c r="O12" s="350" t="s">
        <v>32</v>
      </c>
      <c r="P12" s="350" t="s">
        <v>32</v>
      </c>
      <c r="Q12" s="350" t="s">
        <v>32</v>
      </c>
      <c r="R12" s="350" t="s">
        <v>32</v>
      </c>
      <c r="S12" s="350" t="s">
        <v>32</v>
      </c>
      <c r="T12" s="350"/>
      <c r="U12" s="350"/>
      <c r="V12" s="350" t="s">
        <v>32</v>
      </c>
      <c r="W12" s="350" t="s">
        <v>32</v>
      </c>
      <c r="X12" s="350" t="s">
        <v>32</v>
      </c>
      <c r="Y12" s="350" t="s">
        <v>32</v>
      </c>
      <c r="Z12" s="539" t="s">
        <v>32</v>
      </c>
      <c r="AA12" s="350"/>
      <c r="AB12" s="350"/>
      <c r="AC12" s="350" t="s">
        <v>32</v>
      </c>
      <c r="AD12" s="350" t="s">
        <v>32</v>
      </c>
      <c r="AE12" s="350" t="s">
        <v>32</v>
      </c>
      <c r="AF12" s="350" t="s">
        <v>32</v>
      </c>
      <c r="AG12" s="352"/>
      <c r="AH12" s="182"/>
      <c r="AI12" s="182"/>
      <c r="AJ12" s="1714">
        <v>160.33000000000001</v>
      </c>
    </row>
    <row r="13" spans="1:38" ht="22.35" customHeight="1">
      <c r="A13" s="2070" t="s">
        <v>33</v>
      </c>
      <c r="B13" s="2071"/>
      <c r="C13" s="2071"/>
      <c r="D13" s="2071"/>
      <c r="E13" s="2071"/>
      <c r="F13" s="2071"/>
      <c r="G13" s="2071"/>
      <c r="H13" s="2071"/>
      <c r="I13" s="2071"/>
      <c r="J13" s="2071"/>
      <c r="K13" s="2071"/>
      <c r="L13" s="2071"/>
      <c r="M13" s="2071"/>
      <c r="N13" s="2071"/>
      <c r="O13" s="2071"/>
      <c r="P13" s="2071"/>
      <c r="Q13" s="2071"/>
      <c r="R13" s="2071"/>
      <c r="S13" s="2071"/>
      <c r="T13" s="2071"/>
      <c r="U13" s="2071"/>
      <c r="V13" s="2071"/>
      <c r="W13" s="2071"/>
      <c r="X13" s="2071"/>
      <c r="Y13" s="2071"/>
      <c r="Z13" s="2071"/>
      <c r="AA13" s="2071"/>
      <c r="AB13" s="2071"/>
      <c r="AC13" s="2071"/>
      <c r="AD13" s="2071"/>
      <c r="AE13" s="2071"/>
      <c r="AF13" s="2071"/>
      <c r="AG13" s="2072"/>
      <c r="AH13" s="180"/>
      <c r="AI13" s="180"/>
    </row>
    <row r="14" spans="1:38" ht="22.35" customHeight="1">
      <c r="A14" s="2073">
        <v>8546</v>
      </c>
      <c r="B14" s="2074" t="s">
        <v>34</v>
      </c>
      <c r="C14" s="2075" t="s">
        <v>36</v>
      </c>
      <c r="D14" s="2075" t="s">
        <v>36</v>
      </c>
      <c r="E14" s="2075" t="s">
        <v>36</v>
      </c>
      <c r="F14" s="2075"/>
      <c r="G14" s="2075"/>
      <c r="H14" s="2076">
        <v>1</v>
      </c>
      <c r="I14" s="2076">
        <v>1</v>
      </c>
      <c r="J14" s="2076">
        <v>1</v>
      </c>
      <c r="K14" s="2076">
        <v>1</v>
      </c>
      <c r="L14" s="2076">
        <v>1</v>
      </c>
      <c r="M14" s="2077"/>
      <c r="N14" s="2075"/>
      <c r="O14" s="2078">
        <v>2</v>
      </c>
      <c r="P14" s="2076">
        <v>2</v>
      </c>
      <c r="Q14" s="2076">
        <v>2</v>
      </c>
      <c r="R14" s="2076">
        <v>2</v>
      </c>
      <c r="S14" s="2076">
        <v>2</v>
      </c>
      <c r="T14" s="2079" t="s">
        <v>35</v>
      </c>
      <c r="U14" s="2079" t="s">
        <v>35</v>
      </c>
      <c r="V14" s="2080" t="s">
        <v>36</v>
      </c>
      <c r="W14" s="2080" t="s">
        <v>36</v>
      </c>
      <c r="X14" s="2080" t="s">
        <v>36</v>
      </c>
      <c r="Y14" s="2080" t="s">
        <v>36</v>
      </c>
      <c r="Z14" s="2080" t="s">
        <v>36</v>
      </c>
      <c r="AA14" s="2080"/>
      <c r="AB14" s="2080"/>
      <c r="AC14" s="2081">
        <v>4</v>
      </c>
      <c r="AD14" s="2081">
        <v>4</v>
      </c>
      <c r="AE14" s="2081">
        <v>4</v>
      </c>
      <c r="AF14" s="2081">
        <v>4</v>
      </c>
      <c r="AG14" s="2082"/>
      <c r="AH14" s="182"/>
      <c r="AI14" s="182"/>
    </row>
    <row r="15" spans="1:38" ht="22.35" customHeight="1">
      <c r="A15" s="2073">
        <v>8546</v>
      </c>
      <c r="B15" s="2083" t="s">
        <v>38</v>
      </c>
      <c r="C15" s="2084">
        <v>4</v>
      </c>
      <c r="D15" s="2080">
        <v>4</v>
      </c>
      <c r="E15" s="2080">
        <v>4</v>
      </c>
      <c r="F15" s="2085" t="s">
        <v>37</v>
      </c>
      <c r="G15" s="2085" t="s">
        <v>37</v>
      </c>
      <c r="H15" s="2085" t="s">
        <v>36</v>
      </c>
      <c r="I15" s="2080" t="s">
        <v>36</v>
      </c>
      <c r="J15" s="2084" t="s">
        <v>36</v>
      </c>
      <c r="K15" s="2085" t="s">
        <v>36</v>
      </c>
      <c r="L15" s="2080" t="s">
        <v>36</v>
      </c>
      <c r="M15" s="2080"/>
      <c r="N15" s="2080"/>
      <c r="O15" s="2080">
        <v>1</v>
      </c>
      <c r="P15" s="2080">
        <v>1</v>
      </c>
      <c r="Q15" s="2080">
        <v>1</v>
      </c>
      <c r="R15" s="2080">
        <v>1</v>
      </c>
      <c r="S15" s="2080">
        <v>1</v>
      </c>
      <c r="T15" s="2080"/>
      <c r="U15" s="2080"/>
      <c r="V15" s="2080">
        <v>2</v>
      </c>
      <c r="W15" s="2080">
        <v>2</v>
      </c>
      <c r="X15" s="2080">
        <v>2</v>
      </c>
      <c r="Y15" s="2080">
        <v>2</v>
      </c>
      <c r="Z15" s="2080">
        <v>2</v>
      </c>
      <c r="AA15" s="2080" t="s">
        <v>35</v>
      </c>
      <c r="AB15" s="2080" t="s">
        <v>35</v>
      </c>
      <c r="AC15" s="2080" t="s">
        <v>36</v>
      </c>
      <c r="AD15" s="2080" t="s">
        <v>36</v>
      </c>
      <c r="AE15" s="2080" t="s">
        <v>36</v>
      </c>
      <c r="AF15" s="2080" t="s">
        <v>36</v>
      </c>
      <c r="AG15" s="2082"/>
      <c r="AH15" s="182"/>
      <c r="AI15" s="182"/>
      <c r="AL15" t="s">
        <v>0</v>
      </c>
    </row>
    <row r="16" spans="1:38" ht="22.35" customHeight="1">
      <c r="A16" s="2073">
        <v>8546</v>
      </c>
      <c r="B16" s="2074" t="s">
        <v>39</v>
      </c>
      <c r="C16" s="2085">
        <v>2</v>
      </c>
      <c r="D16" s="2080">
        <v>2</v>
      </c>
      <c r="E16" s="2080">
        <v>2</v>
      </c>
      <c r="F16" s="2080" t="s">
        <v>35</v>
      </c>
      <c r="G16" s="2080" t="s">
        <v>35</v>
      </c>
      <c r="H16" s="2080" t="s">
        <v>36</v>
      </c>
      <c r="I16" s="2080" t="s">
        <v>36</v>
      </c>
      <c r="J16" s="2080" t="s">
        <v>36</v>
      </c>
      <c r="K16" s="2080" t="s">
        <v>36</v>
      </c>
      <c r="L16" s="2080" t="s">
        <v>36</v>
      </c>
      <c r="M16" s="2080"/>
      <c r="N16" s="2085"/>
      <c r="O16" s="2085">
        <v>4</v>
      </c>
      <c r="P16" s="2085">
        <v>4</v>
      </c>
      <c r="Q16" s="2085">
        <v>4</v>
      </c>
      <c r="R16" s="2085">
        <v>4</v>
      </c>
      <c r="S16" s="2080">
        <v>4</v>
      </c>
      <c r="T16" s="2086" t="s">
        <v>37</v>
      </c>
      <c r="U16" s="2086" t="s">
        <v>37</v>
      </c>
      <c r="V16" s="2080" t="s">
        <v>36</v>
      </c>
      <c r="W16" s="2084" t="s">
        <v>36</v>
      </c>
      <c r="X16" s="2080" t="s">
        <v>36</v>
      </c>
      <c r="Y16" s="2085" t="s">
        <v>36</v>
      </c>
      <c r="Z16" s="2085" t="s">
        <v>36</v>
      </c>
      <c r="AA16" s="2085"/>
      <c r="AB16" s="2085"/>
      <c r="AC16" s="2085">
        <v>1</v>
      </c>
      <c r="AD16" s="2080">
        <v>1</v>
      </c>
      <c r="AE16" s="2080">
        <v>1</v>
      </c>
      <c r="AF16" s="2080">
        <v>1</v>
      </c>
      <c r="AG16" s="2082"/>
      <c r="AH16" s="182"/>
      <c r="AI16" s="182"/>
    </row>
    <row r="17" spans="1:40" ht="22.35" customHeight="1">
      <c r="A17" s="2073">
        <v>8546</v>
      </c>
      <c r="B17" s="2083" t="s">
        <v>40</v>
      </c>
      <c r="C17" s="2080">
        <v>1</v>
      </c>
      <c r="D17" s="2084">
        <v>1</v>
      </c>
      <c r="E17" s="2080">
        <v>1</v>
      </c>
      <c r="F17" s="2085"/>
      <c r="G17" s="2080"/>
      <c r="H17" s="2080">
        <v>2</v>
      </c>
      <c r="I17" s="2080">
        <v>2</v>
      </c>
      <c r="J17" s="2080">
        <v>2</v>
      </c>
      <c r="K17" s="2080">
        <v>2</v>
      </c>
      <c r="L17" s="2080">
        <v>2</v>
      </c>
      <c r="M17" s="2075" t="s">
        <v>35</v>
      </c>
      <c r="N17" s="2075" t="s">
        <v>35</v>
      </c>
      <c r="O17" s="2075" t="s">
        <v>36</v>
      </c>
      <c r="P17" s="2075" t="s">
        <v>36</v>
      </c>
      <c r="Q17" s="2075" t="s">
        <v>36</v>
      </c>
      <c r="R17" s="2075" t="s">
        <v>36</v>
      </c>
      <c r="S17" s="2075" t="s">
        <v>36</v>
      </c>
      <c r="T17" s="2080"/>
      <c r="U17" s="2080"/>
      <c r="V17" s="2080">
        <v>4</v>
      </c>
      <c r="W17" s="2080">
        <v>4</v>
      </c>
      <c r="X17" s="2084">
        <v>4</v>
      </c>
      <c r="Y17" s="2080">
        <v>4</v>
      </c>
      <c r="Z17" s="2080">
        <v>4</v>
      </c>
      <c r="AA17" s="2087" t="s">
        <v>37</v>
      </c>
      <c r="AB17" s="2087" t="s">
        <v>37</v>
      </c>
      <c r="AC17" s="2087" t="s">
        <v>36</v>
      </c>
      <c r="AD17" s="2087" t="s">
        <v>36</v>
      </c>
      <c r="AE17" s="2087" t="s">
        <v>36</v>
      </c>
      <c r="AF17" s="2087" t="s">
        <v>36</v>
      </c>
      <c r="AG17" s="2082"/>
      <c r="AH17" s="182"/>
      <c r="AI17" s="182"/>
    </row>
    <row r="18" spans="1:40" ht="22.35" customHeight="1">
      <c r="A18" s="2073">
        <v>8546</v>
      </c>
      <c r="B18" s="2074" t="s">
        <v>41</v>
      </c>
      <c r="C18" s="2080" t="s">
        <v>36</v>
      </c>
      <c r="D18" s="2084" t="s">
        <v>36</v>
      </c>
      <c r="E18" s="2080" t="s">
        <v>36</v>
      </c>
      <c r="F18" s="2080"/>
      <c r="G18" s="2080"/>
      <c r="H18" s="2080">
        <v>4</v>
      </c>
      <c r="I18" s="2080">
        <v>4</v>
      </c>
      <c r="J18" s="2085">
        <v>4</v>
      </c>
      <c r="K18" s="2085">
        <v>4</v>
      </c>
      <c r="L18" s="2080">
        <v>4</v>
      </c>
      <c r="M18" s="2085" t="s">
        <v>37</v>
      </c>
      <c r="N18" s="2085" t="s">
        <v>37</v>
      </c>
      <c r="O18" s="2080" t="s">
        <v>36</v>
      </c>
      <c r="P18" s="2085" t="s">
        <v>36</v>
      </c>
      <c r="Q18" s="2085" t="s">
        <v>36</v>
      </c>
      <c r="R18" s="2085" t="s">
        <v>36</v>
      </c>
      <c r="S18" s="2085" t="s">
        <v>36</v>
      </c>
      <c r="T18" s="2085"/>
      <c r="U18" s="2077"/>
      <c r="V18" s="2077">
        <v>1</v>
      </c>
      <c r="W18" s="2080">
        <v>1</v>
      </c>
      <c r="X18" s="2080">
        <v>1</v>
      </c>
      <c r="Y18" s="2081">
        <v>1</v>
      </c>
      <c r="Z18" s="2081">
        <v>1</v>
      </c>
      <c r="AA18" s="2080"/>
      <c r="AB18" s="2080"/>
      <c r="AC18" s="2088">
        <v>2</v>
      </c>
      <c r="AD18" s="2080">
        <v>2</v>
      </c>
      <c r="AE18" s="2080">
        <v>2</v>
      </c>
      <c r="AF18" s="2080">
        <v>2</v>
      </c>
      <c r="AG18" s="2082"/>
      <c r="AH18" s="182"/>
      <c r="AI18" s="182"/>
    </row>
    <row r="19" spans="1:40" ht="22.35" customHeight="1" thickBot="1">
      <c r="A19" s="2089" t="s">
        <v>42</v>
      </c>
      <c r="B19" s="2090"/>
      <c r="C19" s="2091"/>
      <c r="D19" s="2091"/>
      <c r="E19" s="2091"/>
      <c r="F19" s="2091"/>
      <c r="G19" s="2091"/>
      <c r="H19" s="2091"/>
      <c r="I19" s="2091"/>
      <c r="J19" s="2091"/>
      <c r="K19" s="2091"/>
      <c r="L19" s="2091"/>
      <c r="M19" s="2091"/>
      <c r="N19" s="2091"/>
      <c r="O19" s="2091"/>
      <c r="P19" s="2091"/>
      <c r="Q19" s="2091"/>
      <c r="R19" s="2091"/>
      <c r="S19" s="2091"/>
      <c r="T19" s="2091"/>
      <c r="U19" s="2091"/>
      <c r="V19" s="2091"/>
      <c r="W19" s="2091"/>
      <c r="X19" s="2091"/>
      <c r="Y19" s="2091"/>
      <c r="Z19" s="2091"/>
      <c r="AA19" s="2091"/>
      <c r="AB19" s="2091"/>
      <c r="AC19" s="2091"/>
      <c r="AD19" s="2091"/>
      <c r="AE19" s="2091"/>
      <c r="AF19" s="2091"/>
      <c r="AG19" s="2092"/>
      <c r="AH19" s="180"/>
      <c r="AI19" s="180"/>
      <c r="AJ19" s="1714" t="s">
        <v>30</v>
      </c>
      <c r="AK19" s="1714" t="s">
        <v>43</v>
      </c>
      <c r="AL19" s="1714" t="s">
        <v>44</v>
      </c>
      <c r="AM19" s="1714" t="s">
        <v>45</v>
      </c>
      <c r="AN19" s="1714" t="s">
        <v>46</v>
      </c>
    </row>
    <row r="20" spans="1:40" ht="22.35" customHeight="1" thickBot="1">
      <c r="A20" s="353">
        <v>8500</v>
      </c>
      <c r="B20" s="354" t="s">
        <v>48</v>
      </c>
      <c r="C20" s="349" t="s">
        <v>32</v>
      </c>
      <c r="D20" s="349" t="s">
        <v>32</v>
      </c>
      <c r="E20" s="1748" t="s">
        <v>32</v>
      </c>
      <c r="F20" s="349"/>
      <c r="G20" s="349"/>
      <c r="H20" s="546" t="s">
        <v>32</v>
      </c>
      <c r="I20" s="546" t="s">
        <v>32</v>
      </c>
      <c r="J20" s="546" t="s">
        <v>32</v>
      </c>
      <c r="K20" s="546" t="s">
        <v>32</v>
      </c>
      <c r="L20" s="546" t="s">
        <v>32</v>
      </c>
      <c r="M20" s="546"/>
      <c r="N20" s="546"/>
      <c r="O20" s="546" t="s">
        <v>32</v>
      </c>
      <c r="P20" s="546" t="s">
        <v>32</v>
      </c>
      <c r="Q20" s="546" t="s">
        <v>32</v>
      </c>
      <c r="R20" s="349" t="s">
        <v>32</v>
      </c>
      <c r="S20" s="349" t="s">
        <v>32</v>
      </c>
      <c r="T20" s="349"/>
      <c r="U20" s="349"/>
      <c r="V20" s="349" t="s">
        <v>32</v>
      </c>
      <c r="W20" s="349" t="s">
        <v>32</v>
      </c>
      <c r="X20" s="349" t="s">
        <v>32</v>
      </c>
      <c r="Y20" s="349" t="s">
        <v>32</v>
      </c>
      <c r="Z20" s="349" t="s">
        <v>32</v>
      </c>
      <c r="AA20" s="349"/>
      <c r="AB20" s="349"/>
      <c r="AC20" s="349" t="s">
        <v>32</v>
      </c>
      <c r="AD20" s="349" t="s">
        <v>32</v>
      </c>
      <c r="AE20" s="349" t="s">
        <v>32</v>
      </c>
      <c r="AF20" s="349" t="s">
        <v>32</v>
      </c>
      <c r="AG20" s="397"/>
      <c r="AH20" s="182"/>
      <c r="AI20" s="182"/>
      <c r="AJ20" s="1742"/>
      <c r="AK20" s="1742"/>
      <c r="AL20" s="1742" t="str">
        <f>IF(AJ20="","",SUM(AJ20:AK20))</f>
        <v/>
      </c>
      <c r="AM20" s="1743" t="str">
        <f>IF(AJ20="","",AL20-NormTid)</f>
        <v/>
      </c>
      <c r="AN20" s="1743" t="str">
        <f>IF(AM20="","",AM20+'August 2021'!AN20)</f>
        <v/>
      </c>
    </row>
    <row r="21" spans="1:40" ht="22.35" customHeight="1">
      <c r="A21" s="1744">
        <v>8500</v>
      </c>
      <c r="B21" s="1745" t="s">
        <v>49</v>
      </c>
      <c r="C21" s="1749" t="s">
        <v>32</v>
      </c>
      <c r="D21" s="349" t="s">
        <v>32</v>
      </c>
      <c r="E21" s="1748" t="s">
        <v>50</v>
      </c>
      <c r="F21" s="1748"/>
      <c r="G21" s="1748"/>
      <c r="H21" s="1748">
        <v>1</v>
      </c>
      <c r="I21" s="1748" t="s">
        <v>32</v>
      </c>
      <c r="J21" s="1748">
        <v>1</v>
      </c>
      <c r="K21" s="1748">
        <v>1</v>
      </c>
      <c r="L21" s="1751">
        <v>1</v>
      </c>
      <c r="M21" s="1748" t="s">
        <v>111</v>
      </c>
      <c r="N21" s="1748" t="s">
        <v>111</v>
      </c>
      <c r="O21" s="1748" t="s">
        <v>32</v>
      </c>
      <c r="P21" s="1748" t="s">
        <v>32</v>
      </c>
      <c r="Q21" s="1748" t="s">
        <v>36</v>
      </c>
      <c r="R21" s="1748" t="s">
        <v>36</v>
      </c>
      <c r="S21" s="1748" t="s">
        <v>50</v>
      </c>
      <c r="T21" s="1748" t="s">
        <v>37</v>
      </c>
      <c r="U21" s="1748" t="s">
        <v>37</v>
      </c>
      <c r="V21" s="615" t="s">
        <v>36</v>
      </c>
      <c r="W21" s="739" t="s">
        <v>36</v>
      </c>
      <c r="X21" s="739" t="s">
        <v>36</v>
      </c>
      <c r="Y21" s="615" t="s">
        <v>32</v>
      </c>
      <c r="Z21" s="615" t="s">
        <v>36</v>
      </c>
      <c r="AA21" s="1748"/>
      <c r="AB21" s="1748"/>
      <c r="AC21" s="2080">
        <v>4</v>
      </c>
      <c r="AD21" s="2085">
        <v>4</v>
      </c>
      <c r="AE21" s="2080">
        <v>4</v>
      </c>
      <c r="AF21" s="2080">
        <v>4</v>
      </c>
      <c r="AG21" s="1756"/>
      <c r="AH21" s="182"/>
      <c r="AI21" s="182"/>
      <c r="AJ21" s="1742">
        <v>143.75</v>
      </c>
      <c r="AK21" s="1742">
        <v>5.5</v>
      </c>
      <c r="AL21" s="1742">
        <f t="shared" ref="AL21:AL23" si="0">IF(AJ21="","",SUM(AJ21:AK21))</f>
        <v>149.25</v>
      </c>
      <c r="AM21" s="1743">
        <f>IF(AJ21="","",AL21-NormTid)</f>
        <v>-11.080000000000013</v>
      </c>
      <c r="AN21" s="1743">
        <f>IF(AM21="","",AM21+'August 2021'!AN21)</f>
        <v>195.17999999999992</v>
      </c>
    </row>
    <row r="22" spans="1:40" ht="22.35" customHeight="1">
      <c r="A22" s="1744">
        <v>8500</v>
      </c>
      <c r="B22" s="1745" t="s">
        <v>51</v>
      </c>
      <c r="C22" s="1747" t="s">
        <v>32</v>
      </c>
      <c r="D22" s="1747" t="s">
        <v>32</v>
      </c>
      <c r="E22" s="1747" t="s">
        <v>32</v>
      </c>
      <c r="F22" s="1747"/>
      <c r="G22" s="1747"/>
      <c r="H22" s="1748" t="s">
        <v>36</v>
      </c>
      <c r="I22" s="1748" t="s">
        <v>36</v>
      </c>
      <c r="J22" s="1748" t="s">
        <v>36</v>
      </c>
      <c r="K22" s="1748" t="s">
        <v>36</v>
      </c>
      <c r="L22" s="1748" t="s">
        <v>36</v>
      </c>
      <c r="M22" s="1748"/>
      <c r="N22" s="1740"/>
      <c r="O22" s="2075">
        <v>2</v>
      </c>
      <c r="P22" s="2085">
        <v>2</v>
      </c>
      <c r="Q22" s="2085">
        <v>2</v>
      </c>
      <c r="R22" s="2080">
        <v>2</v>
      </c>
      <c r="S22" s="2093">
        <v>2</v>
      </c>
      <c r="T22" s="2085" t="s">
        <v>35</v>
      </c>
      <c r="U22" s="2085" t="s">
        <v>35</v>
      </c>
      <c r="V22" s="1748" t="s">
        <v>36</v>
      </c>
      <c r="W22" s="1748" t="s">
        <v>36</v>
      </c>
      <c r="X22" s="1748" t="s">
        <v>36</v>
      </c>
      <c r="Y22" s="1740">
        <v>1</v>
      </c>
      <c r="Z22" s="1748">
        <v>1</v>
      </c>
      <c r="AA22" s="1748"/>
      <c r="AB22" s="1748"/>
      <c r="AC22" s="1748" t="s">
        <v>50</v>
      </c>
      <c r="AD22" s="1748" t="s">
        <v>50</v>
      </c>
      <c r="AE22" s="1748" t="s">
        <v>50</v>
      </c>
      <c r="AF22" s="1748" t="s">
        <v>36</v>
      </c>
      <c r="AG22" s="1756"/>
      <c r="AH22" s="182"/>
      <c r="AI22" s="182"/>
      <c r="AJ22" s="1742">
        <v>125</v>
      </c>
      <c r="AK22" s="1742">
        <v>4.25</v>
      </c>
      <c r="AL22" s="1742">
        <f t="shared" si="0"/>
        <v>129.25</v>
      </c>
      <c r="AM22" s="1743">
        <f>IF(AJ22="","",AL22-NormTid)</f>
        <v>-31.080000000000013</v>
      </c>
      <c r="AN22" s="1743">
        <f>IF(AM22="","",AM22+'August 2021'!AN22)</f>
        <v>104.52999999999994</v>
      </c>
    </row>
    <row r="23" spans="1:40" ht="22.35" customHeight="1">
      <c r="A23" s="1744"/>
      <c r="B23" s="1753"/>
      <c r="C23" s="1748"/>
      <c r="D23" s="1751"/>
      <c r="E23" s="1748"/>
      <c r="F23" s="1748"/>
      <c r="G23" s="1748"/>
      <c r="H23" s="1748"/>
      <c r="I23" s="1748"/>
      <c r="J23" s="1748"/>
      <c r="K23" s="1748"/>
      <c r="L23" s="1748"/>
      <c r="M23" s="1748"/>
      <c r="N23" s="1748"/>
      <c r="O23" s="1754"/>
      <c r="P23" s="1748"/>
      <c r="Q23" s="1748"/>
      <c r="R23" s="1755"/>
      <c r="S23" s="1755"/>
      <c r="T23" s="1748"/>
      <c r="U23" s="1748"/>
      <c r="V23" s="1748"/>
      <c r="W23" s="1748"/>
      <c r="X23" s="1748"/>
      <c r="Y23" s="1748"/>
      <c r="Z23" s="1748"/>
      <c r="AA23" s="1748"/>
      <c r="AB23" s="1748"/>
      <c r="AC23" s="1740"/>
      <c r="AD23" s="1740"/>
      <c r="AE23" s="1740"/>
      <c r="AF23" s="1740"/>
      <c r="AG23" s="1756"/>
      <c r="AJ23" s="1742"/>
      <c r="AK23" s="1742"/>
      <c r="AL23" s="1742" t="str">
        <f t="shared" si="0"/>
        <v/>
      </c>
      <c r="AM23" s="1743" t="str">
        <f>IF(AJ23="","",AL23-NormTid)</f>
        <v/>
      </c>
      <c r="AN23" s="1743" t="str">
        <f>IF(AM23="","",AM23+'August 2021'!AN23)</f>
        <v/>
      </c>
    </row>
    <row r="24" spans="1:40" ht="22.35" customHeight="1" thickBot="1">
      <c r="A24" s="1283"/>
      <c r="B24" s="1757" t="s">
        <v>54</v>
      </c>
      <c r="C24" s="1747" t="s">
        <v>32</v>
      </c>
      <c r="D24" s="1747" t="s">
        <v>32</v>
      </c>
      <c r="E24" s="1747" t="s">
        <v>32</v>
      </c>
      <c r="F24" s="1747"/>
      <c r="G24" s="1747"/>
      <c r="H24" s="1748" t="s">
        <v>32</v>
      </c>
      <c r="I24" s="1748" t="s">
        <v>32</v>
      </c>
      <c r="J24" s="1748" t="s">
        <v>32</v>
      </c>
      <c r="K24" s="1748" t="s">
        <v>32</v>
      </c>
      <c r="L24" s="1748" t="s">
        <v>32</v>
      </c>
      <c r="M24" s="1748"/>
      <c r="N24" s="1740"/>
      <c r="O24" s="1740" t="s">
        <v>32</v>
      </c>
      <c r="P24" s="1740" t="s">
        <v>32</v>
      </c>
      <c r="Q24" s="1751" t="s">
        <v>32</v>
      </c>
      <c r="R24" s="1740" t="s">
        <v>32</v>
      </c>
      <c r="S24" s="1748" t="s">
        <v>32</v>
      </c>
      <c r="T24" s="1748"/>
      <c r="U24" s="1740"/>
      <c r="V24" s="1740" t="s">
        <v>32</v>
      </c>
      <c r="W24" s="1740" t="s">
        <v>32</v>
      </c>
      <c r="X24" s="1748" t="s">
        <v>32</v>
      </c>
      <c r="Y24" s="1740" t="s">
        <v>32</v>
      </c>
      <c r="Z24" s="1748" t="s">
        <v>32</v>
      </c>
      <c r="AA24" s="1748"/>
      <c r="AB24" s="1748"/>
      <c r="AC24" s="1748" t="s">
        <v>32</v>
      </c>
      <c r="AD24" s="1748" t="s">
        <v>32</v>
      </c>
      <c r="AE24" s="1748" t="s">
        <v>32</v>
      </c>
      <c r="AF24" s="1748" t="s">
        <v>32</v>
      </c>
      <c r="AG24" s="1756"/>
    </row>
    <row r="25" spans="1:40" ht="22.35" customHeight="1">
      <c r="A25" s="102"/>
      <c r="C25">
        <v>89</v>
      </c>
      <c r="D25" s="607" t="s">
        <v>0</v>
      </c>
      <c r="E25" s="211"/>
      <c r="H25" s="192" t="s">
        <v>0</v>
      </c>
      <c r="O25" s="192" t="s">
        <v>0</v>
      </c>
      <c r="V25" s="192" t="s">
        <v>0</v>
      </c>
      <c r="W25" s="305" t="s">
        <v>0</v>
      </c>
      <c r="X25" s="305"/>
      <c r="Y25" t="s">
        <v>0</v>
      </c>
      <c r="Z25" s="563" t="s">
        <v>0</v>
      </c>
      <c r="AA25" s="218"/>
      <c r="AB25" s="218"/>
      <c r="AC25" s="192" t="s">
        <v>0</v>
      </c>
      <c r="AD25" s="563" t="s">
        <v>0</v>
      </c>
      <c r="AE25" s="305" t="s">
        <v>0</v>
      </c>
      <c r="AF25" t="s">
        <v>0</v>
      </c>
    </row>
    <row r="26" spans="1:40" ht="22.35" customHeight="1">
      <c r="A26" s="102"/>
      <c r="C26" t="s">
        <v>0</v>
      </c>
      <c r="D26" t="s">
        <v>0</v>
      </c>
      <c r="G26" t="s">
        <v>0</v>
      </c>
      <c r="O26" s="1748"/>
      <c r="P26" s="1748"/>
      <c r="R26" t="s">
        <v>126</v>
      </c>
      <c r="V26" s="563"/>
      <c r="W26" s="740"/>
      <c r="X26" s="740"/>
      <c r="Z26" t="s">
        <v>0</v>
      </c>
      <c r="AA26" s="563" t="s">
        <v>0</v>
      </c>
      <c r="AB26" s="563" t="s">
        <v>0</v>
      </c>
      <c r="AC26" s="563" t="s">
        <v>0</v>
      </c>
      <c r="AD26" s="563" t="s">
        <v>0</v>
      </c>
      <c r="AE26" s="740" t="s">
        <v>0</v>
      </c>
      <c r="AF26" s="740" t="s">
        <v>0</v>
      </c>
    </row>
    <row r="27" spans="1:40" ht="22.35" customHeight="1">
      <c r="A27" s="102"/>
      <c r="X27" s="563" t="s">
        <v>0</v>
      </c>
      <c r="Y27" s="563" t="s">
        <v>0</v>
      </c>
    </row>
    <row r="28" spans="1:40" ht="22.35" customHeight="1">
      <c r="A28" s="102"/>
      <c r="X28" t="s">
        <v>0</v>
      </c>
      <c r="Y28" t="s">
        <v>0</v>
      </c>
      <c r="Z28" t="s">
        <v>0</v>
      </c>
    </row>
    <row r="29" spans="1:40" ht="22.35" customHeight="1">
      <c r="A29" s="102"/>
      <c r="O29" s="1754"/>
      <c r="P29" s="1754"/>
      <c r="Q29" s="1754"/>
      <c r="R29" s="1754"/>
      <c r="S29" s="1754"/>
      <c r="X29" s="563"/>
      <c r="Y29" t="s">
        <v>0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2094" t="s">
        <v>61</v>
      </c>
      <c r="B32" s="2062"/>
      <c r="C32" s="2062"/>
      <c r="D32" s="2095" t="s">
        <v>62</v>
      </c>
      <c r="E32" s="2096"/>
      <c r="F32" s="2049"/>
      <c r="G32" s="2049"/>
      <c r="H32" s="2049"/>
      <c r="I32" s="2049"/>
      <c r="J32" s="2049"/>
      <c r="K32" s="2049"/>
      <c r="L32" s="2057"/>
      <c r="M32" s="2097" t="s">
        <v>63</v>
      </c>
      <c r="N32" s="2062"/>
      <c r="O32" s="2098"/>
      <c r="P32" s="2062"/>
      <c r="Q32" s="2062"/>
      <c r="R32" s="2062"/>
      <c r="S32" s="2099"/>
      <c r="T32" s="2095" t="s">
        <v>64</v>
      </c>
      <c r="U32" s="2049"/>
      <c r="V32" s="2096"/>
      <c r="W32" s="2049"/>
      <c r="X32" s="2049"/>
      <c r="Y32" s="2049"/>
      <c r="Z32" s="2057"/>
      <c r="AA32" s="162" t="s">
        <v>65</v>
      </c>
      <c r="AD32" s="100"/>
      <c r="AG32" s="103"/>
      <c r="AK32" s="1"/>
    </row>
    <row r="33" spans="1:38" ht="22.35" customHeight="1">
      <c r="A33" s="2100" t="s">
        <v>66</v>
      </c>
      <c r="B33" s="2049"/>
      <c r="C33" s="2049"/>
      <c r="D33" s="2101"/>
      <c r="E33" s="2049"/>
      <c r="F33" s="2049"/>
      <c r="G33" s="2057"/>
      <c r="H33" s="2064" t="s">
        <v>67</v>
      </c>
      <c r="I33" s="2049"/>
      <c r="J33" s="2049"/>
      <c r="K33" s="2049"/>
      <c r="L33" s="2049"/>
      <c r="M33" s="2102"/>
      <c r="N33" s="2049"/>
      <c r="O33" s="2049"/>
      <c r="P33" s="2049"/>
      <c r="Q33" s="2049"/>
      <c r="R33" s="2049"/>
      <c r="S33" s="2049"/>
      <c r="T33" s="2101"/>
      <c r="U33" s="161" t="s">
        <v>68</v>
      </c>
      <c r="AA33" s="2098"/>
      <c r="AB33" s="2062"/>
      <c r="AC33" s="2062"/>
      <c r="AD33" s="2062"/>
      <c r="AE33" s="2062"/>
      <c r="AF33" s="2062"/>
      <c r="AG33" s="2103"/>
      <c r="AK33" s="64"/>
    </row>
    <row r="34" spans="1:38" ht="22.35" customHeight="1" thickBot="1">
      <c r="A34" s="2104" t="s">
        <v>69</v>
      </c>
      <c r="B34" s="2105"/>
      <c r="C34" s="2105"/>
      <c r="D34" s="2106"/>
      <c r="E34" s="2105"/>
      <c r="F34" s="2105"/>
      <c r="G34" s="2107"/>
      <c r="H34" s="2108" t="s">
        <v>70</v>
      </c>
      <c r="I34" s="2107"/>
      <c r="J34" s="2105"/>
      <c r="K34" s="2105"/>
      <c r="L34" s="2105"/>
      <c r="M34" s="2109"/>
      <c r="N34" s="2105"/>
      <c r="O34" s="2105"/>
      <c r="P34" s="2105"/>
      <c r="Q34" s="2110"/>
      <c r="R34" s="2110"/>
      <c r="S34" s="2110"/>
      <c r="T34" s="2106"/>
      <c r="U34" s="2111" t="s">
        <v>71</v>
      </c>
      <c r="V34" s="2105"/>
      <c r="W34" s="2105"/>
      <c r="X34" s="2105"/>
      <c r="Y34" s="2105"/>
      <c r="Z34" s="2105"/>
      <c r="AA34" s="2105"/>
      <c r="AB34" s="2105"/>
      <c r="AC34" s="2105"/>
      <c r="AD34" s="2105"/>
      <c r="AE34" s="2105"/>
      <c r="AF34" s="2105"/>
      <c r="AG34" s="2112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2113" t="s">
        <v>28</v>
      </c>
      <c r="B36" s="2114" t="s">
        <v>29</v>
      </c>
      <c r="C36" s="2067">
        <v>1</v>
      </c>
      <c r="D36" s="2067">
        <v>2</v>
      </c>
      <c r="E36" s="2067">
        <v>3</v>
      </c>
      <c r="F36" s="2068">
        <v>4</v>
      </c>
      <c r="G36" s="2068">
        <v>5</v>
      </c>
      <c r="H36" s="2067">
        <v>6</v>
      </c>
      <c r="I36" s="2067">
        <v>7</v>
      </c>
      <c r="J36" s="2067">
        <v>8</v>
      </c>
      <c r="K36" s="2067">
        <v>9</v>
      </c>
      <c r="L36" s="2067">
        <v>10</v>
      </c>
      <c r="M36" s="2068">
        <v>11</v>
      </c>
      <c r="N36" s="2068">
        <v>12</v>
      </c>
      <c r="O36" s="2067">
        <v>13</v>
      </c>
      <c r="P36" s="2067">
        <v>14</v>
      </c>
      <c r="Q36" s="2067">
        <v>15</v>
      </c>
      <c r="R36" s="2067">
        <v>16</v>
      </c>
      <c r="S36" s="2067">
        <v>17</v>
      </c>
      <c r="T36" s="2068">
        <v>18</v>
      </c>
      <c r="U36" s="2068">
        <v>19</v>
      </c>
      <c r="V36" s="2067">
        <v>20</v>
      </c>
      <c r="W36" s="2067">
        <v>21</v>
      </c>
      <c r="X36" s="2067">
        <v>22</v>
      </c>
      <c r="Y36" s="2067">
        <v>23</v>
      </c>
      <c r="Z36" s="2067">
        <v>24</v>
      </c>
      <c r="AA36" s="2068">
        <v>25</v>
      </c>
      <c r="AB36" s="2068">
        <v>26</v>
      </c>
      <c r="AC36" s="2067">
        <v>27</v>
      </c>
      <c r="AD36" s="2067">
        <v>28</v>
      </c>
      <c r="AE36" s="2067">
        <v>29</v>
      </c>
      <c r="AF36" s="2067">
        <v>30</v>
      </c>
      <c r="AG36" s="2069"/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568">
        <v>11</v>
      </c>
      <c r="D37" s="583">
        <v>11</v>
      </c>
      <c r="E37" s="568">
        <v>11</v>
      </c>
      <c r="F37" s="568" t="s">
        <v>73</v>
      </c>
      <c r="G37" s="568" t="s">
        <v>73</v>
      </c>
      <c r="H37" s="552" t="s">
        <v>363</v>
      </c>
      <c r="I37" s="400" t="s">
        <v>36</v>
      </c>
      <c r="J37" s="400" t="s">
        <v>36</v>
      </c>
      <c r="K37" s="400" t="s">
        <v>36</v>
      </c>
      <c r="L37" s="361" t="s">
        <v>36</v>
      </c>
      <c r="M37" s="361" t="s">
        <v>74</v>
      </c>
      <c r="N37" s="361" t="s">
        <v>74</v>
      </c>
      <c r="O37" s="349">
        <v>8</v>
      </c>
      <c r="P37" s="361">
        <v>8</v>
      </c>
      <c r="Q37" s="574">
        <v>8</v>
      </c>
      <c r="R37" s="349">
        <v>8</v>
      </c>
      <c r="S37" s="361">
        <v>8</v>
      </c>
      <c r="T37" s="361"/>
      <c r="U37" s="361"/>
      <c r="V37" s="361" t="s">
        <v>36</v>
      </c>
      <c r="W37" s="602" t="s">
        <v>348</v>
      </c>
      <c r="X37" s="739" t="s">
        <v>36</v>
      </c>
      <c r="Y37" s="574" t="s">
        <v>36</v>
      </c>
      <c r="Z37" s="615">
        <v>25</v>
      </c>
      <c r="AA37" s="361"/>
      <c r="AB37" s="350"/>
      <c r="AC37" s="350">
        <v>1</v>
      </c>
      <c r="AD37" s="350">
        <v>1</v>
      </c>
      <c r="AE37" s="361">
        <v>1</v>
      </c>
      <c r="AF37" s="361">
        <v>1</v>
      </c>
      <c r="AG37" s="362"/>
      <c r="AH37" s="181"/>
      <c r="AI37" s="182"/>
    </row>
    <row r="38" spans="1:38" ht="22.35" customHeight="1">
      <c r="A38" s="2115">
        <v>6</v>
      </c>
      <c r="B38" s="1757" t="s">
        <v>75</v>
      </c>
      <c r="C38" s="2075">
        <v>9</v>
      </c>
      <c r="D38" s="2075">
        <v>9</v>
      </c>
      <c r="E38" s="2075">
        <v>9</v>
      </c>
      <c r="F38" s="2075" t="s">
        <v>76</v>
      </c>
      <c r="G38" s="2075" t="s">
        <v>77</v>
      </c>
      <c r="H38" s="2075" t="s">
        <v>36</v>
      </c>
      <c r="I38" s="2075" t="s">
        <v>36</v>
      </c>
      <c r="J38" s="2075" t="s">
        <v>36</v>
      </c>
      <c r="K38" s="2075" t="s">
        <v>36</v>
      </c>
      <c r="L38" s="2075" t="s">
        <v>36</v>
      </c>
      <c r="M38" s="2116" t="s">
        <v>78</v>
      </c>
      <c r="N38" s="2116" t="s">
        <v>74</v>
      </c>
      <c r="O38" s="2075">
        <v>6</v>
      </c>
      <c r="P38" s="2075">
        <v>6</v>
      </c>
      <c r="Q38" s="2075">
        <v>6</v>
      </c>
      <c r="R38" s="2075">
        <v>6</v>
      </c>
      <c r="S38" s="2117">
        <v>6</v>
      </c>
      <c r="T38" s="2075"/>
      <c r="U38" s="2075"/>
      <c r="V38" s="2075" t="s">
        <v>36</v>
      </c>
      <c r="W38" s="2075" t="s">
        <v>36</v>
      </c>
      <c r="X38" s="2075" t="s">
        <v>36</v>
      </c>
      <c r="Y38" s="2118" t="s">
        <v>52</v>
      </c>
      <c r="Z38" s="2075" t="s">
        <v>36</v>
      </c>
      <c r="AA38" s="2075"/>
      <c r="AB38" s="2075"/>
      <c r="AC38" s="2075">
        <v>5</v>
      </c>
      <c r="AD38" s="2075">
        <v>5</v>
      </c>
      <c r="AE38" s="2075">
        <v>5</v>
      </c>
      <c r="AF38" s="2075">
        <v>5</v>
      </c>
      <c r="AG38" s="2119"/>
      <c r="AH38" s="181"/>
      <c r="AI38" s="182"/>
    </row>
    <row r="39" spans="1:38" ht="22.35" customHeight="1" thickBot="1">
      <c r="A39" s="2120">
        <v>11</v>
      </c>
      <c r="B39" s="2121" t="s">
        <v>79</v>
      </c>
      <c r="C39" s="2067">
        <v>10</v>
      </c>
      <c r="D39" s="2122">
        <v>10</v>
      </c>
      <c r="E39" s="2122">
        <v>10</v>
      </c>
      <c r="F39" s="2122" t="s">
        <v>77</v>
      </c>
      <c r="G39" s="2122" t="s">
        <v>77</v>
      </c>
      <c r="H39" s="2122" t="s">
        <v>36</v>
      </c>
      <c r="I39" s="2123" t="s">
        <v>36</v>
      </c>
      <c r="J39" s="2123" t="s">
        <v>36</v>
      </c>
      <c r="K39" s="2123" t="s">
        <v>36</v>
      </c>
      <c r="L39" s="2123" t="s">
        <v>36</v>
      </c>
      <c r="M39" s="2123" t="s">
        <v>80</v>
      </c>
      <c r="N39" s="2123" t="s">
        <v>80</v>
      </c>
      <c r="O39" s="2123">
        <v>7</v>
      </c>
      <c r="P39" s="2122">
        <v>7</v>
      </c>
      <c r="Q39" s="2067">
        <v>7</v>
      </c>
      <c r="R39" s="2067">
        <v>7</v>
      </c>
      <c r="S39" s="2122">
        <v>7</v>
      </c>
      <c r="T39" s="2124"/>
      <c r="U39" s="2124"/>
      <c r="V39" s="2124">
        <v>4</v>
      </c>
      <c r="W39" s="2124">
        <v>4</v>
      </c>
      <c r="X39" s="2124">
        <v>4</v>
      </c>
      <c r="Y39" s="2122">
        <v>4</v>
      </c>
      <c r="Z39" s="2122">
        <v>4</v>
      </c>
      <c r="AA39" s="2122"/>
      <c r="AB39" s="2125"/>
      <c r="AC39" s="2125">
        <v>3</v>
      </c>
      <c r="AD39" s="2125">
        <v>3</v>
      </c>
      <c r="AE39" s="2122">
        <v>3</v>
      </c>
      <c r="AF39" s="2122">
        <v>3</v>
      </c>
      <c r="AG39" s="2126"/>
      <c r="AH39" s="181"/>
      <c r="AI39" s="182"/>
    </row>
    <row r="40" spans="1:38" ht="22.35" customHeight="1">
      <c r="A40" s="359">
        <v>2</v>
      </c>
      <c r="B40" s="175" t="s">
        <v>81</v>
      </c>
      <c r="C40" s="349" t="s">
        <v>36</v>
      </c>
      <c r="D40" s="349" t="s">
        <v>36</v>
      </c>
      <c r="E40" s="349" t="s">
        <v>36</v>
      </c>
      <c r="F40" s="349" t="s">
        <v>74</v>
      </c>
      <c r="G40" s="349" t="s">
        <v>74</v>
      </c>
      <c r="H40" s="361">
        <v>8</v>
      </c>
      <c r="I40" s="361">
        <v>8</v>
      </c>
      <c r="J40" s="349">
        <v>8</v>
      </c>
      <c r="K40" s="349">
        <v>8</v>
      </c>
      <c r="L40" s="361">
        <v>8</v>
      </c>
      <c r="M40" s="361"/>
      <c r="N40" s="361"/>
      <c r="O40" s="350" t="s">
        <v>36</v>
      </c>
      <c r="P40" s="361" t="s">
        <v>36</v>
      </c>
      <c r="Q40" s="350" t="s">
        <v>36</v>
      </c>
      <c r="R40" s="350" t="s">
        <v>36</v>
      </c>
      <c r="S40" s="349" t="s">
        <v>36</v>
      </c>
      <c r="T40" s="350"/>
      <c r="U40" s="350"/>
      <c r="V40" s="350">
        <v>1</v>
      </c>
      <c r="W40" s="350">
        <v>1</v>
      </c>
      <c r="X40" s="350">
        <v>1</v>
      </c>
      <c r="Y40" s="361">
        <v>1</v>
      </c>
      <c r="Z40" s="361">
        <v>1</v>
      </c>
      <c r="AA40" s="361"/>
      <c r="AB40" s="361"/>
      <c r="AC40" s="350">
        <v>9</v>
      </c>
      <c r="AD40" s="350">
        <v>9</v>
      </c>
      <c r="AE40" s="361">
        <v>9</v>
      </c>
      <c r="AF40" s="361">
        <v>9</v>
      </c>
      <c r="AG40" s="362"/>
      <c r="AH40" s="181"/>
      <c r="AI40" s="182"/>
    </row>
    <row r="41" spans="1:38" ht="22.35" customHeight="1">
      <c r="A41" s="2115">
        <v>7</v>
      </c>
      <c r="B41" s="2083" t="s">
        <v>82</v>
      </c>
      <c r="C41" s="2085" t="s">
        <v>36</v>
      </c>
      <c r="D41" s="2085" t="s">
        <v>36</v>
      </c>
      <c r="E41" s="2085" t="s">
        <v>36</v>
      </c>
      <c r="F41" s="2085" t="s">
        <v>78</v>
      </c>
      <c r="G41" s="2127" t="s">
        <v>74</v>
      </c>
      <c r="H41" s="2127">
        <v>6</v>
      </c>
      <c r="I41" s="2128">
        <v>6</v>
      </c>
      <c r="J41" s="2128">
        <v>6</v>
      </c>
      <c r="K41" s="2128">
        <v>6</v>
      </c>
      <c r="L41" s="2128">
        <v>6</v>
      </c>
      <c r="M41" s="2128"/>
      <c r="N41" s="2128"/>
      <c r="O41" s="2128" t="s">
        <v>36</v>
      </c>
      <c r="P41" s="2085" t="s">
        <v>36</v>
      </c>
      <c r="Q41" s="2085" t="s">
        <v>36</v>
      </c>
      <c r="R41" s="2085" t="s">
        <v>36</v>
      </c>
      <c r="S41" s="2085" t="s">
        <v>36</v>
      </c>
      <c r="T41" s="2085"/>
      <c r="U41" s="2129"/>
      <c r="V41" s="2129">
        <v>5</v>
      </c>
      <c r="W41" s="2129">
        <v>5</v>
      </c>
      <c r="X41" s="2127">
        <v>5</v>
      </c>
      <c r="Y41" s="2127">
        <v>5</v>
      </c>
      <c r="Z41" s="2127">
        <v>5</v>
      </c>
      <c r="AA41" s="2127"/>
      <c r="AB41" s="2127"/>
      <c r="AC41" s="2127">
        <v>10</v>
      </c>
      <c r="AD41" s="2127">
        <v>10</v>
      </c>
      <c r="AE41" s="2127">
        <v>10</v>
      </c>
      <c r="AF41" s="2127">
        <v>10</v>
      </c>
      <c r="AG41" s="2130"/>
      <c r="AH41" s="181"/>
      <c r="AI41" s="182"/>
    </row>
    <row r="42" spans="1:38" ht="22.35" customHeight="1" thickBot="1">
      <c r="A42" s="2120">
        <v>12</v>
      </c>
      <c r="B42" s="2131" t="s">
        <v>83</v>
      </c>
      <c r="C42" s="2132" t="s">
        <v>36</v>
      </c>
      <c r="D42" s="2132" t="s">
        <v>36</v>
      </c>
      <c r="E42" s="2132" t="s">
        <v>36</v>
      </c>
      <c r="F42" s="2132" t="s">
        <v>80</v>
      </c>
      <c r="G42" s="2132" t="s">
        <v>80</v>
      </c>
      <c r="H42" s="2132">
        <v>7</v>
      </c>
      <c r="I42" s="2132">
        <v>7</v>
      </c>
      <c r="J42" s="2132">
        <v>7</v>
      </c>
      <c r="K42" s="2132">
        <v>7</v>
      </c>
      <c r="L42" s="2132">
        <v>7</v>
      </c>
      <c r="M42" s="2132"/>
      <c r="N42" s="2132"/>
      <c r="O42" s="2132">
        <v>4</v>
      </c>
      <c r="P42" s="2132">
        <v>4</v>
      </c>
      <c r="Q42" s="2132">
        <v>4</v>
      </c>
      <c r="R42" s="2132">
        <v>4</v>
      </c>
      <c r="S42" s="2132">
        <v>4</v>
      </c>
      <c r="T42" s="2132"/>
      <c r="U42" s="2132"/>
      <c r="V42" s="2132">
        <v>3</v>
      </c>
      <c r="W42" s="2132">
        <v>3</v>
      </c>
      <c r="X42" s="2132">
        <v>3</v>
      </c>
      <c r="Y42" s="2132">
        <v>3</v>
      </c>
      <c r="Z42" s="2132">
        <v>3</v>
      </c>
      <c r="AA42" s="2132"/>
      <c r="AB42" s="2132"/>
      <c r="AC42" s="2132">
        <v>11</v>
      </c>
      <c r="AD42" s="2132">
        <v>11</v>
      </c>
      <c r="AE42" s="2132">
        <v>11</v>
      </c>
      <c r="AF42" s="2132">
        <v>11</v>
      </c>
      <c r="AG42" s="2069"/>
      <c r="AH42" s="181"/>
      <c r="AI42" s="182"/>
    </row>
    <row r="43" spans="1:38" ht="22.35" customHeight="1">
      <c r="A43" s="359">
        <v>3</v>
      </c>
      <c r="B43" s="363" t="s">
        <v>84</v>
      </c>
      <c r="C43" s="541">
        <v>8</v>
      </c>
      <c r="D43" s="541">
        <v>8</v>
      </c>
      <c r="E43" s="541">
        <v>8</v>
      </c>
      <c r="F43" s="541"/>
      <c r="G43" s="541"/>
      <c r="H43" s="361" t="s">
        <v>36</v>
      </c>
      <c r="I43" s="361" t="s">
        <v>36</v>
      </c>
      <c r="J43" s="350" t="s">
        <v>36</v>
      </c>
      <c r="K43" s="350" t="s">
        <v>36</v>
      </c>
      <c r="L43" s="350" t="s">
        <v>36</v>
      </c>
      <c r="M43" s="350"/>
      <c r="N43" s="350"/>
      <c r="O43" s="547">
        <v>1</v>
      </c>
      <c r="P43" s="547">
        <v>1</v>
      </c>
      <c r="Q43" s="547">
        <v>1</v>
      </c>
      <c r="R43" s="550">
        <v>1</v>
      </c>
      <c r="S43" s="550">
        <v>1</v>
      </c>
      <c r="T43" s="361"/>
      <c r="U43" s="361"/>
      <c r="V43" s="350">
        <v>9</v>
      </c>
      <c r="W43" s="350">
        <v>9</v>
      </c>
      <c r="X43" s="349">
        <v>9</v>
      </c>
      <c r="Y43" s="361">
        <v>9</v>
      </c>
      <c r="Z43" s="361">
        <v>9</v>
      </c>
      <c r="AA43" s="361" t="s">
        <v>76</v>
      </c>
      <c r="AB43" s="361" t="s">
        <v>77</v>
      </c>
      <c r="AC43" s="364" t="s">
        <v>36</v>
      </c>
      <c r="AD43" s="361" t="s">
        <v>36</v>
      </c>
      <c r="AE43" s="361" t="s">
        <v>36</v>
      </c>
      <c r="AF43" s="361" t="s">
        <v>36</v>
      </c>
      <c r="AG43" s="362"/>
      <c r="AH43" s="181"/>
      <c r="AI43" s="182"/>
    </row>
    <row r="44" spans="1:38" ht="22.35" customHeight="1">
      <c r="A44" s="2115">
        <v>8</v>
      </c>
      <c r="B44" s="2083" t="s">
        <v>85</v>
      </c>
      <c r="C44" s="2078">
        <v>6</v>
      </c>
      <c r="D44" s="2081">
        <v>6</v>
      </c>
      <c r="E44" s="2081">
        <v>6</v>
      </c>
      <c r="F44" s="2081"/>
      <c r="G44" s="2081"/>
      <c r="H44" s="2085" t="s">
        <v>36</v>
      </c>
      <c r="I44" s="2127" t="s">
        <v>36</v>
      </c>
      <c r="J44" s="2077" t="s">
        <v>36</v>
      </c>
      <c r="K44" s="2075" t="s">
        <v>36</v>
      </c>
      <c r="L44" s="2075" t="s">
        <v>36</v>
      </c>
      <c r="M44" s="2075"/>
      <c r="N44" s="2085"/>
      <c r="O44" s="2133">
        <v>5</v>
      </c>
      <c r="P44" s="2133">
        <v>5</v>
      </c>
      <c r="Q44" s="2133">
        <v>5</v>
      </c>
      <c r="R44" s="2133">
        <v>5</v>
      </c>
      <c r="S44" s="2133">
        <v>5</v>
      </c>
      <c r="T44" s="2127"/>
      <c r="U44" s="2127"/>
      <c r="V44" s="2127">
        <v>10</v>
      </c>
      <c r="W44" s="2127">
        <v>10</v>
      </c>
      <c r="X44" s="2077">
        <v>10</v>
      </c>
      <c r="Y44" s="2134">
        <v>10</v>
      </c>
      <c r="Z44" s="2134">
        <v>10</v>
      </c>
      <c r="AA44" s="2134" t="s">
        <v>77</v>
      </c>
      <c r="AB44" s="2134" t="s">
        <v>364</v>
      </c>
      <c r="AC44" s="2127" t="s">
        <v>36</v>
      </c>
      <c r="AD44" s="2085" t="s">
        <v>36</v>
      </c>
      <c r="AE44" s="2085" t="s">
        <v>36</v>
      </c>
      <c r="AF44" s="2093" t="s">
        <v>36</v>
      </c>
      <c r="AG44" s="2130"/>
      <c r="AH44" s="181"/>
      <c r="AI44" s="182"/>
    </row>
    <row r="45" spans="1:38" ht="22.35" customHeight="1" thickBot="1">
      <c r="A45" s="2120">
        <v>13</v>
      </c>
      <c r="B45" s="2121" t="s">
        <v>86</v>
      </c>
      <c r="C45" s="2067">
        <v>7</v>
      </c>
      <c r="D45" s="2067">
        <v>7</v>
      </c>
      <c r="E45" s="2122">
        <v>7</v>
      </c>
      <c r="F45" s="2122"/>
      <c r="G45" s="2122"/>
      <c r="H45" s="2122">
        <v>4</v>
      </c>
      <c r="I45" s="2122">
        <v>4</v>
      </c>
      <c r="J45" s="2067">
        <v>4</v>
      </c>
      <c r="K45" s="2122">
        <v>4</v>
      </c>
      <c r="L45" s="2125">
        <v>4</v>
      </c>
      <c r="M45" s="2122"/>
      <c r="N45" s="2125"/>
      <c r="O45" s="2125">
        <v>3</v>
      </c>
      <c r="P45" s="2125">
        <v>3</v>
      </c>
      <c r="Q45" s="2122">
        <v>3</v>
      </c>
      <c r="R45" s="2122">
        <v>3</v>
      </c>
      <c r="S45" s="2122">
        <v>3</v>
      </c>
      <c r="T45" s="2122"/>
      <c r="U45" s="2122"/>
      <c r="V45" s="2135">
        <v>11</v>
      </c>
      <c r="W45" s="2135">
        <v>11</v>
      </c>
      <c r="X45" s="2135">
        <v>11</v>
      </c>
      <c r="Y45" s="2067">
        <v>11</v>
      </c>
      <c r="Z45" s="2122">
        <v>11</v>
      </c>
      <c r="AA45" s="2122" t="s">
        <v>73</v>
      </c>
      <c r="AB45" s="2122" t="s">
        <v>73</v>
      </c>
      <c r="AC45" s="2122" t="s">
        <v>36</v>
      </c>
      <c r="AD45" s="2122" t="s">
        <v>36</v>
      </c>
      <c r="AE45" s="2067" t="s">
        <v>36</v>
      </c>
      <c r="AF45" s="2122" t="s">
        <v>36</v>
      </c>
      <c r="AG45" s="2126"/>
      <c r="AH45" s="181"/>
      <c r="AI45" s="182"/>
    </row>
    <row r="46" spans="1:38" ht="22.35" customHeight="1">
      <c r="A46" s="359">
        <v>4</v>
      </c>
      <c r="B46" s="360" t="s">
        <v>87</v>
      </c>
      <c r="C46" s="541" t="s">
        <v>36</v>
      </c>
      <c r="D46" s="541" t="s">
        <v>36</v>
      </c>
      <c r="E46" s="541" t="s">
        <v>36</v>
      </c>
      <c r="F46" s="541"/>
      <c r="G46" s="541"/>
      <c r="H46" s="349">
        <v>1</v>
      </c>
      <c r="I46" s="349">
        <v>1</v>
      </c>
      <c r="J46" s="349">
        <v>1</v>
      </c>
      <c r="K46" s="349">
        <v>1</v>
      </c>
      <c r="L46" s="349">
        <v>1</v>
      </c>
      <c r="M46" s="349"/>
      <c r="N46" s="349"/>
      <c r="O46" s="349">
        <v>9</v>
      </c>
      <c r="P46" s="349">
        <v>9</v>
      </c>
      <c r="Q46" s="349">
        <v>9</v>
      </c>
      <c r="R46" s="349">
        <v>9</v>
      </c>
      <c r="S46" s="349">
        <v>9</v>
      </c>
      <c r="T46" s="361" t="s">
        <v>76</v>
      </c>
      <c r="U46" s="361" t="s">
        <v>77</v>
      </c>
      <c r="V46" s="364" t="s">
        <v>36</v>
      </c>
      <c r="W46" s="361" t="s">
        <v>36</v>
      </c>
      <c r="X46" s="361" t="s">
        <v>36</v>
      </c>
      <c r="Y46" s="349" t="s">
        <v>36</v>
      </c>
      <c r="Z46" s="361" t="s">
        <v>36</v>
      </c>
      <c r="AA46" s="361" t="s">
        <v>78</v>
      </c>
      <c r="AB46" s="361" t="s">
        <v>74</v>
      </c>
      <c r="AC46" s="361">
        <v>6</v>
      </c>
      <c r="AD46" s="361">
        <v>6</v>
      </c>
      <c r="AE46" s="350">
        <v>6</v>
      </c>
      <c r="AF46" s="361">
        <v>6</v>
      </c>
      <c r="AG46" s="362"/>
      <c r="AH46" s="181"/>
      <c r="AI46" s="182"/>
    </row>
    <row r="47" spans="1:38" ht="22.35" customHeight="1">
      <c r="A47" s="2115">
        <v>9</v>
      </c>
      <c r="B47" s="2083" t="s">
        <v>88</v>
      </c>
      <c r="C47" s="2127" t="s">
        <v>36</v>
      </c>
      <c r="D47" s="2127" t="s">
        <v>36</v>
      </c>
      <c r="E47" s="2127" t="s">
        <v>36</v>
      </c>
      <c r="F47" s="2127"/>
      <c r="G47" s="2127"/>
      <c r="H47" s="2127">
        <v>5</v>
      </c>
      <c r="I47" s="2127">
        <v>5</v>
      </c>
      <c r="J47" s="2127">
        <v>5</v>
      </c>
      <c r="K47" s="2127">
        <v>5</v>
      </c>
      <c r="L47" s="2127">
        <v>5</v>
      </c>
      <c r="M47" s="2127"/>
      <c r="N47" s="2127"/>
      <c r="O47" s="2127">
        <v>10</v>
      </c>
      <c r="P47" s="2127">
        <v>10</v>
      </c>
      <c r="Q47" s="2077">
        <v>10</v>
      </c>
      <c r="R47" s="2127">
        <v>10</v>
      </c>
      <c r="S47" s="2127">
        <v>10</v>
      </c>
      <c r="T47" s="2127" t="s">
        <v>77</v>
      </c>
      <c r="U47" s="2127" t="s">
        <v>77</v>
      </c>
      <c r="V47" s="2127" t="s">
        <v>36</v>
      </c>
      <c r="W47" s="2127" t="s">
        <v>36</v>
      </c>
      <c r="X47" s="2127" t="s">
        <v>36</v>
      </c>
      <c r="Y47" s="2127" t="s">
        <v>36</v>
      </c>
      <c r="Z47" s="2127" t="s">
        <v>36</v>
      </c>
      <c r="AA47" s="2127" t="s">
        <v>80</v>
      </c>
      <c r="AB47" s="2127" t="s">
        <v>80</v>
      </c>
      <c r="AC47" s="2127">
        <v>7</v>
      </c>
      <c r="AD47" s="2127">
        <v>7</v>
      </c>
      <c r="AE47" s="2127">
        <v>7</v>
      </c>
      <c r="AF47" s="2127">
        <v>7</v>
      </c>
      <c r="AG47" s="2130"/>
      <c r="AH47" s="181"/>
      <c r="AI47" s="182"/>
    </row>
    <row r="48" spans="1:38" ht="22.35" customHeight="1" thickBot="1">
      <c r="A48" s="2120">
        <v>14</v>
      </c>
      <c r="B48" s="2121" t="s">
        <v>89</v>
      </c>
      <c r="C48" s="2136">
        <v>4</v>
      </c>
      <c r="D48" s="2136">
        <v>4</v>
      </c>
      <c r="E48" s="2136">
        <v>4</v>
      </c>
      <c r="F48" s="2122"/>
      <c r="G48" s="2125"/>
      <c r="H48" s="2137">
        <v>3</v>
      </c>
      <c r="I48" s="2137">
        <v>3</v>
      </c>
      <c r="J48" s="2138">
        <v>3</v>
      </c>
      <c r="K48" s="2138">
        <v>3</v>
      </c>
      <c r="L48" s="2138">
        <v>3</v>
      </c>
      <c r="M48" s="2122"/>
      <c r="N48" s="2122"/>
      <c r="O48" s="2067">
        <v>11</v>
      </c>
      <c r="P48" s="2122">
        <v>11</v>
      </c>
      <c r="Q48" s="2122">
        <v>11</v>
      </c>
      <c r="R48" s="2067">
        <v>11</v>
      </c>
      <c r="S48" s="2122">
        <v>11</v>
      </c>
      <c r="T48" s="2122" t="s">
        <v>73</v>
      </c>
      <c r="U48" s="2122" t="s">
        <v>73</v>
      </c>
      <c r="V48" s="2122" t="s">
        <v>36</v>
      </c>
      <c r="W48" s="2122" t="s">
        <v>36</v>
      </c>
      <c r="X48" s="2067" t="s">
        <v>36</v>
      </c>
      <c r="Y48" s="2122" t="s">
        <v>36</v>
      </c>
      <c r="Z48" s="2122" t="s">
        <v>36</v>
      </c>
      <c r="AA48" s="2139" t="s">
        <v>74</v>
      </c>
      <c r="AB48" s="2139" t="s">
        <v>74</v>
      </c>
      <c r="AC48" s="2140">
        <v>8</v>
      </c>
      <c r="AD48" s="2139">
        <v>8</v>
      </c>
      <c r="AE48" s="2139">
        <v>8</v>
      </c>
      <c r="AF48" s="2140">
        <v>8</v>
      </c>
      <c r="AG48" s="2069"/>
      <c r="AH48" s="181"/>
      <c r="AI48" s="182"/>
    </row>
    <row r="49" spans="1:40" ht="22.35" customHeight="1">
      <c r="A49" s="359">
        <v>5</v>
      </c>
      <c r="B49" s="2083" t="s">
        <v>90</v>
      </c>
      <c r="C49" s="350">
        <v>1</v>
      </c>
      <c r="D49" s="361">
        <v>1</v>
      </c>
      <c r="E49" s="361">
        <v>1</v>
      </c>
      <c r="F49" s="350"/>
      <c r="G49" s="350"/>
      <c r="H49" s="541">
        <v>9</v>
      </c>
      <c r="I49" s="541">
        <v>9</v>
      </c>
      <c r="J49" s="541">
        <v>9</v>
      </c>
      <c r="K49" s="541">
        <v>9</v>
      </c>
      <c r="L49" s="541">
        <v>9</v>
      </c>
      <c r="M49" s="541" t="s">
        <v>76</v>
      </c>
      <c r="N49" s="541" t="s">
        <v>77</v>
      </c>
      <c r="O49" s="541" t="s">
        <v>36</v>
      </c>
      <c r="P49" s="541" t="s">
        <v>36</v>
      </c>
      <c r="Q49" s="541" t="s">
        <v>36</v>
      </c>
      <c r="R49" s="541" t="s">
        <v>36</v>
      </c>
      <c r="S49" s="541" t="s">
        <v>36</v>
      </c>
      <c r="T49" s="541" t="s">
        <v>78</v>
      </c>
      <c r="U49" s="541" t="s">
        <v>74</v>
      </c>
      <c r="V49" s="541">
        <v>6</v>
      </c>
      <c r="W49" s="541">
        <v>6</v>
      </c>
      <c r="X49" s="541">
        <v>6</v>
      </c>
      <c r="Y49" s="541">
        <v>6</v>
      </c>
      <c r="Z49" s="541">
        <v>6</v>
      </c>
      <c r="AA49" s="541"/>
      <c r="AB49" s="541"/>
      <c r="AC49" s="350" t="s">
        <v>36</v>
      </c>
      <c r="AD49" s="361" t="s">
        <v>36</v>
      </c>
      <c r="AE49" s="361" t="s">
        <v>36</v>
      </c>
      <c r="AF49" s="349" t="s">
        <v>36</v>
      </c>
      <c r="AG49" s="352"/>
      <c r="AH49" s="181"/>
      <c r="AI49" s="182"/>
    </row>
    <row r="50" spans="1:40" ht="22.35" customHeight="1">
      <c r="A50" s="2115">
        <v>10</v>
      </c>
      <c r="B50" s="2083" t="s">
        <v>91</v>
      </c>
      <c r="C50" s="2127">
        <v>5</v>
      </c>
      <c r="D50" s="2127">
        <v>5</v>
      </c>
      <c r="E50" s="2127">
        <v>5</v>
      </c>
      <c r="F50" s="2085"/>
      <c r="G50" s="2075"/>
      <c r="H50" s="2075">
        <v>10</v>
      </c>
      <c r="I50" s="2075">
        <v>10</v>
      </c>
      <c r="J50" s="2075">
        <v>10</v>
      </c>
      <c r="K50" s="2075">
        <v>10</v>
      </c>
      <c r="L50" s="2075">
        <v>10</v>
      </c>
      <c r="M50" s="2075" t="s">
        <v>77</v>
      </c>
      <c r="N50" s="2075" t="s">
        <v>77</v>
      </c>
      <c r="O50" s="2075" t="s">
        <v>36</v>
      </c>
      <c r="P50" s="2075" t="s">
        <v>36</v>
      </c>
      <c r="Q50" s="2075" t="s">
        <v>36</v>
      </c>
      <c r="R50" s="2075" t="s">
        <v>36</v>
      </c>
      <c r="S50" s="2075" t="s">
        <v>36</v>
      </c>
      <c r="T50" s="2075" t="s">
        <v>80</v>
      </c>
      <c r="U50" s="2075" t="s">
        <v>80</v>
      </c>
      <c r="V50" s="2075">
        <v>7</v>
      </c>
      <c r="W50" s="2085">
        <v>7</v>
      </c>
      <c r="X50" s="2127">
        <v>7</v>
      </c>
      <c r="Y50" s="2077">
        <v>7</v>
      </c>
      <c r="Z50" s="2127">
        <v>7</v>
      </c>
      <c r="AA50" s="2127"/>
      <c r="AB50" s="2127"/>
      <c r="AC50" s="2127">
        <v>4</v>
      </c>
      <c r="AD50" s="2127">
        <v>4</v>
      </c>
      <c r="AE50" s="2127">
        <v>4</v>
      </c>
      <c r="AF50" s="2127">
        <v>4</v>
      </c>
      <c r="AG50" s="2130"/>
      <c r="AH50" s="181"/>
      <c r="AI50" s="182"/>
    </row>
    <row r="51" spans="1:40" ht="22.35" customHeight="1" thickBot="1">
      <c r="A51" s="2120">
        <v>15</v>
      </c>
      <c r="B51" s="2121" t="s">
        <v>92</v>
      </c>
      <c r="C51" s="2135">
        <v>3</v>
      </c>
      <c r="D51" s="2135">
        <v>3</v>
      </c>
      <c r="E51" s="2135">
        <v>3</v>
      </c>
      <c r="F51" s="2135"/>
      <c r="G51" s="2135"/>
      <c r="H51" s="2125">
        <v>11</v>
      </c>
      <c r="I51" s="2125">
        <v>11</v>
      </c>
      <c r="J51" s="2125">
        <v>11</v>
      </c>
      <c r="K51" s="2067">
        <v>11</v>
      </c>
      <c r="L51" s="2122">
        <v>11</v>
      </c>
      <c r="M51" s="2122" t="s">
        <v>73</v>
      </c>
      <c r="N51" s="2122" t="s">
        <v>73</v>
      </c>
      <c r="O51" s="2122" t="s">
        <v>36</v>
      </c>
      <c r="P51" s="2122" t="s">
        <v>36</v>
      </c>
      <c r="Q51" s="2067" t="s">
        <v>36</v>
      </c>
      <c r="R51" s="2122" t="s">
        <v>36</v>
      </c>
      <c r="S51" s="2122" t="s">
        <v>36</v>
      </c>
      <c r="T51" s="2122" t="s">
        <v>74</v>
      </c>
      <c r="U51" s="2122" t="s">
        <v>74</v>
      </c>
      <c r="V51" s="2122">
        <v>8</v>
      </c>
      <c r="W51" s="2122">
        <v>8</v>
      </c>
      <c r="X51" s="2122">
        <v>8</v>
      </c>
      <c r="Y51" s="2067">
        <v>8</v>
      </c>
      <c r="Z51" s="2122">
        <v>8</v>
      </c>
      <c r="AA51" s="2122"/>
      <c r="AB51" s="2122"/>
      <c r="AC51" s="2122" t="s">
        <v>36</v>
      </c>
      <c r="AD51" s="2122" t="s">
        <v>36</v>
      </c>
      <c r="AE51" s="2067" t="s">
        <v>36</v>
      </c>
      <c r="AF51" s="2125" t="s">
        <v>36</v>
      </c>
      <c r="AG51" s="2141"/>
      <c r="AH51" s="181"/>
      <c r="AI51" s="182"/>
    </row>
    <row r="52" spans="1:40" ht="22.35" customHeight="1">
      <c r="A52" s="102"/>
      <c r="C52" s="72"/>
      <c r="D52" s="228" t="s">
        <v>0</v>
      </c>
      <c r="E52" s="228" t="s">
        <v>0</v>
      </c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2142" t="s">
        <v>28</v>
      </c>
      <c r="B54" s="2142"/>
      <c r="C54" s="2143"/>
      <c r="D54" s="2142" t="s">
        <v>94</v>
      </c>
      <c r="E54" s="2144"/>
      <c r="F54" s="2143"/>
      <c r="G54" s="2142" t="s">
        <v>95</v>
      </c>
      <c r="H54" s="2144"/>
      <c r="I54" s="2143"/>
      <c r="J54" s="2142" t="s">
        <v>96</v>
      </c>
      <c r="K54" s="2144"/>
      <c r="L54" s="2143"/>
      <c r="M54" s="2142" t="s">
        <v>97</v>
      </c>
      <c r="N54" s="2144"/>
      <c r="O54" s="2143"/>
      <c r="P54" s="2142" t="s">
        <v>98</v>
      </c>
      <c r="Q54" s="2144"/>
      <c r="R54" s="2145"/>
      <c r="S54" s="2146" t="s">
        <v>99</v>
      </c>
      <c r="T54" s="2144"/>
      <c r="U54" s="2143"/>
      <c r="V54" s="2142" t="s">
        <v>100</v>
      </c>
      <c r="W54" s="2144"/>
      <c r="X54" s="2147" t="s">
        <v>101</v>
      </c>
      <c r="Y54" s="2144"/>
      <c r="Z54" s="2144"/>
      <c r="AA54" s="2148"/>
      <c r="AB54" s="2051"/>
      <c r="AC54" s="2051"/>
      <c r="AD54" s="2051"/>
      <c r="AE54" s="2051"/>
      <c r="AF54" s="2051"/>
      <c r="AG54" s="2052"/>
      <c r="AH54" s="1"/>
    </row>
    <row r="55" spans="1:40" ht="22.35" customHeight="1">
      <c r="A55" s="2149">
        <v>8517</v>
      </c>
      <c r="B55" s="2150"/>
      <c r="C55" s="2151"/>
      <c r="D55" s="2152"/>
      <c r="E55" s="2050"/>
      <c r="F55" s="2151"/>
      <c r="G55" s="2152"/>
      <c r="H55" s="2050"/>
      <c r="I55" s="2151"/>
      <c r="J55" s="2152"/>
      <c r="K55" s="2050"/>
      <c r="L55" s="2151"/>
      <c r="M55" s="2152"/>
      <c r="N55" s="2050"/>
      <c r="O55" s="2151"/>
      <c r="P55" s="2152"/>
      <c r="Q55" s="2050"/>
      <c r="R55" s="2151"/>
      <c r="S55" s="2152"/>
      <c r="T55" s="2050"/>
      <c r="U55" s="2151"/>
      <c r="V55" s="2152"/>
      <c r="W55" s="2050"/>
      <c r="X55" s="2048"/>
      <c r="Y55" s="2051"/>
      <c r="Z55" s="2051"/>
      <c r="AA55" s="2051"/>
      <c r="AB55" s="2051"/>
      <c r="AC55" s="2051"/>
      <c r="AD55" s="2051"/>
      <c r="AE55" s="2051"/>
      <c r="AF55" s="2051"/>
      <c r="AG55" s="2052"/>
      <c r="AH55" s="1"/>
    </row>
    <row r="56" spans="1:40" ht="22.35" customHeight="1">
      <c r="B56" s="2073" t="s">
        <v>102</v>
      </c>
      <c r="C56" s="2153" t="s">
        <v>103</v>
      </c>
      <c r="D56" s="2154"/>
      <c r="E56" s="2155"/>
      <c r="F56" s="2153" t="s">
        <v>103</v>
      </c>
      <c r="G56" s="2156"/>
      <c r="H56" s="2155"/>
      <c r="I56" s="2151" t="s">
        <v>103</v>
      </c>
      <c r="J56" s="2152"/>
      <c r="K56" s="2157"/>
      <c r="L56" s="2151" t="s">
        <v>103</v>
      </c>
      <c r="M56" s="2152"/>
      <c r="N56" s="2157"/>
      <c r="O56" s="2151" t="s">
        <v>104</v>
      </c>
      <c r="P56" s="2152"/>
      <c r="Q56" s="2050"/>
      <c r="R56" s="2158" t="s">
        <v>0</v>
      </c>
      <c r="S56" s="2152"/>
      <c r="T56" s="2157"/>
      <c r="U56" s="2152" t="s">
        <v>0</v>
      </c>
      <c r="V56" s="2152"/>
      <c r="W56" s="2050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2159"/>
      <c r="B57" s="2150" t="s">
        <v>105</v>
      </c>
      <c r="C57" s="2151" t="s">
        <v>106</v>
      </c>
      <c r="D57" s="2152"/>
      <c r="E57" s="2050"/>
      <c r="F57" s="2151" t="s">
        <v>106</v>
      </c>
      <c r="G57" s="2152"/>
      <c r="H57" s="2157"/>
      <c r="I57" s="2151" t="s">
        <v>106</v>
      </c>
      <c r="J57" s="2152"/>
      <c r="K57" s="2157"/>
      <c r="L57" s="2151" t="s">
        <v>106</v>
      </c>
      <c r="M57" s="2152"/>
      <c r="N57" s="2157"/>
      <c r="O57" s="2151" t="s">
        <v>106</v>
      </c>
      <c r="P57" s="2152"/>
      <c r="Q57" s="2050"/>
      <c r="R57" s="112"/>
      <c r="S57" s="113"/>
      <c r="T57" s="2157"/>
      <c r="U57" s="2152"/>
      <c r="V57" s="2152"/>
      <c r="W57" s="2050"/>
      <c r="X57" s="2048"/>
      <c r="Y57" s="2051"/>
      <c r="Z57" s="2051"/>
      <c r="AA57" s="2051"/>
      <c r="AB57" s="2051"/>
      <c r="AC57" s="2051"/>
      <c r="AD57" s="2051"/>
      <c r="AE57" s="2051"/>
      <c r="AF57" s="2051"/>
      <c r="AG57" s="2052"/>
      <c r="AH57" s="1"/>
    </row>
    <row r="58" spans="1:40" ht="22.35" customHeight="1">
      <c r="A58" s="2142"/>
      <c r="B58" s="2073"/>
      <c r="C58" s="2160"/>
      <c r="D58" s="2160"/>
      <c r="E58" s="2161"/>
      <c r="F58" s="2160"/>
      <c r="G58" s="2160"/>
      <c r="H58" s="2161"/>
      <c r="I58" s="2160"/>
      <c r="J58" s="2160"/>
      <c r="K58" s="2161"/>
      <c r="L58" s="2160"/>
      <c r="M58" s="2160"/>
      <c r="N58" s="2161"/>
      <c r="O58" s="2160"/>
      <c r="P58" s="2160"/>
      <c r="Q58" s="2161"/>
      <c r="R58" s="2160"/>
      <c r="S58" s="2160"/>
      <c r="T58" s="2161"/>
      <c r="U58" s="2160"/>
      <c r="V58" s="2160"/>
      <c r="W58" s="2161"/>
      <c r="X58" s="2048"/>
      <c r="Y58" s="2051"/>
      <c r="Z58" s="2051"/>
      <c r="AA58" s="2051"/>
      <c r="AB58" s="2051"/>
      <c r="AC58" s="2051"/>
      <c r="AD58" s="2051"/>
      <c r="AE58" s="2051"/>
      <c r="AF58" s="2051"/>
      <c r="AG58" s="2052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2162"/>
      <c r="B60" s="2066" t="s">
        <v>29</v>
      </c>
      <c r="C60" s="2067">
        <v>1</v>
      </c>
      <c r="D60" s="2067">
        <v>2</v>
      </c>
      <c r="E60" s="2067">
        <v>3</v>
      </c>
      <c r="F60" s="2068">
        <v>4</v>
      </c>
      <c r="G60" s="2068">
        <v>5</v>
      </c>
      <c r="H60" s="2067">
        <v>6</v>
      </c>
      <c r="I60" s="2067">
        <v>7</v>
      </c>
      <c r="J60" s="2067">
        <v>8</v>
      </c>
      <c r="K60" s="2067">
        <v>9</v>
      </c>
      <c r="L60" s="2067">
        <v>10</v>
      </c>
      <c r="M60" s="2068">
        <v>11</v>
      </c>
      <c r="N60" s="2068">
        <v>12</v>
      </c>
      <c r="O60" s="2067">
        <v>13</v>
      </c>
      <c r="P60" s="2067">
        <v>14</v>
      </c>
      <c r="Q60" s="2067">
        <v>15</v>
      </c>
      <c r="R60" s="2067">
        <v>16</v>
      </c>
      <c r="S60" s="2067">
        <v>17</v>
      </c>
      <c r="T60" s="2068">
        <v>18</v>
      </c>
      <c r="U60" s="2068">
        <v>19</v>
      </c>
      <c r="V60" s="2067">
        <v>20</v>
      </c>
      <c r="W60" s="2067">
        <v>21</v>
      </c>
      <c r="X60" s="2067">
        <v>22</v>
      </c>
      <c r="Y60" s="2067">
        <v>23</v>
      </c>
      <c r="Z60" s="2067">
        <v>24</v>
      </c>
      <c r="AA60" s="2068">
        <v>25</v>
      </c>
      <c r="AB60" s="2068">
        <v>26</v>
      </c>
      <c r="AC60" s="2067">
        <v>27</v>
      </c>
      <c r="AD60" s="2067">
        <v>28</v>
      </c>
      <c r="AE60" s="2067">
        <v>29</v>
      </c>
      <c r="AF60" s="2067">
        <v>30</v>
      </c>
      <c r="AG60" s="2069"/>
      <c r="AH60" s="1"/>
      <c r="AJ60" s="1714" t="s">
        <v>30</v>
      </c>
      <c r="AK60" s="1714" t="s">
        <v>43</v>
      </c>
      <c r="AL60" s="1714" t="s">
        <v>44</v>
      </c>
      <c r="AM60" s="1714" t="s">
        <v>45</v>
      </c>
      <c r="AN60" s="1714" t="s">
        <v>46</v>
      </c>
    </row>
    <row r="61" spans="1:40" ht="22.35" customHeight="1" thickBot="1">
      <c r="A61" s="303"/>
      <c r="B61" s="304" t="s">
        <v>107</v>
      </c>
      <c r="C61" s="2163" t="s">
        <v>108</v>
      </c>
      <c r="D61" s="2163" t="s">
        <v>108</v>
      </c>
      <c r="E61" s="2163" t="s">
        <v>108</v>
      </c>
      <c r="F61" s="2163" t="s">
        <v>109</v>
      </c>
      <c r="G61" s="2163" t="s">
        <v>109</v>
      </c>
      <c r="H61" s="305" t="s">
        <v>36</v>
      </c>
      <c r="I61" s="305" t="s">
        <v>36</v>
      </c>
      <c r="J61" s="305" t="s">
        <v>36</v>
      </c>
      <c r="K61" s="305" t="s">
        <v>36</v>
      </c>
      <c r="L61" s="305" t="s">
        <v>36</v>
      </c>
      <c r="M61" s="305"/>
      <c r="N61" s="507"/>
      <c r="O61" s="507">
        <v>5</v>
      </c>
      <c r="P61" s="305">
        <v>5</v>
      </c>
      <c r="Q61" s="307">
        <v>5</v>
      </c>
      <c r="R61" s="305">
        <v>5</v>
      </c>
      <c r="S61" s="305">
        <v>5</v>
      </c>
      <c r="T61" s="361" t="s">
        <v>109</v>
      </c>
      <c r="U61" s="361" t="s">
        <v>109</v>
      </c>
      <c r="V61" s="305" t="s">
        <v>36</v>
      </c>
      <c r="W61" s="305" t="s">
        <v>36</v>
      </c>
      <c r="X61" s="305" t="s">
        <v>36</v>
      </c>
      <c r="Y61" s="305" t="s">
        <v>36</v>
      </c>
      <c r="Z61" s="305" t="s">
        <v>36</v>
      </c>
      <c r="AA61" s="2122" t="s">
        <v>74</v>
      </c>
      <c r="AB61" s="2122" t="s">
        <v>74</v>
      </c>
      <c r="AC61" s="2122">
        <v>8</v>
      </c>
      <c r="AD61" s="2122">
        <v>8</v>
      </c>
      <c r="AE61" s="2138">
        <v>8</v>
      </c>
      <c r="AF61" s="2067">
        <v>8</v>
      </c>
      <c r="AG61" s="397"/>
      <c r="AH61" s="1"/>
      <c r="AJ61" s="1742">
        <v>159.75</v>
      </c>
      <c r="AK61" s="1742">
        <v>11.5</v>
      </c>
      <c r="AL61" s="1742">
        <f>IF(AJ61="","",SUM(AJ61:AK61))</f>
        <v>171.25</v>
      </c>
      <c r="AM61" s="1743">
        <f t="shared" ref="AM61:AM75" si="1">IF(AJ61="","",AL61-NormTid)</f>
        <v>10.919999999999987</v>
      </c>
      <c r="AN61" s="1743">
        <f>IF(AM61="","",AM61+'August 2021'!AN61)</f>
        <v>107.02999999999994</v>
      </c>
    </row>
    <row r="62" spans="1:40" ht="22.35" customHeight="1">
      <c r="A62" s="1745"/>
      <c r="B62" s="2164" t="s">
        <v>110</v>
      </c>
      <c r="C62" s="1748" t="s">
        <v>242</v>
      </c>
      <c r="D62" s="1748" t="s">
        <v>242</v>
      </c>
      <c r="E62" s="1748" t="s">
        <v>242</v>
      </c>
      <c r="F62" s="1748" t="s">
        <v>111</v>
      </c>
      <c r="G62" s="1748"/>
      <c r="H62" s="1748" t="s">
        <v>118</v>
      </c>
      <c r="I62" s="2165" t="s">
        <v>126</v>
      </c>
      <c r="J62" s="2165" t="s">
        <v>113</v>
      </c>
      <c r="K62" s="1748">
        <v>25</v>
      </c>
      <c r="L62" s="1748">
        <v>25</v>
      </c>
      <c r="M62" s="2165"/>
      <c r="N62" s="2165" t="s">
        <v>111</v>
      </c>
      <c r="O62" s="349" t="s">
        <v>108</v>
      </c>
      <c r="P62" s="574" t="s">
        <v>108</v>
      </c>
      <c r="Q62" s="349" t="s">
        <v>108</v>
      </c>
      <c r="R62" s="349" t="s">
        <v>108</v>
      </c>
      <c r="S62" s="552" t="s">
        <v>108</v>
      </c>
      <c r="T62" s="552" t="s">
        <v>109</v>
      </c>
      <c r="U62" s="552" t="s">
        <v>166</v>
      </c>
      <c r="V62" s="305" t="s">
        <v>36</v>
      </c>
      <c r="W62" s="305" t="s">
        <v>36</v>
      </c>
      <c r="X62" s="305" t="s">
        <v>36</v>
      </c>
      <c r="Y62" s="305" t="s">
        <v>36</v>
      </c>
      <c r="Z62" s="305" t="s">
        <v>36</v>
      </c>
      <c r="AA62" s="1748" t="s">
        <v>111</v>
      </c>
      <c r="AB62" s="1748"/>
      <c r="AC62" s="1748" t="s">
        <v>141</v>
      </c>
      <c r="AD62" s="2077" t="s">
        <v>32</v>
      </c>
      <c r="AE62" s="1748">
        <v>8</v>
      </c>
      <c r="AF62" s="2166" t="s">
        <v>32</v>
      </c>
      <c r="AG62" s="1756"/>
      <c r="AH62" s="1"/>
      <c r="AJ62" s="1742">
        <v>156</v>
      </c>
      <c r="AK62" s="1742">
        <v>6.5</v>
      </c>
      <c r="AL62" s="1742">
        <f t="shared" ref="AL62:AL75" si="2">IF(AJ62="","",SUM(AJ62:AK62))</f>
        <v>162.5</v>
      </c>
      <c r="AM62" s="1743">
        <f t="shared" si="1"/>
        <v>2.1699999999999875</v>
      </c>
      <c r="AN62" s="1743">
        <f>IF(AM62="","",AM62+'August 2021'!AN62)</f>
        <v>63.519999999999939</v>
      </c>
    </row>
    <row r="63" spans="1:40" ht="22.35" customHeight="1">
      <c r="A63" s="1745"/>
      <c r="B63" s="1745" t="s">
        <v>112</v>
      </c>
      <c r="C63" s="2167">
        <v>23</v>
      </c>
      <c r="D63" s="1754">
        <v>11</v>
      </c>
      <c r="E63" s="1754" t="s">
        <v>36</v>
      </c>
      <c r="F63" s="1754" t="s">
        <v>0</v>
      </c>
      <c r="G63" s="1754" t="s">
        <v>73</v>
      </c>
      <c r="H63" s="1754" t="s">
        <v>36</v>
      </c>
      <c r="I63" s="1754" t="s">
        <v>32</v>
      </c>
      <c r="J63" s="1754" t="s">
        <v>32</v>
      </c>
      <c r="K63" s="1754" t="s">
        <v>32</v>
      </c>
      <c r="L63" s="1754" t="s">
        <v>32</v>
      </c>
      <c r="M63" s="1754"/>
      <c r="N63" s="1754"/>
      <c r="O63">
        <v>25</v>
      </c>
      <c r="P63" s="564">
        <v>25</v>
      </c>
      <c r="Q63">
        <v>25</v>
      </c>
      <c r="R63">
        <v>25</v>
      </c>
      <c r="S63">
        <v>25</v>
      </c>
      <c r="T63" s="1754"/>
      <c r="U63" s="1740"/>
      <c r="V63" s="2168">
        <v>25</v>
      </c>
      <c r="W63" s="2169">
        <v>25</v>
      </c>
      <c r="X63" s="616" t="s">
        <v>32</v>
      </c>
      <c r="Y63" s="674" t="s">
        <v>32</v>
      </c>
      <c r="Z63" s="617" t="s">
        <v>365</v>
      </c>
      <c r="AA63" s="1748"/>
      <c r="AB63" s="1748"/>
      <c r="AC63" s="2168" t="s">
        <v>32</v>
      </c>
      <c r="AD63" s="2168" t="s">
        <v>32</v>
      </c>
      <c r="AE63" s="2167" t="s">
        <v>32</v>
      </c>
      <c r="AF63" s="2168" t="s">
        <v>32</v>
      </c>
      <c r="AG63" s="1756"/>
      <c r="AH63" s="1"/>
      <c r="AJ63" s="1742">
        <v>160.5</v>
      </c>
      <c r="AK63" s="1742">
        <v>7.25</v>
      </c>
      <c r="AL63" s="1742">
        <f t="shared" si="2"/>
        <v>167.75</v>
      </c>
      <c r="AM63" s="1743">
        <f t="shared" si="1"/>
        <v>7.4199999999999875</v>
      </c>
      <c r="AN63" s="1743">
        <f>IF(AM63="","",AM63+'August 2021'!AN63)</f>
        <v>17.769999999999939</v>
      </c>
    </row>
    <row r="64" spans="1:40" ht="22.35" customHeight="1" thickBot="1">
      <c r="A64" s="1745"/>
      <c r="B64" s="1745" t="s">
        <v>114</v>
      </c>
      <c r="C64" s="2170">
        <v>6</v>
      </c>
      <c r="D64" s="2170">
        <v>6</v>
      </c>
      <c r="E64" s="2170">
        <v>6</v>
      </c>
      <c r="F64" s="1748"/>
      <c r="G64" s="1748"/>
      <c r="H64" s="1747" t="s">
        <v>32</v>
      </c>
      <c r="I64" s="1747" t="s">
        <v>32</v>
      </c>
      <c r="J64" s="1747" t="s">
        <v>32</v>
      </c>
      <c r="K64" s="1747" t="s">
        <v>32</v>
      </c>
      <c r="L64" s="1747" t="s">
        <v>32</v>
      </c>
      <c r="M64" s="1747"/>
      <c r="N64" s="1747"/>
      <c r="O64" s="1747" t="s">
        <v>32</v>
      </c>
      <c r="P64" s="1747" t="s">
        <v>32</v>
      </c>
      <c r="Q64" s="1747" t="s">
        <v>32</v>
      </c>
      <c r="R64" s="1747" t="s">
        <v>32</v>
      </c>
      <c r="S64" s="1747" t="s">
        <v>32</v>
      </c>
      <c r="T64" s="1747"/>
      <c r="U64" s="1747"/>
      <c r="V64" s="1747" t="s">
        <v>32</v>
      </c>
      <c r="W64" s="1747" t="s">
        <v>32</v>
      </c>
      <c r="X64" s="1747" t="s">
        <v>32</v>
      </c>
      <c r="Y64" s="1747" t="s">
        <v>32</v>
      </c>
      <c r="Z64" s="1747" t="s">
        <v>32</v>
      </c>
      <c r="AA64" s="1747"/>
      <c r="AB64" s="1747"/>
      <c r="AC64" s="2077">
        <v>25</v>
      </c>
      <c r="AD64" s="1748">
        <v>25</v>
      </c>
      <c r="AE64" s="1748">
        <v>25</v>
      </c>
      <c r="AF64" s="1748">
        <v>25</v>
      </c>
      <c r="AG64" s="1838"/>
      <c r="AH64" s="1"/>
      <c r="AJ64" s="1742">
        <v>160</v>
      </c>
      <c r="AK64" s="1742">
        <v>3.75</v>
      </c>
      <c r="AL64" s="1742">
        <f t="shared" si="2"/>
        <v>163.75</v>
      </c>
      <c r="AM64" s="1743">
        <f t="shared" si="1"/>
        <v>3.4199999999999875</v>
      </c>
      <c r="AN64" s="1743">
        <f>IF(AM64="","",AM64+'August 2021'!AN64)</f>
        <v>136.76999999999995</v>
      </c>
    </row>
    <row r="65" spans="1:40" ht="22.35" customHeight="1">
      <c r="A65" s="1745"/>
      <c r="B65" s="1745" t="s">
        <v>117</v>
      </c>
      <c r="C65" s="1748" t="s">
        <v>50</v>
      </c>
      <c r="D65" s="1748" t="s">
        <v>50</v>
      </c>
      <c r="E65" s="1748" t="s">
        <v>32</v>
      </c>
      <c r="F65" s="2127" t="s">
        <v>80</v>
      </c>
      <c r="G65" s="2127" t="s">
        <v>80</v>
      </c>
      <c r="H65" s="305" t="s">
        <v>36</v>
      </c>
      <c r="I65" s="598" t="s">
        <v>36</v>
      </c>
      <c r="J65" s="598" t="s">
        <v>36</v>
      </c>
      <c r="K65" s="305" t="s">
        <v>36</v>
      </c>
      <c r="L65" s="305" t="s">
        <v>36</v>
      </c>
      <c r="M65" s="1748"/>
      <c r="N65" s="1740"/>
      <c r="O65" s="1740" t="s">
        <v>50</v>
      </c>
      <c r="P65" s="1740" t="s">
        <v>50</v>
      </c>
      <c r="Q65" s="1751" t="s">
        <v>50</v>
      </c>
      <c r="R65" s="1740" t="s">
        <v>50</v>
      </c>
      <c r="S65" s="1748" t="s">
        <v>50</v>
      </c>
      <c r="T65" s="1748"/>
      <c r="U65" s="1740"/>
      <c r="V65" s="1740" t="s">
        <v>32</v>
      </c>
      <c r="W65" s="1740" t="s">
        <v>32</v>
      </c>
      <c r="X65" s="739" t="s">
        <v>32</v>
      </c>
      <c r="Y65" s="1740" t="s">
        <v>50</v>
      </c>
      <c r="Z65" s="1748" t="s">
        <v>50</v>
      </c>
      <c r="AA65" s="1748"/>
      <c r="AB65" s="563"/>
      <c r="AC65" s="1749" t="s">
        <v>32</v>
      </c>
      <c r="AD65" s="1749" t="s">
        <v>32</v>
      </c>
      <c r="AE65" s="1749" t="s">
        <v>32</v>
      </c>
      <c r="AF65" s="1749" t="s">
        <v>32</v>
      </c>
      <c r="AG65" s="1756"/>
      <c r="AH65" s="1"/>
      <c r="AJ65" s="1742">
        <v>148</v>
      </c>
      <c r="AK65" s="1742">
        <v>3.25</v>
      </c>
      <c r="AL65" s="1742">
        <f t="shared" si="2"/>
        <v>151.25</v>
      </c>
      <c r="AM65" s="1743">
        <f t="shared" si="1"/>
        <v>-9.0800000000000125</v>
      </c>
      <c r="AN65" s="1743">
        <f>IF(AM65="","",AM65+'August 2021'!AN65)</f>
        <v>1.9999999999939178E-2</v>
      </c>
    </row>
    <row r="66" spans="1:40" ht="22.35" customHeight="1">
      <c r="A66" s="1745"/>
      <c r="B66" s="1745" t="s">
        <v>119</v>
      </c>
      <c r="C66" s="2171" t="s">
        <v>32</v>
      </c>
      <c r="D66" s="2171" t="s">
        <v>32</v>
      </c>
      <c r="E66" s="2171" t="s">
        <v>32</v>
      </c>
      <c r="F66" s="2171"/>
      <c r="G66" s="2171"/>
      <c r="H66" s="2171" t="s">
        <v>32</v>
      </c>
      <c r="I66" s="2171" t="s">
        <v>32</v>
      </c>
      <c r="J66" s="2171" t="s">
        <v>32</v>
      </c>
      <c r="K66" s="2171" t="s">
        <v>32</v>
      </c>
      <c r="L66" s="2171" t="s">
        <v>32</v>
      </c>
      <c r="M66" s="2171"/>
      <c r="N66" s="2171"/>
      <c r="O66" s="2171" t="s">
        <v>32</v>
      </c>
      <c r="P66" s="2171" t="s">
        <v>32</v>
      </c>
      <c r="Q66" s="2171" t="s">
        <v>32</v>
      </c>
      <c r="R66" s="2171" t="s">
        <v>32</v>
      </c>
      <c r="S66" s="2171" t="s">
        <v>32</v>
      </c>
      <c r="T66" s="2171"/>
      <c r="U66" s="2171"/>
      <c r="V66" s="2171" t="s">
        <v>32</v>
      </c>
      <c r="W66" s="2171" t="s">
        <v>32</v>
      </c>
      <c r="X66" s="2171" t="s">
        <v>32</v>
      </c>
      <c r="Y66" s="2171" t="s">
        <v>32</v>
      </c>
      <c r="Z66" s="2171" t="s">
        <v>32</v>
      </c>
      <c r="AA66" s="2171"/>
      <c r="AB66" s="2171"/>
      <c r="AC66" s="2171" t="s">
        <v>32</v>
      </c>
      <c r="AD66" s="2171" t="s">
        <v>32</v>
      </c>
      <c r="AE66" s="2171" t="s">
        <v>32</v>
      </c>
      <c r="AF66" s="2171" t="s">
        <v>32</v>
      </c>
      <c r="AG66" s="1756"/>
      <c r="AH66" s="1"/>
      <c r="AJ66" s="1742"/>
      <c r="AK66" s="1742"/>
      <c r="AL66" s="1742" t="str">
        <f t="shared" si="2"/>
        <v/>
      </c>
      <c r="AM66" s="1743" t="str">
        <f t="shared" si="1"/>
        <v/>
      </c>
      <c r="AN66" s="1743" t="str">
        <f>IF(AM66="","",AM66+'August 2021'!AN66)</f>
        <v/>
      </c>
    </row>
    <row r="67" spans="1:40" ht="22.35" customHeight="1" thickBot="1">
      <c r="A67" s="1745"/>
      <c r="B67" s="1745" t="s">
        <v>120</v>
      </c>
      <c r="C67" s="1756" t="s">
        <v>122</v>
      </c>
      <c r="D67" s="1756" t="s">
        <v>122</v>
      </c>
      <c r="E67" s="1756" t="s">
        <v>122</v>
      </c>
      <c r="F67" s="1748"/>
      <c r="G67" s="1748"/>
      <c r="H67" s="1756" t="s">
        <v>122</v>
      </c>
      <c r="I67" s="1756" t="s">
        <v>122</v>
      </c>
      <c r="J67" s="1756" t="s">
        <v>122</v>
      </c>
      <c r="K67" s="1756" t="s">
        <v>122</v>
      </c>
      <c r="L67" s="1756" t="s">
        <v>122</v>
      </c>
      <c r="M67" s="1740"/>
      <c r="N67" s="1740"/>
      <c r="O67" s="1756" t="s">
        <v>122</v>
      </c>
      <c r="P67" s="2172" t="s">
        <v>121</v>
      </c>
      <c r="Q67" s="651" t="s">
        <v>122</v>
      </c>
      <c r="R67" s="651" t="s">
        <v>122</v>
      </c>
      <c r="S67" s="651" t="s">
        <v>122</v>
      </c>
      <c r="T67" s="651"/>
      <c r="U67" s="651"/>
      <c r="V67" s="1756" t="s">
        <v>122</v>
      </c>
      <c r="W67" s="1756" t="s">
        <v>122</v>
      </c>
      <c r="X67" s="1756" t="s">
        <v>122</v>
      </c>
      <c r="Y67" s="1756" t="s">
        <v>122</v>
      </c>
      <c r="Z67" s="1756" t="s">
        <v>122</v>
      </c>
      <c r="AA67" s="1748"/>
      <c r="AB67" s="1748"/>
      <c r="AC67" s="1756" t="s">
        <v>122</v>
      </c>
      <c r="AD67" s="1756" t="s">
        <v>122</v>
      </c>
      <c r="AE67" s="1756" t="s">
        <v>122</v>
      </c>
      <c r="AF67" s="1756" t="s">
        <v>122</v>
      </c>
      <c r="AG67" s="1756"/>
      <c r="AH67" s="1"/>
      <c r="AJ67" s="1742">
        <v>165.5</v>
      </c>
      <c r="AK67" s="1742">
        <v>0</v>
      </c>
      <c r="AL67" s="1742">
        <f t="shared" si="2"/>
        <v>165.5</v>
      </c>
      <c r="AM67" s="1743">
        <f t="shared" si="1"/>
        <v>5.1699999999999875</v>
      </c>
      <c r="AN67" s="1743">
        <f>IF(AM67="","",AM67+'August 2021'!AN67)</f>
        <v>7.8499999999999375</v>
      </c>
    </row>
    <row r="68" spans="1:40" ht="22.35" customHeight="1" thickBot="1">
      <c r="A68" s="2173"/>
      <c r="B68" s="2164" t="s">
        <v>123</v>
      </c>
      <c r="C68" s="590">
        <v>8</v>
      </c>
      <c r="D68" s="590">
        <v>8</v>
      </c>
      <c r="E68" s="608">
        <v>8</v>
      </c>
      <c r="F68" s="2174"/>
      <c r="G68" s="2174"/>
      <c r="H68" s="2163" t="s">
        <v>108</v>
      </c>
      <c r="I68" s="2163" t="s">
        <v>108</v>
      </c>
      <c r="J68" s="2163" t="s">
        <v>108</v>
      </c>
      <c r="K68" s="2163" t="s">
        <v>108</v>
      </c>
      <c r="L68" s="2163" t="s">
        <v>108</v>
      </c>
      <c r="M68" s="2163" t="s">
        <v>109</v>
      </c>
      <c r="N68" s="2163" t="s">
        <v>109</v>
      </c>
      <c r="O68" s="598" t="s">
        <v>36</v>
      </c>
      <c r="P68" s="598" t="s">
        <v>36</v>
      </c>
      <c r="Q68" s="598" t="s">
        <v>36</v>
      </c>
      <c r="R68" s="598" t="s">
        <v>36</v>
      </c>
      <c r="S68" s="598" t="s">
        <v>116</v>
      </c>
      <c r="T68" s="1748"/>
      <c r="U68" s="2175"/>
      <c r="V68" s="1748" t="s">
        <v>124</v>
      </c>
      <c r="W68" s="1748" t="s">
        <v>52</v>
      </c>
      <c r="X68" s="2176">
        <v>25</v>
      </c>
      <c r="Y68" s="1748">
        <v>25</v>
      </c>
      <c r="Z68" s="1748" t="s">
        <v>36</v>
      </c>
      <c r="AA68" s="1748" t="s">
        <v>111</v>
      </c>
      <c r="AB68" s="1748"/>
      <c r="AC68" s="2077" t="s">
        <v>108</v>
      </c>
      <c r="AD68" s="2077" t="s">
        <v>108</v>
      </c>
      <c r="AE68" s="2077" t="s">
        <v>108</v>
      </c>
      <c r="AF68" s="2077" t="s">
        <v>108</v>
      </c>
      <c r="AG68" s="1756"/>
      <c r="AH68" s="1"/>
      <c r="AJ68" s="1742">
        <v>153.25</v>
      </c>
      <c r="AK68" s="1742">
        <v>10.5</v>
      </c>
      <c r="AL68" s="1742">
        <f t="shared" si="2"/>
        <v>163.75</v>
      </c>
      <c r="AM68" s="1743">
        <f t="shared" si="1"/>
        <v>3.4199999999999875</v>
      </c>
      <c r="AN68" s="1743">
        <f>IF(AM68="","",AM68+'August 2021'!AN68)</f>
        <v>94.269999999999939</v>
      </c>
    </row>
    <row r="69" spans="1:40" ht="22.35" customHeight="1">
      <c r="A69" s="1745"/>
      <c r="B69" s="1745" t="s">
        <v>128</v>
      </c>
      <c r="C69" s="1754" t="s">
        <v>113</v>
      </c>
      <c r="D69" s="1754" t="s">
        <v>113</v>
      </c>
      <c r="E69" s="1754" t="s">
        <v>113</v>
      </c>
      <c r="F69" s="1754"/>
      <c r="G69" s="1748"/>
      <c r="H69" s="1965" t="s">
        <v>113</v>
      </c>
      <c r="I69" s="1965" t="s">
        <v>113</v>
      </c>
      <c r="J69" s="1971" t="s">
        <v>113</v>
      </c>
      <c r="K69" s="1965" t="s">
        <v>113</v>
      </c>
      <c r="L69" s="1965" t="s">
        <v>113</v>
      </c>
      <c r="M69" s="1748"/>
      <c r="N69" s="1740"/>
      <c r="O69" s="1965" t="s">
        <v>113</v>
      </c>
      <c r="P69" s="1965" t="s">
        <v>113</v>
      </c>
      <c r="Q69" s="1965" t="s">
        <v>113</v>
      </c>
      <c r="R69" s="1965" t="s">
        <v>113</v>
      </c>
      <c r="S69" s="1965" t="s">
        <v>113</v>
      </c>
      <c r="T69" s="1740"/>
      <c r="U69" s="1740"/>
      <c r="V69" s="1965" t="s">
        <v>113</v>
      </c>
      <c r="W69" s="1965" t="s">
        <v>113</v>
      </c>
      <c r="X69" s="1965" t="s">
        <v>113</v>
      </c>
      <c r="Y69" s="1965" t="s">
        <v>113</v>
      </c>
      <c r="Z69" s="1965" t="s">
        <v>113</v>
      </c>
      <c r="AA69" s="1748"/>
      <c r="AB69" s="1748"/>
      <c r="AC69" s="1748" t="s">
        <v>118</v>
      </c>
      <c r="AD69" s="1748" t="s">
        <v>118</v>
      </c>
      <c r="AE69" s="1748" t="s">
        <v>118</v>
      </c>
      <c r="AF69" s="2177" t="s">
        <v>50</v>
      </c>
      <c r="AG69" s="1756"/>
      <c r="AH69" s="1"/>
      <c r="AJ69" s="1742">
        <v>166.25</v>
      </c>
      <c r="AK69" s="1742">
        <v>0.75</v>
      </c>
      <c r="AL69" s="1742">
        <f t="shared" si="2"/>
        <v>167</v>
      </c>
      <c r="AM69" s="1743">
        <f t="shared" si="1"/>
        <v>6.6699999999999875</v>
      </c>
      <c r="AN69" s="1743">
        <f>IF(AM69="","",AM69+'August 2021'!AN69)</f>
        <v>10.519999999999937</v>
      </c>
    </row>
    <row r="70" spans="1:40" ht="22.35" customHeight="1" thickBot="1">
      <c r="A70" s="1745"/>
      <c r="B70" s="1745" t="s">
        <v>130</v>
      </c>
      <c r="C70" s="2176">
        <v>25</v>
      </c>
      <c r="D70" s="1748">
        <v>25</v>
      </c>
      <c r="E70" s="1742">
        <v>25</v>
      </c>
      <c r="F70" s="1748"/>
      <c r="G70" s="1748"/>
      <c r="H70" s="1747" t="s">
        <v>32</v>
      </c>
      <c r="I70" s="1747" t="s">
        <v>32</v>
      </c>
      <c r="J70" s="1747" t="s">
        <v>32</v>
      </c>
      <c r="K70" s="1747" t="s">
        <v>32</v>
      </c>
      <c r="L70" s="1747" t="s">
        <v>32</v>
      </c>
      <c r="M70" s="1747"/>
      <c r="N70" s="1747"/>
      <c r="O70" s="1747" t="s">
        <v>32</v>
      </c>
      <c r="P70" s="1747" t="s">
        <v>32</v>
      </c>
      <c r="Q70" s="1747" t="s">
        <v>32</v>
      </c>
      <c r="R70" s="1747" t="s">
        <v>32</v>
      </c>
      <c r="S70" s="1747" t="s">
        <v>32</v>
      </c>
      <c r="T70" s="1747"/>
      <c r="U70" s="1747"/>
      <c r="V70" s="1747" t="s">
        <v>32</v>
      </c>
      <c r="W70" s="1747" t="s">
        <v>32</v>
      </c>
      <c r="X70" s="1747" t="s">
        <v>32</v>
      </c>
      <c r="Y70" s="1747" t="s">
        <v>32</v>
      </c>
      <c r="Z70" s="1747" t="s">
        <v>32</v>
      </c>
      <c r="AA70" s="1747"/>
      <c r="AB70" s="1747"/>
      <c r="AC70" s="563" t="s">
        <v>32</v>
      </c>
      <c r="AD70" s="563" t="s">
        <v>32</v>
      </c>
      <c r="AE70" s="563" t="s">
        <v>32</v>
      </c>
      <c r="AF70" s="563" t="s">
        <v>32</v>
      </c>
      <c r="AG70" s="1756"/>
      <c r="AH70" s="1"/>
      <c r="AJ70" s="1742">
        <v>156</v>
      </c>
      <c r="AK70" s="1742">
        <v>3</v>
      </c>
      <c r="AL70" s="1742">
        <f t="shared" si="2"/>
        <v>159</v>
      </c>
      <c r="AM70" s="1743">
        <f t="shared" si="1"/>
        <v>-1.3300000000000125</v>
      </c>
      <c r="AN70" s="1743">
        <f>IF(AM70="","",AM70+'August 2021'!AN70)</f>
        <v>25.769999999999939</v>
      </c>
    </row>
    <row r="71" spans="1:40" ht="22.35" customHeight="1" thickBot="1">
      <c r="A71" s="1745"/>
      <c r="B71" s="1745" t="s">
        <v>131</v>
      </c>
      <c r="C71" s="1748" t="s">
        <v>124</v>
      </c>
      <c r="D71" s="1748" t="s">
        <v>124</v>
      </c>
      <c r="E71" s="1748" t="s">
        <v>124</v>
      </c>
      <c r="F71" s="1748"/>
      <c r="G71" s="1748"/>
      <c r="H71" s="1748">
        <v>7</v>
      </c>
      <c r="I71" s="1748">
        <v>7</v>
      </c>
      <c r="J71" s="611" t="s">
        <v>36</v>
      </c>
      <c r="K71" s="305" t="s">
        <v>36</v>
      </c>
      <c r="L71" s="305" t="s">
        <v>36</v>
      </c>
      <c r="M71" s="2085" t="s">
        <v>78</v>
      </c>
      <c r="N71" s="2127" t="s">
        <v>74</v>
      </c>
      <c r="O71" s="1748" t="s">
        <v>32</v>
      </c>
      <c r="P71" s="1748" t="s">
        <v>32</v>
      </c>
      <c r="Q71" t="s">
        <v>32</v>
      </c>
      <c r="R71" t="s">
        <v>32</v>
      </c>
      <c r="S71" t="s">
        <v>32</v>
      </c>
      <c r="T71" s="1748"/>
      <c r="U71" s="1748"/>
      <c r="V71" s="1748" t="s">
        <v>246</v>
      </c>
      <c r="W71" s="1748" t="s">
        <v>246</v>
      </c>
      <c r="X71" s="1748" t="s">
        <v>246</v>
      </c>
      <c r="Y71" s="1748" t="s">
        <v>246</v>
      </c>
      <c r="Z71" s="1748" t="s">
        <v>246</v>
      </c>
      <c r="AA71" s="563" t="s">
        <v>0</v>
      </c>
      <c r="AB71" s="615" t="s">
        <v>32</v>
      </c>
      <c r="AC71" s="2067">
        <v>11</v>
      </c>
      <c r="AD71" s="2067">
        <v>11</v>
      </c>
      <c r="AE71" s="2067">
        <v>11</v>
      </c>
      <c r="AF71" s="2067">
        <v>11</v>
      </c>
      <c r="AG71" s="1756"/>
      <c r="AH71" s="1"/>
      <c r="AJ71" s="1742">
        <v>158.5</v>
      </c>
      <c r="AK71" s="1742">
        <v>6.5</v>
      </c>
      <c r="AL71" s="1742">
        <f t="shared" si="2"/>
        <v>165</v>
      </c>
      <c r="AM71" s="1743">
        <f t="shared" si="1"/>
        <v>4.6699999999999875</v>
      </c>
      <c r="AN71" s="1743">
        <f>IF(AM71="","",AM71+'August 2021'!AN71)</f>
        <v>48.029999999999937</v>
      </c>
    </row>
    <row r="72" spans="1:40" ht="22.35" customHeight="1" thickBot="1">
      <c r="A72" s="1745"/>
      <c r="B72" s="1745" t="s">
        <v>133</v>
      </c>
      <c r="C72" s="2178" t="s">
        <v>50</v>
      </c>
      <c r="D72" s="2178" t="s">
        <v>50</v>
      </c>
      <c r="E72" s="1748" t="s">
        <v>50</v>
      </c>
      <c r="F72" s="2176" t="s">
        <v>73</v>
      </c>
      <c r="G72" s="1748"/>
      <c r="H72" s="1748" t="s">
        <v>50</v>
      </c>
      <c r="I72" s="1748" t="s">
        <v>50</v>
      </c>
      <c r="J72" s="1748" t="s">
        <v>50</v>
      </c>
      <c r="K72" s="1748" t="s">
        <v>50</v>
      </c>
      <c r="L72" s="1748" t="s">
        <v>50</v>
      </c>
      <c r="M72" s="1748"/>
      <c r="N72" s="1748"/>
      <c r="O72" s="1748" t="s">
        <v>32</v>
      </c>
      <c r="P72" s="2171" t="s">
        <v>346</v>
      </c>
      <c r="Q72" s="1748" t="s">
        <v>32</v>
      </c>
      <c r="R72" s="1748" t="s">
        <v>32</v>
      </c>
      <c r="S72" s="1748">
        <v>4</v>
      </c>
      <c r="T72" s="1748"/>
      <c r="U72" s="1748"/>
      <c r="V72" s="1748" t="s">
        <v>50</v>
      </c>
      <c r="W72" s="1748" t="s">
        <v>50</v>
      </c>
      <c r="X72" s="1748" t="s">
        <v>50</v>
      </c>
      <c r="Y72" s="1748" t="s">
        <v>32</v>
      </c>
      <c r="Z72" s="1748" t="s">
        <v>32</v>
      </c>
      <c r="AA72" s="1748"/>
      <c r="AB72" s="2175"/>
      <c r="AC72" s="305" t="s">
        <v>36</v>
      </c>
      <c r="AD72" s="305" t="s">
        <v>36</v>
      </c>
      <c r="AE72" s="563" t="s">
        <v>32</v>
      </c>
      <c r="AF72" s="563" t="s">
        <v>32</v>
      </c>
      <c r="AG72" s="1756"/>
      <c r="AH72" s="1"/>
      <c r="AJ72" s="1742">
        <v>137.5</v>
      </c>
      <c r="AK72" s="1742">
        <v>2.5</v>
      </c>
      <c r="AL72" s="1742">
        <f t="shared" si="2"/>
        <v>140</v>
      </c>
      <c r="AM72" s="1743">
        <f t="shared" si="1"/>
        <v>-20.330000000000013</v>
      </c>
      <c r="AN72" s="1743">
        <f>IF(AM72="","",AM72+'August 2021'!AN72)</f>
        <v>-14.970000000000063</v>
      </c>
    </row>
    <row r="73" spans="1:40" ht="22.35" customHeight="1">
      <c r="A73" s="2179"/>
      <c r="B73" s="2173" t="s">
        <v>134</v>
      </c>
      <c r="C73" s="2180" t="s">
        <v>36</v>
      </c>
      <c r="D73" s="2180" t="s">
        <v>36</v>
      </c>
      <c r="E73" s="2180" t="s">
        <v>36</v>
      </c>
      <c r="F73" s="1748"/>
      <c r="G73" s="1748"/>
      <c r="H73" s="349">
        <v>1</v>
      </c>
      <c r="I73" s="349">
        <v>1</v>
      </c>
      <c r="J73" s="349">
        <v>1</v>
      </c>
      <c r="K73" s="349">
        <v>1</v>
      </c>
      <c r="L73" s="349">
        <v>1</v>
      </c>
      <c r="M73" s="349"/>
      <c r="N73" s="349"/>
      <c r="O73" s="349">
        <v>9</v>
      </c>
      <c r="P73" s="349">
        <v>9</v>
      </c>
      <c r="Q73" s="349">
        <v>9</v>
      </c>
      <c r="R73" s="349">
        <v>9</v>
      </c>
      <c r="S73" s="349">
        <v>9</v>
      </c>
      <c r="T73" s="586" t="s">
        <v>76</v>
      </c>
      <c r="U73" s="586" t="s">
        <v>77</v>
      </c>
      <c r="V73" s="364" t="s">
        <v>36</v>
      </c>
      <c r="W73" s="361" t="s">
        <v>36</v>
      </c>
      <c r="X73" s="361" t="s">
        <v>36</v>
      </c>
      <c r="Y73" s="349" t="s">
        <v>36</v>
      </c>
      <c r="Z73" s="400" t="s">
        <v>36</v>
      </c>
      <c r="AA73" s="361" t="s">
        <v>78</v>
      </c>
      <c r="AB73" s="361" t="s">
        <v>74</v>
      </c>
      <c r="AC73" s="361">
        <v>6</v>
      </c>
      <c r="AD73" s="361">
        <v>6</v>
      </c>
      <c r="AE73" s="350">
        <v>6</v>
      </c>
      <c r="AF73" s="361">
        <v>6</v>
      </c>
      <c r="AG73" s="1838"/>
      <c r="AH73" s="1"/>
      <c r="AJ73" s="1742"/>
      <c r="AK73" s="1742"/>
      <c r="AL73" s="1742" t="str">
        <f t="shared" si="2"/>
        <v/>
      </c>
      <c r="AM73" s="1743" t="str">
        <f t="shared" si="1"/>
        <v/>
      </c>
      <c r="AN73" s="1743" t="str">
        <f>IF(AM73="","",AM73+'August 2021'!AN73)</f>
        <v/>
      </c>
    </row>
    <row r="74" spans="1:40" ht="22.35" customHeight="1">
      <c r="A74" s="1745"/>
      <c r="B74" s="1745" t="s">
        <v>366</v>
      </c>
      <c r="C74" s="2143" t="s">
        <v>213</v>
      </c>
      <c r="D74" s="2143" t="s">
        <v>213</v>
      </c>
      <c r="E74" s="2143" t="s">
        <v>213</v>
      </c>
      <c r="F74" s="2143"/>
      <c r="G74" s="2143"/>
      <c r="H74" s="2077" t="s">
        <v>211</v>
      </c>
      <c r="I74" s="2077" t="s">
        <v>211</v>
      </c>
      <c r="J74" s="2077" t="s">
        <v>211</v>
      </c>
      <c r="K74" s="2077" t="s">
        <v>211</v>
      </c>
      <c r="L74" s="2077" t="s">
        <v>211</v>
      </c>
      <c r="M74" s="2077"/>
      <c r="N74" s="2077"/>
      <c r="O74" s="2077" t="s">
        <v>212</v>
      </c>
      <c r="P74" s="2077" t="s">
        <v>212</v>
      </c>
      <c r="Q74" s="2077" t="s">
        <v>212</v>
      </c>
      <c r="R74" s="2077" t="s">
        <v>212</v>
      </c>
      <c r="S74" s="2077" t="s">
        <v>212</v>
      </c>
      <c r="T74" s="2077" t="s">
        <v>212</v>
      </c>
      <c r="U74" s="2077"/>
      <c r="V74" s="2077" t="s">
        <v>213</v>
      </c>
      <c r="W74" s="2077" t="s">
        <v>213</v>
      </c>
      <c r="X74" s="2077" t="s">
        <v>213</v>
      </c>
      <c r="Y74" s="2128" t="s">
        <v>213</v>
      </c>
      <c r="Z74" s="2077" t="s">
        <v>36</v>
      </c>
      <c r="AA74" s="2077"/>
      <c r="AB74" s="2077"/>
      <c r="AC74" s="2077" t="s">
        <v>211</v>
      </c>
      <c r="AD74" s="2077" t="s">
        <v>211</v>
      </c>
      <c r="AE74" s="2077" t="s">
        <v>211</v>
      </c>
      <c r="AF74" s="2077" t="s">
        <v>211</v>
      </c>
      <c r="AG74" s="2119"/>
      <c r="AH74" s="1"/>
      <c r="AJ74" s="1742"/>
      <c r="AK74" s="1742"/>
      <c r="AL74" s="1742" t="str">
        <f t="shared" si="2"/>
        <v/>
      </c>
      <c r="AM74" s="1743" t="str">
        <f t="shared" si="1"/>
        <v/>
      </c>
      <c r="AN74" s="1743" t="str">
        <f>IF(AM74="","",AM74+'August 2021'!AN74)</f>
        <v/>
      </c>
    </row>
    <row r="75" spans="1:40" ht="22.35" customHeight="1">
      <c r="AJ75" s="1742"/>
      <c r="AK75" s="1742"/>
      <c r="AL75" s="1742" t="str">
        <f t="shared" si="2"/>
        <v/>
      </c>
      <c r="AM75" s="1743" t="str">
        <f t="shared" si="1"/>
        <v/>
      </c>
      <c r="AN75" s="1743" t="str">
        <f>IF(AM75="","",AM75+'August 2021'!AN75)</f>
        <v/>
      </c>
    </row>
    <row r="76" spans="1:40" ht="22.35" customHeight="1">
      <c r="AJ76" s="1742"/>
      <c r="AK76" s="1742"/>
      <c r="AL76" s="1742" t="str">
        <f t="shared" ref="AL76" si="3">IF(AJ76="","",SUM(AJ76:AK76))</f>
        <v/>
      </c>
      <c r="AM76" s="1743" t="str">
        <f t="shared" ref="AM76" si="4">IF(AJ76="","",AL76-NormTid)</f>
        <v/>
      </c>
      <c r="AN76" s="1743" t="str">
        <f>IF(AM76="","",AM76+'August 2021'!AN76)</f>
        <v/>
      </c>
    </row>
    <row r="77" spans="1:40" ht="22.35" customHeight="1" thickBot="1">
      <c r="A77" s="1851"/>
      <c r="B77" s="1852" t="s">
        <v>138</v>
      </c>
      <c r="C77" s="2181">
        <v>1</v>
      </c>
      <c r="D77" s="2181">
        <v>2</v>
      </c>
      <c r="E77" s="2181">
        <v>3</v>
      </c>
      <c r="F77" s="2182">
        <v>4</v>
      </c>
      <c r="G77" s="2182">
        <v>5</v>
      </c>
      <c r="H77" s="2181">
        <v>6</v>
      </c>
      <c r="I77" s="2181">
        <v>7</v>
      </c>
      <c r="J77" s="2181">
        <v>8</v>
      </c>
      <c r="K77" s="2181">
        <v>9</v>
      </c>
      <c r="L77" s="2181">
        <v>10</v>
      </c>
      <c r="M77" s="2182">
        <v>11</v>
      </c>
      <c r="N77" s="2182">
        <v>12</v>
      </c>
      <c r="O77" s="2181">
        <v>13</v>
      </c>
      <c r="P77" s="2181">
        <v>14</v>
      </c>
      <c r="Q77" s="2181">
        <v>15</v>
      </c>
      <c r="R77" s="2181">
        <v>16</v>
      </c>
      <c r="S77" s="2181">
        <v>17</v>
      </c>
      <c r="T77" s="2182">
        <v>18</v>
      </c>
      <c r="U77" s="2182">
        <v>19</v>
      </c>
      <c r="V77" s="2181">
        <v>20</v>
      </c>
      <c r="W77" s="2181">
        <v>21</v>
      </c>
      <c r="X77" s="2181">
        <v>22</v>
      </c>
      <c r="Y77" s="2181">
        <v>23</v>
      </c>
      <c r="Z77" s="2181">
        <v>24</v>
      </c>
      <c r="AA77" s="2182">
        <v>25</v>
      </c>
      <c r="AB77" s="2182">
        <v>26</v>
      </c>
      <c r="AC77" s="2181">
        <v>27</v>
      </c>
      <c r="AD77" s="2181">
        <v>28</v>
      </c>
      <c r="AE77" s="2181">
        <v>29</v>
      </c>
      <c r="AF77" s="2181">
        <v>30</v>
      </c>
      <c r="AG77" s="2183"/>
      <c r="AH77" s="1"/>
    </row>
    <row r="78" spans="1:40" ht="22.35" customHeight="1" thickBot="1">
      <c r="A78" s="308"/>
      <c r="B78" s="308" t="s">
        <v>139</v>
      </c>
      <c r="C78" s="1748" t="s">
        <v>36</v>
      </c>
      <c r="D78" s="1748">
        <v>89</v>
      </c>
      <c r="E78" s="1748">
        <v>89</v>
      </c>
      <c r="F78" s="1748">
        <v>89</v>
      </c>
      <c r="G78" s="1748"/>
      <c r="H78" s="1748">
        <v>3</v>
      </c>
      <c r="I78" s="1748">
        <v>3</v>
      </c>
      <c r="J78" s="1748">
        <v>3</v>
      </c>
      <c r="K78" s="1748">
        <v>3</v>
      </c>
      <c r="L78" s="1748">
        <v>3</v>
      </c>
      <c r="M78" s="1748"/>
      <c r="N78" s="1740"/>
      <c r="O78" s="2122">
        <v>4</v>
      </c>
      <c r="P78" s="2122">
        <v>4</v>
      </c>
      <c r="Q78" s="1751" t="s">
        <v>36</v>
      </c>
      <c r="R78" s="1751" t="s">
        <v>36</v>
      </c>
      <c r="S78" s="1751" t="s">
        <v>36</v>
      </c>
      <c r="T78" s="2085" t="s">
        <v>78</v>
      </c>
      <c r="U78" s="2127" t="s">
        <v>74</v>
      </c>
      <c r="V78" s="2127">
        <v>6</v>
      </c>
      <c r="W78" s="2128">
        <v>6</v>
      </c>
      <c r="X78" s="2128">
        <v>6</v>
      </c>
      <c r="Y78" s="2128">
        <v>6</v>
      </c>
      <c r="Z78" s="2128">
        <v>6</v>
      </c>
      <c r="AA78" s="1748"/>
      <c r="AB78" s="1748"/>
      <c r="AC78" t="s">
        <v>36</v>
      </c>
      <c r="AD78" t="s">
        <v>36</v>
      </c>
      <c r="AE78" t="s">
        <v>36</v>
      </c>
      <c r="AF78" t="s">
        <v>36</v>
      </c>
      <c r="AG78" s="311"/>
      <c r="AH78" s="1"/>
      <c r="AK78" s="630"/>
    </row>
    <row r="79" spans="1:40" ht="22.35" customHeight="1">
      <c r="A79" s="2164"/>
      <c r="B79" s="2164" t="s">
        <v>140</v>
      </c>
      <c r="C79" s="1748">
        <v>3</v>
      </c>
      <c r="D79" s="1748">
        <v>3</v>
      </c>
      <c r="E79" s="2171">
        <v>3</v>
      </c>
      <c r="F79" s="2171"/>
      <c r="G79" s="2171"/>
      <c r="H79" s="2171">
        <v>7</v>
      </c>
      <c r="I79" s="2171" t="s">
        <v>367</v>
      </c>
      <c r="J79" s="1742">
        <v>7</v>
      </c>
      <c r="K79" s="1754">
        <v>7</v>
      </c>
      <c r="L79" s="1754">
        <v>7</v>
      </c>
      <c r="M79" s="1754"/>
      <c r="N79" s="1754"/>
      <c r="O79" s="1748" t="s">
        <v>32</v>
      </c>
      <c r="P79" s="1748" t="s">
        <v>32</v>
      </c>
      <c r="Q79" s="1748" t="s">
        <v>32</v>
      </c>
      <c r="R79" s="1748" t="s">
        <v>32</v>
      </c>
      <c r="S79" s="1748">
        <v>6</v>
      </c>
      <c r="T79" s="2184" t="s">
        <v>76</v>
      </c>
      <c r="U79" s="2184" t="s">
        <v>77</v>
      </c>
      <c r="V79" s="2143" t="s">
        <v>36</v>
      </c>
      <c r="W79" s="2185" t="s">
        <v>108</v>
      </c>
      <c r="X79" s="2186" t="s">
        <v>108</v>
      </c>
      <c r="Y79" s="564" t="s">
        <v>32</v>
      </c>
      <c r="Z79" s="2127">
        <v>10</v>
      </c>
      <c r="AA79" s="2127" t="s">
        <v>77</v>
      </c>
      <c r="AB79" s="2127" t="s">
        <v>77</v>
      </c>
      <c r="AC79" s="1751" t="s">
        <v>36</v>
      </c>
      <c r="AD79" s="1751" t="s">
        <v>36</v>
      </c>
      <c r="AE79" s="1751" t="s">
        <v>36</v>
      </c>
      <c r="AF79" s="563" t="s">
        <v>50</v>
      </c>
      <c r="AG79" s="1756"/>
      <c r="AH79" s="1"/>
      <c r="AK79" s="210"/>
    </row>
    <row r="80" spans="1:40" ht="22.35" customHeight="1" thickBot="1">
      <c r="A80" s="2187"/>
      <c r="B80" s="2164" t="s">
        <v>342</v>
      </c>
      <c r="C80" s="1748" t="s">
        <v>52</v>
      </c>
      <c r="D80" s="1747" t="s">
        <v>125</v>
      </c>
      <c r="E80" s="1747" t="s">
        <v>125</v>
      </c>
      <c r="F80" s="1748"/>
      <c r="G80" s="1748"/>
      <c r="H80" s="2180" t="s">
        <v>32</v>
      </c>
      <c r="I80" s="2180" t="s">
        <v>32</v>
      </c>
      <c r="J80" s="1747" t="s">
        <v>125</v>
      </c>
      <c r="K80" s="1747" t="s">
        <v>125</v>
      </c>
      <c r="L80" s="1747" t="s">
        <v>125</v>
      </c>
      <c r="M80" s="1748" t="s">
        <v>111</v>
      </c>
      <c r="N80" s="1748" t="s">
        <v>111</v>
      </c>
      <c r="O80" s="1748">
        <v>1</v>
      </c>
      <c r="P80" s="2171" t="s">
        <v>141</v>
      </c>
      <c r="Q80" s="2171" t="s">
        <v>141</v>
      </c>
      <c r="R80" s="2171" t="s">
        <v>141</v>
      </c>
      <c r="S80" s="2171" t="s">
        <v>258</v>
      </c>
      <c r="T80" s="1742"/>
      <c r="U80" s="1742"/>
      <c r="V80" s="1748">
        <v>11</v>
      </c>
      <c r="W80" s="1748">
        <v>11</v>
      </c>
      <c r="X80" s="1748">
        <v>11</v>
      </c>
      <c r="Y80" t="s">
        <v>36</v>
      </c>
      <c r="Z80" t="s">
        <v>32</v>
      </c>
      <c r="AA80" s="1748"/>
      <c r="AB80" s="1748"/>
      <c r="AC80" s="1748" t="s">
        <v>135</v>
      </c>
      <c r="AD80" s="1748" t="s">
        <v>135</v>
      </c>
      <c r="AE80" s="1748" t="s">
        <v>135</v>
      </c>
      <c r="AF80" s="1748" t="s">
        <v>135</v>
      </c>
      <c r="AG80" s="1838"/>
      <c r="AH80" s="1"/>
      <c r="AK80" s="210"/>
    </row>
    <row r="81" spans="1:39" ht="22.35" customHeight="1" thickBot="1">
      <c r="A81" s="2188"/>
      <c r="B81" s="2189" t="s">
        <v>350</v>
      </c>
      <c r="C81" s="2190" t="s">
        <v>52</v>
      </c>
      <c r="D81" s="2191" t="s">
        <v>52</v>
      </c>
      <c r="E81" s="2191" t="s">
        <v>256</v>
      </c>
      <c r="F81" s="2192"/>
      <c r="G81" s="2192"/>
      <c r="H81" s="349">
        <v>9</v>
      </c>
      <c r="I81" s="349">
        <v>9</v>
      </c>
      <c r="J81" s="349">
        <v>9</v>
      </c>
      <c r="K81" s="349">
        <v>9</v>
      </c>
      <c r="L81" s="349">
        <v>9</v>
      </c>
      <c r="M81" s="361" t="s">
        <v>76</v>
      </c>
      <c r="N81" s="361" t="s">
        <v>77</v>
      </c>
      <c r="O81" s="207" t="s">
        <v>36</v>
      </c>
      <c r="P81" s="207" t="s">
        <v>36</v>
      </c>
      <c r="Q81" s="207" t="s">
        <v>36</v>
      </c>
      <c r="R81" s="614" t="s">
        <v>36</v>
      </c>
      <c r="S81" s="614" t="s">
        <v>36</v>
      </c>
      <c r="T81" s="2193"/>
      <c r="U81" s="2193"/>
      <c r="V81" s="2125">
        <v>3</v>
      </c>
      <c r="W81" s="2125">
        <v>3</v>
      </c>
      <c r="X81" s="2122" t="s">
        <v>368</v>
      </c>
      <c r="Y81" s="2122" t="s">
        <v>368</v>
      </c>
      <c r="Z81" s="2122" t="s">
        <v>368</v>
      </c>
      <c r="AA81" s="2193" t="s">
        <v>111</v>
      </c>
      <c r="AB81" s="2193" t="s">
        <v>111</v>
      </c>
      <c r="AC81" s="563" t="s">
        <v>32</v>
      </c>
      <c r="AD81" s="563" t="s">
        <v>32</v>
      </c>
      <c r="AE81" s="305" t="s">
        <v>32</v>
      </c>
      <c r="AF81" s="563" t="s">
        <v>32</v>
      </c>
      <c r="AG81" s="2194"/>
      <c r="AH81" s="1"/>
      <c r="AK81" s="210"/>
      <c r="AM81" s="200"/>
    </row>
    <row r="82" spans="1:39" ht="22.35" customHeight="1" thickBot="1">
      <c r="A82" s="592"/>
      <c r="B82" s="593" t="s">
        <v>359</v>
      </c>
      <c r="C82" s="203">
        <v>6</v>
      </c>
      <c r="D82" s="609">
        <v>6</v>
      </c>
      <c r="E82" s="609">
        <v>6</v>
      </c>
      <c r="F82" s="2143" t="s">
        <v>0</v>
      </c>
      <c r="G82" s="2143"/>
      <c r="H82" s="2077">
        <v>99</v>
      </c>
      <c r="I82" s="2195">
        <v>99</v>
      </c>
      <c r="J82" s="2077">
        <v>99</v>
      </c>
      <c r="K82" s="2077">
        <v>99</v>
      </c>
      <c r="L82" s="2077" t="s">
        <v>36</v>
      </c>
      <c r="M82" s="2077"/>
      <c r="N82" s="2077"/>
      <c r="O82" s="2077" t="s">
        <v>183</v>
      </c>
      <c r="P82" s="2196">
        <v>1</v>
      </c>
      <c r="Q82" s="2197">
        <v>1</v>
      </c>
      <c r="R82" s="2197">
        <v>1</v>
      </c>
      <c r="S82" s="2077">
        <v>1</v>
      </c>
      <c r="T82" s="2077" t="s">
        <v>111</v>
      </c>
      <c r="U82" s="2077" t="s">
        <v>111</v>
      </c>
      <c r="V82" s="2077">
        <v>69</v>
      </c>
      <c r="W82" s="2077">
        <v>69</v>
      </c>
      <c r="X82" s="2077">
        <v>69</v>
      </c>
      <c r="Y82" s="2197">
        <v>69</v>
      </c>
      <c r="Z82" s="2128">
        <v>69</v>
      </c>
      <c r="AA82" s="2077"/>
      <c r="AB82" s="2077"/>
      <c r="AC82" s="2077">
        <v>79</v>
      </c>
      <c r="AD82" s="2077">
        <v>79</v>
      </c>
      <c r="AE82" s="2077">
        <v>79</v>
      </c>
      <c r="AF82" s="2077">
        <v>79</v>
      </c>
      <c r="AG82" s="597"/>
      <c r="AH82" s="1"/>
      <c r="AK82" s="229"/>
    </row>
    <row r="83" spans="1:39" ht="22.35" customHeight="1" thickBot="1">
      <c r="A83" s="205"/>
      <c r="B83" s="576" t="s">
        <v>352</v>
      </c>
      <c r="C83" s="225">
        <v>21</v>
      </c>
      <c r="D83" s="225">
        <v>21</v>
      </c>
      <c r="E83" s="225">
        <v>21</v>
      </c>
      <c r="F83" s="225">
        <v>21</v>
      </c>
      <c r="G83" s="225">
        <v>21</v>
      </c>
      <c r="H83" s="207" t="s">
        <v>36</v>
      </c>
      <c r="I83" s="203" t="s">
        <v>36</v>
      </c>
      <c r="J83" s="203" t="s">
        <v>36</v>
      </c>
      <c r="K83" s="207" t="s">
        <v>36</v>
      </c>
      <c r="L83" s="207" t="s">
        <v>36</v>
      </c>
      <c r="M83" s="207"/>
      <c r="N83" s="207"/>
      <c r="O83" s="207">
        <v>23</v>
      </c>
      <c r="P83" s="207">
        <v>23</v>
      </c>
      <c r="Q83" s="207">
        <v>23</v>
      </c>
      <c r="R83" s="207">
        <v>23</v>
      </c>
      <c r="S83" s="207">
        <v>23</v>
      </c>
      <c r="T83" s="207">
        <v>23</v>
      </c>
      <c r="U83" s="207">
        <v>23</v>
      </c>
      <c r="V83" s="1751" t="s">
        <v>36</v>
      </c>
      <c r="W83" s="1751" t="s">
        <v>36</v>
      </c>
      <c r="X83" s="1751" t="s">
        <v>36</v>
      </c>
      <c r="Y83" s="1751" t="s">
        <v>36</v>
      </c>
      <c r="Z83" s="1751" t="s">
        <v>36</v>
      </c>
      <c r="AA83" s="203"/>
      <c r="AB83" s="203"/>
      <c r="AC83" s="309">
        <v>21</v>
      </c>
      <c r="AD83" s="309">
        <v>21</v>
      </c>
      <c r="AE83" s="309">
        <v>21</v>
      </c>
      <c r="AF83" s="309">
        <v>21</v>
      </c>
      <c r="AG83" s="225"/>
      <c r="AH83" s="1"/>
      <c r="AK83" s="210"/>
    </row>
    <row r="84" spans="1:39" ht="22.35" customHeight="1" thickBot="1">
      <c r="A84" s="592"/>
      <c r="B84" s="593" t="s">
        <v>0</v>
      </c>
      <c r="C84" s="203" t="s">
        <v>0</v>
      </c>
      <c r="D84" s="203" t="s">
        <v>0</v>
      </c>
      <c r="E84" s="203" t="s">
        <v>0</v>
      </c>
      <c r="F84" s="203" t="s">
        <v>0</v>
      </c>
      <c r="G84" s="203" t="s">
        <v>0</v>
      </c>
      <c r="H84" s="207"/>
      <c r="I84" s="207"/>
      <c r="J84" s="207"/>
      <c r="K84" s="203"/>
      <c r="L84" s="203"/>
      <c r="M84" s="203"/>
      <c r="N84" s="509"/>
      <c r="O84" s="509"/>
      <c r="P84" s="509"/>
      <c r="Q84" s="510"/>
      <c r="R84" s="509"/>
      <c r="S84" s="203"/>
      <c r="T84" s="203"/>
      <c r="U84" s="509"/>
      <c r="V84" s="509"/>
      <c r="W84" s="509"/>
      <c r="X84" s="203"/>
      <c r="Y84" s="509"/>
      <c r="Z84" s="203"/>
      <c r="AA84" s="203"/>
      <c r="AB84" s="203"/>
      <c r="AC84" s="203"/>
      <c r="AD84" s="203"/>
      <c r="AE84" s="203"/>
      <c r="AF84" s="203"/>
      <c r="AG84" s="225"/>
      <c r="AH84" s="1"/>
      <c r="AK84" s="210"/>
    </row>
    <row r="85" spans="1:39" ht="22.35" customHeight="1">
      <c r="A85" s="64" t="s">
        <v>143</v>
      </c>
      <c r="AH85" s="1"/>
      <c r="AK85" s="210"/>
    </row>
    <row r="86" spans="1:39" ht="22.35" customHeight="1" thickBot="1">
      <c r="A86" s="2198"/>
      <c r="B86" s="2114" t="s">
        <v>29</v>
      </c>
      <c r="C86" s="2067">
        <v>1</v>
      </c>
      <c r="D86" s="2067">
        <v>2</v>
      </c>
      <c r="E86" s="2067">
        <v>3</v>
      </c>
      <c r="F86" s="2068">
        <v>4</v>
      </c>
      <c r="G86" s="2068">
        <v>5</v>
      </c>
      <c r="H86" s="2067">
        <v>6</v>
      </c>
      <c r="I86" s="2067">
        <v>7</v>
      </c>
      <c r="J86" s="2067">
        <v>8</v>
      </c>
      <c r="K86" s="2067">
        <v>9</v>
      </c>
      <c r="L86" s="2067">
        <v>10</v>
      </c>
      <c r="M86" s="2068">
        <v>11</v>
      </c>
      <c r="N86" s="2068">
        <v>12</v>
      </c>
      <c r="O86" s="2067">
        <v>13</v>
      </c>
      <c r="P86" s="2067">
        <v>14</v>
      </c>
      <c r="Q86" s="2067">
        <v>15</v>
      </c>
      <c r="R86" s="2067">
        <v>16</v>
      </c>
      <c r="S86" s="2067">
        <v>17</v>
      </c>
      <c r="T86" s="2068">
        <v>18</v>
      </c>
      <c r="U86" s="2068">
        <v>19</v>
      </c>
      <c r="V86" s="2067">
        <v>20</v>
      </c>
      <c r="W86" s="2067">
        <v>21</v>
      </c>
      <c r="X86" s="2067">
        <v>22</v>
      </c>
      <c r="Y86" s="2067">
        <v>23</v>
      </c>
      <c r="Z86" s="2067">
        <v>24</v>
      </c>
      <c r="AA86" s="2068">
        <v>25</v>
      </c>
      <c r="AB86" s="2068">
        <v>26</v>
      </c>
      <c r="AC86" s="2067">
        <v>27</v>
      </c>
      <c r="AD86" s="2067">
        <v>28</v>
      </c>
      <c r="AE86" s="2067">
        <v>29</v>
      </c>
      <c r="AF86" s="2067">
        <v>30</v>
      </c>
      <c r="AG86" s="2069"/>
      <c r="AH86" s="1"/>
      <c r="AK86" s="210"/>
    </row>
    <row r="87" spans="1:39" ht="22.35" customHeight="1">
      <c r="A87" s="365"/>
      <c r="B87" s="366" t="s">
        <v>144</v>
      </c>
      <c r="C87" s="349"/>
      <c r="D87" s="364"/>
      <c r="E87" s="349"/>
      <c r="F87" s="349"/>
      <c r="G87" s="349"/>
      <c r="H87" s="349"/>
      <c r="I87" s="349"/>
      <c r="J87" s="349"/>
      <c r="K87" s="349"/>
      <c r="L87" s="349"/>
      <c r="M87" s="349"/>
      <c r="N87" s="349"/>
      <c r="O87" s="349"/>
      <c r="P87" s="349"/>
      <c r="Q87" s="349"/>
      <c r="R87" s="349"/>
      <c r="S87" s="349"/>
      <c r="T87" s="349"/>
      <c r="U87" s="349"/>
      <c r="V87" s="349"/>
      <c r="W87" s="349"/>
      <c r="X87" s="349"/>
      <c r="Y87" s="349"/>
      <c r="Z87" s="349"/>
      <c r="AA87" s="349"/>
      <c r="AB87" s="349"/>
      <c r="AC87" s="349"/>
      <c r="AD87" s="349"/>
      <c r="AE87" s="349"/>
      <c r="AF87" s="349"/>
      <c r="AG87" s="352"/>
      <c r="AH87" s="1"/>
      <c r="AK87" s="229"/>
    </row>
    <row r="88" spans="1:39" ht="22.35" customHeight="1">
      <c r="A88" s="2199">
        <v>2</v>
      </c>
      <c r="B88" s="2083" t="s">
        <v>369</v>
      </c>
      <c r="C88" s="2077"/>
      <c r="D88" s="2077"/>
      <c r="E88" s="2077"/>
      <c r="F88" s="2075"/>
      <c r="G88" s="2075"/>
      <c r="H88" s="2075" t="s">
        <v>125</v>
      </c>
      <c r="I88" s="2075" t="s">
        <v>125</v>
      </c>
      <c r="J88" s="2075" t="s">
        <v>125</v>
      </c>
      <c r="K88" s="2075" t="s">
        <v>125</v>
      </c>
      <c r="L88" s="2075" t="s">
        <v>125</v>
      </c>
      <c r="M88" s="2075"/>
      <c r="N88" s="2075"/>
      <c r="O88" s="2075" t="s">
        <v>125</v>
      </c>
      <c r="P88" s="2075" t="s">
        <v>125</v>
      </c>
      <c r="Q88" s="2075" t="s">
        <v>125</v>
      </c>
      <c r="R88" s="2075" t="s">
        <v>125</v>
      </c>
      <c r="S88" s="2075" t="s">
        <v>125</v>
      </c>
      <c r="T88" s="2197"/>
      <c r="U88" s="2197"/>
      <c r="V88" s="2200" t="s">
        <v>343</v>
      </c>
      <c r="W88" s="2200" t="s">
        <v>343</v>
      </c>
      <c r="X88" s="2200" t="s">
        <v>343</v>
      </c>
      <c r="Y88" s="2200" t="s">
        <v>343</v>
      </c>
      <c r="Z88" s="2200" t="s">
        <v>343</v>
      </c>
      <c r="AA88" s="2197"/>
      <c r="AB88" s="2197"/>
      <c r="AC88" s="2200">
        <v>8</v>
      </c>
      <c r="AD88" s="2200">
        <v>8</v>
      </c>
      <c r="AE88" s="2200">
        <v>8</v>
      </c>
      <c r="AF88" s="2200">
        <v>8</v>
      </c>
      <c r="AG88" s="2201"/>
      <c r="AH88" s="1"/>
      <c r="AK88" s="229"/>
    </row>
    <row r="89" spans="1:39" ht="22.35" customHeight="1">
      <c r="A89" s="2199">
        <v>3</v>
      </c>
      <c r="B89" s="2083"/>
      <c r="C89" s="2077"/>
      <c r="D89" s="2077"/>
      <c r="E89" s="2077"/>
      <c r="F89" s="2077"/>
      <c r="G89" s="2077"/>
      <c r="H89" s="2077"/>
      <c r="I89" s="2077"/>
      <c r="J89" s="2077"/>
      <c r="K89" s="2077"/>
      <c r="L89" s="2077"/>
      <c r="M89" s="2077"/>
      <c r="N89" s="2077"/>
      <c r="O89" s="2077"/>
      <c r="P89" s="2077"/>
      <c r="Q89" s="2077"/>
      <c r="R89" s="2077"/>
      <c r="S89" s="2077"/>
      <c r="T89" s="2077"/>
      <c r="U89" s="2077"/>
      <c r="V89" s="2077"/>
      <c r="W89" s="2077"/>
      <c r="X89" s="2077"/>
      <c r="Y89" s="2077"/>
      <c r="Z89" s="2077"/>
      <c r="AA89" s="2077"/>
      <c r="AB89" s="2077"/>
      <c r="AC89" s="2077"/>
      <c r="AD89" s="2077"/>
      <c r="AE89" s="2077"/>
      <c r="AF89" s="2077"/>
      <c r="AG89" s="2119"/>
      <c r="AH89" s="1"/>
      <c r="AK89" s="229"/>
    </row>
    <row r="90" spans="1:39" ht="22.35" customHeight="1" thickBot="1">
      <c r="A90" s="2162">
        <v>4</v>
      </c>
      <c r="B90" s="2121"/>
      <c r="C90" s="2202"/>
      <c r="D90" s="2202"/>
      <c r="E90" s="2202"/>
      <c r="F90" s="2202"/>
      <c r="G90" s="2202"/>
      <c r="H90" s="2202"/>
      <c r="I90" s="2202"/>
      <c r="J90" s="2202"/>
      <c r="K90" s="2202"/>
      <c r="L90" s="2202"/>
      <c r="M90" s="2202"/>
      <c r="N90" s="2202"/>
      <c r="O90" s="2202"/>
      <c r="P90" s="2202"/>
      <c r="Q90" s="2202"/>
      <c r="R90" s="2202"/>
      <c r="S90" s="2202"/>
      <c r="T90" s="2202"/>
      <c r="U90" s="2202"/>
      <c r="V90" s="2202"/>
      <c r="W90" s="2202"/>
      <c r="X90" s="2202"/>
      <c r="Y90" s="2202"/>
      <c r="Z90" s="2202"/>
      <c r="AA90" s="2202"/>
      <c r="AB90" s="2202"/>
      <c r="AC90" s="2202"/>
      <c r="AD90" s="2202"/>
      <c r="AE90" s="2202"/>
      <c r="AF90" s="2202"/>
      <c r="AG90" s="2069"/>
      <c r="AH90" s="1"/>
      <c r="AK90" s="229"/>
    </row>
    <row r="91" spans="1:39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  <c r="AK91" s="631"/>
    </row>
    <row r="92" spans="1:39" ht="22.35" customHeight="1">
      <c r="A92" s="209"/>
      <c r="B92" s="210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  <c r="AA92" s="211"/>
      <c r="AB92" s="211"/>
      <c r="AC92" s="211"/>
      <c r="AD92" s="211"/>
      <c r="AE92" s="211"/>
      <c r="AF92" s="211"/>
      <c r="AG92" s="211"/>
      <c r="AH92" s="1"/>
    </row>
    <row r="93" spans="1:39" ht="22.35" customHeight="1" thickBot="1">
      <c r="A93" t="s">
        <v>145</v>
      </c>
    </row>
    <row r="94" spans="1:39" ht="22.35" customHeight="1" thickBot="1">
      <c r="B94" s="323" t="s">
        <v>146</v>
      </c>
      <c r="C94" s="252"/>
      <c r="D94" s="314" t="s">
        <v>94</v>
      </c>
      <c r="E94" s="314"/>
      <c r="F94" s="279"/>
      <c r="G94" s="252"/>
      <c r="H94" s="314" t="s">
        <v>95</v>
      </c>
      <c r="I94" s="314"/>
      <c r="J94" s="279"/>
      <c r="K94" s="252"/>
      <c r="L94" s="314" t="s">
        <v>96</v>
      </c>
      <c r="M94" s="314"/>
      <c r="N94" s="279"/>
      <c r="O94" s="252"/>
      <c r="P94" s="314" t="s">
        <v>97</v>
      </c>
      <c r="Q94" s="314"/>
      <c r="R94" s="279"/>
      <c r="S94" s="252"/>
      <c r="T94" s="314" t="s">
        <v>98</v>
      </c>
      <c r="U94" s="314"/>
      <c r="V94" s="279"/>
      <c r="W94" s="252"/>
      <c r="X94" s="314" t="s">
        <v>99</v>
      </c>
      <c r="Y94" s="314"/>
      <c r="Z94" s="279"/>
      <c r="AA94" s="252"/>
      <c r="AB94" s="314" t="s">
        <v>100</v>
      </c>
      <c r="AC94" s="314"/>
      <c r="AD94" s="314"/>
      <c r="AE94" s="314" t="s">
        <v>147</v>
      </c>
      <c r="AF94" s="314"/>
      <c r="AG94" s="314"/>
      <c r="AH94" s="314"/>
      <c r="AI94" s="267"/>
    </row>
    <row r="95" spans="1:39" ht="22.35" customHeight="1">
      <c r="B95" s="441" t="s">
        <v>148</v>
      </c>
      <c r="C95" s="368" t="s">
        <v>149</v>
      </c>
      <c r="D95" s="314"/>
      <c r="E95" s="357"/>
      <c r="F95" s="372"/>
      <c r="G95" s="368" t="s">
        <v>149</v>
      </c>
      <c r="H95" s="357"/>
      <c r="I95" s="357"/>
      <c r="J95" s="372"/>
      <c r="K95" s="252" t="s">
        <v>149</v>
      </c>
      <c r="L95" s="314"/>
      <c r="M95" s="314"/>
      <c r="N95" s="279"/>
      <c r="O95" s="252" t="s">
        <v>150</v>
      </c>
      <c r="P95" s="314"/>
      <c r="Q95" s="357"/>
      <c r="R95" s="372"/>
      <c r="S95" s="368" t="s">
        <v>151</v>
      </c>
      <c r="T95" s="357"/>
      <c r="U95" s="357"/>
      <c r="V95" s="357"/>
      <c r="W95" s="523"/>
      <c r="X95" s="524"/>
      <c r="Y95" s="524"/>
      <c r="Z95" s="525"/>
      <c r="AA95" s="357"/>
      <c r="AB95" s="357"/>
      <c r="AC95" s="357"/>
      <c r="AD95" s="357"/>
      <c r="AE95" s="368">
        <v>37</v>
      </c>
      <c r="AF95" s="314"/>
      <c r="AG95" s="357"/>
      <c r="AH95" s="357"/>
      <c r="AI95" s="358"/>
    </row>
    <row r="96" spans="1:39" ht="22.35" customHeight="1">
      <c r="B96" s="2203" t="s">
        <v>152</v>
      </c>
      <c r="C96" s="2204" t="s">
        <v>153</v>
      </c>
      <c r="D96" s="2049"/>
      <c r="E96" s="2049"/>
      <c r="F96" s="2057"/>
      <c r="G96" s="2204" t="s">
        <v>154</v>
      </c>
      <c r="H96" s="2049"/>
      <c r="I96" s="2049"/>
      <c r="J96" s="2057"/>
      <c r="K96" s="2204" t="s">
        <v>155</v>
      </c>
      <c r="L96" s="2049" t="s">
        <v>156</v>
      </c>
      <c r="M96" s="2049"/>
      <c r="N96" s="2057"/>
      <c r="O96" s="2204" t="s">
        <v>155</v>
      </c>
      <c r="P96" s="2049" t="s">
        <v>156</v>
      </c>
      <c r="Q96" s="2049"/>
      <c r="R96" s="2057"/>
      <c r="S96" s="2204" t="s">
        <v>154</v>
      </c>
      <c r="T96" s="2049" t="s">
        <v>157</v>
      </c>
      <c r="U96" s="2049"/>
      <c r="V96" s="2057"/>
      <c r="W96" s="8" t="s">
        <v>109</v>
      </c>
      <c r="X96" s="14" t="s">
        <v>158</v>
      </c>
      <c r="Y96" s="14"/>
      <c r="Z96" s="14"/>
      <c r="AA96" s="2204" t="s">
        <v>109</v>
      </c>
      <c r="AB96" s="2049" t="s">
        <v>158</v>
      </c>
      <c r="AC96" s="2204"/>
      <c r="AD96" s="2204"/>
      <c r="AE96" s="2204">
        <v>68</v>
      </c>
      <c r="AF96" s="2049"/>
      <c r="AG96" s="2049"/>
      <c r="AH96" s="2049"/>
      <c r="AI96" s="2058"/>
    </row>
    <row r="97" spans="1:35" ht="22.35" customHeight="1">
      <c r="B97" s="2203" t="s">
        <v>159</v>
      </c>
      <c r="C97" s="2205" t="s">
        <v>160</v>
      </c>
      <c r="D97" s="2049"/>
      <c r="E97" s="2049"/>
      <c r="F97" s="2057"/>
      <c r="G97" s="2049" t="s">
        <v>160</v>
      </c>
      <c r="H97" s="2049"/>
      <c r="I97" s="2049"/>
      <c r="J97" s="2057"/>
      <c r="K97" s="2049" t="s">
        <v>160</v>
      </c>
      <c r="L97" s="2049"/>
      <c r="M97" s="2049"/>
      <c r="N97" s="2057"/>
      <c r="O97" s="2049" t="s">
        <v>160</v>
      </c>
      <c r="P97" s="2049"/>
      <c r="Q97" s="2049"/>
      <c r="R97" s="2057"/>
      <c r="S97" s="2049" t="s">
        <v>160</v>
      </c>
      <c r="T97" s="2049"/>
      <c r="U97" s="2049"/>
      <c r="V97" s="2057"/>
      <c r="W97" s="2204"/>
      <c r="X97" s="2049"/>
      <c r="Y97" s="2049"/>
      <c r="Z97" s="2057"/>
      <c r="AA97" s="2204"/>
      <c r="AB97" s="2049"/>
      <c r="AC97" s="2049"/>
      <c r="AD97" s="2049"/>
      <c r="AE97" s="2204">
        <v>0</v>
      </c>
      <c r="AF97" s="2049"/>
      <c r="AG97" s="2049"/>
      <c r="AH97" s="2049"/>
      <c r="AI97" s="2058"/>
    </row>
    <row r="98" spans="1:35" ht="22.35" customHeight="1" thickBot="1">
      <c r="B98" s="2206" t="s">
        <v>161</v>
      </c>
      <c r="C98" s="2207" t="s">
        <v>149</v>
      </c>
      <c r="D98" s="516"/>
      <c r="E98" s="2105"/>
      <c r="F98" s="2107"/>
      <c r="G98" s="2207" t="s">
        <v>149</v>
      </c>
      <c r="H98" s="516"/>
      <c r="I98" s="2105"/>
      <c r="J98" s="2107"/>
      <c r="K98" s="2207" t="s">
        <v>149</v>
      </c>
      <c r="L98" s="516"/>
      <c r="M98" s="2105"/>
      <c r="N98" s="2107"/>
      <c r="O98" s="2207" t="s">
        <v>150</v>
      </c>
      <c r="P98" s="2105"/>
      <c r="Q98" s="2105"/>
      <c r="R98" s="2107"/>
      <c r="S98" s="2207" t="s">
        <v>151</v>
      </c>
      <c r="T98" s="2105"/>
      <c r="U98" s="2105"/>
      <c r="V98" s="2105"/>
      <c r="W98" s="2208"/>
      <c r="X98" s="2105"/>
      <c r="Y98" s="2105"/>
      <c r="Z98" s="2209"/>
      <c r="AA98" s="2105"/>
      <c r="AB98" s="2105"/>
      <c r="AC98" s="2105"/>
      <c r="AD98" s="2105"/>
      <c r="AE98" s="2207">
        <v>37</v>
      </c>
      <c r="AF98" s="2105"/>
      <c r="AG98" s="2105"/>
      <c r="AH98" s="2105"/>
      <c r="AI98" s="2112"/>
    </row>
    <row r="99" spans="1:35" ht="22.35" customHeight="1">
      <c r="D99" s="14"/>
    </row>
    <row r="100" spans="1:35" ht="22.35" customHeight="1" thickBot="1">
      <c r="A100" s="2145"/>
      <c r="B100" s="2145" t="s">
        <v>29</v>
      </c>
      <c r="C100" s="2067">
        <v>1</v>
      </c>
      <c r="D100" s="2067">
        <v>2</v>
      </c>
      <c r="E100" s="2067">
        <v>3</v>
      </c>
      <c r="F100" s="2068">
        <v>4</v>
      </c>
      <c r="G100" s="2068">
        <v>5</v>
      </c>
      <c r="H100" s="2067">
        <v>6</v>
      </c>
      <c r="I100" s="2067">
        <v>7</v>
      </c>
      <c r="J100" s="2067">
        <v>8</v>
      </c>
      <c r="K100" s="2067">
        <v>9</v>
      </c>
      <c r="L100" s="2067">
        <v>10</v>
      </c>
      <c r="M100" s="2068">
        <v>11</v>
      </c>
      <c r="N100" s="2068">
        <v>12</v>
      </c>
      <c r="O100" s="2067">
        <v>13</v>
      </c>
      <c r="P100" s="2067">
        <v>14</v>
      </c>
      <c r="Q100" s="2067">
        <v>15</v>
      </c>
      <c r="R100" s="2067">
        <v>16</v>
      </c>
      <c r="S100" s="2067">
        <v>17</v>
      </c>
      <c r="T100" s="2068">
        <v>18</v>
      </c>
      <c r="U100" s="2068">
        <v>19</v>
      </c>
      <c r="V100" s="2067">
        <v>20</v>
      </c>
      <c r="W100" s="2067">
        <v>21</v>
      </c>
      <c r="X100" s="2067">
        <v>22</v>
      </c>
      <c r="Y100" s="2067">
        <v>23</v>
      </c>
      <c r="Z100" s="2067">
        <v>24</v>
      </c>
      <c r="AA100" s="2068">
        <v>25</v>
      </c>
      <c r="AB100" s="2068">
        <v>26</v>
      </c>
      <c r="AC100" s="2067">
        <v>27</v>
      </c>
      <c r="AD100" s="2067">
        <v>28</v>
      </c>
      <c r="AE100" s="2067">
        <v>29</v>
      </c>
      <c r="AF100" s="2067">
        <v>30</v>
      </c>
      <c r="AG100" s="2069"/>
      <c r="AH100" s="176"/>
      <c r="AI100" s="177"/>
    </row>
    <row r="101" spans="1:35" ht="22.35" customHeight="1">
      <c r="A101" s="367">
        <v>1</v>
      </c>
      <c r="B101" s="526" t="s">
        <v>162</v>
      </c>
      <c r="C101" s="349" t="s">
        <v>163</v>
      </c>
      <c r="D101" s="349" t="s">
        <v>163</v>
      </c>
      <c r="E101" s="349" t="s">
        <v>163</v>
      </c>
      <c r="F101" s="349"/>
      <c r="G101" s="349"/>
      <c r="H101" s="349" t="s">
        <v>163</v>
      </c>
      <c r="I101" s="349" t="s">
        <v>163</v>
      </c>
      <c r="J101" s="349" t="s">
        <v>163</v>
      </c>
      <c r="K101" s="349" t="s">
        <v>163</v>
      </c>
      <c r="L101" s="349" t="s">
        <v>163</v>
      </c>
      <c r="M101" s="349"/>
      <c r="N101" s="349"/>
      <c r="O101" s="349" t="s">
        <v>108</v>
      </c>
      <c r="P101" s="511" t="s">
        <v>108</v>
      </c>
      <c r="Q101" s="349" t="s">
        <v>108</v>
      </c>
      <c r="R101" s="349" t="s">
        <v>108</v>
      </c>
      <c r="S101" s="349" t="s">
        <v>108</v>
      </c>
      <c r="T101" s="349" t="s">
        <v>109</v>
      </c>
      <c r="U101" s="349" t="s">
        <v>109</v>
      </c>
      <c r="V101" s="349" t="s">
        <v>36</v>
      </c>
      <c r="W101" s="349" t="s">
        <v>36</v>
      </c>
      <c r="X101" s="512" t="s">
        <v>36</v>
      </c>
      <c r="Y101" s="512" t="s">
        <v>36</v>
      </c>
      <c r="Z101" s="512" t="s">
        <v>36</v>
      </c>
      <c r="AA101" s="512"/>
      <c r="AB101" s="349"/>
      <c r="AC101" s="349" t="s">
        <v>163</v>
      </c>
      <c r="AD101" s="349" t="s">
        <v>163</v>
      </c>
      <c r="AE101" s="349" t="s">
        <v>163</v>
      </c>
      <c r="AF101" s="349" t="s">
        <v>163</v>
      </c>
      <c r="AG101" s="352"/>
      <c r="AH101" s="181"/>
      <c r="AI101" s="182"/>
    </row>
    <row r="102" spans="1:35" ht="22.35" customHeight="1" thickBot="1">
      <c r="A102" s="2210">
        <v>2</v>
      </c>
      <c r="B102" s="2211" t="s">
        <v>164</v>
      </c>
      <c r="C102" s="2212" t="s">
        <v>36</v>
      </c>
      <c r="D102" s="2213" t="s">
        <v>52</v>
      </c>
      <c r="E102" s="2213" t="s">
        <v>52</v>
      </c>
      <c r="F102" s="2212"/>
      <c r="G102" s="2212"/>
      <c r="H102" s="2212" t="s">
        <v>163</v>
      </c>
      <c r="I102" s="1748">
        <v>79</v>
      </c>
      <c r="J102" s="1748">
        <v>79</v>
      </c>
      <c r="K102" s="1748" t="s">
        <v>124</v>
      </c>
      <c r="L102" s="1748" t="s">
        <v>50</v>
      </c>
      <c r="M102" s="1748"/>
      <c r="N102" s="2077"/>
      <c r="O102" s="2077">
        <v>99</v>
      </c>
      <c r="P102" s="2077">
        <v>99</v>
      </c>
      <c r="Q102" s="2077">
        <v>4</v>
      </c>
      <c r="R102" s="2077">
        <v>4</v>
      </c>
      <c r="S102" s="612" t="s">
        <v>370</v>
      </c>
      <c r="T102" s="2077"/>
      <c r="U102" s="2077"/>
      <c r="V102" s="2077" t="s">
        <v>108</v>
      </c>
      <c r="W102" s="2128" t="s">
        <v>108</v>
      </c>
      <c r="X102" s="2077" t="s">
        <v>108</v>
      </c>
      <c r="Y102" s="2077" t="s">
        <v>108</v>
      </c>
      <c r="Z102" s="2077" t="s">
        <v>108</v>
      </c>
      <c r="AA102" s="2077" t="s">
        <v>109</v>
      </c>
      <c r="AB102" s="2077" t="s">
        <v>109</v>
      </c>
      <c r="AC102" s="2077" t="s">
        <v>36</v>
      </c>
      <c r="AD102" s="2077" t="s">
        <v>36</v>
      </c>
      <c r="AE102" s="2212" t="s">
        <v>36</v>
      </c>
      <c r="AF102" s="2212" t="s">
        <v>36</v>
      </c>
      <c r="AG102" s="2214"/>
      <c r="AH102" s="181"/>
      <c r="AI102" s="182"/>
    </row>
    <row r="103" spans="1:35" ht="22.35" customHeight="1">
      <c r="A103" s="2210">
        <v>3</v>
      </c>
      <c r="B103" s="2211" t="s">
        <v>165</v>
      </c>
      <c r="C103" s="2129" t="s">
        <v>115</v>
      </c>
      <c r="D103" s="2129" t="s">
        <v>115</v>
      </c>
      <c r="E103" s="2129" t="s">
        <v>115</v>
      </c>
      <c r="F103" s="2215">
        <v>22</v>
      </c>
      <c r="G103" s="2129" t="s">
        <v>0</v>
      </c>
      <c r="H103" s="2215" t="s">
        <v>115</v>
      </c>
      <c r="I103" s="2129" t="s">
        <v>115</v>
      </c>
      <c r="J103" s="2129" t="s">
        <v>115</v>
      </c>
      <c r="K103" s="2129" t="s">
        <v>115</v>
      </c>
      <c r="L103" s="2215" t="s">
        <v>115</v>
      </c>
      <c r="M103" s="2212"/>
      <c r="N103" s="2077"/>
      <c r="O103" s="2129" t="s">
        <v>115</v>
      </c>
      <c r="P103" s="2129" t="s">
        <v>115</v>
      </c>
      <c r="Q103" s="2129" t="s">
        <v>115</v>
      </c>
      <c r="R103" s="2129" t="s">
        <v>115</v>
      </c>
      <c r="S103" s="2129" t="s">
        <v>115</v>
      </c>
      <c r="T103" s="2077"/>
      <c r="U103" s="557" t="s">
        <v>32</v>
      </c>
      <c r="V103" s="598" t="s">
        <v>115</v>
      </c>
      <c r="W103" s="598" t="s">
        <v>115</v>
      </c>
      <c r="X103" s="598" t="s">
        <v>115</v>
      </c>
      <c r="Y103" s="598" t="s">
        <v>115</v>
      </c>
      <c r="Z103" s="2129" t="s">
        <v>115</v>
      </c>
      <c r="AA103" s="2077"/>
      <c r="AB103" s="557" t="s">
        <v>32</v>
      </c>
      <c r="AC103" s="598" t="s">
        <v>115</v>
      </c>
      <c r="AD103" s="598" t="s">
        <v>115</v>
      </c>
      <c r="AE103" s="598" t="s">
        <v>115</v>
      </c>
      <c r="AF103" s="598" t="s">
        <v>115</v>
      </c>
      <c r="AG103" s="2119"/>
      <c r="AH103" s="181"/>
      <c r="AI103" s="182"/>
    </row>
    <row r="104" spans="1:35" ht="22.35" customHeight="1" thickBot="1">
      <c r="A104" s="2216">
        <v>4</v>
      </c>
      <c r="B104" s="2131" t="s">
        <v>162</v>
      </c>
      <c r="C104" s="2163" t="s">
        <v>163</v>
      </c>
      <c r="D104" s="2163" t="s">
        <v>163</v>
      </c>
      <c r="E104" s="2163" t="s">
        <v>163</v>
      </c>
      <c r="F104" s="2163" t="s">
        <v>0</v>
      </c>
      <c r="G104" s="2163" t="s">
        <v>0</v>
      </c>
      <c r="H104" s="2163" t="s">
        <v>108</v>
      </c>
      <c r="I104" s="2163" t="s">
        <v>108</v>
      </c>
      <c r="J104" s="2163" t="s">
        <v>108</v>
      </c>
      <c r="K104" s="2163" t="s">
        <v>108</v>
      </c>
      <c r="L104" s="2163" t="s">
        <v>108</v>
      </c>
      <c r="M104" s="2163" t="s">
        <v>109</v>
      </c>
      <c r="N104" s="2163" t="s">
        <v>109</v>
      </c>
      <c r="O104" s="2163" t="s">
        <v>36</v>
      </c>
      <c r="P104" s="2163" t="s">
        <v>36</v>
      </c>
      <c r="Q104" s="2163" t="s">
        <v>36</v>
      </c>
      <c r="R104" s="2163" t="s">
        <v>36</v>
      </c>
      <c r="S104" s="2163" t="s">
        <v>36</v>
      </c>
      <c r="T104" s="2163"/>
      <c r="U104" s="2163"/>
      <c r="V104" s="2163" t="s">
        <v>163</v>
      </c>
      <c r="W104" s="2163" t="s">
        <v>163</v>
      </c>
      <c r="X104" s="2163" t="s">
        <v>163</v>
      </c>
      <c r="Y104" s="2163" t="s">
        <v>163</v>
      </c>
      <c r="Z104" s="2163" t="s">
        <v>163</v>
      </c>
      <c r="AA104" s="2067"/>
      <c r="AB104" s="2067"/>
      <c r="AC104" s="2067" t="s">
        <v>163</v>
      </c>
      <c r="AD104" s="2067" t="s">
        <v>163</v>
      </c>
      <c r="AE104" s="2163" t="s">
        <v>163</v>
      </c>
      <c r="AF104" s="2163" t="s">
        <v>163</v>
      </c>
      <c r="AG104" s="2069"/>
      <c r="AH104" s="181"/>
      <c r="AI104" s="182"/>
    </row>
    <row r="105" spans="1:35" ht="22.35" customHeight="1" thickBot="1">
      <c r="A105" s="212"/>
      <c r="B105" s="200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13"/>
      <c r="AF105" s="213"/>
      <c r="AG105" s="214"/>
      <c r="AH105" s="215"/>
      <c r="AI105" s="182"/>
    </row>
    <row r="106" spans="1:35" ht="22.35" customHeight="1">
      <c r="A106" s="72"/>
      <c r="B106" s="248" t="s">
        <v>167</v>
      </c>
      <c r="C106" s="368"/>
      <c r="D106" s="369" t="s">
        <v>94</v>
      </c>
      <c r="E106" s="370"/>
      <c r="F106" s="368"/>
      <c r="G106" s="371" t="s">
        <v>95</v>
      </c>
      <c r="H106" s="372"/>
      <c r="I106" s="373"/>
      <c r="J106" s="371" t="s">
        <v>96</v>
      </c>
      <c r="K106" s="374"/>
      <c r="L106" s="373"/>
      <c r="M106" s="375" t="s">
        <v>97</v>
      </c>
      <c r="N106" s="374"/>
      <c r="O106" s="373"/>
      <c r="P106" s="371" t="s">
        <v>98</v>
      </c>
      <c r="Q106" s="376"/>
      <c r="R106" s="373"/>
      <c r="S106" s="371" t="s">
        <v>99</v>
      </c>
      <c r="T106" s="377"/>
      <c r="U106" s="373"/>
      <c r="V106" s="371" t="s">
        <v>100</v>
      </c>
      <c r="W106" s="376"/>
      <c r="X106" s="378" t="s">
        <v>147</v>
      </c>
      <c r="Y106" s="379"/>
      <c r="Z106" s="379"/>
      <c r="AA106" s="380"/>
      <c r="AB106" s="235" t="s">
        <v>101</v>
      </c>
      <c r="AC106" s="236"/>
      <c r="AD106" s="236"/>
      <c r="AE106" s="237"/>
      <c r="AF106" s="237"/>
      <c r="AG106" s="238"/>
      <c r="AH106" s="215"/>
      <c r="AI106" s="182"/>
    </row>
    <row r="107" spans="1:35" ht="22.35" customHeight="1">
      <c r="A107" s="72"/>
      <c r="B107" s="2217" t="s">
        <v>169</v>
      </c>
      <c r="C107" s="2218" t="s">
        <v>170</v>
      </c>
      <c r="D107" s="2051"/>
      <c r="E107" s="2052"/>
      <c r="F107" s="2218" t="s">
        <v>170</v>
      </c>
      <c r="G107" s="2051"/>
      <c r="H107" s="2052"/>
      <c r="I107" s="2218" t="s">
        <v>170</v>
      </c>
      <c r="J107" s="2051"/>
      <c r="K107" s="2052"/>
      <c r="L107" s="2218" t="s">
        <v>170</v>
      </c>
      <c r="M107" s="2051"/>
      <c r="N107" s="2052"/>
      <c r="O107" s="2218" t="s">
        <v>171</v>
      </c>
      <c r="P107" s="2051"/>
      <c r="Q107" s="2052"/>
      <c r="R107" s="2218"/>
      <c r="S107" s="2051"/>
      <c r="T107" s="2052"/>
      <c r="U107" s="2218"/>
      <c r="V107" s="2051"/>
      <c r="W107" s="2052"/>
      <c r="X107" s="2218"/>
      <c r="Y107" s="2219"/>
      <c r="Z107" s="2219"/>
      <c r="AA107" s="2219"/>
      <c r="AB107" s="2048"/>
      <c r="AC107" s="2219"/>
      <c r="AD107" s="2219"/>
      <c r="AE107" s="2219"/>
      <c r="AF107" s="2219"/>
      <c r="AG107" s="2220"/>
      <c r="AH107" s="215"/>
      <c r="AI107" s="182"/>
    </row>
    <row r="108" spans="1:35" ht="22.35" customHeight="1">
      <c r="A108" s="72"/>
      <c r="B108" s="17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215"/>
      <c r="AI108" s="182"/>
    </row>
    <row r="109" spans="1:35" ht="22.35" customHeight="1" thickBot="1">
      <c r="A109" s="2198" t="s">
        <v>28</v>
      </c>
      <c r="B109" s="2114" t="s">
        <v>29</v>
      </c>
      <c r="C109" s="2067">
        <v>1</v>
      </c>
      <c r="D109" s="2067">
        <v>2</v>
      </c>
      <c r="E109" s="2067">
        <v>3</v>
      </c>
      <c r="F109" s="2068">
        <v>4</v>
      </c>
      <c r="G109" s="2068">
        <v>5</v>
      </c>
      <c r="H109" s="2067">
        <v>6</v>
      </c>
      <c r="I109" s="2067">
        <v>7</v>
      </c>
      <c r="J109" s="2067">
        <v>8</v>
      </c>
      <c r="K109" s="2067">
        <v>9</v>
      </c>
      <c r="L109" s="2067">
        <v>10</v>
      </c>
      <c r="M109" s="2068">
        <v>11</v>
      </c>
      <c r="N109" s="2068">
        <v>12</v>
      </c>
      <c r="O109" s="2067">
        <v>13</v>
      </c>
      <c r="P109" s="2067">
        <v>14</v>
      </c>
      <c r="Q109" s="2067">
        <v>15</v>
      </c>
      <c r="R109" s="2067">
        <v>16</v>
      </c>
      <c r="S109" s="2067">
        <v>17</v>
      </c>
      <c r="T109" s="2068">
        <v>18</v>
      </c>
      <c r="U109" s="2068">
        <v>19</v>
      </c>
      <c r="V109" s="2067">
        <v>20</v>
      </c>
      <c r="W109" s="2067">
        <v>21</v>
      </c>
      <c r="X109" s="2067">
        <v>22</v>
      </c>
      <c r="Y109" s="2067">
        <v>23</v>
      </c>
      <c r="Z109" s="2067">
        <v>24</v>
      </c>
      <c r="AA109" s="2068">
        <v>25</v>
      </c>
      <c r="AB109" s="2068">
        <v>26</v>
      </c>
      <c r="AC109" s="2067">
        <v>27</v>
      </c>
      <c r="AD109" s="2067">
        <v>28</v>
      </c>
      <c r="AE109" s="2067">
        <v>29</v>
      </c>
      <c r="AF109" s="2067">
        <v>30</v>
      </c>
      <c r="AG109" s="2069"/>
      <c r="AH109" s="215"/>
      <c r="AI109" s="182"/>
    </row>
    <row r="110" spans="1:35" ht="22.35" customHeight="1">
      <c r="A110" s="381">
        <v>8520</v>
      </c>
      <c r="B110" s="382" t="s">
        <v>172</v>
      </c>
      <c r="C110" s="349" t="s">
        <v>173</v>
      </c>
      <c r="D110" s="349" t="s">
        <v>173</v>
      </c>
      <c r="E110" s="349" t="s">
        <v>173</v>
      </c>
      <c r="F110" s="349"/>
      <c r="G110" s="349"/>
      <c r="H110" s="349" t="s">
        <v>173</v>
      </c>
      <c r="I110" s="349" t="s">
        <v>173</v>
      </c>
      <c r="J110" s="349" t="s">
        <v>173</v>
      </c>
      <c r="K110" s="349" t="s">
        <v>173</v>
      </c>
      <c r="L110" s="349" t="s">
        <v>173</v>
      </c>
      <c r="M110" s="349"/>
      <c r="N110" s="349"/>
      <c r="O110" s="349" t="s">
        <v>173</v>
      </c>
      <c r="P110" s="349" t="s">
        <v>173</v>
      </c>
      <c r="Q110" s="349" t="s">
        <v>173</v>
      </c>
      <c r="R110" s="349" t="s">
        <v>173</v>
      </c>
      <c r="S110" s="566" t="s">
        <v>173</v>
      </c>
      <c r="T110" s="349"/>
      <c r="U110" s="349"/>
      <c r="V110" s="349" t="s">
        <v>173</v>
      </c>
      <c r="W110" s="349" t="s">
        <v>173</v>
      </c>
      <c r="X110" s="349" t="s">
        <v>173</v>
      </c>
      <c r="Y110" s="349" t="s">
        <v>173</v>
      </c>
      <c r="Z110" s="349" t="s">
        <v>173</v>
      </c>
      <c r="AA110" s="349"/>
      <c r="AB110" s="349"/>
      <c r="AC110" s="349" t="s">
        <v>173</v>
      </c>
      <c r="AD110" s="349" t="s">
        <v>173</v>
      </c>
      <c r="AE110" s="349" t="s">
        <v>173</v>
      </c>
      <c r="AF110" s="349" t="s">
        <v>173</v>
      </c>
      <c r="AG110" s="352"/>
      <c r="AH110" s="215"/>
      <c r="AI110" s="182"/>
    </row>
    <row r="111" spans="1:35" ht="22.35" customHeight="1">
      <c r="A111" s="221"/>
      <c r="B111" s="220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  <c r="AA111" s="211"/>
      <c r="AB111" s="211"/>
      <c r="AC111" s="211"/>
      <c r="AD111" s="211"/>
      <c r="AE111" s="211"/>
      <c r="AF111" s="211"/>
      <c r="AG111" s="211"/>
      <c r="AH111" s="215"/>
      <c r="AI111" s="182"/>
    </row>
    <row r="112" spans="1:35" ht="22.35" customHeight="1">
      <c r="AH112" s="107"/>
      <c r="AI112" s="107"/>
    </row>
    <row r="113" spans="1:35" ht="22.35" customHeight="1" thickBot="1">
      <c r="A113" s="172" t="s">
        <v>174</v>
      </c>
      <c r="B113" s="173"/>
      <c r="C113" s="173"/>
      <c r="D113" s="174"/>
      <c r="E113" s="174"/>
      <c r="F113" s="174"/>
      <c r="G113" s="105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3"/>
      <c r="AI113" s="173"/>
    </row>
    <row r="114" spans="1:35" ht="22.35" customHeight="1">
      <c r="A114" s="172"/>
      <c r="B114" s="248" t="s">
        <v>175</v>
      </c>
      <c r="C114" s="383"/>
      <c r="D114" s="384" t="s">
        <v>94</v>
      </c>
      <c r="E114" s="385"/>
      <c r="F114" s="386"/>
      <c r="G114" s="383"/>
      <c r="H114" s="384" t="s">
        <v>95</v>
      </c>
      <c r="I114" s="385"/>
      <c r="J114" s="386"/>
      <c r="K114" s="383"/>
      <c r="L114" s="384" t="s">
        <v>96</v>
      </c>
      <c r="M114" s="385"/>
      <c r="N114" s="386"/>
      <c r="O114" s="383"/>
      <c r="P114" s="384" t="s">
        <v>97</v>
      </c>
      <c r="Q114" s="385"/>
      <c r="R114" s="386"/>
      <c r="S114" s="383"/>
      <c r="T114" s="384" t="s">
        <v>98</v>
      </c>
      <c r="U114" s="385"/>
      <c r="V114" s="386"/>
      <c r="W114" s="383"/>
      <c r="X114" s="384" t="s">
        <v>99</v>
      </c>
      <c r="Y114" s="385"/>
      <c r="Z114" s="386"/>
      <c r="AA114" s="383"/>
      <c r="AB114" s="384" t="s">
        <v>100</v>
      </c>
      <c r="AC114" s="385"/>
      <c r="AD114" s="385"/>
      <c r="AE114" s="387" t="s">
        <v>101</v>
      </c>
      <c r="AF114" s="385"/>
      <c r="AG114" s="385"/>
      <c r="AH114" s="385"/>
      <c r="AI114" s="388"/>
    </row>
    <row r="115" spans="1:35" ht="22.35" customHeight="1">
      <c r="A115" s="172"/>
      <c r="B115" s="2221" t="s">
        <v>148</v>
      </c>
      <c r="C115" s="2222">
        <v>69</v>
      </c>
      <c r="D115" s="2223" t="s">
        <v>176</v>
      </c>
      <c r="E115" s="2223"/>
      <c r="F115" s="2224"/>
      <c r="G115" s="2222">
        <v>69</v>
      </c>
      <c r="H115" s="2223" t="s">
        <v>176</v>
      </c>
      <c r="I115" s="2223"/>
      <c r="J115" s="2224"/>
      <c r="K115" s="2222">
        <v>69</v>
      </c>
      <c r="L115" s="2223" t="s">
        <v>176</v>
      </c>
      <c r="M115" s="2223"/>
      <c r="N115" s="2224"/>
      <c r="O115" s="2222">
        <v>69</v>
      </c>
      <c r="P115" s="2223" t="s">
        <v>176</v>
      </c>
      <c r="Q115" s="2223"/>
      <c r="R115" s="2224"/>
      <c r="S115" s="2222">
        <v>69</v>
      </c>
      <c r="T115" s="2223" t="s">
        <v>176</v>
      </c>
      <c r="U115" s="2223"/>
      <c r="V115" s="2224"/>
      <c r="W115" s="2222"/>
      <c r="X115" s="2225"/>
      <c r="Y115" s="2225"/>
      <c r="Z115" s="2226"/>
      <c r="AA115" s="2222"/>
      <c r="AB115" s="2223"/>
      <c r="AC115" s="2223"/>
      <c r="AD115" s="2152"/>
      <c r="AE115" s="2227">
        <v>35</v>
      </c>
      <c r="AF115" s="2223"/>
      <c r="AG115" s="2223"/>
      <c r="AH115" s="2152"/>
      <c r="AI115" s="2228"/>
    </row>
    <row r="116" spans="1:35" ht="22.35" customHeight="1">
      <c r="A116" s="172"/>
      <c r="B116" s="2221" t="s">
        <v>152</v>
      </c>
      <c r="C116" s="2222">
        <v>79</v>
      </c>
      <c r="D116" s="2223" t="s">
        <v>177</v>
      </c>
      <c r="E116" s="2223"/>
      <c r="F116" s="2224"/>
      <c r="G116" s="2222">
        <v>79</v>
      </c>
      <c r="H116" s="2223" t="s">
        <v>177</v>
      </c>
      <c r="I116" s="2223"/>
      <c r="J116" s="2224"/>
      <c r="K116" s="2222">
        <v>79</v>
      </c>
      <c r="L116" s="2223" t="s">
        <v>177</v>
      </c>
      <c r="M116" s="2223"/>
      <c r="N116" s="2224"/>
      <c r="O116" s="2222">
        <v>79</v>
      </c>
      <c r="P116" s="2223" t="s">
        <v>177</v>
      </c>
      <c r="Q116" s="2223"/>
      <c r="R116" s="2224"/>
      <c r="S116" s="2222">
        <v>79</v>
      </c>
      <c r="T116" s="2223" t="s">
        <v>177</v>
      </c>
      <c r="U116" s="2223"/>
      <c r="V116" s="2224"/>
      <c r="W116" s="2222"/>
      <c r="X116" s="2223"/>
      <c r="Y116" s="2223"/>
      <c r="Z116" s="2224"/>
      <c r="AA116" s="2223"/>
      <c r="AB116" s="2223"/>
      <c r="AC116" s="2223"/>
      <c r="AD116" s="2152"/>
      <c r="AE116" s="2227">
        <v>40</v>
      </c>
      <c r="AF116" s="2223"/>
      <c r="AG116" s="2223"/>
      <c r="AH116" s="2152"/>
      <c r="AI116" s="2228"/>
    </row>
    <row r="117" spans="1:35" ht="22.35" customHeight="1">
      <c r="A117" s="172"/>
      <c r="B117" s="2221" t="s">
        <v>159</v>
      </c>
      <c r="C117" s="2222">
        <v>89</v>
      </c>
      <c r="D117" s="2223" t="s">
        <v>178</v>
      </c>
      <c r="E117" s="2223"/>
      <c r="F117" s="2224"/>
      <c r="G117" s="2222">
        <v>89</v>
      </c>
      <c r="H117" s="2223" t="s">
        <v>178</v>
      </c>
      <c r="I117" s="2223"/>
      <c r="J117" s="2224"/>
      <c r="K117" s="2222">
        <v>89</v>
      </c>
      <c r="L117" s="2223" t="s">
        <v>178</v>
      </c>
      <c r="M117" s="2223"/>
      <c r="N117" s="2224"/>
      <c r="O117" s="2222">
        <v>89</v>
      </c>
      <c r="P117" s="2223" t="s">
        <v>178</v>
      </c>
      <c r="Q117" s="2223"/>
      <c r="R117" s="2224"/>
      <c r="S117" s="2222">
        <v>89</v>
      </c>
      <c r="T117" s="2223" t="s">
        <v>179</v>
      </c>
      <c r="U117" s="2223"/>
      <c r="V117" s="2224"/>
      <c r="W117" s="2229"/>
      <c r="X117" s="2230" t="s">
        <v>180</v>
      </c>
      <c r="Y117" s="2230"/>
      <c r="Z117" s="2231"/>
      <c r="AA117" s="2229"/>
      <c r="AB117" s="2230"/>
      <c r="AC117" s="2230"/>
      <c r="AD117" s="2154"/>
      <c r="AE117" s="2227">
        <v>44</v>
      </c>
      <c r="AF117" s="2223"/>
      <c r="AG117" s="2223"/>
      <c r="AH117" s="2152"/>
      <c r="AI117" s="2228"/>
    </row>
    <row r="118" spans="1:35" ht="22.35" customHeight="1">
      <c r="A118" s="172"/>
      <c r="B118" s="38" t="s">
        <v>161</v>
      </c>
      <c r="C118" s="2229">
        <v>99</v>
      </c>
      <c r="D118" s="2230" t="s">
        <v>181</v>
      </c>
      <c r="E118" s="2230"/>
      <c r="F118" s="2231"/>
      <c r="G118" s="2229">
        <v>99</v>
      </c>
      <c r="H118" s="2230" t="s">
        <v>181</v>
      </c>
      <c r="I118" s="2230"/>
      <c r="J118" s="2231"/>
      <c r="K118" s="2229">
        <v>99</v>
      </c>
      <c r="L118" s="2230" t="s">
        <v>181</v>
      </c>
      <c r="M118" s="2230"/>
      <c r="N118" s="2231"/>
      <c r="O118" s="2229">
        <v>99</v>
      </c>
      <c r="P118" s="2230" t="s">
        <v>181</v>
      </c>
      <c r="Q118" s="2230"/>
      <c r="R118" s="2231"/>
      <c r="S118" s="2229">
        <v>99</v>
      </c>
      <c r="T118" s="2230" t="s">
        <v>160</v>
      </c>
      <c r="U118" s="2230"/>
      <c r="V118" s="2154"/>
      <c r="W118" s="2153"/>
      <c r="X118" s="2154"/>
      <c r="Y118" s="2230"/>
      <c r="Z118" s="2231"/>
      <c r="AA118" s="2153"/>
      <c r="AB118" s="2154"/>
      <c r="AC118" s="2230"/>
      <c r="AD118" s="2231"/>
      <c r="AE118" s="2232">
        <v>28</v>
      </c>
      <c r="AF118" s="2230"/>
      <c r="AG118" s="2230"/>
      <c r="AH118" s="2154"/>
      <c r="AI118" s="2233"/>
    </row>
    <row r="119" spans="1:35" ht="22.35" customHeight="1" thickBot="1">
      <c r="A119" s="172"/>
      <c r="B119" s="2234" t="s">
        <v>182</v>
      </c>
      <c r="C119" s="2235" t="s">
        <v>183</v>
      </c>
      <c r="D119" s="2236" t="s">
        <v>184</v>
      </c>
      <c r="E119" s="2237"/>
      <c r="F119" s="2107"/>
      <c r="G119" s="2235" t="s">
        <v>183</v>
      </c>
      <c r="H119" s="2236" t="s">
        <v>184</v>
      </c>
      <c r="I119" s="2105"/>
      <c r="J119" s="2237"/>
      <c r="K119" s="2235" t="s">
        <v>183</v>
      </c>
      <c r="L119" s="2236" t="s">
        <v>184</v>
      </c>
      <c r="M119" s="2237"/>
      <c r="N119" s="2238"/>
      <c r="O119" s="2235" t="s">
        <v>183</v>
      </c>
      <c r="P119" s="2236" t="s">
        <v>184</v>
      </c>
      <c r="Q119" s="2237"/>
      <c r="R119" s="2236"/>
      <c r="S119" s="2235" t="s">
        <v>183</v>
      </c>
      <c r="T119" s="2109" t="s">
        <v>185</v>
      </c>
      <c r="U119" s="2236"/>
      <c r="V119" s="2238"/>
      <c r="W119" s="2237"/>
      <c r="X119" s="2236"/>
      <c r="Y119" s="2236"/>
      <c r="Z119" s="2236"/>
      <c r="AA119" s="2239"/>
      <c r="AB119" s="2240"/>
      <c r="AC119" s="2236"/>
      <c r="AD119" s="2241"/>
      <c r="AE119" s="2236"/>
      <c r="AF119" s="2236"/>
      <c r="AG119" s="2236"/>
      <c r="AH119" s="2242"/>
      <c r="AI119" s="2243"/>
    </row>
    <row r="120" spans="1:35" ht="22.35" customHeight="1">
      <c r="A120" s="108"/>
      <c r="B120" s="172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 thickBot="1">
      <c r="A121" s="2198"/>
      <c r="B121" s="2114" t="s">
        <v>29</v>
      </c>
      <c r="C121" s="2067">
        <v>1</v>
      </c>
      <c r="D121" s="2067">
        <v>2</v>
      </c>
      <c r="E121" s="2067">
        <v>3</v>
      </c>
      <c r="F121" s="2068">
        <v>4</v>
      </c>
      <c r="G121" s="2068">
        <v>5</v>
      </c>
      <c r="H121" s="2067">
        <v>6</v>
      </c>
      <c r="I121" s="2067">
        <v>7</v>
      </c>
      <c r="J121" s="2067">
        <v>8</v>
      </c>
      <c r="K121" s="2067">
        <v>9</v>
      </c>
      <c r="L121" s="2067">
        <v>10</v>
      </c>
      <c r="M121" s="2068">
        <v>11</v>
      </c>
      <c r="N121" s="2068">
        <v>12</v>
      </c>
      <c r="O121" s="2067">
        <v>13</v>
      </c>
      <c r="P121" s="2067">
        <v>14</v>
      </c>
      <c r="Q121" s="2067">
        <v>15</v>
      </c>
      <c r="R121" s="2067">
        <v>16</v>
      </c>
      <c r="S121" s="2067">
        <v>17</v>
      </c>
      <c r="T121" s="2068">
        <v>18</v>
      </c>
      <c r="U121" s="2068">
        <v>19</v>
      </c>
      <c r="V121" s="2067">
        <v>20</v>
      </c>
      <c r="W121" s="2067">
        <v>21</v>
      </c>
      <c r="X121" s="2067">
        <v>22</v>
      </c>
      <c r="Y121" s="2067">
        <v>23</v>
      </c>
      <c r="Z121" s="2067">
        <v>24</v>
      </c>
      <c r="AA121" s="2068">
        <v>25</v>
      </c>
      <c r="AB121" s="2068">
        <v>26</v>
      </c>
      <c r="AC121" s="2067">
        <v>27</v>
      </c>
      <c r="AD121" s="2067">
        <v>28</v>
      </c>
      <c r="AE121" s="2067">
        <v>29</v>
      </c>
      <c r="AF121" s="2067">
        <v>30</v>
      </c>
      <c r="AG121" s="2069"/>
      <c r="AH121" s="176"/>
      <c r="AI121" s="177"/>
    </row>
    <row r="122" spans="1:35" ht="22.35" customHeight="1">
      <c r="A122" s="367">
        <v>1</v>
      </c>
      <c r="B122" s="389" t="s">
        <v>186</v>
      </c>
      <c r="C122" s="361" t="s">
        <v>183</v>
      </c>
      <c r="D122" s="361" t="s">
        <v>183</v>
      </c>
      <c r="E122" s="349" t="s">
        <v>183</v>
      </c>
      <c r="F122" s="349"/>
      <c r="G122" s="350"/>
      <c r="H122" s="361">
        <v>69</v>
      </c>
      <c r="I122" s="350">
        <v>69</v>
      </c>
      <c r="J122" s="350">
        <v>69</v>
      </c>
      <c r="K122" s="361">
        <v>69</v>
      </c>
      <c r="L122" s="350">
        <v>69</v>
      </c>
      <c r="M122" s="349"/>
      <c r="N122" s="361"/>
      <c r="O122" s="361">
        <v>79</v>
      </c>
      <c r="P122" s="361">
        <v>79</v>
      </c>
      <c r="Q122" s="361">
        <v>79</v>
      </c>
      <c r="R122" s="361">
        <v>79</v>
      </c>
      <c r="S122" s="349">
        <v>79</v>
      </c>
      <c r="T122" s="349"/>
      <c r="U122" s="361"/>
      <c r="V122" s="361">
        <v>89</v>
      </c>
      <c r="W122" s="361">
        <v>89</v>
      </c>
      <c r="X122" s="361">
        <v>89</v>
      </c>
      <c r="Y122" s="361">
        <v>89</v>
      </c>
      <c r="Z122" s="361">
        <v>89</v>
      </c>
      <c r="AA122" s="350">
        <v>89</v>
      </c>
      <c r="AB122" s="361"/>
      <c r="AC122" s="361">
        <v>99</v>
      </c>
      <c r="AD122" s="361">
        <v>99</v>
      </c>
      <c r="AE122" s="361">
        <v>99</v>
      </c>
      <c r="AF122" s="361">
        <v>99</v>
      </c>
      <c r="AG122" s="362"/>
      <c r="AH122" s="201"/>
      <c r="AI122" s="107"/>
    </row>
    <row r="123" spans="1:35" ht="22.35" customHeight="1">
      <c r="A123" s="2210">
        <v>2</v>
      </c>
      <c r="B123" s="2244" t="s">
        <v>188</v>
      </c>
      <c r="C123" s="2085">
        <v>69</v>
      </c>
      <c r="D123" s="2127">
        <v>69</v>
      </c>
      <c r="E123" s="2077">
        <v>69</v>
      </c>
      <c r="F123" s="2077"/>
      <c r="G123" s="2127"/>
      <c r="H123" s="2245">
        <v>79</v>
      </c>
      <c r="I123" s="2076">
        <v>79</v>
      </c>
      <c r="J123" s="2076">
        <v>79</v>
      </c>
      <c r="K123" s="2127">
        <v>79</v>
      </c>
      <c r="L123" s="2077">
        <v>79</v>
      </c>
      <c r="M123" s="2077"/>
      <c r="N123" s="2127"/>
      <c r="O123" s="2127">
        <v>89</v>
      </c>
      <c r="P123" s="2127">
        <v>89</v>
      </c>
      <c r="Q123" s="2127">
        <v>89</v>
      </c>
      <c r="R123" s="2085">
        <v>89</v>
      </c>
      <c r="S123" s="2127">
        <v>89</v>
      </c>
      <c r="T123" s="2077">
        <v>89</v>
      </c>
      <c r="U123" s="2127"/>
      <c r="V123" s="2127">
        <v>99</v>
      </c>
      <c r="W123" s="2127">
        <v>99</v>
      </c>
      <c r="X123" s="2127">
        <v>99</v>
      </c>
      <c r="Y123" s="2127">
        <v>99</v>
      </c>
      <c r="Z123" s="2077" t="s">
        <v>36</v>
      </c>
      <c r="AA123" s="2077"/>
      <c r="AB123" s="2085"/>
      <c r="AC123" s="2127" t="s">
        <v>183</v>
      </c>
      <c r="AD123" s="2085" t="s">
        <v>183</v>
      </c>
      <c r="AE123" s="2085" t="s">
        <v>183</v>
      </c>
      <c r="AF123" s="2127" t="s">
        <v>183</v>
      </c>
      <c r="AG123" s="2246"/>
      <c r="AH123" s="202"/>
      <c r="AI123" s="171"/>
    </row>
    <row r="124" spans="1:35" ht="22.35" customHeight="1">
      <c r="A124" s="2210">
        <v>3</v>
      </c>
      <c r="B124" s="651" t="s">
        <v>353</v>
      </c>
      <c r="C124" s="2247">
        <v>79</v>
      </c>
      <c r="D124" s="2247">
        <v>79</v>
      </c>
      <c r="E124" s="2247">
        <v>79</v>
      </c>
      <c r="F124" s="2247"/>
      <c r="G124" s="2247"/>
      <c r="H124" s="2248">
        <v>89</v>
      </c>
      <c r="I124" s="2248">
        <v>89</v>
      </c>
      <c r="J124" s="2248">
        <v>89</v>
      </c>
      <c r="K124" s="2248">
        <v>89</v>
      </c>
      <c r="L124" s="2248">
        <v>89</v>
      </c>
      <c r="M124" s="2248">
        <v>89</v>
      </c>
      <c r="N124" s="2247"/>
      <c r="O124" s="2134">
        <v>99</v>
      </c>
      <c r="P124" s="2134" t="s">
        <v>371</v>
      </c>
      <c r="Q124" s="2248">
        <v>99</v>
      </c>
      <c r="R124" s="2248">
        <v>99</v>
      </c>
      <c r="S124" s="2143" t="s">
        <v>36</v>
      </c>
      <c r="T124" s="2248"/>
      <c r="U124" s="2248"/>
      <c r="V124" s="2248" t="s">
        <v>183</v>
      </c>
      <c r="W124" s="2248" t="s">
        <v>183</v>
      </c>
      <c r="X124" s="2248" t="s">
        <v>183</v>
      </c>
      <c r="Y124" s="2248" t="s">
        <v>183</v>
      </c>
      <c r="Z124" s="2248" t="s">
        <v>183</v>
      </c>
      <c r="AA124" s="2248"/>
      <c r="AB124" s="2248"/>
      <c r="AC124" s="2248">
        <v>69</v>
      </c>
      <c r="AD124" s="2248">
        <v>69</v>
      </c>
      <c r="AE124" s="2248">
        <v>69</v>
      </c>
      <c r="AF124" s="2248">
        <v>69</v>
      </c>
      <c r="AG124" s="2249"/>
      <c r="AH124" s="201"/>
      <c r="AI124" s="107"/>
    </row>
    <row r="125" spans="1:35" ht="22.35" customHeight="1">
      <c r="A125" s="2210">
        <v>4</v>
      </c>
      <c r="B125" s="2244" t="s">
        <v>0</v>
      </c>
      <c r="C125" s="2143">
        <v>89</v>
      </c>
      <c r="D125" s="2143">
        <v>89</v>
      </c>
      <c r="E125" s="2143">
        <v>89</v>
      </c>
      <c r="F125" s="2143">
        <v>89</v>
      </c>
      <c r="G125" s="2143"/>
      <c r="H125" s="2077">
        <v>99</v>
      </c>
      <c r="I125" s="2077">
        <v>99</v>
      </c>
      <c r="J125" s="2077">
        <v>99</v>
      </c>
      <c r="K125" s="2077">
        <v>99</v>
      </c>
      <c r="L125" s="2077" t="s">
        <v>36</v>
      </c>
      <c r="M125" s="2077"/>
      <c r="N125" s="2077"/>
      <c r="O125" s="2077" t="s">
        <v>183</v>
      </c>
      <c r="P125" s="2077" t="s">
        <v>183</v>
      </c>
      <c r="Q125" s="2197" t="s">
        <v>183</v>
      </c>
      <c r="R125" s="2197" t="s">
        <v>343</v>
      </c>
      <c r="S125" s="2077" t="s">
        <v>343</v>
      </c>
      <c r="T125" s="2077"/>
      <c r="U125" s="2077"/>
      <c r="V125" s="2077">
        <v>69</v>
      </c>
      <c r="W125" s="2077">
        <v>69</v>
      </c>
      <c r="X125" s="2077">
        <v>69</v>
      </c>
      <c r="Y125" s="2197">
        <v>69</v>
      </c>
      <c r="Z125" s="2128">
        <v>69</v>
      </c>
      <c r="AA125" s="2077"/>
      <c r="AB125" s="2077"/>
      <c r="AC125" s="2077">
        <v>79</v>
      </c>
      <c r="AD125" s="2077">
        <v>79</v>
      </c>
      <c r="AE125" s="2077">
        <v>79</v>
      </c>
      <c r="AF125" s="2077">
        <v>79</v>
      </c>
      <c r="AG125" s="2250"/>
      <c r="AH125" s="201"/>
      <c r="AI125" s="107"/>
    </row>
    <row r="126" spans="1:35" ht="22.35" customHeight="1" thickBot="1">
      <c r="A126" s="2216">
        <v>5</v>
      </c>
      <c r="B126" s="2251" t="s">
        <v>190</v>
      </c>
      <c r="C126" s="2202">
        <v>99</v>
      </c>
      <c r="D126" s="2202">
        <v>99</v>
      </c>
      <c r="E126" s="2202" t="s">
        <v>36</v>
      </c>
      <c r="F126" s="2067"/>
      <c r="G126" s="2122"/>
      <c r="H126" s="2122" t="s">
        <v>183</v>
      </c>
      <c r="I126" s="2122" t="s">
        <v>183</v>
      </c>
      <c r="J126" s="2122" t="s">
        <v>183</v>
      </c>
      <c r="K126" s="2122" t="s">
        <v>183</v>
      </c>
      <c r="L126" s="2067" t="s">
        <v>183</v>
      </c>
      <c r="M126" s="2067"/>
      <c r="N126" s="2202"/>
      <c r="O126" s="2202">
        <v>69</v>
      </c>
      <c r="P126" s="2202">
        <v>69</v>
      </c>
      <c r="Q126" s="2202">
        <v>69</v>
      </c>
      <c r="R126" s="2202">
        <v>69</v>
      </c>
      <c r="S126" s="2067">
        <v>69</v>
      </c>
      <c r="T126" s="2252"/>
      <c r="U126" s="2202"/>
      <c r="V126" s="2202">
        <v>79</v>
      </c>
      <c r="W126" s="2202">
        <v>79</v>
      </c>
      <c r="X126" s="2202">
        <v>79</v>
      </c>
      <c r="Y126" s="2202">
        <v>79</v>
      </c>
      <c r="Z126" s="2123">
        <v>79</v>
      </c>
      <c r="AA126" s="2123"/>
      <c r="AB126" s="2202"/>
      <c r="AC126" s="2202">
        <v>89</v>
      </c>
      <c r="AD126" s="2202">
        <v>89</v>
      </c>
      <c r="AE126" s="2202">
        <v>89</v>
      </c>
      <c r="AF126" s="2202">
        <v>89</v>
      </c>
      <c r="AG126" s="2253"/>
      <c r="AH126" s="201"/>
      <c r="AI126" s="107"/>
    </row>
    <row r="127" spans="1:35" ht="22.35" customHeight="1">
      <c r="A127" s="212"/>
      <c r="B127" s="229"/>
      <c r="C127" s="230"/>
      <c r="D127" s="230"/>
      <c r="E127" s="230"/>
      <c r="F127" s="211"/>
      <c r="G127" s="228"/>
      <c r="H127" s="228"/>
      <c r="I127" s="228"/>
      <c r="J127" s="228"/>
      <c r="K127" s="228"/>
      <c r="L127" s="211"/>
      <c r="M127" s="211"/>
      <c r="N127" s="230"/>
      <c r="O127" s="230"/>
      <c r="P127" s="230"/>
      <c r="Q127" s="230"/>
      <c r="R127" s="230"/>
      <c r="S127" s="211"/>
      <c r="T127" s="231"/>
      <c r="U127" s="230"/>
      <c r="V127" s="230"/>
      <c r="W127" s="230"/>
      <c r="X127" s="230"/>
      <c r="Y127" s="230"/>
      <c r="Z127" s="232"/>
      <c r="AA127" s="232"/>
      <c r="AB127" s="230"/>
      <c r="AC127" s="230"/>
      <c r="AD127" s="230"/>
      <c r="AE127" s="230"/>
      <c r="AF127" s="230"/>
      <c r="AG127" s="232"/>
      <c r="AH127" s="201"/>
      <c r="AI127" s="107"/>
    </row>
    <row r="128" spans="1:35" ht="22.35" customHeight="1">
      <c r="A128" s="109"/>
      <c r="B128" s="110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7"/>
      <c r="AI128" s="107"/>
    </row>
    <row r="129" spans="1:35" ht="22.35" customHeight="1" thickBot="1">
      <c r="A129" s="172" t="s">
        <v>191</v>
      </c>
      <c r="B129" s="173"/>
      <c r="C129" s="173"/>
      <c r="D129" s="174"/>
      <c r="E129" s="174"/>
      <c r="F129" s="174"/>
      <c r="G129" s="105"/>
      <c r="H129" s="174"/>
      <c r="I129" s="174"/>
      <c r="J129" s="174"/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V129" s="174"/>
      <c r="W129" s="174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174"/>
      <c r="AH129" s="173"/>
      <c r="AI129" s="173"/>
    </row>
    <row r="130" spans="1:35" ht="22.35" customHeight="1">
      <c r="A130" s="172"/>
      <c r="B130" s="248" t="s">
        <v>175</v>
      </c>
      <c r="C130" s="383"/>
      <c r="D130" s="384" t="s">
        <v>94</v>
      </c>
      <c r="E130" s="385"/>
      <c r="F130" s="386"/>
      <c r="G130" s="383"/>
      <c r="H130" s="384" t="s">
        <v>95</v>
      </c>
      <c r="I130" s="385"/>
      <c r="J130" s="386"/>
      <c r="K130" s="383"/>
      <c r="L130" s="384" t="s">
        <v>96</v>
      </c>
      <c r="M130" s="385"/>
      <c r="N130" s="386"/>
      <c r="O130" s="383"/>
      <c r="P130" s="384" t="s">
        <v>97</v>
      </c>
      <c r="Q130" s="385"/>
      <c r="R130" s="386"/>
      <c r="S130" s="383"/>
      <c r="T130" s="384" t="s">
        <v>98</v>
      </c>
      <c r="U130" s="385"/>
      <c r="V130" s="386"/>
      <c r="W130" s="383"/>
      <c r="X130" s="384" t="s">
        <v>99</v>
      </c>
      <c r="Y130" s="385"/>
      <c r="Z130" s="386"/>
      <c r="AA130" s="383"/>
      <c r="AB130" s="384" t="s">
        <v>100</v>
      </c>
      <c r="AC130" s="385"/>
      <c r="AD130" s="385"/>
      <c r="AE130" s="387" t="s">
        <v>101</v>
      </c>
      <c r="AF130" s="385"/>
      <c r="AG130" s="385"/>
      <c r="AH130" s="385"/>
      <c r="AI130" s="388"/>
    </row>
    <row r="131" spans="1:35" ht="22.35" customHeight="1">
      <c r="A131" s="172"/>
      <c r="B131" s="2221" t="s">
        <v>192</v>
      </c>
      <c r="C131" s="2151" t="s">
        <v>193</v>
      </c>
      <c r="D131" s="2223"/>
      <c r="E131" s="2223"/>
      <c r="F131" s="2224"/>
      <c r="G131" s="2151" t="s">
        <v>193</v>
      </c>
      <c r="H131" s="2223"/>
      <c r="I131" s="2223"/>
      <c r="J131" s="2224"/>
      <c r="K131" s="2151" t="s">
        <v>193</v>
      </c>
      <c r="L131" s="2223"/>
      <c r="M131" s="2223"/>
      <c r="N131" s="2224"/>
      <c r="O131" s="2151" t="s">
        <v>193</v>
      </c>
      <c r="P131" s="2223"/>
      <c r="Q131" s="2223"/>
      <c r="R131" s="2224"/>
      <c r="S131" s="2151" t="s">
        <v>193</v>
      </c>
      <c r="T131" s="2223"/>
      <c r="U131" s="2223"/>
      <c r="V131" s="2224"/>
      <c r="W131" s="2151" t="s">
        <v>194</v>
      </c>
      <c r="X131" s="2225"/>
      <c r="Y131" s="2225"/>
      <c r="Z131" s="2226"/>
      <c r="AA131" s="2151" t="s">
        <v>194</v>
      </c>
      <c r="AB131" s="2223"/>
      <c r="AC131" s="2223"/>
      <c r="AD131" s="2152"/>
      <c r="AE131" s="2227">
        <v>69</v>
      </c>
      <c r="AF131" s="194"/>
      <c r="AG131" s="194"/>
      <c r="AH131" s="194"/>
      <c r="AI131" s="195"/>
    </row>
    <row r="132" spans="1:35" ht="22.35" customHeight="1">
      <c r="A132" s="172"/>
      <c r="B132" s="2221" t="s">
        <v>152</v>
      </c>
      <c r="C132" s="2151" t="s">
        <v>160</v>
      </c>
      <c r="D132" s="2223"/>
      <c r="E132" s="2223"/>
      <c r="F132" s="2224"/>
      <c r="G132" s="2151" t="s">
        <v>160</v>
      </c>
      <c r="H132" s="2223"/>
      <c r="I132" s="2223"/>
      <c r="J132" s="2224"/>
      <c r="K132" s="2151" t="s">
        <v>160</v>
      </c>
      <c r="L132" s="2223"/>
      <c r="M132" s="2223"/>
      <c r="N132" s="2224"/>
      <c r="O132" s="2151" t="s">
        <v>160</v>
      </c>
      <c r="P132" s="2223"/>
      <c r="Q132" s="2223"/>
      <c r="R132" s="2224"/>
      <c r="S132" s="2151" t="s">
        <v>160</v>
      </c>
      <c r="T132" s="2223"/>
      <c r="U132" s="2223"/>
      <c r="V132" s="2224"/>
      <c r="W132" s="2151" t="s">
        <v>160</v>
      </c>
      <c r="X132" s="2223"/>
      <c r="Y132" s="2223"/>
      <c r="Z132" s="2224"/>
      <c r="AA132" s="2223" t="s">
        <v>160</v>
      </c>
      <c r="AB132" s="2223"/>
      <c r="AC132" s="2223"/>
      <c r="AD132" s="2152"/>
      <c r="AE132" s="2227">
        <v>0</v>
      </c>
      <c r="AF132" s="194"/>
      <c r="AG132" s="194"/>
      <c r="AH132" s="194"/>
      <c r="AI132" s="195"/>
    </row>
    <row r="133" spans="1:35" ht="22.35" customHeight="1">
      <c r="A133" s="172"/>
      <c r="B133" s="2221" t="s">
        <v>195</v>
      </c>
      <c r="C133" s="2151" t="s">
        <v>193</v>
      </c>
      <c r="D133" s="2223"/>
      <c r="E133" s="2223"/>
      <c r="F133" s="2224"/>
      <c r="G133" s="2151" t="s">
        <v>193</v>
      </c>
      <c r="H133" s="2223"/>
      <c r="I133" s="2223"/>
      <c r="J133" s="2224"/>
      <c r="K133" s="2151" t="s">
        <v>193</v>
      </c>
      <c r="L133" s="2223"/>
      <c r="M133" s="2223"/>
      <c r="N133" s="2224"/>
      <c r="O133" s="2151" t="s">
        <v>193</v>
      </c>
      <c r="P133" s="2223"/>
      <c r="Q133" s="2223"/>
      <c r="R133" s="2224"/>
      <c r="S133" s="2151" t="s">
        <v>193</v>
      </c>
      <c r="T133" s="2223"/>
      <c r="U133" s="2223"/>
      <c r="V133" s="2224"/>
      <c r="W133" s="2151" t="s">
        <v>194</v>
      </c>
      <c r="X133" s="2225"/>
      <c r="Y133" s="2225"/>
      <c r="Z133" s="2226"/>
      <c r="AA133" s="2151" t="s">
        <v>194</v>
      </c>
      <c r="AB133" s="2223"/>
      <c r="AC133" s="2223"/>
      <c r="AD133" s="2152"/>
      <c r="AE133" s="2227">
        <v>69</v>
      </c>
      <c r="AF133" s="2223"/>
      <c r="AG133" s="2223" t="s">
        <v>0</v>
      </c>
      <c r="AH133" s="2152"/>
      <c r="AI133" s="2228"/>
    </row>
    <row r="134" spans="1:35" ht="22.35" customHeight="1">
      <c r="A134" s="172"/>
      <c r="B134" s="2221" t="s">
        <v>161</v>
      </c>
      <c r="C134" s="2151" t="s">
        <v>160</v>
      </c>
      <c r="D134" s="2223"/>
      <c r="E134" s="2223"/>
      <c r="F134" s="2224"/>
      <c r="G134" s="2151" t="s">
        <v>160</v>
      </c>
      <c r="H134" s="2223"/>
      <c r="I134" s="2223"/>
      <c r="J134" s="2224"/>
      <c r="K134" s="2151" t="s">
        <v>160</v>
      </c>
      <c r="L134" s="2223"/>
      <c r="M134" s="2223"/>
      <c r="N134" s="2224"/>
      <c r="O134" s="2151" t="s">
        <v>160</v>
      </c>
      <c r="P134" s="2223"/>
      <c r="Q134" s="2223"/>
      <c r="R134" s="2224"/>
      <c r="S134" s="2151" t="s">
        <v>160</v>
      </c>
      <c r="T134" s="2223"/>
      <c r="U134" s="2223"/>
      <c r="V134" s="2224"/>
      <c r="W134" s="2151" t="s">
        <v>160</v>
      </c>
      <c r="X134" s="2223"/>
      <c r="Y134" s="2223"/>
      <c r="Z134" s="2224"/>
      <c r="AA134" s="2223" t="s">
        <v>160</v>
      </c>
      <c r="AB134" s="2223"/>
      <c r="AC134" s="2223"/>
      <c r="AD134" s="2152"/>
      <c r="AE134" s="2227">
        <v>0</v>
      </c>
      <c r="AF134" s="2223"/>
      <c r="AG134" s="2223"/>
      <c r="AH134" s="2152"/>
      <c r="AI134" s="2228"/>
    </row>
    <row r="135" spans="1:35" ht="22.35" customHeight="1">
      <c r="A135" s="172"/>
      <c r="B135" s="2221" t="s">
        <v>196</v>
      </c>
      <c r="C135" s="2151" t="s">
        <v>193</v>
      </c>
      <c r="D135" s="2223"/>
      <c r="E135" s="2223"/>
      <c r="F135" s="2224"/>
      <c r="G135" s="2151" t="s">
        <v>193</v>
      </c>
      <c r="H135" s="2223"/>
      <c r="I135" s="2223"/>
      <c r="J135" s="2224"/>
      <c r="K135" s="2151" t="s">
        <v>193</v>
      </c>
      <c r="L135" s="2223"/>
      <c r="M135" s="2223"/>
      <c r="N135" s="2224"/>
      <c r="O135" s="2151" t="s">
        <v>193</v>
      </c>
      <c r="P135" s="2223"/>
      <c r="Q135" s="2223"/>
      <c r="R135" s="2224"/>
      <c r="S135" s="2151" t="s">
        <v>193</v>
      </c>
      <c r="T135" s="2223"/>
      <c r="U135" s="2223"/>
      <c r="V135" s="2224"/>
      <c r="W135" s="2151" t="s">
        <v>197</v>
      </c>
      <c r="X135" s="2230"/>
      <c r="Y135" s="2230"/>
      <c r="Z135" s="2231"/>
      <c r="AA135" s="2151" t="s">
        <v>197</v>
      </c>
      <c r="AB135" s="2230"/>
      <c r="AC135" s="2230"/>
      <c r="AD135" s="2154"/>
      <c r="AE135" s="2227">
        <v>66</v>
      </c>
      <c r="AF135" s="2223"/>
      <c r="AG135" s="2223"/>
      <c r="AH135" s="2152"/>
      <c r="AI135" s="2228"/>
    </row>
    <row r="136" spans="1:35" ht="22.35" customHeight="1" thickBot="1">
      <c r="A136" s="172"/>
      <c r="B136" s="2221" t="s">
        <v>198</v>
      </c>
      <c r="C136" s="2254" t="s">
        <v>160</v>
      </c>
      <c r="D136" s="2255"/>
      <c r="E136" s="2255"/>
      <c r="F136" s="2256"/>
      <c r="G136" s="2254" t="s">
        <v>160</v>
      </c>
      <c r="H136" s="2255"/>
      <c r="I136" s="2255"/>
      <c r="J136" s="2256"/>
      <c r="K136" s="2254" t="s">
        <v>160</v>
      </c>
      <c r="L136" s="2255"/>
      <c r="M136" s="2255"/>
      <c r="N136" s="2256"/>
      <c r="O136" s="2254" t="s">
        <v>160</v>
      </c>
      <c r="P136" s="2255"/>
      <c r="Q136" s="2255"/>
      <c r="R136" s="2256"/>
      <c r="S136" s="2254" t="s">
        <v>160</v>
      </c>
      <c r="T136" s="2255"/>
      <c r="U136" s="2255"/>
      <c r="V136" s="2242"/>
      <c r="W136" s="2254" t="s">
        <v>160</v>
      </c>
      <c r="X136" s="2242"/>
      <c r="Y136" s="2255"/>
      <c r="Z136" s="2256"/>
      <c r="AA136" s="2254" t="s">
        <v>160</v>
      </c>
      <c r="AB136" s="2242"/>
      <c r="AC136" s="2255"/>
      <c r="AD136" s="2256"/>
      <c r="AE136" s="2257" t="s">
        <v>168</v>
      </c>
      <c r="AF136" s="2255"/>
      <c r="AG136" s="2255"/>
      <c r="AH136" s="2242"/>
      <c r="AI136" s="2243"/>
    </row>
    <row r="137" spans="1:35" ht="22.35" customHeight="1">
      <c r="A137" s="108"/>
      <c r="B137" s="172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3"/>
      <c r="AI137" s="173"/>
    </row>
    <row r="138" spans="1:35" ht="22.35" customHeight="1" thickBot="1">
      <c r="A138" s="2198"/>
      <c r="B138" s="2066" t="s">
        <v>29</v>
      </c>
      <c r="C138" s="2067">
        <v>1</v>
      </c>
      <c r="D138" s="2067">
        <v>2</v>
      </c>
      <c r="E138" s="2067">
        <v>3</v>
      </c>
      <c r="F138" s="2068">
        <v>4</v>
      </c>
      <c r="G138" s="2068">
        <v>5</v>
      </c>
      <c r="H138" s="2067">
        <v>6</v>
      </c>
      <c r="I138" s="2067">
        <v>7</v>
      </c>
      <c r="J138" s="2067">
        <v>8</v>
      </c>
      <c r="K138" s="2067">
        <v>9</v>
      </c>
      <c r="L138" s="2067">
        <v>10</v>
      </c>
      <c r="M138" s="2068">
        <v>11</v>
      </c>
      <c r="N138" s="2068">
        <v>12</v>
      </c>
      <c r="O138" s="2067">
        <v>13</v>
      </c>
      <c r="P138" s="2067">
        <v>14</v>
      </c>
      <c r="Q138" s="2067">
        <v>15</v>
      </c>
      <c r="R138" s="2067">
        <v>16</v>
      </c>
      <c r="S138" s="2067">
        <v>17</v>
      </c>
      <c r="T138" s="2068">
        <v>18</v>
      </c>
      <c r="U138" s="2068">
        <v>19</v>
      </c>
      <c r="V138" s="2067">
        <v>20</v>
      </c>
      <c r="W138" s="2067">
        <v>21</v>
      </c>
      <c r="X138" s="2067">
        <v>22</v>
      </c>
      <c r="Y138" s="2067">
        <v>23</v>
      </c>
      <c r="Z138" s="2067">
        <v>24</v>
      </c>
      <c r="AA138" s="2068">
        <v>25</v>
      </c>
      <c r="AB138" s="2068">
        <v>26</v>
      </c>
      <c r="AC138" s="2067">
        <v>27</v>
      </c>
      <c r="AD138" s="2067">
        <v>28</v>
      </c>
      <c r="AE138" s="2067">
        <v>29</v>
      </c>
      <c r="AF138" s="2067">
        <v>30</v>
      </c>
      <c r="AG138" s="2069"/>
      <c r="AH138" s="176"/>
      <c r="AI138" s="177"/>
    </row>
    <row r="139" spans="1:35" ht="22.35" customHeight="1">
      <c r="A139" s="317">
        <v>1</v>
      </c>
      <c r="B139" s="227" t="s">
        <v>199</v>
      </c>
      <c r="C139" s="309">
        <v>23</v>
      </c>
      <c r="D139" s="309">
        <v>23</v>
      </c>
      <c r="E139" s="309">
        <v>23</v>
      </c>
      <c r="F139" s="309">
        <v>23</v>
      </c>
      <c r="G139" s="312">
        <v>23</v>
      </c>
      <c r="H139" s="309" t="s">
        <v>36</v>
      </c>
      <c r="I139" s="310" t="s">
        <v>36</v>
      </c>
      <c r="J139" s="312" t="s">
        <v>36</v>
      </c>
      <c r="K139" s="309" t="s">
        <v>36</v>
      </c>
      <c r="L139" s="310" t="s">
        <v>36</v>
      </c>
      <c r="M139" s="312"/>
      <c r="N139" s="312"/>
      <c r="O139" s="309">
        <v>21</v>
      </c>
      <c r="P139" s="309">
        <v>21</v>
      </c>
      <c r="Q139" s="309">
        <v>21</v>
      </c>
      <c r="R139" s="309">
        <v>21</v>
      </c>
      <c r="S139" s="309">
        <v>21</v>
      </c>
      <c r="T139" s="309">
        <v>21</v>
      </c>
      <c r="U139" s="309">
        <v>21</v>
      </c>
      <c r="V139" s="309" t="s">
        <v>36</v>
      </c>
      <c r="W139" s="310" t="s">
        <v>36</v>
      </c>
      <c r="X139" s="309" t="s">
        <v>36</v>
      </c>
      <c r="Y139" s="309" t="s">
        <v>36</v>
      </c>
      <c r="Z139" s="310" t="s">
        <v>36</v>
      </c>
      <c r="AA139" s="309"/>
      <c r="AB139" s="309"/>
      <c r="AC139" s="309">
        <v>22</v>
      </c>
      <c r="AD139" s="309">
        <v>22</v>
      </c>
      <c r="AE139" s="309">
        <v>22</v>
      </c>
      <c r="AF139" s="309">
        <v>22</v>
      </c>
      <c r="AG139" s="311"/>
      <c r="AH139" s="107"/>
      <c r="AI139" s="107"/>
    </row>
    <row r="140" spans="1:35" ht="22.35" customHeight="1">
      <c r="A140" s="2258">
        <v>2</v>
      </c>
      <c r="B140" s="1745" t="s">
        <v>200</v>
      </c>
      <c r="C140" s="1747">
        <v>21</v>
      </c>
      <c r="D140" s="1747">
        <v>21</v>
      </c>
      <c r="E140" s="1747">
        <v>21</v>
      </c>
      <c r="F140" s="1747">
        <v>21</v>
      </c>
      <c r="G140" s="1747">
        <v>21</v>
      </c>
      <c r="H140" s="1748" t="s">
        <v>36</v>
      </c>
      <c r="I140" s="2165" t="s">
        <v>36</v>
      </c>
      <c r="J140" s="1748" t="s">
        <v>36</v>
      </c>
      <c r="K140" s="1748" t="s">
        <v>36</v>
      </c>
      <c r="L140" s="2165" t="s">
        <v>36</v>
      </c>
      <c r="M140" s="1751"/>
      <c r="N140" s="1751"/>
      <c r="O140" s="1751">
        <v>22</v>
      </c>
      <c r="P140" s="1751">
        <v>22</v>
      </c>
      <c r="Q140" s="1751">
        <v>22</v>
      </c>
      <c r="R140" s="1751">
        <v>22</v>
      </c>
      <c r="S140" s="1751">
        <v>22</v>
      </c>
      <c r="T140" s="1751">
        <v>22</v>
      </c>
      <c r="U140" s="1751">
        <v>22</v>
      </c>
      <c r="V140" s="1751" t="s">
        <v>36</v>
      </c>
      <c r="W140" s="2165" t="s">
        <v>36</v>
      </c>
      <c r="X140" s="1748" t="s">
        <v>36</v>
      </c>
      <c r="Y140" s="1748" t="s">
        <v>36</v>
      </c>
      <c r="Z140" s="2165" t="s">
        <v>36</v>
      </c>
      <c r="AA140" s="1751"/>
      <c r="AB140" s="1751"/>
      <c r="AC140" s="1751">
        <v>23</v>
      </c>
      <c r="AD140" s="1751">
        <v>23</v>
      </c>
      <c r="AE140" s="1751">
        <v>23</v>
      </c>
      <c r="AF140" s="2259" t="s">
        <v>372</v>
      </c>
      <c r="AG140" s="1756"/>
      <c r="AH140" s="107"/>
      <c r="AI140" s="107"/>
    </row>
    <row r="141" spans="1:35" ht="22.35" customHeight="1">
      <c r="A141" s="2258">
        <v>3</v>
      </c>
      <c r="B141" s="1745" t="s">
        <v>201</v>
      </c>
      <c r="C141" s="2171">
        <v>22</v>
      </c>
      <c r="D141" s="2171">
        <v>22</v>
      </c>
      <c r="E141" s="2171">
        <v>22</v>
      </c>
      <c r="F141" s="2171">
        <v>22</v>
      </c>
      <c r="G141" s="2171">
        <v>22</v>
      </c>
      <c r="H141" s="1747" t="s">
        <v>36</v>
      </c>
      <c r="I141" s="1747" t="s">
        <v>36</v>
      </c>
      <c r="J141" s="1747" t="s">
        <v>36</v>
      </c>
      <c r="K141" s="1747" t="s">
        <v>36</v>
      </c>
      <c r="L141" s="1747" t="s">
        <v>36</v>
      </c>
      <c r="M141" s="1747"/>
      <c r="N141" s="1747"/>
      <c r="O141" s="1747">
        <v>23</v>
      </c>
      <c r="P141" s="1747">
        <v>23</v>
      </c>
      <c r="Q141" s="1747">
        <v>23</v>
      </c>
      <c r="R141" s="1747">
        <v>23</v>
      </c>
      <c r="S141" s="1747">
        <v>23</v>
      </c>
      <c r="T141" s="1747">
        <v>23</v>
      </c>
      <c r="U141" s="1747">
        <v>23</v>
      </c>
      <c r="V141" s="1747" t="s">
        <v>36</v>
      </c>
      <c r="W141" s="1747" t="s">
        <v>36</v>
      </c>
      <c r="X141" s="1747" t="s">
        <v>36</v>
      </c>
      <c r="Y141" s="1747" t="s">
        <v>36</v>
      </c>
      <c r="Z141" s="1747" t="s">
        <v>36</v>
      </c>
      <c r="AA141" s="1747"/>
      <c r="AB141" s="1747"/>
      <c r="AC141" s="2180">
        <v>21</v>
      </c>
      <c r="AD141" s="2180">
        <v>21</v>
      </c>
      <c r="AE141" s="2180">
        <v>21</v>
      </c>
      <c r="AF141" s="2180">
        <v>21</v>
      </c>
      <c r="AG141" s="1756"/>
      <c r="AH141" s="107"/>
      <c r="AI141" s="107"/>
    </row>
    <row r="142" spans="1:35" ht="22.35" customHeight="1">
      <c r="A142" s="2258">
        <v>4</v>
      </c>
      <c r="B142" s="1745" t="s">
        <v>202</v>
      </c>
      <c r="C142" s="1748" t="s">
        <v>36</v>
      </c>
      <c r="D142" s="1748" t="s">
        <v>36</v>
      </c>
      <c r="E142" s="2165" t="s">
        <v>36</v>
      </c>
      <c r="F142" s="1748"/>
      <c r="G142" s="1748"/>
      <c r="H142" s="1748">
        <v>23</v>
      </c>
      <c r="I142" s="1748">
        <v>23</v>
      </c>
      <c r="J142" s="1748">
        <v>23</v>
      </c>
      <c r="K142" s="1748">
        <v>23</v>
      </c>
      <c r="L142" s="1748">
        <v>23</v>
      </c>
      <c r="M142" s="1748">
        <v>23</v>
      </c>
      <c r="N142" s="1748">
        <v>23</v>
      </c>
      <c r="O142" s="2260" t="s">
        <v>36</v>
      </c>
      <c r="P142" s="1740" t="s">
        <v>36</v>
      </c>
      <c r="Q142" s="1740" t="s">
        <v>36</v>
      </c>
      <c r="R142" s="1740" t="s">
        <v>36</v>
      </c>
      <c r="S142" s="1740" t="s">
        <v>36</v>
      </c>
      <c r="T142" s="1740"/>
      <c r="U142" s="1740"/>
      <c r="V142" s="1740">
        <v>21</v>
      </c>
      <c r="W142" s="1748">
        <v>21</v>
      </c>
      <c r="X142" s="1748">
        <v>21</v>
      </c>
      <c r="Y142" s="1748">
        <v>21</v>
      </c>
      <c r="Z142" s="1748">
        <v>21</v>
      </c>
      <c r="AA142" s="1748">
        <v>21</v>
      </c>
      <c r="AB142" s="2261">
        <v>21</v>
      </c>
      <c r="AC142" s="1748" t="s">
        <v>36</v>
      </c>
      <c r="AD142" s="2165" t="s">
        <v>36</v>
      </c>
      <c r="AE142" s="1748" t="s">
        <v>36</v>
      </c>
      <c r="AF142" s="1748" t="s">
        <v>36</v>
      </c>
      <c r="AG142" s="1838"/>
      <c r="AH142" s="107"/>
      <c r="AI142" s="107"/>
    </row>
    <row r="143" spans="1:35" ht="22.35" customHeight="1">
      <c r="A143" s="2258">
        <v>5</v>
      </c>
      <c r="B143" s="1745" t="s">
        <v>203</v>
      </c>
      <c r="C143" s="1748" t="s">
        <v>36</v>
      </c>
      <c r="D143" s="1748" t="s">
        <v>36</v>
      </c>
      <c r="E143" s="2165" t="s">
        <v>36</v>
      </c>
      <c r="F143" s="1751"/>
      <c r="G143" s="2262">
        <v>22</v>
      </c>
      <c r="H143" s="1748">
        <v>21</v>
      </c>
      <c r="I143" s="1748">
        <v>21</v>
      </c>
      <c r="J143" s="1748">
        <v>21</v>
      </c>
      <c r="K143" s="1748">
        <v>21</v>
      </c>
      <c r="L143" s="1748">
        <v>21</v>
      </c>
      <c r="M143" s="1748">
        <v>21</v>
      </c>
      <c r="N143" s="1748">
        <v>21</v>
      </c>
      <c r="O143" s="1748" t="s">
        <v>36</v>
      </c>
      <c r="P143" s="2165" t="s">
        <v>36</v>
      </c>
      <c r="Q143" s="1748" t="s">
        <v>36</v>
      </c>
      <c r="R143" s="1748" t="s">
        <v>36</v>
      </c>
      <c r="S143" s="2165" t="s">
        <v>36</v>
      </c>
      <c r="T143" s="1748"/>
      <c r="U143" s="1748"/>
      <c r="V143" s="1748">
        <v>22</v>
      </c>
      <c r="W143" s="1748">
        <v>22</v>
      </c>
      <c r="X143" s="1748">
        <v>22</v>
      </c>
      <c r="Y143" s="1748">
        <v>22</v>
      </c>
      <c r="Z143" s="1748">
        <v>22</v>
      </c>
      <c r="AA143" s="1748">
        <v>22</v>
      </c>
      <c r="AB143" s="1748">
        <v>22</v>
      </c>
      <c r="AC143" s="1751" t="s">
        <v>36</v>
      </c>
      <c r="AD143" s="1751" t="s">
        <v>36</v>
      </c>
      <c r="AE143" s="1751" t="s">
        <v>36</v>
      </c>
      <c r="AF143" s="1748" t="s">
        <v>36</v>
      </c>
      <c r="AG143" s="1838"/>
      <c r="AH143" s="107"/>
      <c r="AI143" s="107"/>
    </row>
    <row r="144" spans="1:35" ht="22.35" customHeight="1" thickBot="1">
      <c r="A144" s="1068">
        <v>6</v>
      </c>
      <c r="B144" s="1069" t="s">
        <v>204</v>
      </c>
      <c r="C144" s="996" t="s">
        <v>36</v>
      </c>
      <c r="D144" s="996" t="s">
        <v>36</v>
      </c>
      <c r="E144" s="2193" t="s">
        <v>36</v>
      </c>
      <c r="F144" s="996"/>
      <c r="G144" s="996"/>
      <c r="H144" s="1070">
        <v>22</v>
      </c>
      <c r="I144" s="1070">
        <v>22</v>
      </c>
      <c r="J144" s="1070">
        <v>22</v>
      </c>
      <c r="K144" s="1070">
        <v>22</v>
      </c>
      <c r="L144" s="1070">
        <v>22</v>
      </c>
      <c r="M144" s="1070">
        <v>22</v>
      </c>
      <c r="N144" s="1072">
        <v>22</v>
      </c>
      <c r="O144" s="1072" t="s">
        <v>36</v>
      </c>
      <c r="P144" s="2193" t="s">
        <v>36</v>
      </c>
      <c r="Q144" s="996" t="s">
        <v>36</v>
      </c>
      <c r="R144" s="996" t="s">
        <v>36</v>
      </c>
      <c r="S144" s="2193" t="s">
        <v>36</v>
      </c>
      <c r="T144" s="996"/>
      <c r="U144" s="996"/>
      <c r="V144" s="996">
        <v>23</v>
      </c>
      <c r="W144" s="996">
        <v>23</v>
      </c>
      <c r="X144" s="996">
        <v>23</v>
      </c>
      <c r="Y144" s="996">
        <v>23</v>
      </c>
      <c r="Z144" s="996">
        <v>23</v>
      </c>
      <c r="AA144" s="996">
        <v>23</v>
      </c>
      <c r="AB144" s="1072">
        <v>23</v>
      </c>
      <c r="AC144" s="1072" t="s">
        <v>36</v>
      </c>
      <c r="AD144" s="2193" t="s">
        <v>36</v>
      </c>
      <c r="AE144" s="996" t="s">
        <v>36</v>
      </c>
      <c r="AF144" s="996" t="s">
        <v>36</v>
      </c>
      <c r="AG144" s="1074"/>
      <c r="AH144" s="107"/>
      <c r="AI144" s="107"/>
    </row>
    <row r="145" spans="1:35" ht="22.35" customHeight="1">
      <c r="A145" s="212"/>
      <c r="B145" s="210"/>
      <c r="C145" s="211"/>
      <c r="D145" s="211"/>
      <c r="E145" s="228"/>
      <c r="F145" s="211"/>
      <c r="G145" s="211"/>
      <c r="H145" s="233"/>
      <c r="I145" s="233"/>
      <c r="J145" s="233"/>
      <c r="K145" s="233"/>
      <c r="L145" s="233"/>
      <c r="M145" s="233"/>
      <c r="N145" s="202"/>
      <c r="O145" s="202"/>
      <c r="P145" s="228"/>
      <c r="Q145" s="211"/>
      <c r="R145" s="211"/>
      <c r="S145" s="228"/>
      <c r="T145" s="211"/>
      <c r="U145" s="211"/>
      <c r="V145" s="211"/>
      <c r="W145" s="211"/>
      <c r="X145" s="211"/>
      <c r="Y145" s="211"/>
      <c r="Z145" s="211"/>
      <c r="AA145" s="211"/>
      <c r="AB145" s="202"/>
      <c r="AC145" s="202"/>
      <c r="AD145" s="228"/>
      <c r="AE145" s="211"/>
      <c r="AF145" s="211"/>
      <c r="AG145" s="228"/>
      <c r="AH145" s="107"/>
      <c r="AI145" s="107"/>
    </row>
    <row r="146" spans="1:35" ht="22.35" customHeight="1">
      <c r="A146" s="109"/>
      <c r="B146" s="110"/>
      <c r="C146" s="192"/>
      <c r="D146" s="192"/>
      <c r="E146" s="171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71"/>
      <c r="Q146" s="192"/>
      <c r="R146" s="192"/>
      <c r="S146" s="171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3"/>
      <c r="AD146" s="193"/>
      <c r="AE146" s="193"/>
      <c r="AF146" s="192"/>
      <c r="AG146" s="171"/>
      <c r="AH146" s="107"/>
      <c r="AI146" s="107"/>
    </row>
    <row r="147" spans="1:35" ht="22.35" customHeight="1" thickBot="1">
      <c r="A147" s="161" t="s">
        <v>205</v>
      </c>
      <c r="D147" s="72"/>
      <c r="E147" s="72"/>
      <c r="F147" s="72"/>
      <c r="G147" s="105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</row>
    <row r="148" spans="1:35" ht="22.35" customHeight="1">
      <c r="A148" s="1"/>
      <c r="B148" s="248" t="s">
        <v>175</v>
      </c>
      <c r="C148" s="368"/>
      <c r="D148" s="384" t="s">
        <v>94</v>
      </c>
      <c r="E148" s="357"/>
      <c r="F148" s="372"/>
      <c r="G148" s="368"/>
      <c r="H148" s="384" t="s">
        <v>95</v>
      </c>
      <c r="I148" s="357"/>
      <c r="J148" s="372"/>
      <c r="K148" s="368"/>
      <c r="L148" s="384" t="s">
        <v>96</v>
      </c>
      <c r="M148" s="357"/>
      <c r="N148" s="372"/>
      <c r="O148" s="368"/>
      <c r="P148" s="384" t="s">
        <v>97</v>
      </c>
      <c r="Q148" s="357"/>
      <c r="R148" s="372"/>
      <c r="S148" s="368"/>
      <c r="T148" s="384" t="s">
        <v>98</v>
      </c>
      <c r="U148" s="357"/>
      <c r="V148" s="372"/>
      <c r="W148" s="368"/>
      <c r="X148" s="384" t="s">
        <v>99</v>
      </c>
      <c r="Y148" s="357"/>
      <c r="Z148" s="372"/>
      <c r="AA148" s="368"/>
      <c r="AB148" s="384" t="s">
        <v>100</v>
      </c>
      <c r="AC148" s="357"/>
      <c r="AD148" s="357"/>
      <c r="AE148" s="387" t="s">
        <v>101</v>
      </c>
      <c r="AF148" s="357"/>
      <c r="AG148" s="357"/>
      <c r="AH148" s="357"/>
      <c r="AI148" s="358"/>
    </row>
    <row r="149" spans="1:35" ht="22.35" customHeight="1">
      <c r="A149" s="1"/>
      <c r="B149" s="2221" t="s">
        <v>148</v>
      </c>
      <c r="C149" s="2151" t="s">
        <v>176</v>
      </c>
      <c r="D149" s="2049"/>
      <c r="E149" s="2049"/>
      <c r="F149" s="2224"/>
      <c r="G149" s="2151" t="s">
        <v>176</v>
      </c>
      <c r="H149" s="2049"/>
      <c r="I149" s="2049"/>
      <c r="J149" s="2224"/>
      <c r="K149" s="2151" t="s">
        <v>176</v>
      </c>
      <c r="L149" s="2049"/>
      <c r="M149" s="2049"/>
      <c r="N149" s="2224"/>
      <c r="O149" s="2151" t="s">
        <v>206</v>
      </c>
      <c r="P149" s="2049"/>
      <c r="Q149" s="2049"/>
      <c r="R149" s="2224"/>
      <c r="S149" s="2151" t="s">
        <v>160</v>
      </c>
      <c r="T149" s="2049"/>
      <c r="U149" s="2049"/>
      <c r="V149" s="2224"/>
      <c r="W149" s="2263"/>
      <c r="X149" s="2264"/>
      <c r="Y149" s="2264"/>
      <c r="Z149" s="2226"/>
      <c r="AA149" s="2222"/>
      <c r="AB149" s="2049"/>
      <c r="AC149" s="2049"/>
      <c r="AD149" s="2152"/>
      <c r="AE149" s="2227">
        <v>27</v>
      </c>
      <c r="AF149" s="2049"/>
      <c r="AG149" s="2049"/>
      <c r="AH149" s="2152"/>
      <c r="AI149" s="2058"/>
    </row>
    <row r="150" spans="1:35" ht="22.35" customHeight="1">
      <c r="A150" s="1"/>
      <c r="B150" s="2221" t="s">
        <v>152</v>
      </c>
      <c r="C150" s="2151" t="s">
        <v>207</v>
      </c>
      <c r="D150" s="2049"/>
      <c r="E150" s="2049"/>
      <c r="F150" s="2224"/>
      <c r="G150" s="2151" t="s">
        <v>207</v>
      </c>
      <c r="H150" s="2049"/>
      <c r="I150" s="2049"/>
      <c r="J150" s="2224"/>
      <c r="K150" s="2151" t="s">
        <v>207</v>
      </c>
      <c r="L150" s="2049"/>
      <c r="M150" s="2049"/>
      <c r="N150" s="2224"/>
      <c r="O150" s="2151" t="s">
        <v>207</v>
      </c>
      <c r="P150" s="2049"/>
      <c r="Q150" s="2049"/>
      <c r="R150" s="2224"/>
      <c r="S150" s="2151" t="s">
        <v>176</v>
      </c>
      <c r="T150" s="2049"/>
      <c r="U150" s="2049"/>
      <c r="V150" s="2224"/>
      <c r="W150" s="2151"/>
      <c r="X150" s="2049"/>
      <c r="Y150" s="2049"/>
      <c r="Z150" s="2224"/>
      <c r="AA150" s="2049"/>
      <c r="AB150" s="2049"/>
      <c r="AC150" s="2049"/>
      <c r="AD150" s="2152"/>
      <c r="AE150" s="2227">
        <v>39</v>
      </c>
      <c r="AF150" s="2049"/>
      <c r="AG150" s="2049"/>
      <c r="AH150" s="2152"/>
      <c r="AI150" s="2058"/>
    </row>
    <row r="151" spans="1:35" ht="22.35" customHeight="1">
      <c r="A151" s="1"/>
      <c r="B151" s="2221" t="s">
        <v>159</v>
      </c>
      <c r="C151" s="2151" t="s">
        <v>207</v>
      </c>
      <c r="D151" s="2049"/>
      <c r="E151" s="2049"/>
      <c r="F151" s="2224"/>
      <c r="G151" s="2151" t="s">
        <v>207</v>
      </c>
      <c r="H151" s="2049"/>
      <c r="I151" s="2049"/>
      <c r="J151" s="2224"/>
      <c r="K151" s="2151" t="s">
        <v>207</v>
      </c>
      <c r="L151" s="2049"/>
      <c r="M151" s="2049"/>
      <c r="N151" s="2224"/>
      <c r="O151" s="2151" t="s">
        <v>207</v>
      </c>
      <c r="P151" s="2049"/>
      <c r="Q151" s="2049"/>
      <c r="R151" s="2224"/>
      <c r="S151" s="2151" t="s">
        <v>207</v>
      </c>
      <c r="T151" s="2049"/>
      <c r="U151" s="2049"/>
      <c r="V151" s="2224"/>
      <c r="W151" s="2153" t="s">
        <v>208</v>
      </c>
      <c r="X151" s="2062"/>
      <c r="Y151" s="2062"/>
      <c r="Z151" s="2231"/>
      <c r="AA151" s="2229"/>
      <c r="AB151" s="2062"/>
      <c r="AC151" s="2062"/>
      <c r="AD151" s="2154"/>
      <c r="AE151" s="2227">
        <v>45</v>
      </c>
      <c r="AF151" s="2049"/>
      <c r="AG151" s="2049"/>
      <c r="AH151" s="2152"/>
      <c r="AI151" s="2058"/>
    </row>
    <row r="152" spans="1:35" ht="22.35" customHeight="1" thickBot="1">
      <c r="A152" s="1"/>
      <c r="B152" s="454" t="s">
        <v>161</v>
      </c>
      <c r="C152" s="2254"/>
      <c r="D152" s="2105"/>
      <c r="E152" s="2105"/>
      <c r="F152" s="2256"/>
      <c r="G152" s="2254"/>
      <c r="H152" s="2105"/>
      <c r="I152" s="2105"/>
      <c r="J152" s="2256"/>
      <c r="K152" s="2254"/>
      <c r="L152" s="2105"/>
      <c r="M152" s="2105"/>
      <c r="N152" s="2256"/>
      <c r="O152" s="2254"/>
      <c r="P152" s="2105"/>
      <c r="Q152" s="2105"/>
      <c r="R152" s="2256"/>
      <c r="S152" s="2254"/>
      <c r="T152" s="2105"/>
      <c r="U152" s="2105"/>
      <c r="V152" s="2242"/>
      <c r="W152" s="2254"/>
      <c r="X152" s="2242"/>
      <c r="Y152" s="2105"/>
      <c r="Z152" s="2256"/>
      <c r="AA152" s="2254"/>
      <c r="AB152" s="2242"/>
      <c r="AC152" s="2105"/>
      <c r="AD152" s="2256"/>
      <c r="AE152" s="2265"/>
      <c r="AF152" s="2105"/>
      <c r="AG152" s="2105"/>
      <c r="AH152" s="2242"/>
      <c r="AI152" s="2112"/>
    </row>
    <row r="153" spans="1:35" ht="22.35" customHeight="1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35" customHeight="1" thickBot="1">
      <c r="A154" s="2198"/>
      <c r="B154" s="2114" t="s">
        <v>29</v>
      </c>
      <c r="C154" s="2067">
        <v>1</v>
      </c>
      <c r="D154" s="2067">
        <v>2</v>
      </c>
      <c r="E154" s="2067">
        <v>3</v>
      </c>
      <c r="F154" s="2068">
        <v>4</v>
      </c>
      <c r="G154" s="2068">
        <v>5</v>
      </c>
      <c r="H154" s="2067">
        <v>6</v>
      </c>
      <c r="I154" s="2067">
        <v>7</v>
      </c>
      <c r="J154" s="2067">
        <v>8</v>
      </c>
      <c r="K154" s="2067">
        <v>9</v>
      </c>
      <c r="L154" s="2067">
        <v>10</v>
      </c>
      <c r="M154" s="2068">
        <v>11</v>
      </c>
      <c r="N154" s="2068">
        <v>12</v>
      </c>
      <c r="O154" s="2067">
        <v>13</v>
      </c>
      <c r="P154" s="2067">
        <v>14</v>
      </c>
      <c r="Q154" s="2067">
        <v>15</v>
      </c>
      <c r="R154" s="2067">
        <v>16</v>
      </c>
      <c r="S154" s="2067">
        <v>17</v>
      </c>
      <c r="T154" s="2068">
        <v>18</v>
      </c>
      <c r="U154" s="2068">
        <v>19</v>
      </c>
      <c r="V154" s="2067">
        <v>20</v>
      </c>
      <c r="W154" s="2067">
        <v>21</v>
      </c>
      <c r="X154" s="2067">
        <v>22</v>
      </c>
      <c r="Y154" s="2067">
        <v>23</v>
      </c>
      <c r="Z154" s="2067">
        <v>24</v>
      </c>
      <c r="AA154" s="2068">
        <v>25</v>
      </c>
      <c r="AB154" s="2068">
        <v>26</v>
      </c>
      <c r="AC154" s="2067">
        <v>27</v>
      </c>
      <c r="AD154" s="2067">
        <v>28</v>
      </c>
      <c r="AE154" s="2067">
        <v>29</v>
      </c>
      <c r="AF154" s="2067">
        <v>30</v>
      </c>
      <c r="AG154" s="2069"/>
      <c r="AH154" s="176"/>
      <c r="AI154" s="177"/>
    </row>
    <row r="155" spans="1:35" ht="22.35" customHeight="1">
      <c r="A155" s="367">
        <v>1</v>
      </c>
      <c r="B155" s="390" t="s">
        <v>209</v>
      </c>
      <c r="C155" s="350" t="s">
        <v>32</v>
      </c>
      <c r="D155" s="349" t="s">
        <v>32</v>
      </c>
      <c r="E155" s="349" t="s">
        <v>32</v>
      </c>
      <c r="F155" s="349"/>
      <c r="G155" s="349"/>
      <c r="H155" s="349" t="s">
        <v>32</v>
      </c>
      <c r="I155" s="349" t="s">
        <v>32</v>
      </c>
      <c r="J155" s="349" t="s">
        <v>32</v>
      </c>
      <c r="K155" s="349" t="s">
        <v>32</v>
      </c>
      <c r="L155" s="349" t="s">
        <v>32</v>
      </c>
      <c r="M155" s="349"/>
      <c r="N155" s="349"/>
      <c r="O155" s="349" t="s">
        <v>32</v>
      </c>
      <c r="P155" s="349" t="s">
        <v>32</v>
      </c>
      <c r="Q155" s="349" t="s">
        <v>32</v>
      </c>
      <c r="R155" s="349" t="s">
        <v>32</v>
      </c>
      <c r="S155" s="349" t="s">
        <v>32</v>
      </c>
      <c r="T155" s="350"/>
      <c r="U155" s="349"/>
      <c r="V155" s="349" t="s">
        <v>32</v>
      </c>
      <c r="W155" s="350" t="s">
        <v>32</v>
      </c>
      <c r="X155" s="350" t="s">
        <v>32</v>
      </c>
      <c r="Y155" s="349" t="s">
        <v>32</v>
      </c>
      <c r="Z155" s="349" t="s">
        <v>32</v>
      </c>
      <c r="AA155" s="349"/>
      <c r="AB155" s="349"/>
      <c r="AC155" s="349" t="s">
        <v>32</v>
      </c>
      <c r="AD155" s="349" t="s">
        <v>32</v>
      </c>
      <c r="AE155" s="349" t="s">
        <v>32</v>
      </c>
      <c r="AF155" s="349" t="s">
        <v>32</v>
      </c>
      <c r="AG155" s="352"/>
      <c r="AH155" s="215"/>
      <c r="AI155" s="182"/>
    </row>
    <row r="156" spans="1:35" ht="22.35" customHeight="1">
      <c r="A156" s="2210">
        <v>2</v>
      </c>
      <c r="B156" s="2266" t="s">
        <v>210</v>
      </c>
      <c r="C156" s="2077" t="s">
        <v>212</v>
      </c>
      <c r="D156" s="2077" t="s">
        <v>212</v>
      </c>
      <c r="E156" s="2077" t="s">
        <v>212</v>
      </c>
      <c r="F156" s="2077" t="s">
        <v>212</v>
      </c>
      <c r="G156" s="2077"/>
      <c r="H156" s="2077" t="s">
        <v>213</v>
      </c>
      <c r="I156" s="2077" t="s">
        <v>213</v>
      </c>
      <c r="J156" s="2077" t="s">
        <v>213</v>
      </c>
      <c r="K156" s="2128" t="s">
        <v>213</v>
      </c>
      <c r="L156" s="2077" t="s">
        <v>36</v>
      </c>
      <c r="M156" s="2077"/>
      <c r="N156" s="2077"/>
      <c r="O156" s="2077" t="s">
        <v>211</v>
      </c>
      <c r="P156" s="2077" t="s">
        <v>211</v>
      </c>
      <c r="Q156" s="2077" t="s">
        <v>211</v>
      </c>
      <c r="R156" s="2077" t="s">
        <v>211</v>
      </c>
      <c r="S156" s="2134" t="s">
        <v>211</v>
      </c>
      <c r="T156" s="2134"/>
      <c r="U156" s="2134"/>
      <c r="V156" s="2134" t="s">
        <v>212</v>
      </c>
      <c r="W156" s="2134" t="s">
        <v>212</v>
      </c>
      <c r="X156" s="2134" t="s">
        <v>373</v>
      </c>
      <c r="Y156" s="2143" t="s">
        <v>212</v>
      </c>
      <c r="Z156" s="2143" t="s">
        <v>212</v>
      </c>
      <c r="AA156" s="2077" t="s">
        <v>212</v>
      </c>
      <c r="AB156" s="2077"/>
      <c r="AC156" s="2078" t="s">
        <v>213</v>
      </c>
      <c r="AD156" s="2077" t="s">
        <v>213</v>
      </c>
      <c r="AE156" s="2077" t="s">
        <v>213</v>
      </c>
      <c r="AF156" s="2077" t="s">
        <v>213</v>
      </c>
      <c r="AG156" s="2119"/>
      <c r="AH156" s="215"/>
      <c r="AI156" s="182"/>
    </row>
    <row r="157" spans="1:35" ht="22.35" customHeight="1">
      <c r="A157" s="2210">
        <v>3</v>
      </c>
      <c r="B157" s="2267" t="s">
        <v>214</v>
      </c>
      <c r="C157" s="2195" t="s">
        <v>213</v>
      </c>
      <c r="D157" s="2195" t="s">
        <v>213</v>
      </c>
      <c r="E157" s="2195" t="s">
        <v>213</v>
      </c>
      <c r="F157" s="2195"/>
      <c r="G157" s="2195"/>
      <c r="H157" s="2077" t="s">
        <v>211</v>
      </c>
      <c r="I157" s="2077" t="s">
        <v>211</v>
      </c>
      <c r="J157" s="2077" t="s">
        <v>211</v>
      </c>
      <c r="K157" s="2077" t="s">
        <v>211</v>
      </c>
      <c r="L157" s="2077" t="s">
        <v>211</v>
      </c>
      <c r="M157" s="2077"/>
      <c r="N157" s="2077"/>
      <c r="O157" s="2077" t="s">
        <v>212</v>
      </c>
      <c r="P157" s="2077" t="s">
        <v>212</v>
      </c>
      <c r="Q157" s="2077" t="s">
        <v>212</v>
      </c>
      <c r="R157" s="2077" t="s">
        <v>212</v>
      </c>
      <c r="S157" s="2077" t="s">
        <v>212</v>
      </c>
      <c r="T157" s="2077" t="s">
        <v>212</v>
      </c>
      <c r="U157" s="2077"/>
      <c r="V157" s="2077" t="s">
        <v>213</v>
      </c>
      <c r="W157" s="2077" t="s">
        <v>213</v>
      </c>
      <c r="X157" s="2077" t="s">
        <v>213</v>
      </c>
      <c r="Y157" s="2128" t="s">
        <v>213</v>
      </c>
      <c r="Z157" s="2077" t="s">
        <v>36</v>
      </c>
      <c r="AA157" s="2077"/>
      <c r="AB157" s="2077"/>
      <c r="AC157" s="2077" t="s">
        <v>211</v>
      </c>
      <c r="AD157" s="2077" t="s">
        <v>211</v>
      </c>
      <c r="AE157" s="2077" t="s">
        <v>211</v>
      </c>
      <c r="AF157" s="2077" t="s">
        <v>211</v>
      </c>
      <c r="AG157" s="2119"/>
      <c r="AH157" s="215"/>
      <c r="AI157" s="182"/>
    </row>
    <row r="158" spans="1:35" ht="22.35" customHeight="1">
      <c r="A158" s="2210">
        <v>4</v>
      </c>
      <c r="B158" s="2267" t="s">
        <v>215</v>
      </c>
      <c r="C158" s="2077" t="s">
        <v>32</v>
      </c>
      <c r="D158" s="2077"/>
      <c r="E158" s="2077" t="s">
        <v>32</v>
      </c>
      <c r="F158" s="2077"/>
      <c r="G158" s="2077"/>
      <c r="H158" s="2077"/>
      <c r="I158" s="2077" t="s">
        <v>125</v>
      </c>
      <c r="J158" s="2077"/>
      <c r="K158" s="2077"/>
      <c r="L158" s="2077" t="s">
        <v>32</v>
      </c>
      <c r="M158" s="2143" t="s">
        <v>212</v>
      </c>
      <c r="N158" s="2077"/>
      <c r="O158" s="2077"/>
      <c r="P158" s="2077" t="s">
        <v>125</v>
      </c>
      <c r="Q158" s="2075" t="s">
        <v>32</v>
      </c>
      <c r="R158" s="2075"/>
      <c r="S158" s="2075" t="s">
        <v>32</v>
      </c>
      <c r="T158" s="2075"/>
      <c r="U158" s="2075"/>
      <c r="V158" s="2077"/>
      <c r="W158" s="2077" t="s">
        <v>125</v>
      </c>
      <c r="X158" s="2077" t="s">
        <v>32</v>
      </c>
      <c r="Y158" s="2077"/>
      <c r="Z158" s="2077" t="s">
        <v>32</v>
      </c>
      <c r="AA158" s="2077"/>
      <c r="AB158" s="2077"/>
      <c r="AC158" s="2077"/>
      <c r="AD158" s="2077" t="s">
        <v>125</v>
      </c>
      <c r="AE158" s="2077"/>
      <c r="AF158" s="2077"/>
      <c r="AG158" s="2119"/>
      <c r="AH158" s="215"/>
      <c r="AI158" s="182"/>
    </row>
    <row r="159" spans="1:35" ht="22.35" customHeight="1">
      <c r="A159" s="2210">
        <v>5</v>
      </c>
      <c r="B159" s="2267" t="s">
        <v>216</v>
      </c>
      <c r="C159" s="2134"/>
      <c r="D159" s="2134" t="s">
        <v>32</v>
      </c>
      <c r="E159" s="2134"/>
      <c r="F159" s="2134"/>
      <c r="G159" s="2134"/>
      <c r="H159" s="2134" t="s">
        <v>125</v>
      </c>
      <c r="I159" s="2134"/>
      <c r="J159" s="2134"/>
      <c r="K159" s="2134" t="s">
        <v>32</v>
      </c>
      <c r="L159" s="2134"/>
      <c r="M159" s="2134"/>
      <c r="N159" s="2134"/>
      <c r="O159" s="2134" t="s">
        <v>125</v>
      </c>
      <c r="P159" s="2134"/>
      <c r="Q159" s="2134"/>
      <c r="R159" s="2134" t="s">
        <v>32</v>
      </c>
      <c r="S159" s="2134"/>
      <c r="T159" s="2134"/>
      <c r="U159" s="2134"/>
      <c r="V159" s="2134" t="s">
        <v>125</v>
      </c>
      <c r="W159" s="2134"/>
      <c r="X159" s="2134"/>
      <c r="Y159" s="2134" t="s">
        <v>32</v>
      </c>
      <c r="Z159" s="2134"/>
      <c r="AA159" s="2134"/>
      <c r="AB159" s="2134"/>
      <c r="AC159" s="2134" t="s">
        <v>125</v>
      </c>
      <c r="AD159" s="2134"/>
      <c r="AE159" s="2134"/>
      <c r="AF159" s="2134" t="s">
        <v>32</v>
      </c>
      <c r="AG159" s="2170"/>
      <c r="AH159" s="215"/>
      <c r="AI159" s="182"/>
    </row>
    <row r="160" spans="1:35" ht="22.35" customHeight="1">
      <c r="A160" s="2210">
        <v>6</v>
      </c>
      <c r="B160" s="2083" t="s">
        <v>217</v>
      </c>
      <c r="C160" s="2077" t="s">
        <v>32</v>
      </c>
      <c r="D160" s="2077" t="s">
        <v>32</v>
      </c>
      <c r="E160" s="2077" t="s">
        <v>32</v>
      </c>
      <c r="F160" s="2077"/>
      <c r="G160" s="2077"/>
      <c r="H160" s="2077" t="s">
        <v>32</v>
      </c>
      <c r="I160" s="2077" t="s">
        <v>32</v>
      </c>
      <c r="J160" s="2085" t="s">
        <v>32</v>
      </c>
      <c r="K160" s="2077" t="s">
        <v>32</v>
      </c>
      <c r="L160" s="2077" t="s">
        <v>32</v>
      </c>
      <c r="M160" s="2077"/>
      <c r="N160" s="2077"/>
      <c r="O160" s="2077" t="s">
        <v>32</v>
      </c>
      <c r="P160" s="2077" t="s">
        <v>32</v>
      </c>
      <c r="Q160" s="2077" t="s">
        <v>32</v>
      </c>
      <c r="R160" s="2077" t="s">
        <v>32</v>
      </c>
      <c r="S160" s="2077" t="s">
        <v>32</v>
      </c>
      <c r="T160" s="2075"/>
      <c r="U160" s="2075"/>
      <c r="V160" s="2075" t="s">
        <v>32</v>
      </c>
      <c r="W160" s="2075" t="s">
        <v>32</v>
      </c>
      <c r="X160" s="2077" t="s">
        <v>32</v>
      </c>
      <c r="Y160" s="2077" t="s">
        <v>32</v>
      </c>
      <c r="Z160" s="2077" t="s">
        <v>32</v>
      </c>
      <c r="AA160" s="2077"/>
      <c r="AB160" s="2077"/>
      <c r="AC160" s="2077" t="s">
        <v>32</v>
      </c>
      <c r="AD160" s="2077" t="s">
        <v>32</v>
      </c>
      <c r="AE160" s="2085" t="s">
        <v>32</v>
      </c>
      <c r="AF160" s="2077" t="s">
        <v>32</v>
      </c>
      <c r="AG160" s="2119"/>
      <c r="AH160" s="201"/>
      <c r="AI160" s="107"/>
    </row>
    <row r="161" spans="1:36" ht="22.35" customHeight="1" thickBot="1">
      <c r="A161" s="2216"/>
      <c r="B161" s="2121"/>
      <c r="C161" s="2067"/>
      <c r="D161" s="2067"/>
      <c r="E161" s="2067"/>
      <c r="F161" s="2067"/>
      <c r="G161" s="2067"/>
      <c r="H161" s="2067"/>
      <c r="I161" s="2067"/>
      <c r="J161" s="2067"/>
      <c r="K161" s="2067"/>
      <c r="L161" s="2067"/>
      <c r="M161" s="2067"/>
      <c r="N161" s="2067"/>
      <c r="O161" s="2067"/>
      <c r="P161" s="2067"/>
      <c r="Q161" s="2067"/>
      <c r="R161" s="2067"/>
      <c r="S161" s="2067"/>
      <c r="T161" s="2067"/>
      <c r="U161" s="2067"/>
      <c r="V161" s="2067"/>
      <c r="W161" s="2067"/>
      <c r="X161" s="2067"/>
      <c r="Y161" s="2067"/>
      <c r="Z161" s="2067"/>
      <c r="AA161" s="2067"/>
      <c r="AB161" s="2067"/>
      <c r="AC161" s="2067"/>
      <c r="AD161" s="2067"/>
      <c r="AE161" s="2067"/>
      <c r="AF161" s="2067"/>
      <c r="AG161" s="2069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>
      <c r="A163" s="212"/>
      <c r="B163" s="210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  <c r="AA163" s="211"/>
      <c r="AB163" s="211"/>
      <c r="AC163" s="211"/>
      <c r="AD163" s="211"/>
      <c r="AE163" s="211"/>
      <c r="AF163" s="211"/>
      <c r="AG163" s="211"/>
      <c r="AH163" s="107"/>
      <c r="AI163" s="107"/>
    </row>
    <row r="164" spans="1:36" ht="22.35" customHeight="1" thickBot="1">
      <c r="A164" s="150" t="s">
        <v>218</v>
      </c>
      <c r="B164" s="72"/>
      <c r="C164" s="106" t="s">
        <v>219</v>
      </c>
      <c r="D164" s="72"/>
      <c r="E164" s="72"/>
      <c r="F164" s="106" t="s">
        <v>219</v>
      </c>
      <c r="G164" s="72"/>
      <c r="H164" s="72"/>
      <c r="I164" s="106" t="s">
        <v>219</v>
      </c>
      <c r="J164" s="106"/>
      <c r="K164" s="72"/>
      <c r="L164" s="106" t="s">
        <v>219</v>
      </c>
      <c r="M164" s="72"/>
      <c r="N164" s="72"/>
      <c r="O164" s="106" t="s">
        <v>219</v>
      </c>
      <c r="P164" s="72"/>
      <c r="Q164" s="106"/>
      <c r="R164" s="106" t="s">
        <v>219</v>
      </c>
      <c r="S164" s="72"/>
      <c r="T164" s="72"/>
      <c r="U164" s="106" t="s">
        <v>219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35" customHeight="1">
      <c r="A165" s="109"/>
      <c r="B165" s="239" t="s">
        <v>220</v>
      </c>
      <c r="C165" s="240"/>
      <c r="D165" s="241" t="s">
        <v>94</v>
      </c>
      <c r="E165" s="242"/>
      <c r="F165" s="243"/>
      <c r="G165" s="244"/>
      <c r="H165" s="241" t="s">
        <v>95</v>
      </c>
      <c r="I165" s="242"/>
      <c r="J165" s="243"/>
      <c r="K165" s="244"/>
      <c r="L165" s="241" t="s">
        <v>96</v>
      </c>
      <c r="M165" s="242"/>
      <c r="N165" s="243"/>
      <c r="O165" s="244"/>
      <c r="P165" s="241" t="s">
        <v>97</v>
      </c>
      <c r="Q165" s="242"/>
      <c r="R165" s="243"/>
      <c r="S165" s="244"/>
      <c r="T165" s="241" t="s">
        <v>98</v>
      </c>
      <c r="U165" s="242"/>
      <c r="V165" s="243"/>
      <c r="W165" s="244"/>
      <c r="X165" s="241" t="s">
        <v>99</v>
      </c>
      <c r="Y165" s="242"/>
      <c r="Z165" s="243"/>
      <c r="AA165" s="244"/>
      <c r="AB165" s="241" t="s">
        <v>100</v>
      </c>
      <c r="AC165" s="242"/>
      <c r="AD165" s="242"/>
      <c r="AE165" s="245" t="s">
        <v>101</v>
      </c>
      <c r="AF165" s="242"/>
      <c r="AG165" s="242"/>
      <c r="AH165" s="242"/>
      <c r="AI165" s="246"/>
    </row>
    <row r="166" spans="1:36" ht="22.35" customHeight="1">
      <c r="A166" s="109"/>
      <c r="B166" s="2268" t="s">
        <v>221</v>
      </c>
      <c r="C166" s="2269" t="s">
        <v>113</v>
      </c>
      <c r="D166" s="1945" t="s">
        <v>222</v>
      </c>
      <c r="E166" s="1946"/>
      <c r="F166" s="1947"/>
      <c r="G166" s="2270"/>
      <c r="H166" s="1945" t="s">
        <v>222</v>
      </c>
      <c r="I166" s="1946"/>
      <c r="J166" s="1947"/>
      <c r="K166" s="2270"/>
      <c r="L166" s="1945" t="s">
        <v>222</v>
      </c>
      <c r="M166" s="1946"/>
      <c r="N166" s="1947"/>
      <c r="O166" s="2270"/>
      <c r="P166" s="1945" t="s">
        <v>223</v>
      </c>
      <c r="Q166" s="1946"/>
      <c r="R166" s="1947"/>
      <c r="S166" s="2270"/>
      <c r="T166" s="1945" t="s">
        <v>224</v>
      </c>
      <c r="U166" s="1947"/>
      <c r="V166" s="1947"/>
      <c r="W166" s="2271"/>
      <c r="X166" s="1950"/>
      <c r="Y166" s="1950"/>
      <c r="Z166" s="1951"/>
      <c r="AA166" s="2271"/>
      <c r="AB166" s="1950"/>
      <c r="AC166" s="1950"/>
      <c r="AD166" s="1950"/>
      <c r="AE166" s="2271"/>
      <c r="AF166" s="1950"/>
      <c r="AG166" s="1950"/>
      <c r="AH166" s="1952"/>
      <c r="AI166" s="2272"/>
    </row>
    <row r="167" spans="1:36" ht="22.35" customHeight="1">
      <c r="A167" s="109"/>
      <c r="B167" s="2268" t="s">
        <v>221</v>
      </c>
      <c r="C167" s="2269" t="s">
        <v>118</v>
      </c>
      <c r="D167" s="1945" t="s">
        <v>222</v>
      </c>
      <c r="E167" s="1946"/>
      <c r="F167" s="1947"/>
      <c r="G167" s="2270"/>
      <c r="H167" s="1945" t="s">
        <v>222</v>
      </c>
      <c r="I167" s="1946"/>
      <c r="J167" s="1947"/>
      <c r="K167" s="2270"/>
      <c r="L167" s="1945" t="s">
        <v>222</v>
      </c>
      <c r="M167" s="1946"/>
      <c r="N167" s="1947"/>
      <c r="O167" s="2270"/>
      <c r="P167" s="1945" t="s">
        <v>223</v>
      </c>
      <c r="Q167" s="1946"/>
      <c r="R167" s="1947"/>
      <c r="S167" s="2270"/>
      <c r="T167" s="1945" t="s">
        <v>224</v>
      </c>
      <c r="U167" s="1947"/>
      <c r="V167" s="1947"/>
      <c r="W167" s="2271"/>
      <c r="X167" s="1950"/>
      <c r="Y167" s="1950"/>
      <c r="Z167" s="1951"/>
      <c r="AA167" s="2271"/>
      <c r="AB167" s="1950"/>
      <c r="AC167" s="1950"/>
      <c r="AD167" s="1950"/>
      <c r="AE167" s="2271"/>
      <c r="AF167" s="1950"/>
      <c r="AG167" s="1950"/>
      <c r="AH167" s="1952"/>
      <c r="AI167" s="2272"/>
    </row>
    <row r="168" spans="1:36" ht="22.35" customHeight="1">
      <c r="A168" s="109"/>
      <c r="B168" s="2268" t="s">
        <v>225</v>
      </c>
      <c r="C168" s="2269" t="s">
        <v>126</v>
      </c>
      <c r="D168" s="1945" t="s">
        <v>222</v>
      </c>
      <c r="E168" s="1946"/>
      <c r="F168" s="1947"/>
      <c r="G168" s="2270"/>
      <c r="H168" s="1945" t="s">
        <v>222</v>
      </c>
      <c r="I168" s="1946"/>
      <c r="J168" s="1947"/>
      <c r="K168" s="2270"/>
      <c r="L168" s="1945" t="s">
        <v>222</v>
      </c>
      <c r="M168" s="1946"/>
      <c r="N168" s="1947"/>
      <c r="O168" s="2270"/>
      <c r="P168" s="1945" t="s">
        <v>223</v>
      </c>
      <c r="Q168" s="1946"/>
      <c r="R168" s="1947"/>
      <c r="S168" s="2270"/>
      <c r="T168" s="1945" t="s">
        <v>224</v>
      </c>
      <c r="U168" s="1947"/>
      <c r="V168" s="1947"/>
      <c r="W168" s="2271"/>
      <c r="X168" s="1950"/>
      <c r="Y168" s="1950"/>
      <c r="Z168" s="1951"/>
      <c r="AA168" s="2271"/>
      <c r="AB168" s="1950"/>
      <c r="AC168" s="1950"/>
      <c r="AD168" s="1950"/>
      <c r="AE168" s="2271"/>
      <c r="AF168" s="1950"/>
      <c r="AG168" s="1950"/>
      <c r="AH168" s="1952"/>
      <c r="AI168" s="2272"/>
    </row>
    <row r="169" spans="1:36" ht="22.35" customHeight="1">
      <c r="A169" s="109"/>
      <c r="B169" s="2268" t="s">
        <v>226</v>
      </c>
      <c r="C169" s="2269" t="s">
        <v>50</v>
      </c>
      <c r="D169" s="1945" t="s">
        <v>227</v>
      </c>
      <c r="E169" s="1946"/>
      <c r="F169" s="1947"/>
      <c r="G169" s="2270"/>
      <c r="H169" s="1945" t="s">
        <v>227</v>
      </c>
      <c r="I169" s="1946"/>
      <c r="J169" s="1947"/>
      <c r="K169" s="2270"/>
      <c r="L169" s="1945" t="s">
        <v>228</v>
      </c>
      <c r="M169" s="1946"/>
      <c r="N169" s="1947"/>
      <c r="O169" s="2270"/>
      <c r="P169" s="1945" t="s">
        <v>229</v>
      </c>
      <c r="Q169" s="1946"/>
      <c r="R169" s="1947"/>
      <c r="S169" s="2270"/>
      <c r="T169" s="1945" t="s">
        <v>230</v>
      </c>
      <c r="U169" s="1947"/>
      <c r="V169" s="1947"/>
      <c r="W169" s="2271"/>
      <c r="X169" s="1950"/>
      <c r="Y169" s="1950"/>
      <c r="Z169" s="1951"/>
      <c r="AA169" s="2271"/>
      <c r="AB169" s="1950"/>
      <c r="AC169" s="1950"/>
      <c r="AD169" s="1950"/>
      <c r="AE169" s="2271"/>
      <c r="AF169" s="1950"/>
      <c r="AG169" s="1950"/>
      <c r="AH169" s="1952"/>
      <c r="AI169" s="2272"/>
    </row>
    <row r="170" spans="1:36" ht="22.35" customHeight="1">
      <c r="A170" s="109"/>
      <c r="B170" s="2268" t="s">
        <v>231</v>
      </c>
      <c r="C170" s="2269" t="s">
        <v>115</v>
      </c>
      <c r="D170" s="1945" t="s">
        <v>232</v>
      </c>
      <c r="E170" s="1946"/>
      <c r="F170" s="1947"/>
      <c r="G170" s="2270"/>
      <c r="H170" s="1945" t="s">
        <v>232</v>
      </c>
      <c r="I170" s="1946"/>
      <c r="J170" s="1947"/>
      <c r="K170" s="2270"/>
      <c r="L170" s="1945" t="s">
        <v>233</v>
      </c>
      <c r="M170" s="1946"/>
      <c r="N170" s="1947"/>
      <c r="O170" s="2270"/>
      <c r="P170" s="1945" t="s">
        <v>234</v>
      </c>
      <c r="Q170" s="1946"/>
      <c r="R170" s="1947"/>
      <c r="S170" s="2270"/>
      <c r="T170" s="1945" t="s">
        <v>235</v>
      </c>
      <c r="U170" s="1947"/>
      <c r="V170" s="1947"/>
      <c r="W170" s="2271"/>
      <c r="X170" s="1950"/>
      <c r="Y170" s="1950"/>
      <c r="Z170" s="1951"/>
      <c r="AA170" s="2271"/>
      <c r="AB170" s="1950"/>
      <c r="AC170" s="1950"/>
      <c r="AD170" s="1950"/>
      <c r="AE170" s="2271"/>
      <c r="AF170" s="1950"/>
      <c r="AG170" s="1950"/>
      <c r="AH170" s="1952"/>
      <c r="AI170" s="2272"/>
    </row>
    <row r="171" spans="1:36" ht="22.35" customHeight="1">
      <c r="A171" s="109"/>
      <c r="B171" s="2268" t="s">
        <v>236</v>
      </c>
      <c r="C171" s="2269" t="s">
        <v>132</v>
      </c>
      <c r="D171" s="1945" t="s">
        <v>222</v>
      </c>
      <c r="E171" s="1946"/>
      <c r="F171" s="1947"/>
      <c r="G171" s="2270"/>
      <c r="H171" s="1945" t="s">
        <v>222</v>
      </c>
      <c r="I171" s="1946"/>
      <c r="J171" s="1947"/>
      <c r="K171" s="2270"/>
      <c r="L171" s="1945" t="s">
        <v>222</v>
      </c>
      <c r="M171" s="1946"/>
      <c r="N171" s="1947"/>
      <c r="O171" s="2270"/>
      <c r="P171" s="1945" t="s">
        <v>222</v>
      </c>
      <c r="Q171" s="1946"/>
      <c r="R171" s="1947"/>
      <c r="S171" s="2270"/>
      <c r="T171" s="1945" t="s">
        <v>232</v>
      </c>
      <c r="U171" s="1947"/>
      <c r="V171" s="1947"/>
      <c r="W171" s="2271"/>
      <c r="X171" s="1950"/>
      <c r="Y171" s="1950"/>
      <c r="Z171" s="1951"/>
      <c r="AA171" s="2271"/>
      <c r="AB171" s="1950"/>
      <c r="AC171" s="1950"/>
      <c r="AD171" s="1950"/>
      <c r="AE171" s="2271"/>
      <c r="AF171" s="1950"/>
      <c r="AG171" s="1950"/>
      <c r="AH171" s="1952"/>
      <c r="AI171" s="2272"/>
    </row>
    <row r="172" spans="1:36" ht="22.35" customHeight="1">
      <c r="A172" s="109"/>
      <c r="B172" s="2268" t="s">
        <v>237</v>
      </c>
      <c r="C172" s="2269" t="s">
        <v>135</v>
      </c>
      <c r="D172" s="1945" t="s">
        <v>222</v>
      </c>
      <c r="E172" s="1946"/>
      <c r="F172" s="1947"/>
      <c r="G172" s="2270"/>
      <c r="H172" s="1945" t="s">
        <v>222</v>
      </c>
      <c r="I172" s="1946"/>
      <c r="J172" s="1947"/>
      <c r="K172" s="2270"/>
      <c r="L172" s="1945" t="s">
        <v>222</v>
      </c>
      <c r="M172" s="1946"/>
      <c r="N172" s="1947"/>
      <c r="O172" s="2270"/>
      <c r="P172" s="1945" t="s">
        <v>223</v>
      </c>
      <c r="Q172" s="1946"/>
      <c r="R172" s="1947"/>
      <c r="S172" s="2270"/>
      <c r="T172" s="1945" t="s">
        <v>224</v>
      </c>
      <c r="U172" s="1947"/>
      <c r="V172" s="1947"/>
      <c r="W172" s="2271"/>
      <c r="X172" s="1950"/>
      <c r="Y172" s="1950"/>
      <c r="Z172" s="1951"/>
      <c r="AA172" s="2271"/>
      <c r="AB172" s="1950"/>
      <c r="AC172" s="1950"/>
      <c r="AD172" s="1950"/>
      <c r="AE172" s="2271"/>
      <c r="AF172" s="1950"/>
      <c r="AG172" s="1950"/>
      <c r="AH172" s="1952"/>
      <c r="AI172" s="2272"/>
    </row>
    <row r="173" spans="1:36" ht="22.35" customHeight="1">
      <c r="A173" s="109"/>
      <c r="B173" s="2268" t="s">
        <v>237</v>
      </c>
      <c r="C173" s="2269" t="s">
        <v>52</v>
      </c>
      <c r="D173" s="1945" t="s">
        <v>222</v>
      </c>
      <c r="E173" s="1946"/>
      <c r="F173" s="1947"/>
      <c r="G173" s="2270"/>
      <c r="H173" s="1945" t="s">
        <v>222</v>
      </c>
      <c r="I173" s="1946"/>
      <c r="J173" s="1947"/>
      <c r="K173" s="2270"/>
      <c r="L173" s="1945" t="s">
        <v>222</v>
      </c>
      <c r="M173" s="1946"/>
      <c r="N173" s="1947"/>
      <c r="O173" s="2270"/>
      <c r="P173" s="1945" t="s">
        <v>223</v>
      </c>
      <c r="Q173" s="1946"/>
      <c r="R173" s="1947"/>
      <c r="S173" s="2270"/>
      <c r="T173" s="1945" t="s">
        <v>224</v>
      </c>
      <c r="U173" s="1947"/>
      <c r="V173" s="1947"/>
      <c r="W173" s="2271"/>
      <c r="X173" s="1950"/>
      <c r="Y173" s="1950"/>
      <c r="Z173" s="1951"/>
      <c r="AA173" s="2271"/>
      <c r="AB173" s="1950"/>
      <c r="AC173" s="1950"/>
      <c r="AD173" s="1950"/>
      <c r="AE173" s="2271"/>
      <c r="AF173" s="1950"/>
      <c r="AG173" s="1950"/>
      <c r="AH173" s="1952"/>
      <c r="AI173" s="2272"/>
    </row>
    <row r="174" spans="1:36" ht="22.35" customHeight="1">
      <c r="A174" s="109"/>
      <c r="B174" s="2268" t="s">
        <v>238</v>
      </c>
      <c r="C174" s="2269" t="s">
        <v>141</v>
      </c>
      <c r="D174" s="1945" t="s">
        <v>222</v>
      </c>
      <c r="E174" s="1946"/>
      <c r="F174" s="1947"/>
      <c r="G174" s="2270"/>
      <c r="H174" s="1945" t="s">
        <v>222</v>
      </c>
      <c r="I174" s="1946"/>
      <c r="J174" s="1947"/>
      <c r="K174" s="2270"/>
      <c r="L174" s="1945" t="s">
        <v>222</v>
      </c>
      <c r="M174" s="1946"/>
      <c r="N174" s="1947"/>
      <c r="O174" s="2270"/>
      <c r="P174" s="1945" t="s">
        <v>239</v>
      </c>
      <c r="Q174" s="1946"/>
      <c r="R174" s="1947"/>
      <c r="S174" s="2270"/>
      <c r="T174" s="1945" t="s">
        <v>235</v>
      </c>
      <c r="U174" s="1947"/>
      <c r="V174" s="1947"/>
      <c r="W174" s="2271"/>
      <c r="X174" s="1950"/>
      <c r="Y174" s="1950"/>
      <c r="Z174" s="1951"/>
      <c r="AA174" s="2271"/>
      <c r="AB174" s="1950"/>
      <c r="AC174" s="1950"/>
      <c r="AD174" s="1950"/>
      <c r="AE174" s="2271"/>
      <c r="AF174" s="1950"/>
      <c r="AG174" s="1950"/>
      <c r="AH174" s="1952"/>
      <c r="AI174" s="2272"/>
    </row>
    <row r="175" spans="1:36" ht="22.35" customHeight="1">
      <c r="A175" s="109"/>
      <c r="B175" s="2273" t="s">
        <v>240</v>
      </c>
      <c r="C175" s="2274" t="s">
        <v>124</v>
      </c>
      <c r="D175" s="2275" t="s">
        <v>222</v>
      </c>
      <c r="E175" s="2276"/>
      <c r="F175" s="2277"/>
      <c r="G175" s="2278"/>
      <c r="H175" s="2275" t="s">
        <v>222</v>
      </c>
      <c r="I175" s="2276"/>
      <c r="J175" s="2277"/>
      <c r="K175" s="2278"/>
      <c r="L175" s="2275" t="s">
        <v>222</v>
      </c>
      <c r="M175" s="2276"/>
      <c r="N175" s="2277"/>
      <c r="O175" s="2278"/>
      <c r="P175" s="2275" t="s">
        <v>223</v>
      </c>
      <c r="Q175" s="2276"/>
      <c r="R175" s="2277"/>
      <c r="S175" s="2278"/>
      <c r="T175" s="2275" t="s">
        <v>224</v>
      </c>
      <c r="U175" s="2277"/>
      <c r="V175" s="198"/>
      <c r="W175" s="2279"/>
      <c r="X175" s="197"/>
      <c r="Y175" s="197"/>
      <c r="Z175" s="198"/>
      <c r="AA175" s="2279"/>
      <c r="AB175" s="197"/>
      <c r="AC175" s="197"/>
      <c r="AD175" s="197"/>
      <c r="AE175" s="2279"/>
      <c r="AF175" s="197"/>
      <c r="AG175" s="197"/>
      <c r="AH175" s="199"/>
      <c r="AI175" s="2280"/>
      <c r="AJ175" s="200"/>
    </row>
    <row r="176" spans="1:36" ht="22.35" customHeight="1">
      <c r="A176" s="109"/>
      <c r="B176" s="2268" t="s">
        <v>241</v>
      </c>
      <c r="C176" s="2269" t="s">
        <v>242</v>
      </c>
      <c r="D176" s="1945" t="s">
        <v>222</v>
      </c>
      <c r="E176" s="1946"/>
      <c r="F176" s="1947"/>
      <c r="G176" s="2270"/>
      <c r="H176" s="1945" t="s">
        <v>222</v>
      </c>
      <c r="I176" s="1946"/>
      <c r="J176" s="1947"/>
      <c r="K176" s="2270"/>
      <c r="L176" s="1945" t="s">
        <v>222</v>
      </c>
      <c r="M176" s="1946"/>
      <c r="N176" s="1947"/>
      <c r="O176" s="2270"/>
      <c r="P176" s="1945" t="s">
        <v>223</v>
      </c>
      <c r="Q176" s="1946"/>
      <c r="R176" s="1947"/>
      <c r="S176" s="2270"/>
      <c r="T176" s="1945" t="s">
        <v>224</v>
      </c>
      <c r="U176" s="1947"/>
      <c r="V176" s="1946"/>
      <c r="W176" s="2271"/>
      <c r="X176" s="1950"/>
      <c r="Y176" s="1950"/>
      <c r="Z176" s="1950"/>
      <c r="AA176" s="2271"/>
      <c r="AB176" s="1950"/>
      <c r="AC176" s="1950"/>
      <c r="AD176" s="1950"/>
      <c r="AE176" s="2271"/>
      <c r="AF176" s="1950"/>
      <c r="AG176" s="1950"/>
      <c r="AH176" s="1952"/>
      <c r="AI176" s="2272"/>
      <c r="AJ176" s="200"/>
    </row>
    <row r="177" spans="1:36" ht="22.35" customHeight="1">
      <c r="A177" s="109"/>
      <c r="B177" s="2268" t="s">
        <v>243</v>
      </c>
      <c r="C177" s="2269" t="s">
        <v>122</v>
      </c>
      <c r="D177" s="1945" t="s">
        <v>244</v>
      </c>
      <c r="E177" s="1946"/>
      <c r="F177" s="1947"/>
      <c r="G177" s="2270"/>
      <c r="H177" s="1945" t="s">
        <v>244</v>
      </c>
      <c r="I177" s="1946"/>
      <c r="J177" s="1947"/>
      <c r="K177" s="2270"/>
      <c r="L177" s="1945" t="s">
        <v>244</v>
      </c>
      <c r="M177" s="1946"/>
      <c r="N177" s="1946"/>
      <c r="O177" s="2270"/>
      <c r="P177" s="1945" t="s">
        <v>244</v>
      </c>
      <c r="Q177" s="1946"/>
      <c r="R177" s="1946"/>
      <c r="S177" s="2270"/>
      <c r="T177" s="1945" t="s">
        <v>235</v>
      </c>
      <c r="U177" s="1947"/>
      <c r="V177" s="1946"/>
      <c r="W177" s="2281"/>
      <c r="X177" s="1950"/>
      <c r="Y177" s="1950"/>
      <c r="Z177" s="1950"/>
      <c r="AA177" s="2271"/>
      <c r="AB177" s="1950"/>
      <c r="AC177" s="1950"/>
      <c r="AD177" s="1950"/>
      <c r="AE177" s="2271"/>
      <c r="AF177" s="1950"/>
      <c r="AG177" s="1950"/>
      <c r="AH177" s="1952"/>
      <c r="AI177" s="2272"/>
      <c r="AJ177" s="200"/>
    </row>
    <row r="178" spans="1:36" ht="22.35" customHeight="1">
      <c r="A178" s="109"/>
      <c r="B178" s="2268" t="s">
        <v>245</v>
      </c>
      <c r="C178" s="2269" t="s">
        <v>246</v>
      </c>
      <c r="D178" s="1945" t="s">
        <v>244</v>
      </c>
      <c r="E178" s="1946"/>
      <c r="F178" s="1947"/>
      <c r="G178" s="2270"/>
      <c r="H178" s="1945" t="s">
        <v>244</v>
      </c>
      <c r="I178" s="1946"/>
      <c r="J178" s="1947"/>
      <c r="K178" s="2270"/>
      <c r="L178" s="1945" t="s">
        <v>244</v>
      </c>
      <c r="M178" s="1946"/>
      <c r="N178" s="1946"/>
      <c r="O178" s="2270"/>
      <c r="P178" s="1945" t="s">
        <v>244</v>
      </c>
      <c r="Q178" s="1946"/>
      <c r="R178" s="1946"/>
      <c r="S178" s="2270"/>
      <c r="T178" s="1945" t="s">
        <v>235</v>
      </c>
      <c r="U178" s="1947"/>
      <c r="V178" s="1946"/>
      <c r="W178" s="2281"/>
      <c r="X178" s="1950"/>
      <c r="Y178" s="1950"/>
      <c r="Z178" s="1951"/>
      <c r="AA178" s="2282"/>
      <c r="AB178" s="1950"/>
      <c r="AC178" s="1950"/>
      <c r="AD178" s="1950"/>
      <c r="AE178" s="2271"/>
      <c r="AF178" s="1950"/>
      <c r="AG178" s="1950"/>
      <c r="AH178" s="1952"/>
      <c r="AI178" s="2272"/>
      <c r="AJ178" s="200"/>
    </row>
    <row r="179" spans="1:36" ht="22.35" customHeight="1" thickBot="1">
      <c r="A179" s="109"/>
      <c r="B179" s="1100" t="s">
        <v>247</v>
      </c>
      <c r="C179" s="1101" t="s">
        <v>127</v>
      </c>
      <c r="D179" s="2283" t="s">
        <v>244</v>
      </c>
      <c r="E179" s="2284"/>
      <c r="F179" s="1104"/>
      <c r="G179" s="1105"/>
      <c r="H179" s="2283" t="s">
        <v>244</v>
      </c>
      <c r="I179" s="2284"/>
      <c r="J179" s="1104"/>
      <c r="K179" s="1105"/>
      <c r="L179" s="2283" t="s">
        <v>244</v>
      </c>
      <c r="M179" s="2284"/>
      <c r="N179" s="2284"/>
      <c r="O179" s="1105"/>
      <c r="P179" s="2283" t="s">
        <v>244</v>
      </c>
      <c r="Q179" s="2284"/>
      <c r="R179" s="2284"/>
      <c r="S179" s="1105"/>
      <c r="T179" s="2283" t="s">
        <v>235</v>
      </c>
      <c r="U179" s="1104"/>
      <c r="V179" s="2284"/>
      <c r="W179" s="1106"/>
      <c r="X179" s="2285"/>
      <c r="Y179" s="2285"/>
      <c r="Z179" s="1108"/>
      <c r="AA179" s="2286"/>
      <c r="AB179" s="2285"/>
      <c r="AC179" s="2285"/>
      <c r="AD179" s="2285"/>
      <c r="AE179" s="1110"/>
      <c r="AF179" s="2285"/>
      <c r="AG179" s="2285"/>
      <c r="AH179" s="2287"/>
      <c r="AI179" s="1112"/>
      <c r="AJ179" s="200"/>
    </row>
    <row r="180" spans="1:36" ht="22.35" customHeight="1">
      <c r="A180" s="109"/>
      <c r="B180" s="218"/>
      <c r="C180" s="219"/>
      <c r="D180" s="220"/>
      <c r="E180" s="221"/>
      <c r="F180" s="221"/>
      <c r="G180" s="222"/>
      <c r="H180" s="220"/>
      <c r="I180" s="221"/>
      <c r="J180" s="221"/>
      <c r="K180" s="222"/>
      <c r="L180" s="220"/>
      <c r="M180" s="221"/>
      <c r="N180" s="221"/>
      <c r="O180" s="222"/>
      <c r="P180" s="210"/>
      <c r="Q180" s="221"/>
      <c r="R180" s="221"/>
      <c r="S180" s="222"/>
      <c r="T180" s="210"/>
      <c r="U180" s="221"/>
      <c r="V180" s="221"/>
      <c r="W180" s="221"/>
      <c r="X180" s="221"/>
      <c r="Y180" s="221"/>
      <c r="Z180" s="221"/>
      <c r="AA180" s="222"/>
      <c r="AB180" s="221"/>
      <c r="AC180" s="221"/>
      <c r="AD180" s="221"/>
      <c r="AE180" s="222"/>
      <c r="AF180" s="221"/>
      <c r="AG180" s="221"/>
      <c r="AH180" s="201"/>
      <c r="AI180" s="201"/>
      <c r="AJ180" s="200"/>
    </row>
    <row r="181" spans="1:36" ht="22.35" customHeight="1" thickBot="1">
      <c r="A181" s="148"/>
      <c r="B181" s="2288" t="s">
        <v>29</v>
      </c>
      <c r="C181" s="2067">
        <v>1</v>
      </c>
      <c r="D181" s="2067">
        <v>2</v>
      </c>
      <c r="E181" s="2067">
        <v>3</v>
      </c>
      <c r="F181" s="2068">
        <v>4</v>
      </c>
      <c r="G181" s="2068">
        <v>5</v>
      </c>
      <c r="H181" s="2067">
        <v>6</v>
      </c>
      <c r="I181" s="2067">
        <v>7</v>
      </c>
      <c r="J181" s="2067">
        <v>8</v>
      </c>
      <c r="K181" s="2067">
        <v>9</v>
      </c>
      <c r="L181" s="2067">
        <v>10</v>
      </c>
      <c r="M181" s="2068">
        <v>11</v>
      </c>
      <c r="N181" s="2068">
        <v>12</v>
      </c>
      <c r="O181" s="2067">
        <v>13</v>
      </c>
      <c r="P181" s="2067">
        <v>14</v>
      </c>
      <c r="Q181" s="2067">
        <v>15</v>
      </c>
      <c r="R181" s="2067">
        <v>16</v>
      </c>
      <c r="S181" s="2067">
        <v>17</v>
      </c>
      <c r="T181" s="2068">
        <v>18</v>
      </c>
      <c r="U181" s="2068">
        <v>19</v>
      </c>
      <c r="V181" s="2067">
        <v>20</v>
      </c>
      <c r="W181" s="2067">
        <v>21</v>
      </c>
      <c r="X181" s="2067">
        <v>22</v>
      </c>
      <c r="Y181" s="2067">
        <v>23</v>
      </c>
      <c r="Z181" s="2067">
        <v>24</v>
      </c>
      <c r="AA181" s="2068">
        <v>25</v>
      </c>
      <c r="AB181" s="2068">
        <v>26</v>
      </c>
      <c r="AC181" s="2067">
        <v>27</v>
      </c>
      <c r="AD181" s="2067">
        <v>28</v>
      </c>
      <c r="AE181" s="2067">
        <v>29</v>
      </c>
      <c r="AF181" s="2067">
        <v>30</v>
      </c>
      <c r="AG181" s="2069"/>
      <c r="AH181" s="183"/>
      <c r="AI181" s="177"/>
    </row>
    <row r="182" spans="1:36" ht="22.35" customHeight="1">
      <c r="A182" s="109"/>
      <c r="B182" s="318" t="s">
        <v>248</v>
      </c>
      <c r="C182" s="561" t="s">
        <v>113</v>
      </c>
      <c r="D182" s="561" t="s">
        <v>113</v>
      </c>
      <c r="E182" s="561" t="s">
        <v>113</v>
      </c>
      <c r="F182" s="561"/>
      <c r="G182" s="561"/>
      <c r="H182" s="561" t="s">
        <v>113</v>
      </c>
      <c r="I182" s="561" t="s">
        <v>113</v>
      </c>
      <c r="J182" s="561" t="s">
        <v>113</v>
      </c>
      <c r="K182" s="561" t="s">
        <v>113</v>
      </c>
      <c r="L182" s="561" t="s">
        <v>113</v>
      </c>
      <c r="M182" s="561"/>
      <c r="N182" s="561"/>
      <c r="O182" s="561" t="s">
        <v>113</v>
      </c>
      <c r="P182" s="561" t="s">
        <v>113</v>
      </c>
      <c r="Q182" s="561" t="s">
        <v>113</v>
      </c>
      <c r="R182" s="561" t="s">
        <v>113</v>
      </c>
      <c r="S182" s="561" t="s">
        <v>113</v>
      </c>
      <c r="T182" s="561"/>
      <c r="U182" s="561"/>
      <c r="V182" s="561" t="s">
        <v>113</v>
      </c>
      <c r="W182" s="561" t="s">
        <v>113</v>
      </c>
      <c r="X182" s="561" t="s">
        <v>113</v>
      </c>
      <c r="Y182" s="561" t="s">
        <v>113</v>
      </c>
      <c r="Z182" s="561" t="s">
        <v>113</v>
      </c>
      <c r="AA182" s="514"/>
      <c r="AB182" s="514"/>
      <c r="AC182" s="514" t="s">
        <v>113</v>
      </c>
      <c r="AD182" s="514" t="s">
        <v>113</v>
      </c>
      <c r="AE182" s="514" t="s">
        <v>113</v>
      </c>
      <c r="AF182" s="514" t="s">
        <v>113</v>
      </c>
      <c r="AG182" s="515"/>
      <c r="AH182" s="182"/>
      <c r="AI182" s="182"/>
    </row>
    <row r="183" spans="1:36" ht="22.35" customHeight="1">
      <c r="A183" s="109"/>
      <c r="B183" s="2289" t="s">
        <v>249</v>
      </c>
      <c r="C183" s="1965" t="s">
        <v>113</v>
      </c>
      <c r="D183" s="1965" t="s">
        <v>113</v>
      </c>
      <c r="E183" s="1965" t="s">
        <v>113</v>
      </c>
      <c r="F183" s="1965"/>
      <c r="G183" s="1965"/>
      <c r="H183" s="1965" t="s">
        <v>113</v>
      </c>
      <c r="I183" s="1965" t="s">
        <v>113</v>
      </c>
      <c r="J183" s="1965" t="s">
        <v>113</v>
      </c>
      <c r="K183" s="1965" t="s">
        <v>374</v>
      </c>
      <c r="L183" s="1965" t="s">
        <v>374</v>
      </c>
      <c r="M183" s="1965"/>
      <c r="N183" s="1965"/>
      <c r="O183" s="1965" t="s">
        <v>113</v>
      </c>
      <c r="P183" s="1965" t="s">
        <v>113</v>
      </c>
      <c r="Q183" s="1965" t="s">
        <v>113</v>
      </c>
      <c r="R183" s="1965" t="s">
        <v>375</v>
      </c>
      <c r="S183" s="1965" t="s">
        <v>113</v>
      </c>
      <c r="T183" s="1965"/>
      <c r="U183" s="1965"/>
      <c r="V183" s="1965" t="s">
        <v>113</v>
      </c>
      <c r="W183" s="1965" t="s">
        <v>374</v>
      </c>
      <c r="X183" s="1965" t="s">
        <v>374</v>
      </c>
      <c r="Y183" s="1965" t="s">
        <v>374</v>
      </c>
      <c r="Z183" s="1965" t="s">
        <v>374</v>
      </c>
      <c r="AA183" s="1965"/>
      <c r="AB183" s="1965"/>
      <c r="AC183" s="1965" t="s">
        <v>113</v>
      </c>
      <c r="AD183" s="1965" t="s">
        <v>113</v>
      </c>
      <c r="AE183" s="1965" t="s">
        <v>113</v>
      </c>
      <c r="AF183" s="1965" t="s">
        <v>113</v>
      </c>
      <c r="AG183" s="2290"/>
      <c r="AH183" s="182"/>
      <c r="AI183" s="182"/>
    </row>
    <row r="184" spans="1:36" ht="22.35" customHeight="1">
      <c r="A184" s="109"/>
      <c r="B184" s="2289" t="s">
        <v>250</v>
      </c>
      <c r="C184" s="1965" t="s">
        <v>118</v>
      </c>
      <c r="D184" s="1965" t="s">
        <v>118</v>
      </c>
      <c r="E184" s="1965" t="s">
        <v>118</v>
      </c>
      <c r="F184" s="1965"/>
      <c r="G184" s="1965"/>
      <c r="H184" s="1965" t="s">
        <v>118</v>
      </c>
      <c r="I184" s="1965" t="s">
        <v>118</v>
      </c>
      <c r="J184" s="1965" t="s">
        <v>118</v>
      </c>
      <c r="K184" s="1965" t="s">
        <v>118</v>
      </c>
      <c r="L184" s="1965" t="s">
        <v>118</v>
      </c>
      <c r="M184" s="1965"/>
      <c r="N184" s="1965"/>
      <c r="O184" s="1965" t="s">
        <v>118</v>
      </c>
      <c r="P184" s="1965" t="s">
        <v>118</v>
      </c>
      <c r="Q184" s="1965" t="s">
        <v>118</v>
      </c>
      <c r="R184" s="1965" t="s">
        <v>118</v>
      </c>
      <c r="S184" s="1965" t="s">
        <v>118</v>
      </c>
      <c r="T184" s="1965"/>
      <c r="U184" s="1965"/>
      <c r="V184" s="1965" t="s">
        <v>118</v>
      </c>
      <c r="W184" s="1965" t="s">
        <v>118</v>
      </c>
      <c r="X184" s="1965" t="s">
        <v>118</v>
      </c>
      <c r="Y184" s="615" t="s">
        <v>118</v>
      </c>
      <c r="Z184" s="615" t="s">
        <v>118</v>
      </c>
      <c r="AA184" s="1965"/>
      <c r="AB184" s="1965"/>
      <c r="AC184" s="2291" t="s">
        <v>118</v>
      </c>
      <c r="AD184" s="2291" t="s">
        <v>113</v>
      </c>
      <c r="AE184" s="2291" t="s">
        <v>113</v>
      </c>
      <c r="AF184" s="1965" t="s">
        <v>113</v>
      </c>
      <c r="AG184" s="2290"/>
      <c r="AH184" s="182"/>
      <c r="AI184" s="182"/>
    </row>
    <row r="185" spans="1:36" ht="22.35" customHeight="1">
      <c r="A185" s="109"/>
      <c r="B185" s="2289" t="s">
        <v>251</v>
      </c>
      <c r="C185" s="1965" t="s">
        <v>126</v>
      </c>
      <c r="D185" s="1965" t="s">
        <v>126</v>
      </c>
      <c r="E185" s="1965" t="s">
        <v>126</v>
      </c>
      <c r="F185" s="1965"/>
      <c r="G185" s="1965"/>
      <c r="H185" s="1965" t="s">
        <v>126</v>
      </c>
      <c r="I185" s="2292" t="s">
        <v>126</v>
      </c>
      <c r="J185" s="1965" t="s">
        <v>126</v>
      </c>
      <c r="K185" s="1965" t="s">
        <v>126</v>
      </c>
      <c r="L185" s="1965" t="s">
        <v>126</v>
      </c>
      <c r="M185" s="1965"/>
      <c r="N185" s="1965"/>
      <c r="O185" s="1965" t="s">
        <v>126</v>
      </c>
      <c r="P185" s="1965" t="s">
        <v>126</v>
      </c>
      <c r="Q185" s="1965" t="s">
        <v>126</v>
      </c>
      <c r="R185" s="1965" t="s">
        <v>126</v>
      </c>
      <c r="S185" s="1965" t="s">
        <v>126</v>
      </c>
      <c r="T185" s="1965"/>
      <c r="U185" s="1965"/>
      <c r="V185" s="1965" t="s">
        <v>126</v>
      </c>
      <c r="W185" s="1965" t="s">
        <v>126</v>
      </c>
      <c r="X185" s="1965" t="s">
        <v>126</v>
      </c>
      <c r="Y185" s="1965" t="s">
        <v>126</v>
      </c>
      <c r="Z185" s="1965" t="s">
        <v>126</v>
      </c>
      <c r="AA185" s="1965"/>
      <c r="AB185" s="615" t="s">
        <v>32</v>
      </c>
      <c r="AC185" s="1965" t="s">
        <v>126</v>
      </c>
      <c r="AD185" s="1965" t="s">
        <v>126</v>
      </c>
      <c r="AE185" s="1965" t="s">
        <v>126</v>
      </c>
      <c r="AF185" s="1965" t="s">
        <v>126</v>
      </c>
      <c r="AG185" s="2290"/>
      <c r="AH185" s="182"/>
      <c r="AI185" s="182"/>
    </row>
    <row r="186" spans="1:36" ht="22.35" customHeight="1">
      <c r="A186" s="109"/>
      <c r="B186" s="1757" t="s">
        <v>252</v>
      </c>
      <c r="C186" s="1965" t="s">
        <v>50</v>
      </c>
      <c r="D186" s="1965" t="s">
        <v>50</v>
      </c>
      <c r="E186" s="1965" t="s">
        <v>50</v>
      </c>
      <c r="F186" s="1965"/>
      <c r="G186" s="1965"/>
      <c r="H186" s="1965" t="s">
        <v>50</v>
      </c>
      <c r="I186" s="1965" t="s">
        <v>50</v>
      </c>
      <c r="J186" s="1965" t="s">
        <v>50</v>
      </c>
      <c r="K186" s="1965" t="s">
        <v>50</v>
      </c>
      <c r="L186" s="1965" t="s">
        <v>50</v>
      </c>
      <c r="M186" s="1965"/>
      <c r="N186" s="1965"/>
      <c r="O186" s="1965" t="s">
        <v>50</v>
      </c>
      <c r="P186" s="1965" t="s">
        <v>50</v>
      </c>
      <c r="Q186" s="1965" t="s">
        <v>50</v>
      </c>
      <c r="R186" s="1965" t="s">
        <v>50</v>
      </c>
      <c r="S186" s="1965" t="s">
        <v>50</v>
      </c>
      <c r="T186" s="1965"/>
      <c r="U186" s="1965"/>
      <c r="V186" s="1965" t="s">
        <v>50</v>
      </c>
      <c r="W186" s="1965" t="s">
        <v>50</v>
      </c>
      <c r="X186" s="1965" t="s">
        <v>50</v>
      </c>
      <c r="Y186" s="1965" t="s">
        <v>50</v>
      </c>
      <c r="Z186" s="1965" t="s">
        <v>50</v>
      </c>
      <c r="AA186" s="1965"/>
      <c r="AB186" s="1965"/>
      <c r="AC186" s="1965" t="s">
        <v>50</v>
      </c>
      <c r="AD186" s="1965" t="s">
        <v>50</v>
      </c>
      <c r="AE186" s="1965" t="s">
        <v>50</v>
      </c>
      <c r="AF186" s="1965" t="s">
        <v>50</v>
      </c>
      <c r="AG186" s="2290"/>
      <c r="AH186" s="182"/>
      <c r="AI186" s="182"/>
    </row>
    <row r="187" spans="1:36" ht="22.35" customHeight="1">
      <c r="A187" s="109"/>
      <c r="B187" s="1745" t="s">
        <v>0</v>
      </c>
      <c r="C187" s="1965" t="s">
        <v>115</v>
      </c>
      <c r="D187" s="1965" t="s">
        <v>115</v>
      </c>
      <c r="E187" s="1965" t="s">
        <v>115</v>
      </c>
      <c r="F187" s="1965"/>
      <c r="G187" s="1965"/>
      <c r="H187" s="1965" t="s">
        <v>115</v>
      </c>
      <c r="I187" s="1965" t="s">
        <v>115</v>
      </c>
      <c r="J187" s="1965" t="s">
        <v>115</v>
      </c>
      <c r="K187" s="1965" t="s">
        <v>115</v>
      </c>
      <c r="L187" s="1965" t="s">
        <v>115</v>
      </c>
      <c r="M187" s="1965"/>
      <c r="N187" s="1965"/>
      <c r="O187" s="1965" t="s">
        <v>115</v>
      </c>
      <c r="P187" s="1965" t="s">
        <v>115</v>
      </c>
      <c r="Q187" s="1965" t="s">
        <v>115</v>
      </c>
      <c r="R187" s="1965" t="s">
        <v>115</v>
      </c>
      <c r="S187" s="1965" t="s">
        <v>115</v>
      </c>
      <c r="T187" s="1965"/>
      <c r="U187" s="1965"/>
      <c r="V187" s="1965" t="s">
        <v>115</v>
      </c>
      <c r="W187" s="1965" t="s">
        <v>115</v>
      </c>
      <c r="X187" s="1965" t="s">
        <v>115</v>
      </c>
      <c r="Y187" s="1965" t="s">
        <v>115</v>
      </c>
      <c r="Z187" s="1965" t="s">
        <v>115</v>
      </c>
      <c r="AA187" s="1965"/>
      <c r="AB187" s="1965"/>
      <c r="AC187" s="1965" t="s">
        <v>115</v>
      </c>
      <c r="AD187" s="1965" t="s">
        <v>115</v>
      </c>
      <c r="AE187" s="1965" t="s">
        <v>115</v>
      </c>
      <c r="AF187" s="1965" t="s">
        <v>115</v>
      </c>
      <c r="AG187" s="2290"/>
      <c r="AH187" s="182"/>
      <c r="AI187" s="182"/>
    </row>
    <row r="188" spans="1:36" ht="22.35" customHeight="1">
      <c r="A188" s="109"/>
      <c r="B188" s="2289" t="s">
        <v>253</v>
      </c>
      <c r="C188" s="2293" t="s">
        <v>132</v>
      </c>
      <c r="D188" s="2293" t="s">
        <v>132</v>
      </c>
      <c r="E188" s="2293" t="s">
        <v>376</v>
      </c>
      <c r="F188" s="2294"/>
      <c r="G188" s="2294"/>
      <c r="H188" s="2294" t="s">
        <v>132</v>
      </c>
      <c r="I188" s="2294" t="s">
        <v>132</v>
      </c>
      <c r="J188" s="2294" t="s">
        <v>132</v>
      </c>
      <c r="K188" s="2294" t="s">
        <v>132</v>
      </c>
      <c r="L188" s="2294" t="s">
        <v>132</v>
      </c>
      <c r="M188" s="2294"/>
      <c r="N188" s="2294"/>
      <c r="O188" s="2294" t="s">
        <v>132</v>
      </c>
      <c r="P188" s="2294" t="s">
        <v>132</v>
      </c>
      <c r="Q188" s="2294" t="s">
        <v>132</v>
      </c>
      <c r="R188" s="2294" t="s">
        <v>132</v>
      </c>
      <c r="S188" s="2294" t="s">
        <v>132</v>
      </c>
      <c r="T188" s="2294"/>
      <c r="U188" s="2294"/>
      <c r="V188" s="2294" t="s">
        <v>132</v>
      </c>
      <c r="W188" s="2294" t="s">
        <v>132</v>
      </c>
      <c r="X188" s="2294" t="s">
        <v>132</v>
      </c>
      <c r="Y188" s="2294" t="s">
        <v>132</v>
      </c>
      <c r="Z188" s="2294" t="s">
        <v>132</v>
      </c>
      <c r="AA188" s="2294"/>
      <c r="AB188" s="2294"/>
      <c r="AC188" s="2294" t="s">
        <v>132</v>
      </c>
      <c r="AD188" s="2294" t="s">
        <v>132</v>
      </c>
      <c r="AE188" s="2294" t="s">
        <v>132</v>
      </c>
      <c r="AF188" s="2294" t="s">
        <v>132</v>
      </c>
      <c r="AG188" s="2290"/>
      <c r="AH188" s="182"/>
      <c r="AI188" s="182"/>
    </row>
    <row r="189" spans="1:36" ht="22.35" customHeight="1">
      <c r="A189" s="109"/>
      <c r="B189" s="2164" t="s">
        <v>254</v>
      </c>
      <c r="C189" s="1965" t="s">
        <v>135</v>
      </c>
      <c r="D189" s="1965" t="s">
        <v>135</v>
      </c>
      <c r="E189" s="1965" t="s">
        <v>135</v>
      </c>
      <c r="F189" s="1965"/>
      <c r="G189" s="1965"/>
      <c r="H189" s="1965" t="s">
        <v>135</v>
      </c>
      <c r="I189" s="1965" t="s">
        <v>135</v>
      </c>
      <c r="J189" s="1965" t="s">
        <v>135</v>
      </c>
      <c r="K189" s="1965" t="s">
        <v>135</v>
      </c>
      <c r="L189" s="1965" t="s">
        <v>135</v>
      </c>
      <c r="M189" s="1965"/>
      <c r="N189" s="1965"/>
      <c r="O189" s="1965" t="s">
        <v>135</v>
      </c>
      <c r="P189" s="1965" t="s">
        <v>135</v>
      </c>
      <c r="Q189" s="1965" t="s">
        <v>135</v>
      </c>
      <c r="R189" s="1965" t="s">
        <v>135</v>
      </c>
      <c r="S189" s="1965" t="s">
        <v>135</v>
      </c>
      <c r="T189" s="1965"/>
      <c r="U189" s="1965"/>
      <c r="V189" s="1965" t="s">
        <v>135</v>
      </c>
      <c r="W189" s="1965" t="s">
        <v>135</v>
      </c>
      <c r="X189" s="1965" t="s">
        <v>135</v>
      </c>
      <c r="Y189" s="1965" t="s">
        <v>135</v>
      </c>
      <c r="Z189" s="1965" t="s">
        <v>135</v>
      </c>
      <c r="AA189" s="1965"/>
      <c r="AB189" s="1965"/>
      <c r="AC189" s="2295" t="s">
        <v>135</v>
      </c>
      <c r="AD189" s="2295" t="s">
        <v>135</v>
      </c>
      <c r="AE189" s="2295" t="s">
        <v>135</v>
      </c>
      <c r="AF189" s="2291" t="s">
        <v>135</v>
      </c>
      <c r="AG189" s="2290"/>
      <c r="AH189" s="182"/>
      <c r="AI189" s="182"/>
    </row>
    <row r="190" spans="1:36" ht="22.35" customHeight="1">
      <c r="A190" s="109"/>
      <c r="B190" s="2289" t="s">
        <v>255</v>
      </c>
      <c r="C190" s="543" t="s">
        <v>52</v>
      </c>
      <c r="D190" s="543" t="s">
        <v>52</v>
      </c>
      <c r="E190" s="543" t="s">
        <v>52</v>
      </c>
      <c r="F190" s="543"/>
      <c r="G190" s="543"/>
      <c r="H190" s="522" t="s">
        <v>52</v>
      </c>
      <c r="I190" s="522" t="s">
        <v>52</v>
      </c>
      <c r="J190" s="522" t="s">
        <v>52</v>
      </c>
      <c r="K190" s="522" t="s">
        <v>52</v>
      </c>
      <c r="L190" s="522" t="s">
        <v>52</v>
      </c>
      <c r="M190" s="522"/>
      <c r="N190" s="522"/>
      <c r="O190" s="522" t="s">
        <v>52</v>
      </c>
      <c r="P190" s="522" t="s">
        <v>52</v>
      </c>
      <c r="Q190" s="522" t="s">
        <v>52</v>
      </c>
      <c r="R190" s="522" t="s">
        <v>52</v>
      </c>
      <c r="S190" s="522" t="s">
        <v>52</v>
      </c>
      <c r="T190" s="522"/>
      <c r="U190" s="522"/>
      <c r="V190" s="522" t="s">
        <v>52</v>
      </c>
      <c r="W190" s="618" t="s">
        <v>52</v>
      </c>
      <c r="X190" s="618" t="s">
        <v>52</v>
      </c>
      <c r="Y190" s="618" t="s">
        <v>256</v>
      </c>
      <c r="Z190" s="522" t="s">
        <v>52</v>
      </c>
      <c r="AA190" s="522"/>
      <c r="AB190" s="522"/>
      <c r="AC190" s="522" t="s">
        <v>52</v>
      </c>
      <c r="AD190" s="522" t="s">
        <v>52</v>
      </c>
      <c r="AE190" s="522" t="s">
        <v>52</v>
      </c>
      <c r="AF190" s="522" t="s">
        <v>52</v>
      </c>
      <c r="AG190" s="513"/>
      <c r="AH190" s="182"/>
      <c r="AI190" s="182"/>
    </row>
    <row r="191" spans="1:36" ht="22.35" customHeight="1">
      <c r="A191" s="109"/>
      <c r="B191" s="2289" t="s">
        <v>257</v>
      </c>
      <c r="C191" s="2165" t="s">
        <v>141</v>
      </c>
      <c r="D191" s="2165" t="s">
        <v>141</v>
      </c>
      <c r="E191" s="2165" t="s">
        <v>141</v>
      </c>
      <c r="F191" s="2165"/>
      <c r="G191" s="2165"/>
      <c r="H191" s="2165" t="s">
        <v>141</v>
      </c>
      <c r="I191" s="2165" t="s">
        <v>141</v>
      </c>
      <c r="J191" s="2165" t="s">
        <v>141</v>
      </c>
      <c r="K191" s="2165" t="s">
        <v>141</v>
      </c>
      <c r="L191" s="2165" t="s">
        <v>141</v>
      </c>
      <c r="M191" s="2165"/>
      <c r="N191" s="2165"/>
      <c r="O191" s="2171" t="s">
        <v>141</v>
      </c>
      <c r="P191" s="2171" t="s">
        <v>141</v>
      </c>
      <c r="Q191" s="2171" t="s">
        <v>141</v>
      </c>
      <c r="R191" s="2171" t="s">
        <v>141</v>
      </c>
      <c r="S191" s="2171" t="s">
        <v>141</v>
      </c>
      <c r="T191" s="2296"/>
      <c r="U191" s="2296"/>
      <c r="V191" s="2296" t="s">
        <v>258</v>
      </c>
      <c r="W191" s="2165" t="s">
        <v>141</v>
      </c>
      <c r="X191" s="2165" t="s">
        <v>141</v>
      </c>
      <c r="Y191" s="2165" t="s">
        <v>141</v>
      </c>
      <c r="Z191" s="2165" t="s">
        <v>141</v>
      </c>
      <c r="AA191" s="2165"/>
      <c r="AB191" s="2165"/>
      <c r="AC191" s="2165" t="s">
        <v>141</v>
      </c>
      <c r="AD191" s="2165" t="s">
        <v>141</v>
      </c>
      <c r="AE191" s="2165" t="s">
        <v>141</v>
      </c>
      <c r="AF191" s="2165" t="s">
        <v>141</v>
      </c>
      <c r="AG191" s="1838"/>
      <c r="AH191" s="182"/>
      <c r="AI191" s="182"/>
    </row>
    <row r="192" spans="1:36" ht="22.35" customHeight="1">
      <c r="A192" s="109"/>
      <c r="B192" s="2164" t="s">
        <v>259</v>
      </c>
      <c r="C192" s="2297" t="s">
        <v>124</v>
      </c>
      <c r="D192" s="2297" t="s">
        <v>124</v>
      </c>
      <c r="E192" s="2297" t="s">
        <v>124</v>
      </c>
      <c r="F192" s="2165"/>
      <c r="G192" s="2165"/>
      <c r="H192" s="2165" t="s">
        <v>124</v>
      </c>
      <c r="I192" s="2165" t="s">
        <v>124</v>
      </c>
      <c r="J192" s="2165" t="s">
        <v>124</v>
      </c>
      <c r="K192" s="2298" t="s">
        <v>124</v>
      </c>
      <c r="L192" s="2165" t="s">
        <v>124</v>
      </c>
      <c r="M192" s="2165"/>
      <c r="N192" s="2165"/>
      <c r="O192" s="2165" t="s">
        <v>124</v>
      </c>
      <c r="P192" s="2165" t="s">
        <v>124</v>
      </c>
      <c r="Q192" s="2165" t="s">
        <v>124</v>
      </c>
      <c r="R192" s="2165" t="s">
        <v>124</v>
      </c>
      <c r="S192" s="2165" t="s">
        <v>124</v>
      </c>
      <c r="T192" s="2165"/>
      <c r="U192" s="2165"/>
      <c r="V192" s="2299" t="s">
        <v>124</v>
      </c>
      <c r="W192" s="2165" t="s">
        <v>124</v>
      </c>
      <c r="X192" s="2165" t="s">
        <v>124</v>
      </c>
      <c r="Y192" s="2165" t="s">
        <v>124</v>
      </c>
      <c r="Z192" s="2165" t="s">
        <v>124</v>
      </c>
      <c r="AA192" s="2165"/>
      <c r="AB192" s="2165"/>
      <c r="AC192" s="2165" t="s">
        <v>124</v>
      </c>
      <c r="AD192" s="2165" t="s">
        <v>124</v>
      </c>
      <c r="AE192" s="2165" t="s">
        <v>124</v>
      </c>
      <c r="AF192" s="2165" t="s">
        <v>124</v>
      </c>
      <c r="AG192" s="1838"/>
      <c r="AH192" s="182"/>
      <c r="AI192" s="182"/>
    </row>
    <row r="193" spans="1:35" ht="22.35" customHeight="1">
      <c r="A193" s="109"/>
      <c r="B193" s="2289" t="s">
        <v>261</v>
      </c>
      <c r="C193" s="1747" t="s">
        <v>242</v>
      </c>
      <c r="D193" s="1747" t="s">
        <v>242</v>
      </c>
      <c r="E193" s="1747" t="s">
        <v>242</v>
      </c>
      <c r="F193" s="1747"/>
      <c r="G193" s="1747"/>
      <c r="H193" s="2165" t="s">
        <v>242</v>
      </c>
      <c r="I193" s="2165" t="s">
        <v>242</v>
      </c>
      <c r="J193" s="2165" t="s">
        <v>242</v>
      </c>
      <c r="K193" s="2165" t="s">
        <v>242</v>
      </c>
      <c r="L193" s="2165" t="s">
        <v>242</v>
      </c>
      <c r="M193" s="2165"/>
      <c r="N193" s="2165"/>
      <c r="O193" s="2165" t="s">
        <v>242</v>
      </c>
      <c r="P193" s="2165" t="s">
        <v>242</v>
      </c>
      <c r="Q193" s="2165" t="s">
        <v>242</v>
      </c>
      <c r="R193" s="2165" t="s">
        <v>242</v>
      </c>
      <c r="S193" s="2165" t="s">
        <v>242</v>
      </c>
      <c r="T193" s="2165"/>
      <c r="U193" s="2165"/>
      <c r="V193" s="2165" t="s">
        <v>242</v>
      </c>
      <c r="W193" s="2165" t="s">
        <v>242</v>
      </c>
      <c r="X193" s="2165" t="s">
        <v>242</v>
      </c>
      <c r="Y193" s="2165" t="s">
        <v>242</v>
      </c>
      <c r="Z193" s="2165" t="s">
        <v>242</v>
      </c>
      <c r="AA193" s="2165"/>
      <c r="AB193" s="2165"/>
      <c r="AC193" s="2165" t="s">
        <v>242</v>
      </c>
      <c r="AD193" s="2165" t="s">
        <v>242</v>
      </c>
      <c r="AE193" s="2165" t="s">
        <v>242</v>
      </c>
      <c r="AF193" s="2165" t="s">
        <v>242</v>
      </c>
      <c r="AG193" s="1838"/>
      <c r="AH193" s="182"/>
      <c r="AI193" s="182"/>
    </row>
    <row r="194" spans="1:35" ht="22.35" customHeight="1">
      <c r="A194" s="109"/>
      <c r="B194" s="2164"/>
      <c r="C194" s="2165" t="s">
        <v>122</v>
      </c>
      <c r="D194" s="2165" t="s">
        <v>122</v>
      </c>
      <c r="E194" s="2165" t="s">
        <v>122</v>
      </c>
      <c r="F194" s="2165"/>
      <c r="G194" s="2165"/>
      <c r="H194" s="2165" t="s">
        <v>122</v>
      </c>
      <c r="I194" s="2165" t="s">
        <v>122</v>
      </c>
      <c r="J194" s="2165" t="s">
        <v>122</v>
      </c>
      <c r="K194" s="2165" t="s">
        <v>122</v>
      </c>
      <c r="L194" s="2165" t="s">
        <v>122</v>
      </c>
      <c r="M194" s="2165"/>
      <c r="N194" s="2165"/>
      <c r="O194" s="2165" t="s">
        <v>122</v>
      </c>
      <c r="P194" s="2165" t="s">
        <v>122</v>
      </c>
      <c r="Q194" s="2165" t="s">
        <v>122</v>
      </c>
      <c r="R194" s="2165" t="s">
        <v>122</v>
      </c>
      <c r="S194" s="2165" t="s">
        <v>122</v>
      </c>
      <c r="T194" s="2165"/>
      <c r="U194" s="2165"/>
      <c r="V194" s="2165" t="s">
        <v>122</v>
      </c>
      <c r="W194" s="2165" t="s">
        <v>122</v>
      </c>
      <c r="X194" s="2165" t="s">
        <v>122</v>
      </c>
      <c r="Y194" s="2165" t="s">
        <v>122</v>
      </c>
      <c r="Z194" s="2165" t="s">
        <v>122</v>
      </c>
      <c r="AA194" s="2165"/>
      <c r="AB194" s="2165"/>
      <c r="AC194" s="2165" t="s">
        <v>122</v>
      </c>
      <c r="AD194" s="2165" t="s">
        <v>122</v>
      </c>
      <c r="AE194" s="2165" t="s">
        <v>122</v>
      </c>
      <c r="AF194" s="2165" t="s">
        <v>122</v>
      </c>
      <c r="AG194" s="1838"/>
      <c r="AH194" s="182"/>
      <c r="AI194" s="182"/>
    </row>
    <row r="195" spans="1:35" ht="22.35" customHeight="1">
      <c r="A195" s="109"/>
      <c r="B195" s="2164" t="s">
        <v>262</v>
      </c>
      <c r="C195" s="2165" t="s">
        <v>246</v>
      </c>
      <c r="D195" s="2165" t="s">
        <v>246</v>
      </c>
      <c r="E195" s="2165" t="s">
        <v>246</v>
      </c>
      <c r="F195" s="2165"/>
      <c r="G195" s="2165"/>
      <c r="H195" s="2165" t="s">
        <v>246</v>
      </c>
      <c r="I195" s="2165" t="s">
        <v>246</v>
      </c>
      <c r="J195" s="2165" t="s">
        <v>246</v>
      </c>
      <c r="K195" s="2165" t="s">
        <v>246</v>
      </c>
      <c r="L195" s="2165" t="s">
        <v>246</v>
      </c>
      <c r="M195" s="2165"/>
      <c r="N195" s="2165"/>
      <c r="O195" s="2165" t="s">
        <v>246</v>
      </c>
      <c r="P195" s="2165" t="s">
        <v>246</v>
      </c>
      <c r="Q195" s="2165" t="s">
        <v>246</v>
      </c>
      <c r="R195" s="2165" t="s">
        <v>246</v>
      </c>
      <c r="S195" s="2165" t="s">
        <v>246</v>
      </c>
      <c r="T195" s="2165"/>
      <c r="U195" s="2165"/>
      <c r="V195" s="2297" t="s">
        <v>246</v>
      </c>
      <c r="W195" s="2297" t="s">
        <v>246</v>
      </c>
      <c r="X195" s="2297" t="s">
        <v>246</v>
      </c>
      <c r="Y195" s="2297" t="s">
        <v>246</v>
      </c>
      <c r="Z195" s="2297" t="s">
        <v>246</v>
      </c>
      <c r="AA195" s="2165"/>
      <c r="AB195" s="2165"/>
      <c r="AC195" s="2165" t="s">
        <v>246</v>
      </c>
      <c r="AD195" s="2165" t="s">
        <v>246</v>
      </c>
      <c r="AE195" s="2165" t="s">
        <v>246</v>
      </c>
      <c r="AF195" s="2165" t="s">
        <v>246</v>
      </c>
      <c r="AG195" s="1838"/>
      <c r="AH195" s="107"/>
      <c r="AI195" s="107"/>
    </row>
    <row r="196" spans="1:35" ht="21" customHeight="1" thickBot="1">
      <c r="A196" s="148"/>
      <c r="B196" s="2189" t="s">
        <v>263</v>
      </c>
      <c r="C196" s="2300" t="s">
        <v>127</v>
      </c>
      <c r="D196" s="2300" t="s">
        <v>127</v>
      </c>
      <c r="E196" s="2300" t="s">
        <v>264</v>
      </c>
      <c r="F196" s="2193"/>
      <c r="G196" s="2193"/>
      <c r="H196" s="2193" t="s">
        <v>127</v>
      </c>
      <c r="I196" s="2193" t="s">
        <v>127</v>
      </c>
      <c r="J196" s="2193" t="s">
        <v>127</v>
      </c>
      <c r="K196" s="2193" t="s">
        <v>127</v>
      </c>
      <c r="L196" s="2193" t="s">
        <v>127</v>
      </c>
      <c r="M196" s="2193"/>
      <c r="N196" s="2193"/>
      <c r="O196" s="2193" t="s">
        <v>127</v>
      </c>
      <c r="P196" s="2193" t="s">
        <v>127</v>
      </c>
      <c r="Q196" s="2193" t="s">
        <v>127</v>
      </c>
      <c r="R196" s="2193" t="s">
        <v>127</v>
      </c>
      <c r="S196" s="2193" t="s">
        <v>127</v>
      </c>
      <c r="T196" s="2193"/>
      <c r="U196" s="2193"/>
      <c r="V196" s="2193" t="s">
        <v>127</v>
      </c>
      <c r="W196" s="2193" t="s">
        <v>127</v>
      </c>
      <c r="X196" s="2193" t="s">
        <v>127</v>
      </c>
      <c r="Y196" s="2193" t="s">
        <v>127</v>
      </c>
      <c r="Z196" s="2193" t="s">
        <v>374</v>
      </c>
      <c r="AA196" s="2193"/>
      <c r="AB196" s="2193"/>
      <c r="AC196" s="2193" t="s">
        <v>127</v>
      </c>
      <c r="AD196" s="1072" t="s">
        <v>127</v>
      </c>
      <c r="AE196" s="1072" t="s">
        <v>127</v>
      </c>
      <c r="AF196" s="1072" t="s">
        <v>127</v>
      </c>
      <c r="AG196" s="1074"/>
      <c r="AH196" s="115"/>
    </row>
    <row r="197" spans="1:35" ht="21" customHeight="1">
      <c r="A197" s="148"/>
      <c r="B197" s="229"/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  <c r="M197" s="228"/>
      <c r="N197" s="228"/>
      <c r="O197" s="228"/>
      <c r="P197" s="228"/>
      <c r="Q197" s="228"/>
      <c r="R197" s="228"/>
      <c r="S197" s="228"/>
      <c r="T197" s="228"/>
      <c r="U197" s="228"/>
      <c r="V197" s="228"/>
      <c r="W197" s="228"/>
      <c r="X197" s="228"/>
      <c r="Y197" s="228"/>
      <c r="Z197" s="228"/>
      <c r="AA197" s="228"/>
      <c r="AB197" s="228"/>
      <c r="AC197" s="228"/>
      <c r="AD197" s="228"/>
      <c r="AE197" s="228"/>
      <c r="AF197" s="228"/>
      <c r="AG197" s="228"/>
      <c r="AH197" s="115"/>
    </row>
    <row r="198" spans="1:35" ht="22.35" customHeight="1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35" customHeight="1" thickBot="1">
      <c r="A199" s="1" t="s">
        <v>265</v>
      </c>
      <c r="B199" s="59"/>
    </row>
    <row r="200" spans="1:35" ht="22.35" customHeight="1">
      <c r="A200" s="1"/>
      <c r="B200" s="2301" t="s">
        <v>266</v>
      </c>
      <c r="C200" s="391" t="s">
        <v>94</v>
      </c>
      <c r="D200" s="391"/>
      <c r="E200" s="391"/>
      <c r="F200" s="391"/>
      <c r="G200" s="392" t="s">
        <v>95</v>
      </c>
      <c r="H200" s="391"/>
      <c r="I200" s="391"/>
      <c r="J200" s="391"/>
      <c r="K200" s="392" t="s">
        <v>96</v>
      </c>
      <c r="L200" s="391"/>
      <c r="M200" s="391"/>
      <c r="N200" s="391"/>
      <c r="O200" s="392" t="s">
        <v>97</v>
      </c>
      <c r="P200" s="391"/>
      <c r="Q200" s="391"/>
      <c r="R200" s="391"/>
      <c r="S200" s="392" t="s">
        <v>98</v>
      </c>
      <c r="T200" s="391"/>
      <c r="U200" s="391"/>
      <c r="V200" s="391"/>
      <c r="W200" s="393" t="s">
        <v>99</v>
      </c>
      <c r="X200" s="357"/>
      <c r="Y200" s="391"/>
      <c r="Z200" s="394"/>
      <c r="AA200" s="393" t="s">
        <v>100</v>
      </c>
      <c r="AB200" s="357"/>
      <c r="AC200" s="391"/>
      <c r="AD200" s="394"/>
      <c r="AE200" s="395" t="s">
        <v>101</v>
      </c>
      <c r="AF200" s="391"/>
      <c r="AG200" s="391"/>
      <c r="AH200" s="391"/>
      <c r="AI200" s="358"/>
    </row>
    <row r="201" spans="1:35" ht="22.35" customHeight="1">
      <c r="A201" s="1"/>
      <c r="B201" s="2302">
        <v>3701</v>
      </c>
      <c r="C201" s="110" t="s">
        <v>267</v>
      </c>
      <c r="D201" s="110"/>
      <c r="E201" s="110"/>
      <c r="F201" s="110"/>
      <c r="G201" s="675" t="s">
        <v>268</v>
      </c>
      <c r="H201" s="110"/>
      <c r="I201" s="110"/>
      <c r="J201" s="110"/>
      <c r="K201" s="675" t="s">
        <v>268</v>
      </c>
      <c r="L201" s="110"/>
      <c r="M201" s="110"/>
      <c r="N201" s="110"/>
      <c r="O201" s="675" t="s">
        <v>268</v>
      </c>
      <c r="P201" s="110"/>
      <c r="Q201" s="110"/>
      <c r="R201" s="110"/>
      <c r="S201" s="675" t="s">
        <v>269</v>
      </c>
      <c r="T201" s="110"/>
      <c r="U201" s="110"/>
      <c r="V201" s="110"/>
      <c r="W201" s="2303"/>
      <c r="X201" s="2304"/>
      <c r="Y201" s="2102"/>
      <c r="Z201" s="2305"/>
      <c r="AA201" s="2303"/>
      <c r="AB201" s="2304"/>
      <c r="AC201" s="2102"/>
      <c r="AD201" s="2305"/>
      <c r="AE201" s="2222"/>
      <c r="AF201" s="2102"/>
      <c r="AG201" s="2102"/>
      <c r="AH201" s="2102"/>
      <c r="AI201" s="2058"/>
    </row>
    <row r="202" spans="1:35" ht="22.35" customHeight="1">
      <c r="B202" s="2301">
        <v>3700</v>
      </c>
      <c r="C202" s="2102" t="s">
        <v>170</v>
      </c>
      <c r="D202" s="2102"/>
      <c r="E202" s="2102"/>
      <c r="F202" s="2102"/>
      <c r="G202" s="2306" t="s">
        <v>170</v>
      </c>
      <c r="H202" s="2102"/>
      <c r="I202" s="2102"/>
      <c r="J202" s="2102"/>
      <c r="K202" s="2306" t="s">
        <v>170</v>
      </c>
      <c r="L202" s="2102"/>
      <c r="M202" s="2102"/>
      <c r="N202" s="2102"/>
      <c r="O202" s="2306" t="s">
        <v>170</v>
      </c>
      <c r="P202" s="2102"/>
      <c r="Q202" s="2102"/>
      <c r="R202" s="2102"/>
      <c r="S202" s="2306" t="s">
        <v>171</v>
      </c>
      <c r="T202" s="2102"/>
      <c r="U202" s="2102"/>
      <c r="V202" s="2102"/>
      <c r="W202" s="2102"/>
      <c r="X202" s="2306"/>
      <c r="Y202" s="2102"/>
      <c r="Z202" s="2224"/>
      <c r="AA202" s="2222"/>
      <c r="AB202" s="2102"/>
      <c r="AC202" s="2102"/>
      <c r="AD202" s="2152"/>
      <c r="AE202" s="2307"/>
      <c r="AF202" s="2102"/>
      <c r="AG202" s="2102"/>
      <c r="AH202" s="2152"/>
      <c r="AI202" s="2058"/>
    </row>
    <row r="203" spans="1:35" ht="22.35" customHeight="1">
      <c r="A203" s="1"/>
      <c r="B203" s="2301">
        <v>8514</v>
      </c>
      <c r="C203" s="2102" t="s">
        <v>268</v>
      </c>
      <c r="D203" s="2102"/>
      <c r="E203" s="2102"/>
      <c r="F203" s="2102"/>
      <c r="G203" s="2306" t="s">
        <v>268</v>
      </c>
      <c r="H203" s="2102"/>
      <c r="I203" s="2102"/>
      <c r="J203" s="2102"/>
      <c r="K203" s="2306" t="s">
        <v>268</v>
      </c>
      <c r="L203" s="2102"/>
      <c r="M203" s="2102"/>
      <c r="N203" s="2102"/>
      <c r="O203" s="2306" t="s">
        <v>268</v>
      </c>
      <c r="P203" s="2102"/>
      <c r="Q203" s="2102"/>
      <c r="R203" s="2102"/>
      <c r="S203" s="2306" t="s">
        <v>270</v>
      </c>
      <c r="T203" s="2102"/>
      <c r="U203" s="2102"/>
      <c r="V203" s="2102"/>
      <c r="W203" s="2102"/>
      <c r="X203" s="2306"/>
      <c r="Y203" s="2102"/>
      <c r="Z203" s="2224"/>
      <c r="AA203" s="2151"/>
      <c r="AB203" s="2102"/>
      <c r="AC203" s="2102"/>
      <c r="AD203" s="2152"/>
      <c r="AE203" s="2151"/>
      <c r="AF203" s="2102"/>
      <c r="AG203" s="2102"/>
      <c r="AH203" s="2152"/>
      <c r="AI203" s="2058"/>
    </row>
    <row r="204" spans="1:35" ht="22.35" customHeight="1">
      <c r="A204" s="1"/>
      <c r="B204" s="2301">
        <v>8500</v>
      </c>
      <c r="C204" s="165" t="s">
        <v>271</v>
      </c>
      <c r="D204" s="165"/>
      <c r="E204" s="165"/>
      <c r="F204" s="165"/>
      <c r="G204" s="166" t="s">
        <v>271</v>
      </c>
      <c r="H204" s="165"/>
      <c r="I204" s="165"/>
      <c r="J204" s="165"/>
      <c r="K204" s="166" t="s">
        <v>271</v>
      </c>
      <c r="L204" s="165"/>
      <c r="M204" s="165"/>
      <c r="N204" s="165"/>
      <c r="O204" s="166" t="s">
        <v>271</v>
      </c>
      <c r="P204" s="165"/>
      <c r="Q204" s="165"/>
      <c r="R204" s="165"/>
      <c r="S204" s="166" t="s">
        <v>272</v>
      </c>
      <c r="T204" s="165"/>
      <c r="U204" s="165"/>
      <c r="V204" s="165"/>
      <c r="W204" s="165"/>
      <c r="X204" s="166"/>
      <c r="Y204" s="165"/>
      <c r="Z204" s="121"/>
      <c r="AA204" s="120"/>
      <c r="AB204" s="165"/>
      <c r="AC204" s="165"/>
      <c r="AD204" s="121"/>
      <c r="AE204" s="120"/>
      <c r="AF204" s="165"/>
      <c r="AG204" s="165"/>
      <c r="AH204" s="113"/>
      <c r="AI204" s="119"/>
    </row>
    <row r="205" spans="1:35" ht="22.35" customHeight="1">
      <c r="A205" s="1"/>
      <c r="B205" s="2301">
        <v>8514</v>
      </c>
      <c r="C205" s="168" t="s">
        <v>268</v>
      </c>
      <c r="D205" s="168"/>
      <c r="E205" s="168"/>
      <c r="F205" s="168"/>
      <c r="G205" s="169" t="s">
        <v>268</v>
      </c>
      <c r="H205" s="168"/>
      <c r="I205" s="168"/>
      <c r="J205" s="168"/>
      <c r="K205" s="169" t="s">
        <v>268</v>
      </c>
      <c r="L205" s="168"/>
      <c r="M205" s="168"/>
      <c r="N205" s="168"/>
      <c r="O205" s="169" t="s">
        <v>268</v>
      </c>
      <c r="P205" s="168"/>
      <c r="Q205" s="168"/>
      <c r="R205" s="168"/>
      <c r="S205" s="169" t="s">
        <v>270</v>
      </c>
      <c r="T205" s="168"/>
      <c r="U205" s="168"/>
      <c r="V205" s="168"/>
      <c r="W205" s="168"/>
      <c r="X205" s="149"/>
      <c r="Y205" s="165"/>
      <c r="Z205" s="167"/>
      <c r="AA205" s="156"/>
      <c r="AB205" s="117"/>
      <c r="AC205" s="165"/>
      <c r="AD205" s="165"/>
      <c r="AE205" s="118"/>
      <c r="AF205" s="165"/>
      <c r="AG205" s="165"/>
      <c r="AH205" s="165"/>
      <c r="AI205" s="119"/>
    </row>
    <row r="206" spans="1:35" ht="22.35" customHeight="1" thickBot="1">
      <c r="A206" s="1"/>
      <c r="B206" s="2308" t="s">
        <v>273</v>
      </c>
      <c r="C206" s="2109" t="s">
        <v>274</v>
      </c>
      <c r="D206" s="2109"/>
      <c r="E206" s="2109"/>
      <c r="F206" s="2109"/>
      <c r="G206" s="2309" t="s">
        <v>274</v>
      </c>
      <c r="H206" s="2109"/>
      <c r="I206" s="2109"/>
      <c r="J206" s="2109"/>
      <c r="K206" s="2310" t="s">
        <v>274</v>
      </c>
      <c r="L206" s="2109"/>
      <c r="M206" s="2109"/>
      <c r="N206" s="2109"/>
      <c r="O206" s="2309" t="s">
        <v>274</v>
      </c>
      <c r="P206" s="2109"/>
      <c r="Q206" s="2109"/>
      <c r="R206" s="2109"/>
      <c r="S206" s="2309" t="s">
        <v>275</v>
      </c>
      <c r="T206" s="2109"/>
      <c r="U206" s="2109"/>
      <c r="V206" s="2109"/>
      <c r="W206" s="2109"/>
      <c r="X206" s="2309"/>
      <c r="Y206" s="2109"/>
      <c r="Z206" s="2256"/>
      <c r="AA206" s="2235"/>
      <c r="AB206" s="2109"/>
      <c r="AC206" s="2109"/>
      <c r="AD206" s="2242"/>
      <c r="AE206" s="2311"/>
      <c r="AF206" s="2109"/>
      <c r="AG206" s="2109"/>
      <c r="AH206" s="2242"/>
      <c r="AI206" s="2112"/>
    </row>
    <row r="207" spans="1:35" ht="22.35" customHeight="1">
      <c r="A207" s="1"/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>
      <c r="A208" s="1" t="s">
        <v>276</v>
      </c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thickBot="1">
      <c r="A209" s="2198"/>
      <c r="B209" s="2114" t="s">
        <v>29</v>
      </c>
      <c r="C209" s="2067">
        <v>1</v>
      </c>
      <c r="D209" s="2067">
        <v>2</v>
      </c>
      <c r="E209" s="2067">
        <v>3</v>
      </c>
      <c r="F209" s="2068">
        <v>4</v>
      </c>
      <c r="G209" s="2068">
        <v>5</v>
      </c>
      <c r="H209" s="2067">
        <v>6</v>
      </c>
      <c r="I209" s="2067">
        <v>7</v>
      </c>
      <c r="J209" s="2067">
        <v>8</v>
      </c>
      <c r="K209" s="2067">
        <v>9</v>
      </c>
      <c r="L209" s="2067">
        <v>10</v>
      </c>
      <c r="M209" s="2068">
        <v>11</v>
      </c>
      <c r="N209" s="2068">
        <v>12</v>
      </c>
      <c r="O209" s="2067">
        <v>13</v>
      </c>
      <c r="P209" s="2067">
        <v>14</v>
      </c>
      <c r="Q209" s="2067">
        <v>15</v>
      </c>
      <c r="R209" s="2067">
        <v>16</v>
      </c>
      <c r="S209" s="2067">
        <v>17</v>
      </c>
      <c r="T209" s="2068">
        <v>18</v>
      </c>
      <c r="U209" s="2068">
        <v>19</v>
      </c>
      <c r="V209" s="2067">
        <v>20</v>
      </c>
      <c r="W209" s="2067">
        <v>21</v>
      </c>
      <c r="X209" s="2067">
        <v>22</v>
      </c>
      <c r="Y209" s="2067">
        <v>23</v>
      </c>
      <c r="Z209" s="2067">
        <v>24</v>
      </c>
      <c r="AA209" s="2068">
        <v>25</v>
      </c>
      <c r="AB209" s="2068">
        <v>26</v>
      </c>
      <c r="AC209" s="2067">
        <v>27</v>
      </c>
      <c r="AD209" s="2067">
        <v>28</v>
      </c>
      <c r="AE209" s="2067">
        <v>29</v>
      </c>
      <c r="AF209" s="2067">
        <v>30</v>
      </c>
      <c r="AG209" s="2069"/>
      <c r="AH209" s="176"/>
      <c r="AI209" s="177"/>
    </row>
    <row r="210" spans="1:35" ht="22.35" customHeight="1">
      <c r="A210" s="249"/>
      <c r="B210" s="540" t="s">
        <v>277</v>
      </c>
      <c r="C210" s="1748" t="s">
        <v>32</v>
      </c>
      <c r="D210" s="1748" t="s">
        <v>32</v>
      </c>
      <c r="E210" s="1748" t="s">
        <v>32</v>
      </c>
      <c r="F210" s="1748"/>
      <c r="G210" s="1748"/>
      <c r="H210" s="1748" t="s">
        <v>32</v>
      </c>
      <c r="I210" s="1748" t="s">
        <v>32</v>
      </c>
      <c r="J210" s="1748" t="s">
        <v>32</v>
      </c>
      <c r="K210" s="1748" t="s">
        <v>32</v>
      </c>
      <c r="L210" s="1748" t="s">
        <v>32</v>
      </c>
      <c r="M210" s="1748"/>
      <c r="N210" s="1748"/>
      <c r="O210" s="1748" t="s">
        <v>32</v>
      </c>
      <c r="P210" s="1748" t="s">
        <v>32</v>
      </c>
      <c r="Q210" s="1748" t="s">
        <v>32</v>
      </c>
      <c r="R210" s="1748" t="s">
        <v>32</v>
      </c>
      <c r="S210" s="1748" t="s">
        <v>32</v>
      </c>
      <c r="T210" s="1748"/>
      <c r="U210" s="1748"/>
      <c r="V210" s="1748" t="s">
        <v>32</v>
      </c>
      <c r="W210" s="1748" t="s">
        <v>32</v>
      </c>
      <c r="X210" s="1748" t="s">
        <v>32</v>
      </c>
      <c r="Y210" s="1748" t="s">
        <v>32</v>
      </c>
      <c r="Z210" s="1748" t="s">
        <v>32</v>
      </c>
      <c r="AA210" s="1748"/>
      <c r="AB210" s="1748"/>
      <c r="AC210" s="1748" t="s">
        <v>32</v>
      </c>
      <c r="AD210" s="1748" t="s">
        <v>32</v>
      </c>
      <c r="AE210" s="1748" t="s">
        <v>32</v>
      </c>
      <c r="AF210" s="1748" t="s">
        <v>32</v>
      </c>
      <c r="AG210" s="234"/>
      <c r="AH210" s="176"/>
      <c r="AI210" s="177"/>
    </row>
    <row r="211" spans="1:35" ht="22.35" customHeight="1">
      <c r="A211" s="2312"/>
      <c r="B211" s="2313" t="s">
        <v>279</v>
      </c>
      <c r="C211" s="1748" t="s">
        <v>32</v>
      </c>
      <c r="D211" s="1748" t="s">
        <v>32</v>
      </c>
      <c r="E211" s="1748" t="s">
        <v>32</v>
      </c>
      <c r="F211" s="1748"/>
      <c r="G211" s="1748"/>
      <c r="H211" s="1748" t="s">
        <v>32</v>
      </c>
      <c r="I211" s="1748" t="s">
        <v>32</v>
      </c>
      <c r="J211" s="1748" t="s">
        <v>32</v>
      </c>
      <c r="K211" s="1748" t="s">
        <v>32</v>
      </c>
      <c r="L211" s="1748" t="s">
        <v>32</v>
      </c>
      <c r="M211" s="1748"/>
      <c r="N211" s="1748"/>
      <c r="O211" s="1748" t="s">
        <v>32</v>
      </c>
      <c r="P211" s="1748" t="s">
        <v>32</v>
      </c>
      <c r="Q211" s="1748" t="s">
        <v>32</v>
      </c>
      <c r="R211" s="1748" t="s">
        <v>32</v>
      </c>
      <c r="S211" s="1748" t="s">
        <v>32</v>
      </c>
      <c r="T211" s="1748"/>
      <c r="U211" s="1748"/>
      <c r="V211" s="1748" t="s">
        <v>32</v>
      </c>
      <c r="W211" s="1748" t="s">
        <v>32</v>
      </c>
      <c r="X211" s="1748" t="s">
        <v>32</v>
      </c>
      <c r="Y211" s="1748" t="s">
        <v>32</v>
      </c>
      <c r="Z211" s="1748" t="s">
        <v>32</v>
      </c>
      <c r="AA211" s="1748"/>
      <c r="AB211" s="1748"/>
      <c r="AC211" s="1748" t="s">
        <v>32</v>
      </c>
      <c r="AD211" s="1748" t="s">
        <v>32</v>
      </c>
      <c r="AE211" s="1748" t="s">
        <v>32</v>
      </c>
      <c r="AF211" s="1748" t="s">
        <v>32</v>
      </c>
      <c r="AG211" s="2314"/>
      <c r="AH211" s="176"/>
      <c r="AI211" s="177"/>
    </row>
    <row r="212" spans="1:35" ht="22.35" customHeight="1">
      <c r="A212" s="2315">
        <v>8514</v>
      </c>
      <c r="B212" s="2316" t="s">
        <v>280</v>
      </c>
      <c r="C212" s="1748" t="s">
        <v>32</v>
      </c>
      <c r="D212" s="2261" t="s">
        <v>32</v>
      </c>
      <c r="E212" s="1748" t="s">
        <v>32</v>
      </c>
      <c r="F212" s="1748"/>
      <c r="G212" s="1748"/>
      <c r="H212" s="1748" t="s">
        <v>32</v>
      </c>
      <c r="I212" s="1748" t="s">
        <v>32</v>
      </c>
      <c r="J212" s="1748" t="s">
        <v>32</v>
      </c>
      <c r="K212" s="1748" t="s">
        <v>32</v>
      </c>
      <c r="L212" s="1748" t="s">
        <v>32</v>
      </c>
      <c r="M212" s="1748"/>
      <c r="N212" s="1748"/>
      <c r="O212" s="1748" t="s">
        <v>32</v>
      </c>
      <c r="P212" s="1748" t="s">
        <v>32</v>
      </c>
      <c r="Q212" s="1748" t="s">
        <v>32</v>
      </c>
      <c r="R212" s="1748" t="s">
        <v>32</v>
      </c>
      <c r="S212" s="1748" t="s">
        <v>32</v>
      </c>
      <c r="T212" s="1748"/>
      <c r="U212" s="1748"/>
      <c r="V212" s="2261" t="s">
        <v>32</v>
      </c>
      <c r="W212" s="1748" t="s">
        <v>32</v>
      </c>
      <c r="X212" s="1748" t="s">
        <v>32</v>
      </c>
      <c r="Y212" s="1748" t="s">
        <v>32</v>
      </c>
      <c r="Z212" s="1748" t="s">
        <v>32</v>
      </c>
      <c r="AA212" s="1748"/>
      <c r="AB212" s="1748"/>
      <c r="AC212" s="1748" t="s">
        <v>32</v>
      </c>
      <c r="AD212" s="1748" t="s">
        <v>32</v>
      </c>
      <c r="AE212" s="1748" t="s">
        <v>32</v>
      </c>
      <c r="AF212" s="1748" t="s">
        <v>32</v>
      </c>
      <c r="AG212" s="2314"/>
      <c r="AH212" s="181"/>
      <c r="AI212" s="182"/>
    </row>
    <row r="213" spans="1:35" ht="21" customHeight="1">
      <c r="A213" s="2315">
        <v>3701</v>
      </c>
      <c r="B213" s="2317" t="s">
        <v>281</v>
      </c>
      <c r="C213" s="1748" t="s">
        <v>32</v>
      </c>
      <c r="D213" s="1748" t="s">
        <v>32</v>
      </c>
      <c r="E213" s="1748" t="s">
        <v>32</v>
      </c>
      <c r="F213" s="1748"/>
      <c r="G213" s="1748"/>
      <c r="H213" s="1748" t="s">
        <v>32</v>
      </c>
      <c r="I213" s="1748" t="s">
        <v>32</v>
      </c>
      <c r="J213" s="1748" t="s">
        <v>32</v>
      </c>
      <c r="K213" s="1748" t="s">
        <v>32</v>
      </c>
      <c r="L213" s="1748" t="s">
        <v>32</v>
      </c>
      <c r="M213" s="1748"/>
      <c r="N213" s="1748"/>
      <c r="O213" s="1748" t="s">
        <v>32</v>
      </c>
      <c r="P213" s="1748" t="s">
        <v>32</v>
      </c>
      <c r="Q213" s="1748" t="s">
        <v>32</v>
      </c>
      <c r="R213" s="1748" t="s">
        <v>32</v>
      </c>
      <c r="S213" s="1748" t="s">
        <v>32</v>
      </c>
      <c r="T213" s="1748"/>
      <c r="U213" s="1748"/>
      <c r="V213" s="1748" t="s">
        <v>32</v>
      </c>
      <c r="W213" s="1748" t="s">
        <v>32</v>
      </c>
      <c r="X213" s="1748" t="s">
        <v>32</v>
      </c>
      <c r="Y213" s="1748" t="s">
        <v>32</v>
      </c>
      <c r="Z213" s="1748" t="s">
        <v>32</v>
      </c>
      <c r="AA213" s="1748"/>
      <c r="AB213" s="1748"/>
      <c r="AC213" s="1748" t="s">
        <v>32</v>
      </c>
      <c r="AD213" s="1748" t="s">
        <v>32</v>
      </c>
      <c r="AE213" s="1748" t="s">
        <v>32</v>
      </c>
      <c r="AF213" s="1748" t="s">
        <v>32</v>
      </c>
      <c r="AG213" s="2314"/>
      <c r="AH213" s="181"/>
      <c r="AI213" s="182"/>
    </row>
    <row r="214" spans="1:35" ht="21" customHeight="1">
      <c r="A214" s="2315">
        <v>3701</v>
      </c>
      <c r="B214" s="1757" t="s">
        <v>282</v>
      </c>
      <c r="C214" s="1748" t="s">
        <v>32</v>
      </c>
      <c r="D214" s="1748" t="s">
        <v>32</v>
      </c>
      <c r="E214" s="1748" t="s">
        <v>32</v>
      </c>
      <c r="F214" s="1748"/>
      <c r="G214" s="1748"/>
      <c r="H214" s="1740" t="s">
        <v>32</v>
      </c>
      <c r="I214" s="1740" t="s">
        <v>32</v>
      </c>
      <c r="J214" s="1748" t="s">
        <v>32</v>
      </c>
      <c r="K214" s="1748" t="s">
        <v>32</v>
      </c>
      <c r="L214" s="1748" t="s">
        <v>32</v>
      </c>
      <c r="M214" s="1748"/>
      <c r="N214" s="1748"/>
      <c r="O214" s="1740" t="s">
        <v>32</v>
      </c>
      <c r="P214" s="1740" t="s">
        <v>32</v>
      </c>
      <c r="Q214" s="1748" t="s">
        <v>32</v>
      </c>
      <c r="R214" s="1748" t="s">
        <v>32</v>
      </c>
      <c r="S214" s="1748" t="s">
        <v>32</v>
      </c>
      <c r="T214" s="1748"/>
      <c r="U214" s="1748"/>
      <c r="V214" s="1748" t="s">
        <v>32</v>
      </c>
      <c r="W214" s="1748" t="s">
        <v>32</v>
      </c>
      <c r="X214" s="2261" t="s">
        <v>32</v>
      </c>
      <c r="Y214" s="1748" t="s">
        <v>32</v>
      </c>
      <c r="Z214" s="1748" t="s">
        <v>32</v>
      </c>
      <c r="AA214" s="1748"/>
      <c r="AB214" s="1748"/>
      <c r="AC214" s="1748" t="s">
        <v>32</v>
      </c>
      <c r="AD214" s="1748" t="s">
        <v>32</v>
      </c>
      <c r="AE214" s="1748" t="s">
        <v>32</v>
      </c>
      <c r="AF214" s="2318" t="s">
        <v>32</v>
      </c>
      <c r="AG214" s="2314"/>
      <c r="AH214" s="181"/>
      <c r="AI214" s="182"/>
    </row>
    <row r="215" spans="1:35" ht="21" customHeight="1">
      <c r="A215" s="2315">
        <v>3701</v>
      </c>
      <c r="B215" s="1757" t="s">
        <v>283</v>
      </c>
      <c r="C215" s="1748" t="s">
        <v>32</v>
      </c>
      <c r="D215" s="1748" t="s">
        <v>32</v>
      </c>
      <c r="E215" s="2171" t="s">
        <v>32</v>
      </c>
      <c r="F215" s="2171"/>
      <c r="G215" s="2171" t="s">
        <v>315</v>
      </c>
      <c r="H215" s="1742" t="s">
        <v>32</v>
      </c>
      <c r="I215" s="2319" t="s">
        <v>32</v>
      </c>
      <c r="J215" s="1748" t="s">
        <v>32</v>
      </c>
      <c r="K215" s="2261" t="s">
        <v>32</v>
      </c>
      <c r="L215" s="2261" t="s">
        <v>32</v>
      </c>
      <c r="M215" s="2261"/>
      <c r="N215" s="2261"/>
      <c r="O215" s="2261" t="s">
        <v>32</v>
      </c>
      <c r="P215" s="1748" t="s">
        <v>32</v>
      </c>
      <c r="Q215" s="1748" t="s">
        <v>32</v>
      </c>
      <c r="R215" s="1748" t="s">
        <v>32</v>
      </c>
      <c r="S215" s="1748" t="s">
        <v>32</v>
      </c>
      <c r="T215" s="1748"/>
      <c r="U215" s="1748"/>
      <c r="V215" s="1748" t="s">
        <v>32</v>
      </c>
      <c r="W215" s="1748" t="s">
        <v>32</v>
      </c>
      <c r="X215" s="1748" t="s">
        <v>32</v>
      </c>
      <c r="Y215" s="1748" t="s">
        <v>32</v>
      </c>
      <c r="Z215" s="1748" t="s">
        <v>32</v>
      </c>
      <c r="AA215" s="1748"/>
      <c r="AB215" s="1748"/>
      <c r="AC215" s="1748" t="s">
        <v>32</v>
      </c>
      <c r="AD215" s="1748" t="s">
        <v>32</v>
      </c>
      <c r="AE215" s="1748" t="s">
        <v>32</v>
      </c>
      <c r="AF215" s="1748" t="s">
        <v>32</v>
      </c>
      <c r="AG215" s="2314"/>
      <c r="AH215" s="181"/>
      <c r="AI215" s="182"/>
    </row>
    <row r="216" spans="1:35" ht="21" customHeight="1">
      <c r="A216" s="2315">
        <v>3701</v>
      </c>
      <c r="B216" s="2317" t="s">
        <v>284</v>
      </c>
      <c r="C216" s="1748" t="s">
        <v>32</v>
      </c>
      <c r="D216" s="1748" t="s">
        <v>32</v>
      </c>
      <c r="E216" s="1748" t="s">
        <v>32</v>
      </c>
      <c r="F216" s="1748"/>
      <c r="G216" s="1748"/>
      <c r="H216" s="1748" t="s">
        <v>32</v>
      </c>
      <c r="I216" s="1748" t="s">
        <v>32</v>
      </c>
      <c r="J216" s="1748" t="s">
        <v>32</v>
      </c>
      <c r="K216" s="1748" t="s">
        <v>32</v>
      </c>
      <c r="L216" s="1748" t="s">
        <v>32</v>
      </c>
      <c r="M216" s="1748"/>
      <c r="N216" s="1748"/>
      <c r="O216" s="1748" t="s">
        <v>32</v>
      </c>
      <c r="P216" s="1748" t="s">
        <v>32</v>
      </c>
      <c r="Q216" s="1748" t="s">
        <v>32</v>
      </c>
      <c r="R216" s="1748" t="s">
        <v>32</v>
      </c>
      <c r="S216" s="1748" t="s">
        <v>32</v>
      </c>
      <c r="T216" s="1748"/>
      <c r="U216" s="1748"/>
      <c r="V216" s="1748" t="s">
        <v>32</v>
      </c>
      <c r="W216" s="1748" t="s">
        <v>32</v>
      </c>
      <c r="X216" s="1748" t="s">
        <v>32</v>
      </c>
      <c r="Y216" s="1748" t="s">
        <v>32</v>
      </c>
      <c r="Z216" s="1748" t="s">
        <v>32</v>
      </c>
      <c r="AA216" s="1748"/>
      <c r="AB216" s="1748"/>
      <c r="AC216" s="1748" t="s">
        <v>32</v>
      </c>
      <c r="AD216" s="1748" t="s">
        <v>32</v>
      </c>
      <c r="AE216" s="1748" t="s">
        <v>32</v>
      </c>
      <c r="AF216" s="1748" t="s">
        <v>32</v>
      </c>
      <c r="AG216" s="2314"/>
      <c r="AH216" s="181"/>
      <c r="AI216" s="182"/>
    </row>
    <row r="217" spans="1:35" ht="22.35" customHeight="1">
      <c r="A217" s="2315">
        <v>3701</v>
      </c>
      <c r="B217" s="1757" t="s">
        <v>285</v>
      </c>
      <c r="C217" s="1748" t="s">
        <v>32</v>
      </c>
      <c r="D217" s="1748" t="s">
        <v>32</v>
      </c>
      <c r="E217" s="1748" t="s">
        <v>32</v>
      </c>
      <c r="F217" s="1748"/>
      <c r="G217" s="1748"/>
      <c r="H217" s="1748" t="s">
        <v>32</v>
      </c>
      <c r="I217" s="1748" t="s">
        <v>32</v>
      </c>
      <c r="J217" s="1748" t="s">
        <v>32</v>
      </c>
      <c r="K217" s="1748" t="s">
        <v>32</v>
      </c>
      <c r="L217" s="1748" t="s">
        <v>32</v>
      </c>
      <c r="M217" s="1748"/>
      <c r="N217" s="1748"/>
      <c r="O217" s="1748" t="s">
        <v>32</v>
      </c>
      <c r="P217" s="1748" t="s">
        <v>32</v>
      </c>
      <c r="Q217" s="1748" t="s">
        <v>32</v>
      </c>
      <c r="R217" s="1748" t="s">
        <v>32</v>
      </c>
      <c r="S217" s="1748" t="s">
        <v>32</v>
      </c>
      <c r="T217" s="1748"/>
      <c r="U217" s="1748"/>
      <c r="V217" s="1748" t="s">
        <v>32</v>
      </c>
      <c r="W217" s="1748" t="s">
        <v>32</v>
      </c>
      <c r="X217" s="1748" t="s">
        <v>32</v>
      </c>
      <c r="Y217" s="739" t="s">
        <v>32</v>
      </c>
      <c r="Z217" s="1748" t="s">
        <v>32</v>
      </c>
      <c r="AA217" s="1748"/>
      <c r="AB217" s="1748"/>
      <c r="AC217" s="1748" t="s">
        <v>32</v>
      </c>
      <c r="AD217" s="1748" t="s">
        <v>32</v>
      </c>
      <c r="AE217" s="1748" t="s">
        <v>32</v>
      </c>
      <c r="AF217" s="1748" t="s">
        <v>32</v>
      </c>
      <c r="AG217" s="2314"/>
      <c r="AH217" s="181"/>
      <c r="AI217" s="182"/>
    </row>
    <row r="218" spans="1:35" ht="22.35" customHeight="1" thickBot="1">
      <c r="A218" s="2315">
        <v>3701</v>
      </c>
      <c r="B218" s="1757" t="s">
        <v>286</v>
      </c>
      <c r="C218" s="1747" t="s">
        <v>32</v>
      </c>
      <c r="D218" s="1747" t="s">
        <v>32</v>
      </c>
      <c r="E218" s="1747" t="s">
        <v>32</v>
      </c>
      <c r="F218" s="1747"/>
      <c r="G218" s="1747"/>
      <c r="H218" s="1748" t="s">
        <v>32</v>
      </c>
      <c r="I218" s="1748" t="s">
        <v>32</v>
      </c>
      <c r="J218" s="1748" t="s">
        <v>32</v>
      </c>
      <c r="K218" s="1748" t="s">
        <v>32</v>
      </c>
      <c r="L218" s="1748" t="s">
        <v>32</v>
      </c>
      <c r="M218" s="1748"/>
      <c r="N218" s="1748"/>
      <c r="O218" s="1748" t="s">
        <v>32</v>
      </c>
      <c r="P218" s="1748" t="s">
        <v>32</v>
      </c>
      <c r="Q218" s="1748" t="s">
        <v>32</v>
      </c>
      <c r="R218" s="1748" t="s">
        <v>32</v>
      </c>
      <c r="S218" s="1748" t="s">
        <v>32</v>
      </c>
      <c r="T218" s="1748"/>
      <c r="U218" s="1748"/>
      <c r="V218" s="1748" t="s">
        <v>32</v>
      </c>
      <c r="W218" s="1748" t="s">
        <v>32</v>
      </c>
      <c r="X218" s="1748" t="s">
        <v>32</v>
      </c>
      <c r="Y218" s="1748" t="s">
        <v>32</v>
      </c>
      <c r="Z218" s="1748" t="s">
        <v>32</v>
      </c>
      <c r="AA218" s="1748"/>
      <c r="AB218" s="1748"/>
      <c r="AC218" s="1748" t="s">
        <v>32</v>
      </c>
      <c r="AD218" s="1748" t="s">
        <v>32</v>
      </c>
      <c r="AE218" s="1748" t="s">
        <v>32</v>
      </c>
      <c r="AF218" s="1748" t="s">
        <v>32</v>
      </c>
      <c r="AG218" s="2314"/>
      <c r="AH218" s="181"/>
      <c r="AI218" s="182"/>
    </row>
    <row r="219" spans="1:35" ht="22.35" customHeight="1">
      <c r="A219" s="2315">
        <v>3701</v>
      </c>
      <c r="B219" s="1757" t="s">
        <v>287</v>
      </c>
      <c r="C219" s="1748" t="s">
        <v>32</v>
      </c>
      <c r="D219" s="1748" t="s">
        <v>32</v>
      </c>
      <c r="E219" s="1748" t="s">
        <v>32</v>
      </c>
      <c r="F219" s="1748"/>
      <c r="G219" s="1748"/>
      <c r="H219" s="1747" t="s">
        <v>32</v>
      </c>
      <c r="I219" s="1747" t="s">
        <v>32</v>
      </c>
      <c r="J219" s="1747" t="s">
        <v>32</v>
      </c>
      <c r="K219" s="1748" t="s">
        <v>32</v>
      </c>
      <c r="L219" s="1748" t="s">
        <v>32</v>
      </c>
      <c r="M219" s="1748"/>
      <c r="N219" s="1748"/>
      <c r="O219" s="1748" t="s">
        <v>32</v>
      </c>
      <c r="P219" s="1748" t="s">
        <v>32</v>
      </c>
      <c r="Q219" s="1748" t="s">
        <v>32</v>
      </c>
      <c r="R219" s="1748" t="s">
        <v>32</v>
      </c>
      <c r="S219" s="1748" t="s">
        <v>32</v>
      </c>
      <c r="T219" s="1748"/>
      <c r="U219" s="1748"/>
      <c r="V219" s="1748" t="s">
        <v>32</v>
      </c>
      <c r="W219" s="1748" t="s">
        <v>32</v>
      </c>
      <c r="X219" s="1748" t="s">
        <v>32</v>
      </c>
      <c r="Y219" s="1748" t="s">
        <v>32</v>
      </c>
      <c r="Z219" s="1748" t="s">
        <v>32</v>
      </c>
      <c r="AA219" s="1748"/>
      <c r="AB219" s="1748"/>
      <c r="AC219" s="1748" t="s">
        <v>32</v>
      </c>
      <c r="AD219" s="1748" t="s">
        <v>32</v>
      </c>
      <c r="AE219" s="1748" t="s">
        <v>32</v>
      </c>
      <c r="AF219" s="1748" t="s">
        <v>32</v>
      </c>
      <c r="AG219" s="234"/>
      <c r="AH219" s="181"/>
      <c r="AI219" s="182"/>
    </row>
    <row r="220" spans="1:35" ht="22.35" customHeight="1">
      <c r="A220" s="2320">
        <v>3701</v>
      </c>
      <c r="B220" s="1757" t="s">
        <v>288</v>
      </c>
      <c r="C220" s="1748" t="s">
        <v>32</v>
      </c>
      <c r="D220" s="1748" t="s">
        <v>32</v>
      </c>
      <c r="E220" s="1748" t="s">
        <v>32</v>
      </c>
      <c r="F220" s="1748"/>
      <c r="G220" s="1748"/>
      <c r="H220" s="2321" t="s">
        <v>32</v>
      </c>
      <c r="I220" s="2321" t="s">
        <v>32</v>
      </c>
      <c r="J220" s="2321" t="s">
        <v>32</v>
      </c>
      <c r="K220" s="2171" t="s">
        <v>32</v>
      </c>
      <c r="L220" s="2171" t="s">
        <v>32</v>
      </c>
      <c r="M220" s="2171"/>
      <c r="N220" s="2171" t="s">
        <v>315</v>
      </c>
      <c r="O220" s="1742" t="s">
        <v>32</v>
      </c>
      <c r="P220" s="1748" t="s">
        <v>32</v>
      </c>
      <c r="Q220" s="1748" t="s">
        <v>32</v>
      </c>
      <c r="R220" s="1748" t="s">
        <v>32</v>
      </c>
      <c r="S220" s="1748" t="s">
        <v>32</v>
      </c>
      <c r="T220" s="1748"/>
      <c r="U220" s="1748"/>
      <c r="V220" s="1748" t="s">
        <v>32</v>
      </c>
      <c r="W220" s="1748" t="s">
        <v>32</v>
      </c>
      <c r="X220" s="1748" t="s">
        <v>32</v>
      </c>
      <c r="Y220" s="1748" t="s">
        <v>32</v>
      </c>
      <c r="Z220" s="1748" t="s">
        <v>32</v>
      </c>
      <c r="AA220" s="1748"/>
      <c r="AB220" s="1748"/>
      <c r="AC220" s="1748" t="s">
        <v>32</v>
      </c>
      <c r="AD220" s="1748" t="s">
        <v>32</v>
      </c>
      <c r="AE220" s="1748" t="s">
        <v>32</v>
      </c>
      <c r="AF220" s="1748" t="s">
        <v>32</v>
      </c>
      <c r="AG220" s="2314"/>
      <c r="AH220" s="181"/>
      <c r="AI220" s="182"/>
    </row>
    <row r="221" spans="1:35" ht="22.35" customHeight="1">
      <c r="A221" s="2315">
        <v>3701</v>
      </c>
      <c r="B221" s="1757" t="s">
        <v>289</v>
      </c>
      <c r="C221" s="1748" t="s">
        <v>32</v>
      </c>
      <c r="D221" s="1748" t="s">
        <v>32</v>
      </c>
      <c r="E221" s="1748" t="s">
        <v>32</v>
      </c>
      <c r="F221" s="1748"/>
      <c r="G221" s="1748"/>
      <c r="H221" s="1748" t="s">
        <v>32</v>
      </c>
      <c r="I221" s="1748" t="s">
        <v>32</v>
      </c>
      <c r="J221" s="1748" t="s">
        <v>32</v>
      </c>
      <c r="K221" s="1748" t="s">
        <v>32</v>
      </c>
      <c r="L221" s="1748" t="s">
        <v>32</v>
      </c>
      <c r="M221" s="1748"/>
      <c r="N221" s="1748"/>
      <c r="O221" s="1748" t="s">
        <v>32</v>
      </c>
      <c r="P221" s="1748" t="s">
        <v>32</v>
      </c>
      <c r="Q221" s="1748" t="s">
        <v>32</v>
      </c>
      <c r="R221" s="2171" t="s">
        <v>278</v>
      </c>
      <c r="S221" s="1742" t="s">
        <v>32</v>
      </c>
      <c r="T221" s="1742"/>
      <c r="U221" s="1742"/>
      <c r="V221" s="1742" t="s">
        <v>32</v>
      </c>
      <c r="W221" s="1742" t="s">
        <v>32</v>
      </c>
      <c r="X221" s="1748" t="s">
        <v>32</v>
      </c>
      <c r="Y221" s="1748" t="s">
        <v>32</v>
      </c>
      <c r="Z221" s="1748" t="s">
        <v>32</v>
      </c>
      <c r="AA221" s="1748"/>
      <c r="AB221" s="1748"/>
      <c r="AC221" s="1748" t="s">
        <v>32</v>
      </c>
      <c r="AD221" s="2171" t="s">
        <v>32</v>
      </c>
      <c r="AE221" s="2171" t="s">
        <v>32</v>
      </c>
      <c r="AF221" s="2171" t="s">
        <v>32</v>
      </c>
      <c r="AG221" s="2322"/>
      <c r="AH221" s="181"/>
      <c r="AI221" s="182"/>
    </row>
    <row r="222" spans="1:35" ht="22.35" customHeight="1" thickBot="1">
      <c r="A222" s="2315">
        <v>3701</v>
      </c>
      <c r="B222" s="1757" t="s">
        <v>290</v>
      </c>
      <c r="C222" s="1748" t="s">
        <v>32</v>
      </c>
      <c r="D222" s="1748" t="s">
        <v>32</v>
      </c>
      <c r="E222" s="1748" t="s">
        <v>32</v>
      </c>
      <c r="F222" s="1748"/>
      <c r="G222" s="1748"/>
      <c r="H222" s="1748" t="s">
        <v>32</v>
      </c>
      <c r="I222" s="1748" t="s">
        <v>32</v>
      </c>
      <c r="J222" s="1748" t="s">
        <v>32</v>
      </c>
      <c r="K222" s="2323" t="s">
        <v>32</v>
      </c>
      <c r="L222" s="1748" t="s">
        <v>32</v>
      </c>
      <c r="M222" s="1748"/>
      <c r="N222" s="1748"/>
      <c r="O222" s="1748" t="s">
        <v>32</v>
      </c>
      <c r="P222" s="1748" t="s">
        <v>32</v>
      </c>
      <c r="Q222" s="1748" t="s">
        <v>32</v>
      </c>
      <c r="R222" s="1748" t="s">
        <v>32</v>
      </c>
      <c r="S222" s="1748" t="s">
        <v>32</v>
      </c>
      <c r="T222" s="1748"/>
      <c r="U222" s="1748"/>
      <c r="V222" s="1748" t="s">
        <v>32</v>
      </c>
      <c r="W222" s="1748" t="s">
        <v>32</v>
      </c>
      <c r="X222" s="1748" t="s">
        <v>32</v>
      </c>
      <c r="Y222" s="2323" t="s">
        <v>32</v>
      </c>
      <c r="Z222" s="1748" t="s">
        <v>32</v>
      </c>
      <c r="AA222" s="1748"/>
      <c r="AB222" s="1748"/>
      <c r="AC222" s="1748" t="s">
        <v>32</v>
      </c>
      <c r="AD222" s="2171" t="s">
        <v>32</v>
      </c>
      <c r="AE222" s="2171" t="s">
        <v>32</v>
      </c>
      <c r="AF222" s="2171" t="s">
        <v>32</v>
      </c>
      <c r="AG222" s="2322"/>
      <c r="AH222" s="181"/>
      <c r="AI222" s="182"/>
    </row>
    <row r="223" spans="1:35" ht="22.35" customHeight="1">
      <c r="A223" s="2315"/>
      <c r="B223" s="1757" t="s">
        <v>291</v>
      </c>
      <c r="C223" s="1748" t="s">
        <v>32</v>
      </c>
      <c r="D223" s="1748" t="s">
        <v>32</v>
      </c>
      <c r="E223" s="1748" t="s">
        <v>32</v>
      </c>
      <c r="F223" s="1748"/>
      <c r="G223" s="1748"/>
      <c r="H223" s="1748" t="s">
        <v>32</v>
      </c>
      <c r="I223" s="1748" t="s">
        <v>32</v>
      </c>
      <c r="J223" s="1748" t="s">
        <v>32</v>
      </c>
      <c r="K223" s="1748" t="s">
        <v>32</v>
      </c>
      <c r="L223" s="1748" t="s">
        <v>32</v>
      </c>
      <c r="M223" s="1748"/>
      <c r="N223" s="1748"/>
      <c r="O223" s="2171" t="s">
        <v>32</v>
      </c>
      <c r="P223" s="2171" t="s">
        <v>32</v>
      </c>
      <c r="Q223" s="2171" t="s">
        <v>278</v>
      </c>
      <c r="R223" s="1742" t="s">
        <v>32</v>
      </c>
      <c r="S223" s="1748" t="s">
        <v>32</v>
      </c>
      <c r="T223" s="1748"/>
      <c r="U223" s="1748"/>
      <c r="V223" s="1748" t="s">
        <v>32</v>
      </c>
      <c r="W223" s="1748" t="s">
        <v>32</v>
      </c>
      <c r="X223" s="1748" t="s">
        <v>32</v>
      </c>
      <c r="Y223" s="1748" t="s">
        <v>32</v>
      </c>
      <c r="Z223" s="1748" t="s">
        <v>32</v>
      </c>
      <c r="AA223" s="1748"/>
      <c r="AB223" s="1748"/>
      <c r="AC223" s="1748" t="s">
        <v>32</v>
      </c>
      <c r="AD223" s="1748" t="s">
        <v>32</v>
      </c>
      <c r="AE223" s="1748" t="s">
        <v>32</v>
      </c>
      <c r="AF223" s="1748" t="s">
        <v>32</v>
      </c>
      <c r="AG223" s="234"/>
      <c r="AH223" s="181"/>
      <c r="AI223" s="182"/>
    </row>
    <row r="224" spans="1:35" ht="22.35" customHeight="1">
      <c r="A224" s="2315"/>
      <c r="B224" s="1757"/>
      <c r="C224" s="1748" t="s">
        <v>32</v>
      </c>
      <c r="D224" s="1748" t="s">
        <v>32</v>
      </c>
      <c r="E224" s="1748" t="s">
        <v>32</v>
      </c>
      <c r="F224" s="1748"/>
      <c r="G224" s="1748"/>
      <c r="H224" s="1748" t="s">
        <v>32</v>
      </c>
      <c r="I224" s="1748" t="s">
        <v>32</v>
      </c>
      <c r="J224" s="1748" t="s">
        <v>32</v>
      </c>
      <c r="K224" s="1748" t="s">
        <v>32</v>
      </c>
      <c r="L224" s="1748" t="s">
        <v>32</v>
      </c>
      <c r="M224" s="1748"/>
      <c r="N224" s="1748"/>
      <c r="O224" s="1748" t="s">
        <v>32</v>
      </c>
      <c r="P224" s="1748" t="s">
        <v>32</v>
      </c>
      <c r="Q224" s="1748" t="s">
        <v>32</v>
      </c>
      <c r="R224" s="1748" t="s">
        <v>32</v>
      </c>
      <c r="S224" s="1748" t="s">
        <v>32</v>
      </c>
      <c r="T224" s="1748"/>
      <c r="U224" s="1748"/>
      <c r="V224" s="1748" t="s">
        <v>32</v>
      </c>
      <c r="W224" s="1748" t="s">
        <v>32</v>
      </c>
      <c r="X224" s="1748" t="s">
        <v>32</v>
      </c>
      <c r="Y224" s="1748" t="s">
        <v>32</v>
      </c>
      <c r="Z224" s="1748" t="s">
        <v>32</v>
      </c>
      <c r="AA224" s="1748"/>
      <c r="AB224" s="1748"/>
      <c r="AC224" s="1748" t="s">
        <v>32</v>
      </c>
      <c r="AD224" s="1748" t="s">
        <v>32</v>
      </c>
      <c r="AE224" s="1748" t="s">
        <v>32</v>
      </c>
      <c r="AF224" s="1748" t="s">
        <v>32</v>
      </c>
      <c r="AG224" s="2314"/>
      <c r="AH224" s="181"/>
      <c r="AI224" s="182"/>
    </row>
    <row r="225" spans="1:35" ht="22.35" customHeight="1">
      <c r="A225" s="2315"/>
      <c r="B225" s="2317" t="s">
        <v>293</v>
      </c>
      <c r="C225" s="1748" t="s">
        <v>32</v>
      </c>
      <c r="D225" s="1748" t="s">
        <v>32</v>
      </c>
      <c r="E225" s="1748" t="s">
        <v>32</v>
      </c>
      <c r="F225" s="1748"/>
      <c r="G225" s="1748"/>
      <c r="H225" s="1748" t="s">
        <v>32</v>
      </c>
      <c r="I225" s="1748" t="s">
        <v>32</v>
      </c>
      <c r="J225" s="1748" t="s">
        <v>32</v>
      </c>
      <c r="K225" s="1748" t="s">
        <v>32</v>
      </c>
      <c r="L225" s="1748" t="s">
        <v>32</v>
      </c>
      <c r="M225" s="1748"/>
      <c r="N225" s="1748"/>
      <c r="O225" s="1748" t="s">
        <v>32</v>
      </c>
      <c r="P225" s="1748" t="s">
        <v>32</v>
      </c>
      <c r="Q225" s="1748" t="s">
        <v>32</v>
      </c>
      <c r="R225" s="1748" t="s">
        <v>32</v>
      </c>
      <c r="S225" s="1748" t="s">
        <v>32</v>
      </c>
      <c r="T225" s="1748"/>
      <c r="U225" s="1748"/>
      <c r="V225" s="1748" t="s">
        <v>32</v>
      </c>
      <c r="W225" s="1748" t="s">
        <v>32</v>
      </c>
      <c r="X225" s="1748" t="s">
        <v>32</v>
      </c>
      <c r="Y225" s="1748" t="s">
        <v>32</v>
      </c>
      <c r="Z225" s="1748" t="s">
        <v>32</v>
      </c>
      <c r="AA225" s="1748"/>
      <c r="AB225" s="1748"/>
      <c r="AC225" s="1748" t="s">
        <v>32</v>
      </c>
      <c r="AD225" s="1748" t="s">
        <v>32</v>
      </c>
      <c r="AE225" s="1748" t="s">
        <v>32</v>
      </c>
      <c r="AF225" s="1748" t="s">
        <v>32</v>
      </c>
      <c r="AG225" s="2314"/>
      <c r="AH225" s="181"/>
      <c r="AI225" s="182"/>
    </row>
    <row r="226" spans="1:35" ht="22.35" customHeight="1">
      <c r="A226" s="2315"/>
      <c r="B226" s="1757" t="s">
        <v>294</v>
      </c>
      <c r="C226" s="2324" t="s">
        <v>32</v>
      </c>
      <c r="D226" s="2324" t="s">
        <v>32</v>
      </c>
      <c r="E226" s="2324" t="s">
        <v>32</v>
      </c>
      <c r="F226" s="2324"/>
      <c r="G226" s="2324"/>
      <c r="H226" s="2324" t="s">
        <v>32</v>
      </c>
      <c r="I226" s="2324" t="s">
        <v>32</v>
      </c>
      <c r="J226" s="2324" t="s">
        <v>32</v>
      </c>
      <c r="K226" s="2324" t="s">
        <v>32</v>
      </c>
      <c r="L226" s="2324" t="s">
        <v>32</v>
      </c>
      <c r="M226" s="2324"/>
      <c r="N226" s="2324"/>
      <c r="O226" s="2324" t="s">
        <v>32</v>
      </c>
      <c r="P226" s="2324" t="s">
        <v>32</v>
      </c>
      <c r="Q226" s="2324" t="s">
        <v>32</v>
      </c>
      <c r="R226" s="2324" t="s">
        <v>32</v>
      </c>
      <c r="S226" s="2324" t="s">
        <v>32</v>
      </c>
      <c r="T226" s="2324"/>
      <c r="U226" s="2324"/>
      <c r="V226" s="2324" t="s">
        <v>32</v>
      </c>
      <c r="W226" s="2324" t="s">
        <v>32</v>
      </c>
      <c r="X226" s="2324" t="s">
        <v>32</v>
      </c>
      <c r="Y226" s="2324" t="s">
        <v>32</v>
      </c>
      <c r="Z226" s="2324" t="s">
        <v>32</v>
      </c>
      <c r="AA226" s="2324"/>
      <c r="AB226" s="2324"/>
      <c r="AC226" s="2324" t="s">
        <v>32</v>
      </c>
      <c r="AD226" s="2324" t="s">
        <v>32</v>
      </c>
      <c r="AE226" s="2324" t="s">
        <v>32</v>
      </c>
      <c r="AF226" s="2324" t="s">
        <v>32</v>
      </c>
      <c r="AG226" s="2325"/>
      <c r="AH226" s="181"/>
      <c r="AI226" s="182"/>
    </row>
    <row r="227" spans="1:35" ht="22.35" customHeight="1" thickBot="1">
      <c r="A227" s="2315"/>
      <c r="B227" s="1757" t="s">
        <v>295</v>
      </c>
      <c r="C227" s="1748" t="s">
        <v>32</v>
      </c>
      <c r="D227" s="1748" t="s">
        <v>32</v>
      </c>
      <c r="E227" s="1748" t="s">
        <v>32</v>
      </c>
      <c r="F227" s="1748"/>
      <c r="G227" s="1748"/>
      <c r="H227" s="1748" t="s">
        <v>32</v>
      </c>
      <c r="I227" s="1748" t="s">
        <v>32</v>
      </c>
      <c r="J227" s="1748" t="s">
        <v>32</v>
      </c>
      <c r="K227" s="1748" t="s">
        <v>32</v>
      </c>
      <c r="L227" s="1748" t="s">
        <v>32</v>
      </c>
      <c r="M227" s="1748"/>
      <c r="N227" s="1748"/>
      <c r="O227" s="1748" t="s">
        <v>32</v>
      </c>
      <c r="P227" s="1748" t="s">
        <v>32</v>
      </c>
      <c r="Q227" s="1748" t="s">
        <v>32</v>
      </c>
      <c r="R227" s="1748" t="s">
        <v>32</v>
      </c>
      <c r="S227" s="1748" t="s">
        <v>32</v>
      </c>
      <c r="T227" s="1748"/>
      <c r="U227" s="1748"/>
      <c r="V227" s="1747" t="s">
        <v>32</v>
      </c>
      <c r="W227" s="1747" t="s">
        <v>32</v>
      </c>
      <c r="X227" s="1747" t="s">
        <v>32</v>
      </c>
      <c r="Y227" s="1747" t="s">
        <v>32</v>
      </c>
      <c r="Z227" s="1747" t="s">
        <v>32</v>
      </c>
      <c r="AA227" s="1747"/>
      <c r="AB227" s="1747"/>
      <c r="AC227" s="2318" t="s">
        <v>32</v>
      </c>
      <c r="AD227" s="2318" t="s">
        <v>32</v>
      </c>
      <c r="AE227" s="2318" t="s">
        <v>32</v>
      </c>
      <c r="AF227" s="2318" t="s">
        <v>32</v>
      </c>
      <c r="AG227" s="2326"/>
      <c r="AH227" s="181"/>
      <c r="AI227" s="182"/>
    </row>
    <row r="228" spans="1:35" ht="22.35" customHeight="1" thickBot="1">
      <c r="A228" s="2315"/>
      <c r="B228" s="1757" t="s">
        <v>296</v>
      </c>
      <c r="C228" s="1747" t="s">
        <v>32</v>
      </c>
      <c r="D228" s="1747" t="s">
        <v>32</v>
      </c>
      <c r="E228" s="1747" t="s">
        <v>32</v>
      </c>
      <c r="F228" s="1747"/>
      <c r="G228" s="1747"/>
      <c r="H228" s="1747" t="s">
        <v>32</v>
      </c>
      <c r="I228" s="1747" t="s">
        <v>32</v>
      </c>
      <c r="J228" s="1747" t="s">
        <v>32</v>
      </c>
      <c r="K228" s="1747" t="s">
        <v>32</v>
      </c>
      <c r="L228" s="1747" t="s">
        <v>32</v>
      </c>
      <c r="M228" s="1747"/>
      <c r="N228" s="1747"/>
      <c r="O228" s="1747" t="s">
        <v>32</v>
      </c>
      <c r="P228" s="1747" t="s">
        <v>32</v>
      </c>
      <c r="Q228" s="1747" t="s">
        <v>32</v>
      </c>
      <c r="R228" s="1748" t="s">
        <v>32</v>
      </c>
      <c r="S228" s="1748" t="s">
        <v>32</v>
      </c>
      <c r="T228" s="1748"/>
      <c r="U228" s="1748"/>
      <c r="V228" s="1748" t="s">
        <v>32</v>
      </c>
      <c r="W228" s="1748" t="s">
        <v>32</v>
      </c>
      <c r="X228" s="1748" t="s">
        <v>32</v>
      </c>
      <c r="Y228" s="1748" t="s">
        <v>32</v>
      </c>
      <c r="Z228" s="1748" t="s">
        <v>32</v>
      </c>
      <c r="AA228" s="1748"/>
      <c r="AB228" s="1748"/>
      <c r="AC228" s="1748" t="s">
        <v>32</v>
      </c>
      <c r="AD228" s="1748" t="s">
        <v>32</v>
      </c>
      <c r="AE228" s="1748" t="s">
        <v>32</v>
      </c>
      <c r="AF228" s="1748" t="s">
        <v>32</v>
      </c>
      <c r="AG228" s="234"/>
      <c r="AH228" s="178"/>
      <c r="AI228" s="107"/>
    </row>
    <row r="229" spans="1:35" ht="22.35" customHeight="1">
      <c r="A229" s="2315"/>
      <c r="B229" s="1757" t="s">
        <v>297</v>
      </c>
      <c r="C229" s="1748" t="s">
        <v>32</v>
      </c>
      <c r="D229" s="1748" t="s">
        <v>32</v>
      </c>
      <c r="E229" s="1748" t="s">
        <v>32</v>
      </c>
      <c r="F229" s="1748"/>
      <c r="G229" s="1748"/>
      <c r="H229" s="1748" t="s">
        <v>32</v>
      </c>
      <c r="I229" s="1748" t="s">
        <v>32</v>
      </c>
      <c r="J229" s="1748" t="s">
        <v>32</v>
      </c>
      <c r="K229" s="1748" t="s">
        <v>32</v>
      </c>
      <c r="L229" s="1748" t="s">
        <v>32</v>
      </c>
      <c r="M229" s="1748"/>
      <c r="N229" s="1748"/>
      <c r="O229" s="1748" t="s">
        <v>32</v>
      </c>
      <c r="P229" s="1748" t="s">
        <v>32</v>
      </c>
      <c r="Q229" s="1748" t="s">
        <v>32</v>
      </c>
      <c r="R229" s="2171" t="s">
        <v>32</v>
      </c>
      <c r="S229" s="2171" t="s">
        <v>32</v>
      </c>
      <c r="T229" s="2171"/>
      <c r="U229" s="2171"/>
      <c r="V229" s="2171" t="s">
        <v>32</v>
      </c>
      <c r="W229" s="2171" t="s">
        <v>278</v>
      </c>
      <c r="X229" s="1748" t="s">
        <v>32</v>
      </c>
      <c r="Y229" s="1748" t="s">
        <v>32</v>
      </c>
      <c r="Z229" s="1748" t="s">
        <v>32</v>
      </c>
      <c r="AA229" s="1748"/>
      <c r="AB229" s="1748"/>
      <c r="AC229" s="1748" t="s">
        <v>32</v>
      </c>
      <c r="AD229" s="1748" t="s">
        <v>32</v>
      </c>
      <c r="AE229" s="1748" t="s">
        <v>32</v>
      </c>
      <c r="AF229" s="1748" t="s">
        <v>32</v>
      </c>
      <c r="AG229" s="234"/>
      <c r="AH229" s="178"/>
      <c r="AI229" s="107"/>
    </row>
    <row r="230" spans="1:35" ht="22.35" customHeight="1">
      <c r="A230" s="1742"/>
      <c r="B230" s="2327"/>
      <c r="C230" s="1748"/>
      <c r="D230" s="1748"/>
      <c r="E230" s="1748"/>
      <c r="F230" s="1748"/>
      <c r="G230" s="1748"/>
      <c r="H230" s="1748"/>
      <c r="I230" s="1748"/>
      <c r="J230" s="1748"/>
      <c r="K230" s="1748"/>
      <c r="L230" s="1748"/>
      <c r="M230" s="1748"/>
      <c r="N230" s="1748"/>
      <c r="O230" s="1748"/>
      <c r="P230" s="1748"/>
      <c r="Q230" s="1748"/>
      <c r="R230" s="1748"/>
      <c r="S230" s="1748"/>
      <c r="T230" s="1748"/>
      <c r="U230" s="1748"/>
      <c r="V230" s="1748"/>
      <c r="W230" s="1748"/>
      <c r="X230" s="1748"/>
      <c r="Y230" s="1748"/>
      <c r="Z230" s="1748"/>
      <c r="AA230" s="1748"/>
      <c r="AB230" s="1748"/>
      <c r="AC230" s="1748"/>
      <c r="AD230" s="1748"/>
      <c r="AE230" s="1748"/>
      <c r="AF230" s="1748"/>
      <c r="AG230" s="2314"/>
      <c r="AH230" s="178"/>
      <c r="AI230" s="107"/>
    </row>
    <row r="231" spans="1:35" ht="22.35" customHeight="1">
      <c r="A231" s="1742"/>
      <c r="B231" s="1757"/>
      <c r="C231" s="1748"/>
      <c r="D231" s="1748"/>
      <c r="E231" s="1748"/>
      <c r="F231" s="1748"/>
      <c r="G231" s="1748"/>
      <c r="H231" s="1748"/>
      <c r="I231" s="1748"/>
      <c r="J231" s="1748"/>
      <c r="K231" s="1748"/>
      <c r="L231" s="1748"/>
      <c r="M231" s="1748"/>
      <c r="N231" s="1748"/>
      <c r="O231" s="1748"/>
      <c r="P231" s="1748"/>
      <c r="Q231" s="1748"/>
      <c r="R231" s="1748"/>
      <c r="S231" s="1748"/>
      <c r="T231" s="1748"/>
      <c r="U231" s="1748"/>
      <c r="V231" s="1748"/>
      <c r="W231" s="1748"/>
      <c r="X231" s="1748"/>
      <c r="Y231" s="1748"/>
      <c r="Z231" s="1748"/>
      <c r="AA231" s="1748"/>
      <c r="AB231" s="1748"/>
      <c r="AC231" s="1748"/>
      <c r="AD231" s="1748"/>
      <c r="AE231" s="1748"/>
      <c r="AF231" s="1748"/>
      <c r="AG231" s="2328"/>
      <c r="AH231" s="178"/>
      <c r="AI231" s="107"/>
    </row>
    <row r="232" spans="1:35" ht="22.35" customHeight="1">
      <c r="A232" s="1742"/>
      <c r="B232" s="1742"/>
      <c r="C232" s="1748"/>
      <c r="D232" s="1748"/>
      <c r="E232" s="1748"/>
      <c r="F232" s="1748"/>
      <c r="G232" s="1748"/>
      <c r="H232" s="1748"/>
      <c r="I232" s="1748"/>
      <c r="J232" s="1748"/>
      <c r="K232" s="1748"/>
      <c r="L232" s="1748"/>
      <c r="M232" s="1748"/>
      <c r="N232" s="1748"/>
      <c r="O232" s="1748"/>
      <c r="P232" s="1748"/>
      <c r="Q232" s="1748"/>
      <c r="R232" s="1748"/>
      <c r="S232" s="1748"/>
      <c r="T232" s="1748"/>
      <c r="U232" s="1748"/>
      <c r="V232" s="1748"/>
      <c r="W232" s="1748"/>
      <c r="X232" s="1748"/>
      <c r="Y232" s="1748"/>
      <c r="Z232" s="1748"/>
      <c r="AA232" s="1748"/>
      <c r="AB232" s="1748"/>
      <c r="AC232" s="1748"/>
      <c r="AD232" s="1748"/>
      <c r="AE232" s="1748"/>
      <c r="AF232" s="1748"/>
      <c r="AG232" s="2314"/>
      <c r="AH232" s="178"/>
      <c r="AI232" s="107"/>
    </row>
    <row r="233" spans="1:35" ht="22.35" customHeight="1">
      <c r="A233" s="1742"/>
      <c r="B233" s="1742"/>
      <c r="C233" s="1748"/>
      <c r="D233" s="1748"/>
      <c r="E233" s="1748"/>
      <c r="F233" s="1748"/>
      <c r="G233" s="1748"/>
      <c r="H233" s="2329"/>
      <c r="I233" s="1748"/>
      <c r="J233" s="1748"/>
      <c r="K233" s="1748"/>
      <c r="L233" s="1748"/>
      <c r="M233" s="1748"/>
      <c r="N233" s="1748"/>
      <c r="O233" s="1748"/>
      <c r="P233" s="1748"/>
      <c r="Q233" s="1748"/>
      <c r="R233" s="1748"/>
      <c r="S233" s="1748"/>
      <c r="T233" s="1748"/>
      <c r="U233" s="1748"/>
      <c r="V233" s="1748"/>
      <c r="W233" s="1748"/>
      <c r="X233" s="1748"/>
      <c r="Y233" s="1748"/>
      <c r="Z233" s="1748"/>
      <c r="AA233" s="1748"/>
      <c r="AB233" s="1748"/>
      <c r="AC233" s="1748"/>
      <c r="AD233" s="1748"/>
      <c r="AE233" s="1748"/>
      <c r="AF233" s="1748"/>
      <c r="AG233" s="2330"/>
      <c r="AH233" s="178"/>
      <c r="AI233" s="107"/>
    </row>
    <row r="234" spans="1:35" ht="22.35" customHeight="1">
      <c r="A234" s="2315"/>
      <c r="B234" s="2331"/>
      <c r="C234" s="1748"/>
      <c r="D234" s="1748"/>
      <c r="E234" s="1748"/>
      <c r="F234" s="1748"/>
      <c r="G234" s="1748"/>
      <c r="H234" s="1748"/>
      <c r="I234" s="1748"/>
      <c r="J234" s="1748"/>
      <c r="K234" s="1748"/>
      <c r="L234" s="1748"/>
      <c r="M234" s="1748"/>
      <c r="N234" s="1748"/>
      <c r="O234" s="1748"/>
      <c r="P234" s="1748"/>
      <c r="Q234" s="1748"/>
      <c r="R234" s="1748"/>
      <c r="S234" s="1748"/>
      <c r="T234" s="1748"/>
      <c r="U234" s="1748"/>
      <c r="V234" s="1748"/>
      <c r="W234" s="1748"/>
      <c r="X234" s="1748"/>
      <c r="Y234" s="1748"/>
      <c r="Z234" s="1748"/>
      <c r="AA234" s="1748"/>
      <c r="AB234" s="1748"/>
      <c r="AC234" s="1748"/>
      <c r="AD234" s="1748"/>
      <c r="AE234" s="1748"/>
      <c r="AF234" s="1748"/>
      <c r="AG234" s="2330"/>
      <c r="AH234" s="178"/>
      <c r="AI234" s="107"/>
    </row>
    <row r="235" spans="1:35" ht="22.35" customHeight="1">
      <c r="A235" s="2315"/>
      <c r="B235" s="2332"/>
      <c r="C235" s="1748"/>
      <c r="D235" s="1748"/>
      <c r="E235" s="1748"/>
      <c r="F235" s="1748"/>
      <c r="G235" s="1748"/>
      <c r="H235" s="1748"/>
      <c r="I235" s="1748"/>
      <c r="J235" s="1748"/>
      <c r="K235" s="1748"/>
      <c r="L235" s="1748"/>
      <c r="M235" s="1748"/>
      <c r="N235" s="1748"/>
      <c r="O235" s="1748"/>
      <c r="P235" s="1748"/>
      <c r="Q235" s="1748"/>
      <c r="R235" s="1748"/>
      <c r="S235" s="1748"/>
      <c r="T235" s="1748"/>
      <c r="U235" s="1748"/>
      <c r="V235" s="1748"/>
      <c r="W235" s="1748"/>
      <c r="X235" s="1748"/>
      <c r="Y235" s="1748"/>
      <c r="Z235" s="1748"/>
      <c r="AA235" s="1748"/>
      <c r="AB235" s="1748"/>
      <c r="AC235" s="1748"/>
      <c r="AD235" s="1748"/>
      <c r="AE235" s="1748"/>
      <c r="AF235" s="1748"/>
      <c r="AG235" s="2330"/>
      <c r="AH235" s="178"/>
      <c r="AI235" s="107"/>
    </row>
    <row r="236" spans="1:35" ht="22.35" customHeight="1">
      <c r="A236" s="108"/>
      <c r="B236" s="122"/>
      <c r="C236" s="106"/>
      <c r="D236" s="106"/>
      <c r="E236" s="106"/>
      <c r="F236" s="106"/>
      <c r="G236" s="106"/>
      <c r="H236" s="106"/>
      <c r="I236" s="106"/>
      <c r="J236" s="106"/>
      <c r="L236" s="106"/>
      <c r="M236" s="106"/>
      <c r="N236" s="106"/>
      <c r="O236" s="106"/>
      <c r="P236" s="72"/>
      <c r="Q236" s="72"/>
      <c r="R236" s="72"/>
      <c r="S236" s="106"/>
      <c r="T236" s="106"/>
      <c r="U236" s="106"/>
      <c r="V236" s="106"/>
      <c r="W236" s="106"/>
      <c r="X236" s="106"/>
      <c r="Y236" s="106"/>
      <c r="Z236" s="106"/>
      <c r="AA236" s="106"/>
      <c r="AB236" s="106"/>
      <c r="AC236" s="106"/>
      <c r="AD236" s="106"/>
      <c r="AE236" s="106"/>
      <c r="AF236" s="106"/>
      <c r="AG236" s="106"/>
      <c r="AH236" s="107"/>
      <c r="AI236" s="107"/>
    </row>
    <row r="240" spans="1:35" ht="21" customHeight="1" thickBot="1">
      <c r="A240" s="161" t="s">
        <v>298</v>
      </c>
    </row>
    <row r="241" spans="1:35" ht="21" customHeight="1">
      <c r="B241" s="396" t="s">
        <v>266</v>
      </c>
      <c r="C241" s="368"/>
      <c r="D241" s="384" t="s">
        <v>94</v>
      </c>
      <c r="E241" s="357"/>
      <c r="F241" s="372"/>
      <c r="G241" s="368"/>
      <c r="H241" s="384" t="s">
        <v>95</v>
      </c>
      <c r="I241" s="357"/>
      <c r="J241" s="372"/>
      <c r="K241" s="368"/>
      <c r="L241" s="384" t="s">
        <v>96</v>
      </c>
      <c r="M241" s="357"/>
      <c r="N241" s="372"/>
      <c r="O241" s="368"/>
      <c r="P241" s="384" t="s">
        <v>97</v>
      </c>
      <c r="Q241" s="357"/>
      <c r="R241" s="372"/>
      <c r="S241" s="368"/>
      <c r="T241" s="384" t="s">
        <v>98</v>
      </c>
      <c r="U241" s="357"/>
      <c r="V241" s="372"/>
      <c r="W241" s="368"/>
      <c r="X241" s="384" t="s">
        <v>99</v>
      </c>
      <c r="Y241" s="357"/>
      <c r="Z241" s="372"/>
      <c r="AA241" s="368"/>
      <c r="AB241" s="384" t="s">
        <v>100</v>
      </c>
      <c r="AC241" s="357"/>
      <c r="AD241" s="357"/>
      <c r="AE241" s="387" t="s">
        <v>101</v>
      </c>
      <c r="AF241" s="357"/>
      <c r="AG241" s="357"/>
      <c r="AH241" s="357"/>
      <c r="AI241" s="358"/>
    </row>
    <row r="242" spans="1:35" ht="21" customHeight="1">
      <c r="B242" s="3"/>
      <c r="C242" s="537" t="s">
        <v>299</v>
      </c>
      <c r="D242" s="117"/>
      <c r="E242" s="533"/>
      <c r="F242" s="534"/>
      <c r="G242" s="537" t="s">
        <v>299</v>
      </c>
      <c r="H242" s="117"/>
      <c r="I242" s="533"/>
      <c r="J242" s="534"/>
      <c r="K242" s="537" t="s">
        <v>299</v>
      </c>
      <c r="L242" s="117"/>
      <c r="M242" s="533"/>
      <c r="N242" s="534"/>
      <c r="O242" s="537" t="s">
        <v>299</v>
      </c>
      <c r="P242" s="532"/>
      <c r="Q242" s="533"/>
      <c r="R242" s="534"/>
      <c r="S242" s="538" t="s">
        <v>300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A243" s="110"/>
      <c r="B243" s="2333"/>
      <c r="C243" s="2263" t="s">
        <v>178</v>
      </c>
      <c r="D243" s="2334"/>
      <c r="E243" s="533"/>
      <c r="F243" s="534"/>
      <c r="G243" s="2263" t="s">
        <v>178</v>
      </c>
      <c r="H243" s="117"/>
      <c r="I243" s="533"/>
      <c r="J243" s="534"/>
      <c r="K243" s="2263" t="s">
        <v>178</v>
      </c>
      <c r="L243" s="117"/>
      <c r="M243" s="533"/>
      <c r="N243" s="534"/>
      <c r="O243" s="2263" t="s">
        <v>178</v>
      </c>
      <c r="P243" s="117"/>
      <c r="Q243" s="533"/>
      <c r="R243" s="534"/>
      <c r="S243" s="537" t="s">
        <v>301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2333"/>
      <c r="C244" s="2263" t="s">
        <v>181</v>
      </c>
      <c r="D244" s="2334"/>
      <c r="E244" s="533"/>
      <c r="F244" s="534"/>
      <c r="G244" s="2263" t="s">
        <v>181</v>
      </c>
      <c r="H244" s="117"/>
      <c r="I244" s="533"/>
      <c r="J244" s="534"/>
      <c r="K244" s="2263" t="s">
        <v>181</v>
      </c>
      <c r="L244" s="117"/>
      <c r="M244" s="533"/>
      <c r="N244" s="534"/>
      <c r="O244" s="2263" t="s">
        <v>181</v>
      </c>
      <c r="P244" s="117"/>
      <c r="Q244" s="533"/>
      <c r="R244" s="534"/>
      <c r="S244" s="2263" t="s">
        <v>176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2333"/>
      <c r="C245" s="2151"/>
      <c r="D245" s="2152"/>
      <c r="E245" s="165"/>
      <c r="F245" s="167"/>
      <c r="G245" s="2151"/>
      <c r="H245" s="2152"/>
      <c r="I245" s="165"/>
      <c r="J245" s="167"/>
      <c r="K245" s="2151"/>
      <c r="L245" s="2152"/>
      <c r="M245" s="165"/>
      <c r="N245" s="167"/>
      <c r="O245" s="2151"/>
      <c r="P245" s="2152"/>
      <c r="Q245" s="165"/>
      <c r="R245" s="167"/>
      <c r="S245" s="2151"/>
      <c r="T245" s="2152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2333"/>
      <c r="C246" s="2222"/>
      <c r="D246" s="2152"/>
      <c r="E246" s="165"/>
      <c r="F246" s="167"/>
      <c r="G246" s="117"/>
      <c r="H246" s="117"/>
      <c r="I246" s="165"/>
      <c r="J246" s="167"/>
      <c r="K246" s="117"/>
      <c r="L246" s="117"/>
      <c r="M246" s="165"/>
      <c r="N246" s="167"/>
      <c r="O246" s="117"/>
      <c r="P246" s="117"/>
      <c r="Q246" s="165"/>
      <c r="R246" s="167"/>
      <c r="S246" s="117"/>
      <c r="T246" s="117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2333" t="s">
        <v>148</v>
      </c>
      <c r="C247" s="2222" t="s">
        <v>302</v>
      </c>
      <c r="D247" s="2334"/>
      <c r="E247" s="533"/>
      <c r="F247" s="534"/>
      <c r="G247" s="2222" t="s">
        <v>302</v>
      </c>
      <c r="H247" s="2334"/>
      <c r="I247" s="533"/>
      <c r="J247" s="534"/>
      <c r="K247" s="2222" t="s">
        <v>302</v>
      </c>
      <c r="L247" s="2334"/>
      <c r="M247" s="533"/>
      <c r="N247" s="534"/>
      <c r="O247" s="2222" t="s">
        <v>302</v>
      </c>
      <c r="P247" s="2334"/>
      <c r="Q247" s="533"/>
      <c r="R247" s="534"/>
      <c r="S247" s="117" t="s">
        <v>303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2333" t="s">
        <v>152</v>
      </c>
      <c r="C248" s="2222" t="s">
        <v>304</v>
      </c>
      <c r="D248" s="2334"/>
      <c r="E248" s="533"/>
      <c r="F248" s="534"/>
      <c r="G248" s="2222" t="s">
        <v>304</v>
      </c>
      <c r="H248" s="2334"/>
      <c r="I248" s="533"/>
      <c r="J248" s="534"/>
      <c r="K248" s="2222" t="s">
        <v>304</v>
      </c>
      <c r="L248" s="2334"/>
      <c r="M248" s="533"/>
      <c r="N248" s="534"/>
      <c r="O248" s="2222" t="s">
        <v>304</v>
      </c>
      <c r="P248" s="2334"/>
      <c r="Q248" s="533"/>
      <c r="R248" s="534"/>
      <c r="S248" s="117" t="s">
        <v>305</v>
      </c>
      <c r="T248" s="117"/>
      <c r="U248" s="533"/>
      <c r="V248" s="534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thickBot="1">
      <c r="B249" s="2335" t="s">
        <v>159</v>
      </c>
      <c r="C249" s="2235" t="s">
        <v>306</v>
      </c>
      <c r="D249" s="2336"/>
      <c r="E249" s="535"/>
      <c r="F249" s="536"/>
      <c r="G249" s="2235" t="s">
        <v>306</v>
      </c>
      <c r="H249" s="2336"/>
      <c r="I249" s="535"/>
      <c r="J249" s="536"/>
      <c r="K249" s="2235" t="s">
        <v>306</v>
      </c>
      <c r="L249" s="2336"/>
      <c r="M249" s="535"/>
      <c r="N249" s="536"/>
      <c r="O249" s="2235" t="s">
        <v>306</v>
      </c>
      <c r="P249" s="2336"/>
      <c r="Q249" s="535"/>
      <c r="R249" s="536"/>
      <c r="S249" s="456" t="s">
        <v>307</v>
      </c>
      <c r="T249" s="456"/>
      <c r="U249" s="535"/>
      <c r="V249" s="536"/>
      <c r="W249" s="517"/>
      <c r="X249" s="456"/>
      <c r="Y249" s="518"/>
      <c r="Z249" s="519"/>
      <c r="AA249" s="520"/>
      <c r="AB249" s="456"/>
      <c r="AC249" s="518"/>
      <c r="AD249" s="518"/>
      <c r="AE249" s="521"/>
      <c r="AF249" s="518"/>
      <c r="AG249" s="516"/>
      <c r="AH249" s="516"/>
      <c r="AI249" s="453"/>
    </row>
    <row r="250" spans="1:35" ht="21" customHeight="1">
      <c r="B250" s="59"/>
      <c r="C250" s="64"/>
      <c r="D250" s="18"/>
      <c r="G250" s="64"/>
      <c r="H250" s="18"/>
      <c r="K250" s="64"/>
      <c r="L250" s="18"/>
      <c r="O250" s="64"/>
      <c r="P250" s="18"/>
      <c r="S250" s="64"/>
      <c r="T250" s="64"/>
      <c r="X250" s="64"/>
      <c r="AB250" s="64"/>
      <c r="AE250" s="64"/>
    </row>
    <row r="251" spans="1:35" ht="21" customHeight="1">
      <c r="A251" s="123" t="s">
        <v>308</v>
      </c>
    </row>
    <row r="252" spans="1:35" ht="21" customHeight="1" thickBot="1">
      <c r="A252" s="2198"/>
      <c r="B252" s="2066" t="s">
        <v>29</v>
      </c>
      <c r="C252" s="2067">
        <v>1</v>
      </c>
      <c r="D252" s="2067">
        <v>2</v>
      </c>
      <c r="E252" s="2067">
        <v>3</v>
      </c>
      <c r="F252" s="2068">
        <v>4</v>
      </c>
      <c r="G252" s="2068">
        <v>5</v>
      </c>
      <c r="H252" s="2067">
        <v>6</v>
      </c>
      <c r="I252" s="2067">
        <v>7</v>
      </c>
      <c r="J252" s="2067">
        <v>8</v>
      </c>
      <c r="K252" s="2067">
        <v>9</v>
      </c>
      <c r="L252" s="2067">
        <v>10</v>
      </c>
      <c r="M252" s="2068">
        <v>11</v>
      </c>
      <c r="N252" s="2068">
        <v>12</v>
      </c>
      <c r="O252" s="2067">
        <v>13</v>
      </c>
      <c r="P252" s="2067">
        <v>14</v>
      </c>
      <c r="Q252" s="2067">
        <v>15</v>
      </c>
      <c r="R252" s="2067">
        <v>16</v>
      </c>
      <c r="S252" s="2067">
        <v>17</v>
      </c>
      <c r="T252" s="2068">
        <v>18</v>
      </c>
      <c r="U252" s="2068">
        <v>19</v>
      </c>
      <c r="V252" s="2067">
        <v>20</v>
      </c>
      <c r="W252" s="2067">
        <v>21</v>
      </c>
      <c r="X252" s="2067">
        <v>22</v>
      </c>
      <c r="Y252" s="2067">
        <v>23</v>
      </c>
      <c r="Z252" s="2067">
        <v>24</v>
      </c>
      <c r="AA252" s="2068">
        <v>25</v>
      </c>
      <c r="AB252" s="2068">
        <v>26</v>
      </c>
      <c r="AC252" s="2067">
        <v>27</v>
      </c>
      <c r="AD252" s="2067">
        <v>28</v>
      </c>
      <c r="AE252" s="2067">
        <v>29</v>
      </c>
      <c r="AF252" s="2067">
        <v>30</v>
      </c>
      <c r="AG252" s="2069"/>
      <c r="AH252" s="176"/>
      <c r="AI252" s="177"/>
    </row>
    <row r="253" spans="1:35" ht="21" customHeight="1">
      <c r="A253" s="2337">
        <v>3702</v>
      </c>
      <c r="B253" s="175" t="s">
        <v>309</v>
      </c>
      <c r="C253" s="1748" t="s">
        <v>32</v>
      </c>
      <c r="D253" s="1748" t="s">
        <v>32</v>
      </c>
      <c r="E253" s="1748" t="s">
        <v>32</v>
      </c>
      <c r="F253" s="1748"/>
      <c r="G253" s="1748"/>
      <c r="H253" s="1748" t="s">
        <v>32</v>
      </c>
      <c r="I253" s="1748" t="s">
        <v>32</v>
      </c>
      <c r="J253" s="1748" t="s">
        <v>32</v>
      </c>
      <c r="K253" s="1748" t="s">
        <v>32</v>
      </c>
      <c r="L253" s="1748" t="s">
        <v>32</v>
      </c>
      <c r="M253" s="1748"/>
      <c r="N253" s="1740"/>
      <c r="O253" s="1740" t="s">
        <v>32</v>
      </c>
      <c r="P253" s="1740" t="s">
        <v>32</v>
      </c>
      <c r="Q253" s="1751" t="s">
        <v>32</v>
      </c>
      <c r="R253" s="1740" t="s">
        <v>32</v>
      </c>
      <c r="S253" s="1748" t="s">
        <v>32</v>
      </c>
      <c r="T253" s="1748"/>
      <c r="U253" s="1740"/>
      <c r="V253" s="1740" t="s">
        <v>32</v>
      </c>
      <c r="W253" s="1740" t="s">
        <v>32</v>
      </c>
      <c r="X253" s="1748" t="s">
        <v>32</v>
      </c>
      <c r="Y253" s="1740" t="s">
        <v>32</v>
      </c>
      <c r="Z253" s="1748" t="s">
        <v>32</v>
      </c>
      <c r="AA253" s="1748"/>
      <c r="AB253" s="1748"/>
      <c r="AC253" s="1748" t="s">
        <v>32</v>
      </c>
      <c r="AD253" s="1748" t="s">
        <v>32</v>
      </c>
      <c r="AE253" s="1748" t="s">
        <v>32</v>
      </c>
      <c r="AF253" s="1748" t="s">
        <v>32</v>
      </c>
      <c r="AG253" s="362"/>
      <c r="AH253" s="181"/>
      <c r="AI253" s="182"/>
    </row>
    <row r="254" spans="1:35" ht="21" customHeight="1">
      <c r="A254" s="2073"/>
      <c r="B254" s="2211" t="s">
        <v>310</v>
      </c>
      <c r="C254" s="1748" t="s">
        <v>32</v>
      </c>
      <c r="D254" s="1748" t="s">
        <v>32</v>
      </c>
      <c r="E254" s="1748" t="s">
        <v>32</v>
      </c>
      <c r="F254" s="1748"/>
      <c r="G254" s="1748"/>
      <c r="H254" s="1748" t="s">
        <v>32</v>
      </c>
      <c r="I254" s="1748" t="s">
        <v>32</v>
      </c>
      <c r="J254" s="1748" t="s">
        <v>32</v>
      </c>
      <c r="K254" s="1748" t="s">
        <v>32</v>
      </c>
      <c r="L254" s="1748" t="s">
        <v>32</v>
      </c>
      <c r="M254" s="1748"/>
      <c r="N254" s="1740"/>
      <c r="O254" s="1740" t="s">
        <v>32</v>
      </c>
      <c r="P254" s="1740" t="s">
        <v>32</v>
      </c>
      <c r="Q254" s="1751" t="s">
        <v>32</v>
      </c>
      <c r="R254" s="1740" t="s">
        <v>32</v>
      </c>
      <c r="S254" s="1748" t="s">
        <v>32</v>
      </c>
      <c r="T254" s="1748"/>
      <c r="U254" s="1740"/>
      <c r="V254" s="1740" t="s">
        <v>32</v>
      </c>
      <c r="W254" s="1740" t="s">
        <v>32</v>
      </c>
      <c r="X254" s="1748" t="s">
        <v>32</v>
      </c>
      <c r="Y254" s="1740" t="s">
        <v>32</v>
      </c>
      <c r="Z254" s="1748" t="s">
        <v>32</v>
      </c>
      <c r="AA254" s="1748"/>
      <c r="AB254" s="1748"/>
      <c r="AC254" s="1748" t="s">
        <v>32</v>
      </c>
      <c r="AD254" s="1748" t="s">
        <v>32</v>
      </c>
      <c r="AE254" s="1748" t="s">
        <v>32</v>
      </c>
      <c r="AF254" s="1748" t="s">
        <v>32</v>
      </c>
      <c r="AG254" s="2130"/>
      <c r="AH254" s="181"/>
      <c r="AI254" s="182"/>
    </row>
    <row r="255" spans="1:35" ht="21" customHeight="1">
      <c r="A255" s="2338"/>
      <c r="B255" s="2211" t="s">
        <v>311</v>
      </c>
      <c r="C255" s="1747" t="s">
        <v>32</v>
      </c>
      <c r="D255" s="1747" t="s">
        <v>32</v>
      </c>
      <c r="E255" s="1747" t="s">
        <v>32</v>
      </c>
      <c r="F255" s="1747"/>
      <c r="G255" s="1747"/>
      <c r="H255" s="1747" t="s">
        <v>32</v>
      </c>
      <c r="I255" s="1747" t="s">
        <v>32</v>
      </c>
      <c r="J255" s="1747" t="s">
        <v>32</v>
      </c>
      <c r="K255" s="1747" t="s">
        <v>32</v>
      </c>
      <c r="L255" s="1747" t="s">
        <v>32</v>
      </c>
      <c r="M255" s="1748"/>
      <c r="N255" s="1740"/>
      <c r="O255" s="1740" t="s">
        <v>32</v>
      </c>
      <c r="P255" s="2261" t="s">
        <v>32</v>
      </c>
      <c r="Q255" s="2261" t="s">
        <v>32</v>
      </c>
      <c r="R255" s="1740" t="s">
        <v>32</v>
      </c>
      <c r="S255" s="1748" t="s">
        <v>32</v>
      </c>
      <c r="T255" s="1748"/>
      <c r="U255" s="1740"/>
      <c r="V255" s="1740" t="s">
        <v>32</v>
      </c>
      <c r="W255" s="1740" t="s">
        <v>32</v>
      </c>
      <c r="X255" s="615" t="s">
        <v>32</v>
      </c>
      <c r="Y255" s="1740" t="s">
        <v>32</v>
      </c>
      <c r="Z255" s="1748" t="s">
        <v>32</v>
      </c>
      <c r="AA255" s="1748"/>
      <c r="AB255" s="1748"/>
      <c r="AC255" s="1748" t="s">
        <v>32</v>
      </c>
      <c r="AD255" s="1751" t="s">
        <v>32</v>
      </c>
      <c r="AE255" s="1751" t="s">
        <v>32</v>
      </c>
      <c r="AF255" s="1740" t="s">
        <v>32</v>
      </c>
      <c r="AG255" s="2130"/>
      <c r="AH255" s="181"/>
      <c r="AI255" s="182"/>
    </row>
    <row r="256" spans="1:35" ht="21" customHeight="1" thickBot="1">
      <c r="A256" s="2339"/>
      <c r="B256" s="2340"/>
      <c r="C256" s="2067"/>
      <c r="D256" s="2067"/>
      <c r="E256" s="2067"/>
      <c r="F256" s="2067"/>
      <c r="G256" s="2067"/>
      <c r="H256" s="2067"/>
      <c r="I256" s="2067"/>
      <c r="J256" s="2067"/>
      <c r="K256" s="2067"/>
      <c r="L256" s="2067"/>
      <c r="M256" s="2067"/>
      <c r="N256" s="2067"/>
      <c r="O256" s="2067"/>
      <c r="P256" s="2067"/>
      <c r="Q256" s="2067"/>
      <c r="R256" s="2067"/>
      <c r="S256" s="2067"/>
      <c r="T256" s="2067"/>
      <c r="U256" s="2067"/>
      <c r="V256" s="2067"/>
      <c r="W256" s="2067"/>
      <c r="X256" s="2067"/>
      <c r="Y256" s="2067"/>
      <c r="Z256" s="2067"/>
      <c r="AA256" s="2067"/>
      <c r="AB256" s="2067"/>
      <c r="AC256" s="2067"/>
      <c r="AD256" s="2067"/>
      <c r="AE256" s="2067"/>
      <c r="AF256" s="2067"/>
      <c r="AG256" s="2069"/>
      <c r="AH256" s="181"/>
      <c r="AI256" s="182"/>
    </row>
    <row r="257" spans="1:35" ht="21" customHeight="1">
      <c r="A257" s="226"/>
      <c r="B257" s="743" t="s">
        <v>312</v>
      </c>
      <c r="C257" s="744"/>
      <c r="D257" s="744"/>
      <c r="E257" s="744"/>
      <c r="F257" s="744"/>
      <c r="G257" s="744"/>
      <c r="H257" s="744"/>
      <c r="I257" s="744"/>
      <c r="J257" s="744"/>
      <c r="K257" s="744"/>
      <c r="L257" s="744"/>
      <c r="M257" s="744"/>
      <c r="N257" s="744"/>
      <c r="O257" s="744"/>
      <c r="P257" s="744"/>
      <c r="Q257" s="744"/>
      <c r="R257" s="744"/>
      <c r="S257" s="744"/>
      <c r="T257" s="744"/>
      <c r="U257" s="744"/>
      <c r="V257" s="744"/>
      <c r="W257" s="744"/>
      <c r="X257" s="744"/>
      <c r="Y257" s="744"/>
      <c r="Z257" s="744"/>
      <c r="AA257" s="744"/>
      <c r="AB257" s="744"/>
      <c r="AC257" s="744"/>
      <c r="AD257" s="744"/>
      <c r="AE257" s="744"/>
      <c r="AF257" s="744"/>
      <c r="AG257" s="745"/>
      <c r="AH257" s="179"/>
      <c r="AI257" s="180"/>
    </row>
    <row r="258" spans="1:35" ht="21" customHeight="1">
      <c r="A258" s="2337">
        <v>3702</v>
      </c>
      <c r="B258" s="2341" t="s">
        <v>313</v>
      </c>
      <c r="C258" s="2127" t="s">
        <v>314</v>
      </c>
      <c r="D258" s="2127" t="s">
        <v>314</v>
      </c>
      <c r="E258" s="2127" t="s">
        <v>314</v>
      </c>
      <c r="F258" s="2127"/>
      <c r="G258" s="2127"/>
      <c r="H258" s="2127" t="s">
        <v>314</v>
      </c>
      <c r="I258" s="2127" t="s">
        <v>314</v>
      </c>
      <c r="J258" s="2342" t="s">
        <v>314</v>
      </c>
      <c r="K258" s="2342" t="s">
        <v>314</v>
      </c>
      <c r="L258" s="2342" t="s">
        <v>377</v>
      </c>
      <c r="M258" s="2127"/>
      <c r="N258" s="2127"/>
      <c r="O258" s="2127" t="s">
        <v>314</v>
      </c>
      <c r="P258" s="2127" t="s">
        <v>314</v>
      </c>
      <c r="Q258" s="2127" t="s">
        <v>314</v>
      </c>
      <c r="R258" s="2127" t="s">
        <v>314</v>
      </c>
      <c r="S258" s="2127" t="s">
        <v>314</v>
      </c>
      <c r="T258" s="2127"/>
      <c r="U258" s="2127"/>
      <c r="V258" s="2127" t="s">
        <v>314</v>
      </c>
      <c r="W258" s="2127" t="s">
        <v>314</v>
      </c>
      <c r="X258" s="2127" t="s">
        <v>314</v>
      </c>
      <c r="Y258" s="2127" t="s">
        <v>314</v>
      </c>
      <c r="Z258" s="2127" t="s">
        <v>314</v>
      </c>
      <c r="AA258" s="2127"/>
      <c r="AB258" s="2127"/>
      <c r="AC258" s="2127" t="s">
        <v>314</v>
      </c>
      <c r="AD258" s="2127" t="s">
        <v>314</v>
      </c>
      <c r="AE258" s="2127" t="s">
        <v>314</v>
      </c>
      <c r="AF258" s="2127" t="s">
        <v>314</v>
      </c>
      <c r="AG258" s="2343"/>
      <c r="AH258" s="181"/>
      <c r="AI258" s="182"/>
    </row>
    <row r="259" spans="1:35" ht="21" customHeight="1">
      <c r="A259" s="2337"/>
      <c r="B259" s="2303" t="s">
        <v>316</v>
      </c>
      <c r="C259" s="2127" t="s">
        <v>317</v>
      </c>
      <c r="D259" s="2127" t="s">
        <v>317</v>
      </c>
      <c r="E259" s="2127" t="s">
        <v>317</v>
      </c>
      <c r="F259" s="2127"/>
      <c r="G259" s="2127"/>
      <c r="H259" s="2127" t="s">
        <v>317</v>
      </c>
      <c r="I259" s="2127" t="s">
        <v>317</v>
      </c>
      <c r="J259" s="2127" t="s">
        <v>317</v>
      </c>
      <c r="K259" s="2127" t="s">
        <v>317</v>
      </c>
      <c r="L259" s="2127" t="s">
        <v>317</v>
      </c>
      <c r="M259" s="2127"/>
      <c r="N259" s="2127"/>
      <c r="O259" s="2127" t="s">
        <v>317</v>
      </c>
      <c r="P259" s="2127" t="s">
        <v>317</v>
      </c>
      <c r="Q259" s="2127" t="s">
        <v>317</v>
      </c>
      <c r="R259" s="2127" t="s">
        <v>317</v>
      </c>
      <c r="S259" s="2127" t="s">
        <v>317</v>
      </c>
      <c r="T259" s="2127"/>
      <c r="U259" s="2127"/>
      <c r="V259" s="2127" t="s">
        <v>317</v>
      </c>
      <c r="W259" s="2127" t="s">
        <v>317</v>
      </c>
      <c r="X259" s="2127" t="s">
        <v>317</v>
      </c>
      <c r="Y259" s="2127" t="s">
        <v>317</v>
      </c>
      <c r="Z259" s="2127" t="s">
        <v>317</v>
      </c>
      <c r="AA259" s="2127"/>
      <c r="AB259" s="2127"/>
      <c r="AC259" s="2127" t="s">
        <v>317</v>
      </c>
      <c r="AD259" s="2127" t="s">
        <v>317</v>
      </c>
      <c r="AE259" s="2127" t="s">
        <v>317</v>
      </c>
      <c r="AF259" s="2085" t="s">
        <v>317</v>
      </c>
      <c r="AG259" s="2343"/>
      <c r="AH259" s="181"/>
      <c r="AI259" s="182"/>
    </row>
    <row r="260" spans="1:35" ht="21" customHeight="1" thickBot="1">
      <c r="A260" s="2344"/>
      <c r="B260" s="2345" t="s">
        <v>318</v>
      </c>
      <c r="C260" s="2135" t="s">
        <v>319</v>
      </c>
      <c r="D260" s="2135" t="s">
        <v>319</v>
      </c>
      <c r="E260" s="2135" t="s">
        <v>319</v>
      </c>
      <c r="F260" s="2135"/>
      <c r="G260" s="2135"/>
      <c r="H260" s="2135" t="s">
        <v>319</v>
      </c>
      <c r="I260" s="2135" t="s">
        <v>319</v>
      </c>
      <c r="J260" s="2135" t="s">
        <v>319</v>
      </c>
      <c r="K260" s="2135" t="s">
        <v>319</v>
      </c>
      <c r="L260" s="2135" t="s">
        <v>319</v>
      </c>
      <c r="M260" s="2122"/>
      <c r="N260" s="2122"/>
      <c r="O260" s="2122" t="s">
        <v>319</v>
      </c>
      <c r="P260" s="2132" t="s">
        <v>319</v>
      </c>
      <c r="Q260" s="2132" t="s">
        <v>319</v>
      </c>
      <c r="R260" s="2132" t="s">
        <v>319</v>
      </c>
      <c r="S260" s="2132" t="s">
        <v>319</v>
      </c>
      <c r="T260" s="2132"/>
      <c r="U260" s="2132"/>
      <c r="V260" s="2132" t="s">
        <v>319</v>
      </c>
      <c r="W260" s="2132" t="s">
        <v>319</v>
      </c>
      <c r="X260" s="2132" t="s">
        <v>319</v>
      </c>
      <c r="Y260" s="2132" t="s">
        <v>319</v>
      </c>
      <c r="Z260" s="2132" t="s">
        <v>319</v>
      </c>
      <c r="AA260" s="2132"/>
      <c r="AB260" s="2132"/>
      <c r="AC260" s="2132" t="s">
        <v>319</v>
      </c>
      <c r="AD260" s="2132" t="s">
        <v>319</v>
      </c>
      <c r="AE260" s="2132" t="s">
        <v>319</v>
      </c>
      <c r="AF260" s="2132" t="s">
        <v>319</v>
      </c>
      <c r="AG260" s="2346"/>
      <c r="AH260" s="181"/>
      <c r="AI260" s="182"/>
    </row>
    <row r="261" spans="1:35" ht="21" customHeight="1"/>
    <row r="262" spans="1:35" ht="24" customHeight="1"/>
    <row r="263" spans="1:35" ht="25.5" customHeight="1" thickBot="1">
      <c r="A263" s="161" t="s">
        <v>320</v>
      </c>
    </row>
    <row r="264" spans="1:35" ht="21" customHeight="1">
      <c r="A264" s="1"/>
      <c r="B264" s="396" t="s">
        <v>266</v>
      </c>
      <c r="C264" s="368"/>
      <c r="D264" s="384" t="s">
        <v>94</v>
      </c>
      <c r="E264" s="357"/>
      <c r="F264" s="372"/>
      <c r="G264" s="368"/>
      <c r="H264" s="384" t="s">
        <v>95</v>
      </c>
      <c r="I264" s="357"/>
      <c r="J264" s="372"/>
      <c r="K264" s="368"/>
      <c r="L264" s="384" t="s">
        <v>96</v>
      </c>
      <c r="M264" s="357"/>
      <c r="N264" s="372"/>
      <c r="O264" s="368"/>
      <c r="P264" s="384" t="s">
        <v>97</v>
      </c>
      <c r="Q264" s="357"/>
      <c r="R264" s="372"/>
      <c r="S264" s="368"/>
      <c r="T264" s="384" t="s">
        <v>98</v>
      </c>
      <c r="U264" s="357"/>
      <c r="V264" s="372"/>
      <c r="W264" s="368"/>
      <c r="X264" s="384" t="s">
        <v>99</v>
      </c>
      <c r="Y264" s="357"/>
      <c r="Z264" s="372"/>
      <c r="AA264" s="368"/>
      <c r="AB264" s="384" t="s">
        <v>100</v>
      </c>
      <c r="AC264" s="357"/>
      <c r="AD264" s="357"/>
      <c r="AE264" s="387" t="s">
        <v>101</v>
      </c>
      <c r="AF264" s="357"/>
      <c r="AG264" s="357"/>
      <c r="AH264" s="357"/>
      <c r="AI264" s="358"/>
    </row>
    <row r="265" spans="1:35" ht="21" customHeight="1">
      <c r="A265" s="1"/>
      <c r="B265" s="3"/>
      <c r="C265" s="8"/>
      <c r="D265" s="117"/>
      <c r="E265" s="14"/>
      <c r="F265" s="116"/>
      <c r="G265" s="8"/>
      <c r="H265" s="117"/>
      <c r="I265" s="14"/>
      <c r="J265" s="116"/>
      <c r="K265" s="8"/>
      <c r="L265" s="117"/>
      <c r="M265" s="14"/>
      <c r="N265" s="116"/>
      <c r="O265" s="8"/>
      <c r="P265" s="117"/>
      <c r="Q265" s="14"/>
      <c r="R265" s="116"/>
      <c r="S265" s="8"/>
      <c r="T265" s="117"/>
      <c r="U265" s="14"/>
      <c r="V265" s="116"/>
      <c r="W265" s="8"/>
      <c r="X265" s="117"/>
      <c r="Y265" s="14"/>
      <c r="Z265" s="116"/>
      <c r="AA265" s="8"/>
      <c r="AB265" s="117"/>
      <c r="AC265" s="14"/>
      <c r="AD265" s="14"/>
      <c r="AE265" s="118"/>
      <c r="AF265" s="14"/>
      <c r="AG265" s="14"/>
      <c r="AH265" s="14"/>
      <c r="AI265" s="119"/>
    </row>
    <row r="266" spans="1:35" ht="21" customHeight="1">
      <c r="A266" s="110"/>
      <c r="B266" s="2333"/>
      <c r="C266" s="2151"/>
      <c r="D266" s="2049"/>
      <c r="E266" s="2049"/>
      <c r="F266" s="2224"/>
      <c r="G266" s="2151"/>
      <c r="H266" s="2049"/>
      <c r="I266" s="2049"/>
      <c r="J266" s="2224"/>
      <c r="K266" s="2151"/>
      <c r="L266" s="2049"/>
      <c r="M266" s="2049"/>
      <c r="N266" s="2224"/>
      <c r="O266" s="2151"/>
      <c r="P266" s="2049"/>
      <c r="Q266" s="2049"/>
      <c r="R266" s="2224"/>
      <c r="S266" s="2151"/>
      <c r="T266" s="2049"/>
      <c r="U266" s="2049"/>
      <c r="V266" s="2224"/>
      <c r="W266" s="2151"/>
      <c r="X266" s="2049"/>
      <c r="Y266" s="2049"/>
      <c r="Z266" s="2224"/>
      <c r="AA266" s="2222"/>
      <c r="AB266" s="2049"/>
      <c r="AC266" s="2049"/>
      <c r="AD266" s="2152"/>
      <c r="AE266" s="2347"/>
      <c r="AF266" s="2049"/>
      <c r="AG266" s="2049"/>
      <c r="AH266" s="2152"/>
      <c r="AI266" s="2058"/>
    </row>
    <row r="267" spans="1:35" ht="21" customHeight="1" thickBot="1">
      <c r="A267" s="1"/>
      <c r="B267" s="2234"/>
      <c r="C267" s="2235"/>
      <c r="D267" s="2105"/>
      <c r="E267" s="2105"/>
      <c r="F267" s="2256"/>
      <c r="G267" s="2235"/>
      <c r="H267" s="2105"/>
      <c r="I267" s="2105"/>
      <c r="J267" s="2256"/>
      <c r="K267" s="2235"/>
      <c r="L267" s="2105"/>
      <c r="M267" s="2105"/>
      <c r="N267" s="2256"/>
      <c r="O267" s="2235"/>
      <c r="P267" s="2105"/>
      <c r="Q267" s="2105"/>
      <c r="R267" s="2256"/>
      <c r="S267" s="2235"/>
      <c r="T267" s="2105"/>
      <c r="U267" s="2105"/>
      <c r="V267" s="2256"/>
      <c r="W267" s="2254"/>
      <c r="X267" s="2105"/>
      <c r="Y267" s="2105"/>
      <c r="Z267" s="2256"/>
      <c r="AA267" s="2254"/>
      <c r="AB267" s="2105"/>
      <c r="AC267" s="2105"/>
      <c r="AD267" s="2242"/>
      <c r="AE267" s="2254"/>
      <c r="AF267" s="2105"/>
      <c r="AG267" s="2105"/>
      <c r="AH267" s="2242"/>
      <c r="AI267" s="2112"/>
    </row>
    <row r="268" spans="1:35" ht="21" customHeight="1">
      <c r="A268" s="1"/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33" customHeight="1">
      <c r="A269" s="161" t="s">
        <v>321</v>
      </c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 thickBot="1">
      <c r="A270" s="2348" t="s">
        <v>28</v>
      </c>
      <c r="B270" s="2349" t="s">
        <v>29</v>
      </c>
      <c r="C270" s="2067">
        <v>1</v>
      </c>
      <c r="D270" s="2067">
        <v>2</v>
      </c>
      <c r="E270" s="2067">
        <v>3</v>
      </c>
      <c r="F270" s="2068">
        <v>4</v>
      </c>
      <c r="G270" s="2068">
        <v>5</v>
      </c>
      <c r="H270" s="2067">
        <v>6</v>
      </c>
      <c r="I270" s="2067">
        <v>7</v>
      </c>
      <c r="J270" s="2067">
        <v>8</v>
      </c>
      <c r="K270" s="2067">
        <v>9</v>
      </c>
      <c r="L270" s="2067">
        <v>10</v>
      </c>
      <c r="M270" s="2068">
        <v>11</v>
      </c>
      <c r="N270" s="2068">
        <v>12</v>
      </c>
      <c r="O270" s="2067">
        <v>13</v>
      </c>
      <c r="P270" s="2067">
        <v>14</v>
      </c>
      <c r="Q270" s="2067">
        <v>15</v>
      </c>
      <c r="R270" s="2067">
        <v>16</v>
      </c>
      <c r="S270" s="2067">
        <v>17</v>
      </c>
      <c r="T270" s="2068">
        <v>18</v>
      </c>
      <c r="U270" s="2068">
        <v>19</v>
      </c>
      <c r="V270" s="2067">
        <v>20</v>
      </c>
      <c r="W270" s="2067">
        <v>21</v>
      </c>
      <c r="X270" s="2067">
        <v>22</v>
      </c>
      <c r="Y270" s="2067">
        <v>23</v>
      </c>
      <c r="Z270" s="2067">
        <v>24</v>
      </c>
      <c r="AA270" s="2068">
        <v>25</v>
      </c>
      <c r="AB270" s="2068">
        <v>26</v>
      </c>
      <c r="AC270" s="2067">
        <v>27</v>
      </c>
      <c r="AD270" s="2067">
        <v>28</v>
      </c>
      <c r="AE270" s="2067">
        <v>29</v>
      </c>
      <c r="AF270" s="2067">
        <v>30</v>
      </c>
      <c r="AG270" s="2069"/>
      <c r="AH270" s="186"/>
      <c r="AI270" s="177"/>
    </row>
    <row r="271" spans="1:35" ht="21" customHeight="1">
      <c r="A271" s="88"/>
      <c r="B271" s="157" t="s">
        <v>322</v>
      </c>
      <c r="C271" s="1754" t="s">
        <v>32</v>
      </c>
      <c r="D271" s="1754" t="s">
        <v>32</v>
      </c>
      <c r="E271" s="1754" t="s">
        <v>32</v>
      </c>
      <c r="F271" s="1754"/>
      <c r="G271" s="1748"/>
      <c r="H271" s="1748" t="s">
        <v>32</v>
      </c>
      <c r="I271" s="1748" t="s">
        <v>32</v>
      </c>
      <c r="J271" s="1748" t="s">
        <v>32</v>
      </c>
      <c r="K271" s="1748" t="s">
        <v>32</v>
      </c>
      <c r="L271" s="1748" t="s">
        <v>32</v>
      </c>
      <c r="M271" s="1748"/>
      <c r="N271" s="1740"/>
      <c r="O271" s="1740" t="s">
        <v>32</v>
      </c>
      <c r="P271" s="1740" t="s">
        <v>32</v>
      </c>
      <c r="Q271" s="1751" t="s">
        <v>32</v>
      </c>
      <c r="R271" s="1740" t="s">
        <v>32</v>
      </c>
      <c r="S271" s="1748" t="s">
        <v>32</v>
      </c>
      <c r="T271" s="1748"/>
      <c r="U271" s="1740"/>
      <c r="V271" s="1747" t="s">
        <v>32</v>
      </c>
      <c r="W271" s="1747" t="s">
        <v>32</v>
      </c>
      <c r="X271" s="1747" t="s">
        <v>32</v>
      </c>
      <c r="Y271" s="1747" t="s">
        <v>32</v>
      </c>
      <c r="Z271" s="1747" t="s">
        <v>32</v>
      </c>
      <c r="AA271" s="1747"/>
      <c r="AB271" s="1747"/>
      <c r="AC271" s="1747" t="s">
        <v>32</v>
      </c>
      <c r="AD271" s="1747" t="s">
        <v>32</v>
      </c>
      <c r="AE271" s="1747" t="s">
        <v>32</v>
      </c>
      <c r="AF271" s="1747" t="s">
        <v>32</v>
      </c>
      <c r="AG271" s="1748"/>
      <c r="AH271" s="187"/>
      <c r="AI271" s="184"/>
    </row>
    <row r="272" spans="1:35" ht="21" customHeight="1">
      <c r="A272" s="2350"/>
      <c r="B272" s="2351" t="s">
        <v>323</v>
      </c>
      <c r="C272" s="1748" t="s">
        <v>32</v>
      </c>
      <c r="D272" s="1748" t="s">
        <v>32</v>
      </c>
      <c r="E272" s="2261" t="s">
        <v>32</v>
      </c>
      <c r="F272" s="1748"/>
      <c r="G272" s="1748"/>
      <c r="H272" s="1748" t="s">
        <v>32</v>
      </c>
      <c r="I272" s="1748" t="s">
        <v>32</v>
      </c>
      <c r="J272" s="1748" t="s">
        <v>32</v>
      </c>
      <c r="K272" s="1748" t="s">
        <v>32</v>
      </c>
      <c r="L272" s="1748" t="s">
        <v>32</v>
      </c>
      <c r="M272" s="1748"/>
      <c r="N272" s="1740"/>
      <c r="O272" s="1740" t="s">
        <v>32</v>
      </c>
      <c r="P272" s="1740" t="s">
        <v>32</v>
      </c>
      <c r="Q272" s="1751" t="s">
        <v>32</v>
      </c>
      <c r="R272" s="1740" t="s">
        <v>32</v>
      </c>
      <c r="S272" s="1748" t="s">
        <v>32</v>
      </c>
      <c r="T272" s="1748"/>
      <c r="U272" s="1740"/>
      <c r="V272" s="1740" t="s">
        <v>32</v>
      </c>
      <c r="W272" s="1740" t="s">
        <v>32</v>
      </c>
      <c r="X272" s="1748" t="s">
        <v>32</v>
      </c>
      <c r="Y272" s="1740" t="s">
        <v>32</v>
      </c>
      <c r="Z272" s="1748" t="s">
        <v>32</v>
      </c>
      <c r="AA272" s="1748"/>
      <c r="AB272" s="1748"/>
      <c r="AC272" s="1748" t="s">
        <v>32</v>
      </c>
      <c r="AD272" s="1748" t="s">
        <v>32</v>
      </c>
      <c r="AE272" s="1751" t="s">
        <v>32</v>
      </c>
      <c r="AF272" s="1751" t="s">
        <v>32</v>
      </c>
      <c r="AG272" s="1748"/>
      <c r="AH272" s="187"/>
      <c r="AI272" s="184"/>
    </row>
    <row r="273" spans="1:35" ht="21" customHeight="1">
      <c r="A273" s="2337"/>
      <c r="B273" s="2351" t="s">
        <v>324</v>
      </c>
      <c r="C273" s="1748" t="s">
        <v>32</v>
      </c>
      <c r="D273" s="1748" t="s">
        <v>32</v>
      </c>
      <c r="E273" s="1748" t="s">
        <v>32</v>
      </c>
      <c r="F273" s="1748"/>
      <c r="G273" s="1748"/>
      <c r="H273" s="1748" t="s">
        <v>32</v>
      </c>
      <c r="I273" s="1748" t="s">
        <v>32</v>
      </c>
      <c r="J273" s="1748" t="s">
        <v>32</v>
      </c>
      <c r="K273" s="1748" t="s">
        <v>32</v>
      </c>
      <c r="L273" s="1748" t="s">
        <v>32</v>
      </c>
      <c r="M273" s="1748"/>
      <c r="N273" s="1740"/>
      <c r="O273" s="1740" t="s">
        <v>32</v>
      </c>
      <c r="P273" s="1740" t="s">
        <v>32</v>
      </c>
      <c r="Q273" s="1751" t="s">
        <v>32</v>
      </c>
      <c r="R273" s="1740" t="s">
        <v>32</v>
      </c>
      <c r="S273" s="1748" t="s">
        <v>32</v>
      </c>
      <c r="T273" s="1748"/>
      <c r="U273" s="1740"/>
      <c r="V273" s="1740" t="s">
        <v>32</v>
      </c>
      <c r="W273" s="1740" t="s">
        <v>32</v>
      </c>
      <c r="X273" s="1748" t="s">
        <v>32</v>
      </c>
      <c r="Y273" s="1740" t="s">
        <v>32</v>
      </c>
      <c r="Z273" s="1748" t="s">
        <v>32</v>
      </c>
      <c r="AA273" s="1748"/>
      <c r="AB273" s="1748"/>
      <c r="AC273" s="1748" t="s">
        <v>32</v>
      </c>
      <c r="AD273" s="1748" t="s">
        <v>32</v>
      </c>
      <c r="AE273" s="1748" t="s">
        <v>32</v>
      </c>
      <c r="AF273" s="1748" t="s">
        <v>32</v>
      </c>
      <c r="AG273" s="1748"/>
      <c r="AH273" s="187"/>
      <c r="AI273" s="184"/>
    </row>
    <row r="274" spans="1:35" ht="21" customHeight="1">
      <c r="A274" s="2337"/>
      <c r="B274" s="2351" t="s">
        <v>325</v>
      </c>
      <c r="C274" s="1747" t="s">
        <v>32</v>
      </c>
      <c r="D274" s="1747" t="s">
        <v>32</v>
      </c>
      <c r="E274" s="1747" t="s">
        <v>32</v>
      </c>
      <c r="F274" s="1748"/>
      <c r="G274" s="1748"/>
      <c r="H274" s="1748" t="s">
        <v>32</v>
      </c>
      <c r="I274" s="1748" t="s">
        <v>32</v>
      </c>
      <c r="J274" s="1748" t="s">
        <v>32</v>
      </c>
      <c r="K274" s="1748" t="s">
        <v>32</v>
      </c>
      <c r="L274" s="1748" t="s">
        <v>32</v>
      </c>
      <c r="M274" s="1748"/>
      <c r="N274" s="1740"/>
      <c r="O274" s="1740" t="s">
        <v>32</v>
      </c>
      <c r="P274" s="1740" t="s">
        <v>32</v>
      </c>
      <c r="Q274" s="1751" t="s">
        <v>32</v>
      </c>
      <c r="R274" s="1740" t="s">
        <v>32</v>
      </c>
      <c r="S274" s="1748" t="s">
        <v>32</v>
      </c>
      <c r="T274" s="1748"/>
      <c r="U274" s="1740"/>
      <c r="V274" s="1740" t="s">
        <v>32</v>
      </c>
      <c r="W274" s="1740" t="s">
        <v>32</v>
      </c>
      <c r="X274" s="1748" t="s">
        <v>32</v>
      </c>
      <c r="Y274" s="1740" t="s">
        <v>32</v>
      </c>
      <c r="Z274" s="1748" t="s">
        <v>32</v>
      </c>
      <c r="AA274" s="1748"/>
      <c r="AB274" s="1748"/>
      <c r="AC274" s="1748" t="s">
        <v>32</v>
      </c>
      <c r="AD274" s="1748" t="s">
        <v>32</v>
      </c>
      <c r="AE274" s="1748" t="s">
        <v>32</v>
      </c>
      <c r="AF274" s="1748" t="s">
        <v>32</v>
      </c>
      <c r="AG274" s="1748"/>
      <c r="AH274" s="187"/>
      <c r="AI274" s="184"/>
    </row>
    <row r="275" spans="1:35" ht="21" customHeight="1">
      <c r="A275" s="2337"/>
      <c r="B275" s="2351" t="s">
        <v>326</v>
      </c>
      <c r="C275" s="1748" t="s">
        <v>32</v>
      </c>
      <c r="D275" s="1748" t="s">
        <v>32</v>
      </c>
      <c r="E275" s="1748" t="s">
        <v>32</v>
      </c>
      <c r="F275" s="1748"/>
      <c r="G275" s="1748"/>
      <c r="H275" s="1748" t="s">
        <v>32</v>
      </c>
      <c r="I275" s="1748" t="s">
        <v>32</v>
      </c>
      <c r="J275" s="1748" t="s">
        <v>32</v>
      </c>
      <c r="K275" s="1748" t="s">
        <v>32</v>
      </c>
      <c r="L275" s="1748" t="s">
        <v>32</v>
      </c>
      <c r="M275" s="1748"/>
      <c r="N275" s="1740"/>
      <c r="O275" s="2261" t="s">
        <v>32</v>
      </c>
      <c r="P275" s="1747" t="s">
        <v>32</v>
      </c>
      <c r="Q275" s="1747" t="s">
        <v>32</v>
      </c>
      <c r="R275" s="2261" t="s">
        <v>32</v>
      </c>
      <c r="S275" s="2261" t="s">
        <v>32</v>
      </c>
      <c r="T275" s="1748"/>
      <c r="U275" s="1740"/>
      <c r="V275" s="1740" t="s">
        <v>32</v>
      </c>
      <c r="W275" s="1740" t="s">
        <v>32</v>
      </c>
      <c r="X275" s="1748" t="s">
        <v>32</v>
      </c>
      <c r="Y275" s="1740" t="s">
        <v>32</v>
      </c>
      <c r="Z275" s="1748" t="s">
        <v>32</v>
      </c>
      <c r="AA275" s="1748"/>
      <c r="AB275" s="1748"/>
      <c r="AC275" s="1748" t="s">
        <v>32</v>
      </c>
      <c r="AD275" s="1748" t="s">
        <v>32</v>
      </c>
      <c r="AE275" s="1748" t="s">
        <v>32</v>
      </c>
      <c r="AF275" s="2261" t="s">
        <v>32</v>
      </c>
      <c r="AG275" s="2127"/>
      <c r="AH275" s="187"/>
      <c r="AI275" s="184"/>
    </row>
    <row r="276" spans="1:35" ht="21" customHeight="1">
      <c r="A276" s="2337"/>
      <c r="B276" s="2351" t="s">
        <v>327</v>
      </c>
      <c r="C276" s="1748" t="s">
        <v>32</v>
      </c>
      <c r="D276" s="1748" t="s">
        <v>32</v>
      </c>
      <c r="E276" s="1748" t="s">
        <v>32</v>
      </c>
      <c r="F276" s="1748"/>
      <c r="G276" s="1748"/>
      <c r="H276" s="1748" t="s">
        <v>32</v>
      </c>
      <c r="I276" s="1748" t="s">
        <v>32</v>
      </c>
      <c r="J276" s="1748" t="s">
        <v>32</v>
      </c>
      <c r="K276" s="1748" t="s">
        <v>32</v>
      </c>
      <c r="L276" s="1748" t="s">
        <v>32</v>
      </c>
      <c r="M276" s="1748"/>
      <c r="N276" s="1740"/>
      <c r="O276" s="1740" t="s">
        <v>32</v>
      </c>
      <c r="P276" s="1740" t="s">
        <v>32</v>
      </c>
      <c r="Q276" s="1751" t="s">
        <v>32</v>
      </c>
      <c r="R276" s="1740" t="s">
        <v>32</v>
      </c>
      <c r="S276" s="1748" t="s">
        <v>32</v>
      </c>
      <c r="T276" s="1748"/>
      <c r="U276" s="1740"/>
      <c r="V276" s="1740" t="s">
        <v>32</v>
      </c>
      <c r="W276" s="1740" t="s">
        <v>32</v>
      </c>
      <c r="X276" s="1748" t="s">
        <v>32</v>
      </c>
      <c r="Y276" s="1740" t="s">
        <v>32</v>
      </c>
      <c r="Z276" s="2261" t="s">
        <v>32</v>
      </c>
      <c r="AA276" s="1748"/>
      <c r="AB276" s="1748"/>
      <c r="AC276" s="1748" t="s">
        <v>32</v>
      </c>
      <c r="AD276" s="1748" t="s">
        <v>32</v>
      </c>
      <c r="AE276" s="1748" t="s">
        <v>32</v>
      </c>
      <c r="AF276" s="1748" t="s">
        <v>32</v>
      </c>
      <c r="AG276" s="2127"/>
      <c r="AH276" s="187"/>
      <c r="AI276" s="184"/>
    </row>
    <row r="277" spans="1:35" ht="21" customHeight="1">
      <c r="A277" s="2337"/>
      <c r="B277" s="2351" t="s">
        <v>328</v>
      </c>
      <c r="C277" s="1748" t="s">
        <v>32</v>
      </c>
      <c r="D277" s="1748" t="s">
        <v>32</v>
      </c>
      <c r="E277" s="1748" t="s">
        <v>32</v>
      </c>
      <c r="F277" s="1748"/>
      <c r="G277" s="1748"/>
      <c r="H277" s="1748" t="s">
        <v>32</v>
      </c>
      <c r="I277" s="1748" t="s">
        <v>32</v>
      </c>
      <c r="J277" s="1748" t="s">
        <v>32</v>
      </c>
      <c r="K277" s="1748" t="s">
        <v>32</v>
      </c>
      <c r="L277" s="1748" t="s">
        <v>32</v>
      </c>
      <c r="M277" s="1748"/>
      <c r="N277" s="1740"/>
      <c r="O277" s="1740" t="s">
        <v>32</v>
      </c>
      <c r="P277" s="1740" t="s">
        <v>32</v>
      </c>
      <c r="Q277" s="1751" t="s">
        <v>32</v>
      </c>
      <c r="R277" s="1740" t="s">
        <v>32</v>
      </c>
      <c r="S277" s="1748" t="s">
        <v>32</v>
      </c>
      <c r="T277" s="1748"/>
      <c r="U277" s="1740"/>
      <c r="V277" s="2323" t="s">
        <v>32</v>
      </c>
      <c r="W277" s="1740" t="s">
        <v>32</v>
      </c>
      <c r="X277" s="1748" t="s">
        <v>32</v>
      </c>
      <c r="Y277" s="1740" t="s">
        <v>32</v>
      </c>
      <c r="Z277" s="1748" t="s">
        <v>32</v>
      </c>
      <c r="AA277" s="1748"/>
      <c r="AB277" s="1748"/>
      <c r="AC277" s="1748" t="s">
        <v>32</v>
      </c>
      <c r="AD277" s="1748" t="s">
        <v>32</v>
      </c>
      <c r="AE277" s="1748" t="s">
        <v>32</v>
      </c>
      <c r="AF277" s="1748" t="s">
        <v>32</v>
      </c>
      <c r="AG277" s="2127"/>
      <c r="AH277" s="187"/>
      <c r="AI277" s="184"/>
    </row>
    <row r="278" spans="1:35" ht="21" customHeight="1">
      <c r="A278" s="2337"/>
      <c r="B278" s="2351" t="s">
        <v>329</v>
      </c>
      <c r="C278" s="1748" t="s">
        <v>32</v>
      </c>
      <c r="D278" s="1748" t="s">
        <v>32</v>
      </c>
      <c r="E278" s="1748" t="s">
        <v>32</v>
      </c>
      <c r="F278" s="1748"/>
      <c r="G278" s="1748"/>
      <c r="H278" s="1748" t="s">
        <v>32</v>
      </c>
      <c r="I278" s="1748" t="s">
        <v>32</v>
      </c>
      <c r="J278" s="1748" t="s">
        <v>32</v>
      </c>
      <c r="K278" s="1748" t="s">
        <v>32</v>
      </c>
      <c r="L278" s="1748" t="s">
        <v>32</v>
      </c>
      <c r="M278" s="1748"/>
      <c r="N278" s="1740"/>
      <c r="O278" s="1740" t="s">
        <v>32</v>
      </c>
      <c r="P278" s="1740" t="s">
        <v>32</v>
      </c>
      <c r="Q278" s="1751" t="s">
        <v>32</v>
      </c>
      <c r="R278" s="1740" t="s">
        <v>32</v>
      </c>
      <c r="S278" s="1748" t="s">
        <v>32</v>
      </c>
      <c r="T278" s="1748"/>
      <c r="U278" s="1740"/>
      <c r="V278" s="1740" t="s">
        <v>32</v>
      </c>
      <c r="W278" s="1740" t="s">
        <v>32</v>
      </c>
      <c r="X278" s="1748" t="s">
        <v>32</v>
      </c>
      <c r="Y278" s="1740" t="s">
        <v>32</v>
      </c>
      <c r="Z278" s="1748" t="s">
        <v>32</v>
      </c>
      <c r="AA278" s="1748"/>
      <c r="AB278" s="1748"/>
      <c r="AC278" s="1748" t="s">
        <v>32</v>
      </c>
      <c r="AD278" s="1748" t="s">
        <v>32</v>
      </c>
      <c r="AE278" s="1748" t="s">
        <v>32</v>
      </c>
      <c r="AF278" s="1748" t="s">
        <v>32</v>
      </c>
      <c r="AG278" s="2127"/>
      <c r="AH278" s="187"/>
      <c r="AI278" s="184"/>
    </row>
    <row r="279" spans="1:35" ht="21" customHeight="1">
      <c r="A279" s="2337"/>
      <c r="B279" s="2352" t="s">
        <v>330</v>
      </c>
      <c r="C279" s="1748" t="s">
        <v>32</v>
      </c>
      <c r="D279" s="1748" t="s">
        <v>32</v>
      </c>
      <c r="E279" s="1748" t="s">
        <v>32</v>
      </c>
      <c r="F279" s="1748"/>
      <c r="G279" s="1748"/>
      <c r="H279" s="1748" t="s">
        <v>32</v>
      </c>
      <c r="I279" s="1748" t="s">
        <v>32</v>
      </c>
      <c r="J279" s="1748" t="s">
        <v>32</v>
      </c>
      <c r="K279" s="1748" t="s">
        <v>32</v>
      </c>
      <c r="L279" s="1748" t="s">
        <v>32</v>
      </c>
      <c r="M279" s="1748"/>
      <c r="N279" s="1740"/>
      <c r="O279" s="1740" t="s">
        <v>32</v>
      </c>
      <c r="P279" s="1740" t="s">
        <v>32</v>
      </c>
      <c r="Q279" s="1751" t="s">
        <v>32</v>
      </c>
      <c r="R279" s="1740" t="s">
        <v>32</v>
      </c>
      <c r="S279" s="1748" t="s">
        <v>32</v>
      </c>
      <c r="T279" s="1748"/>
      <c r="U279" s="1740"/>
      <c r="V279" s="1740" t="s">
        <v>32</v>
      </c>
      <c r="W279" s="1740" t="s">
        <v>32</v>
      </c>
      <c r="X279" s="1748" t="s">
        <v>32</v>
      </c>
      <c r="Y279" s="2171" t="s">
        <v>32</v>
      </c>
      <c r="Z279" s="2171" t="s">
        <v>32</v>
      </c>
      <c r="AA279" s="2171"/>
      <c r="AB279" s="2171"/>
      <c r="AC279" s="2171" t="s">
        <v>32</v>
      </c>
      <c r="AD279" s="2171" t="s">
        <v>32</v>
      </c>
      <c r="AE279" s="2171" t="s">
        <v>32</v>
      </c>
      <c r="AF279" s="2171" t="s">
        <v>32</v>
      </c>
      <c r="AG279" s="2127"/>
      <c r="AH279" s="187"/>
      <c r="AI279" s="184"/>
    </row>
    <row r="280" spans="1:35" ht="21" customHeight="1">
      <c r="A280" s="2337"/>
      <c r="B280" s="2353" t="s">
        <v>331</v>
      </c>
      <c r="C280" s="1748" t="s">
        <v>32</v>
      </c>
      <c r="D280" s="1748" t="s">
        <v>32</v>
      </c>
      <c r="E280" s="1748" t="s">
        <v>32</v>
      </c>
      <c r="F280" s="1748"/>
      <c r="G280" s="1748"/>
      <c r="H280" s="1748" t="s">
        <v>32</v>
      </c>
      <c r="I280" s="1748" t="s">
        <v>32</v>
      </c>
      <c r="J280" s="1748" t="s">
        <v>32</v>
      </c>
      <c r="K280" s="1748" t="s">
        <v>32</v>
      </c>
      <c r="L280" s="1748" t="s">
        <v>32</v>
      </c>
      <c r="M280" s="1748"/>
      <c r="N280" s="1740"/>
      <c r="O280" s="1740" t="s">
        <v>32</v>
      </c>
      <c r="P280" s="1740" t="s">
        <v>32</v>
      </c>
      <c r="Q280" s="1751" t="s">
        <v>32</v>
      </c>
      <c r="R280" s="1740" t="s">
        <v>32</v>
      </c>
      <c r="S280" s="1748" t="s">
        <v>32</v>
      </c>
      <c r="T280" s="1748"/>
      <c r="U280" s="1740"/>
      <c r="V280" s="1740" t="s">
        <v>32</v>
      </c>
      <c r="W280" s="1740" t="s">
        <v>32</v>
      </c>
      <c r="X280" s="1748" t="s">
        <v>32</v>
      </c>
      <c r="Y280" s="2354" t="s">
        <v>32</v>
      </c>
      <c r="Z280" s="1748" t="s">
        <v>32</v>
      </c>
      <c r="AA280" s="1748"/>
      <c r="AB280" s="1748"/>
      <c r="AC280" s="1748" t="s">
        <v>32</v>
      </c>
      <c r="AD280" s="1748" t="s">
        <v>32</v>
      </c>
      <c r="AE280" s="1740" t="s">
        <v>32</v>
      </c>
      <c r="AF280" s="1740" t="s">
        <v>32</v>
      </c>
      <c r="AG280" s="2127"/>
      <c r="AH280" s="187"/>
      <c r="AI280" s="184"/>
    </row>
    <row r="281" spans="1:35" ht="21" customHeight="1">
      <c r="A281" s="2337"/>
      <c r="B281" s="1757" t="s">
        <v>332</v>
      </c>
      <c r="C281" s="1748" t="s">
        <v>32</v>
      </c>
      <c r="D281" s="1748" t="s">
        <v>32</v>
      </c>
      <c r="E281" s="1748" t="s">
        <v>32</v>
      </c>
      <c r="F281" s="1748"/>
      <c r="G281" s="1748"/>
      <c r="H281" s="1748" t="s">
        <v>32</v>
      </c>
      <c r="I281" s="1748" t="s">
        <v>32</v>
      </c>
      <c r="J281" s="1748" t="s">
        <v>32</v>
      </c>
      <c r="K281" s="1748" t="s">
        <v>32</v>
      </c>
      <c r="L281" s="1748" t="s">
        <v>32</v>
      </c>
      <c r="M281" s="1748"/>
      <c r="N281" s="1740"/>
      <c r="O281" s="1740" t="s">
        <v>32</v>
      </c>
      <c r="P281" s="1740" t="s">
        <v>32</v>
      </c>
      <c r="Q281" s="1751" t="s">
        <v>32</v>
      </c>
      <c r="R281" s="1740" t="s">
        <v>32</v>
      </c>
      <c r="S281" s="1748" t="s">
        <v>32</v>
      </c>
      <c r="T281" s="1748"/>
      <c r="U281" s="1740"/>
      <c r="V281" s="1740" t="s">
        <v>32</v>
      </c>
      <c r="W281" s="1740" t="s">
        <v>32</v>
      </c>
      <c r="X281" s="1748" t="s">
        <v>32</v>
      </c>
      <c r="Y281" s="1740" t="s">
        <v>32</v>
      </c>
      <c r="Z281" s="1748" t="s">
        <v>32</v>
      </c>
      <c r="AA281" s="1748"/>
      <c r="AB281" s="1748"/>
      <c r="AC281" s="1748" t="s">
        <v>32</v>
      </c>
      <c r="AD281" s="1748" t="s">
        <v>32</v>
      </c>
      <c r="AE281" s="1748" t="s">
        <v>32</v>
      </c>
      <c r="AF281" s="1748" t="s">
        <v>32</v>
      </c>
      <c r="AG281" s="2127"/>
      <c r="AH281" s="187"/>
      <c r="AI281" s="184"/>
    </row>
    <row r="282" spans="1:35" ht="21" customHeight="1">
      <c r="A282" s="2337"/>
      <c r="B282" s="2353"/>
      <c r="C282" s="1748"/>
      <c r="D282" s="2355"/>
      <c r="E282" s="1748"/>
      <c r="F282" s="1748"/>
      <c r="G282" s="1748"/>
      <c r="H282" s="1748"/>
      <c r="I282" s="1748"/>
      <c r="J282" s="1748"/>
      <c r="K282" s="1748"/>
      <c r="L282" s="1748"/>
      <c r="M282" s="1748"/>
      <c r="N282" s="1748"/>
      <c r="O282" s="1748"/>
      <c r="P282" s="1748"/>
      <c r="Q282" s="1748"/>
      <c r="R282" s="1748"/>
      <c r="S282" s="1748"/>
      <c r="T282" s="1748"/>
      <c r="U282" s="1748"/>
      <c r="V282" s="1748"/>
      <c r="W282" s="1748"/>
      <c r="X282" s="1748"/>
      <c r="Y282" s="1748"/>
      <c r="Z282" s="1748"/>
      <c r="AA282" s="1748"/>
      <c r="AB282" s="1748"/>
      <c r="AC282" s="1748"/>
      <c r="AD282" s="1748"/>
      <c r="AE282" s="1748"/>
      <c r="AF282" s="1748"/>
      <c r="AG282" s="2127"/>
      <c r="AH282" s="187"/>
      <c r="AI282" s="184"/>
    </row>
    <row r="283" spans="1:35" ht="21" customHeight="1">
      <c r="A283" s="2145"/>
      <c r="B283" s="2353"/>
      <c r="C283" s="2127"/>
      <c r="D283" s="2127"/>
      <c r="E283" s="2127"/>
      <c r="F283" s="2127"/>
      <c r="G283" s="2127"/>
      <c r="H283" s="2127"/>
      <c r="I283" s="2127"/>
      <c r="J283" s="2127"/>
      <c r="K283" s="2127"/>
      <c r="L283" s="2127"/>
      <c r="M283" s="2127"/>
      <c r="N283" s="2077"/>
      <c r="O283" s="2077"/>
      <c r="P283" s="2127"/>
      <c r="Q283" s="2127"/>
      <c r="R283" s="2127"/>
      <c r="S283" s="2127"/>
      <c r="T283" s="2127"/>
      <c r="U283" s="2127"/>
      <c r="V283" s="2127"/>
      <c r="W283" s="2127"/>
      <c r="X283" s="2127"/>
      <c r="Y283" s="2127"/>
      <c r="Z283" s="2127"/>
      <c r="AA283" s="2127"/>
      <c r="AB283" s="2077"/>
      <c r="AC283" s="2077"/>
      <c r="AD283" s="2127"/>
      <c r="AE283" s="2127"/>
      <c r="AF283" s="2127"/>
      <c r="AG283" s="2127"/>
      <c r="AH283" s="187"/>
      <c r="AI283" s="185"/>
    </row>
    <row r="284" spans="1:35" ht="21" customHeight="1" thickBot="1">
      <c r="A284" s="1126"/>
      <c r="B284" s="1188"/>
      <c r="C284" s="2356"/>
      <c r="D284" s="2357"/>
      <c r="E284" s="2357"/>
      <c r="F284" s="2357"/>
      <c r="G284" s="2357"/>
      <c r="H284" s="2357"/>
      <c r="I284" s="2357"/>
      <c r="J284" s="2357"/>
      <c r="K284" s="2357"/>
      <c r="L284" s="2357"/>
      <c r="M284" s="2357"/>
      <c r="N284" s="2358"/>
      <c r="O284" s="2358"/>
      <c r="P284" s="2357"/>
      <c r="Q284" s="2357"/>
      <c r="R284" s="2357"/>
      <c r="S284" s="2357"/>
      <c r="T284" s="2357"/>
      <c r="U284" s="2357"/>
      <c r="V284" s="2357"/>
      <c r="W284" s="2357"/>
      <c r="X284" s="2357"/>
      <c r="Y284" s="2357"/>
      <c r="Z284" s="2357"/>
      <c r="AA284" s="2357"/>
      <c r="AB284" s="2358"/>
      <c r="AC284" s="2358"/>
      <c r="AD284" s="2357"/>
      <c r="AE284" s="2357"/>
      <c r="AF284" s="2357"/>
      <c r="AG284" s="2357"/>
      <c r="AH284" s="187"/>
      <c r="AI284" s="185"/>
    </row>
  </sheetData>
  <protectedRanges>
    <protectedRange sqref="B122:B123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95D3F-6BBB-4899-A513-EFD9855F4CB2}">
  <sheetPr codeName="Ark74"/>
  <dimension ref="A1:AN283"/>
  <sheetViews>
    <sheetView zoomScale="85" zoomScaleNormal="85" workbookViewId="0">
      <pane xSplit="2" ySplit="3" topLeftCell="C36" activePane="bottomRight" state="frozen"/>
      <selection pane="topRight" activeCell="AK175" sqref="AK175"/>
      <selection pane="bottomLeft" activeCell="AK175" sqref="AK175"/>
      <selection pane="bottomRight" activeCell="AL84" sqref="AL84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2359" t="s">
        <v>2</v>
      </c>
      <c r="C2" s="2360" t="s">
        <v>3</v>
      </c>
      <c r="D2" s="2361"/>
      <c r="E2" s="2362" t="s">
        <v>4</v>
      </c>
      <c r="F2" s="2363"/>
      <c r="G2" s="2364"/>
      <c r="H2" s="2364"/>
      <c r="I2" s="2364"/>
      <c r="J2" s="2364"/>
      <c r="K2" s="2365"/>
      <c r="L2" s="2366" t="s">
        <v>5</v>
      </c>
      <c r="M2" s="2367"/>
      <c r="N2" s="2368"/>
      <c r="O2" s="2369" t="s">
        <v>6</v>
      </c>
      <c r="P2" s="2370"/>
      <c r="Q2" s="2371"/>
      <c r="R2" s="2372"/>
      <c r="S2" s="2373" t="s">
        <v>7</v>
      </c>
      <c r="T2" s="2374"/>
      <c r="U2" s="2375"/>
      <c r="V2" s="2374"/>
      <c r="W2" s="2376" t="s">
        <v>8</v>
      </c>
      <c r="X2" s="2377"/>
      <c r="Y2" s="2378"/>
      <c r="Z2" s="163" t="s">
        <v>9</v>
      </c>
      <c r="AA2" s="2379"/>
      <c r="AB2" s="2380"/>
      <c r="AC2" s="2381"/>
      <c r="AD2" s="2382" t="s">
        <v>10</v>
      </c>
      <c r="AE2" s="2383"/>
      <c r="AF2" s="2383"/>
      <c r="AG2" s="2384"/>
    </row>
    <row r="3" spans="1:38" ht="13.35" customHeight="1">
      <c r="A3" s="1"/>
      <c r="B3" s="2385" t="s">
        <v>11</v>
      </c>
      <c r="C3" s="2386" t="s">
        <v>12</v>
      </c>
      <c r="D3" s="2387"/>
      <c r="E3" s="91"/>
      <c r="F3" s="92"/>
      <c r="G3" s="92"/>
      <c r="H3" s="164" t="s">
        <v>13</v>
      </c>
      <c r="I3" s="93"/>
      <c r="J3" s="93"/>
      <c r="K3" s="94"/>
      <c r="L3" s="2388" t="s">
        <v>14</v>
      </c>
      <c r="M3" s="2389"/>
      <c r="N3" s="2390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389"/>
      <c r="AA3" s="2389"/>
      <c r="AB3" s="2391"/>
      <c r="AC3" s="2392"/>
      <c r="AD3" s="2393" t="s">
        <v>17</v>
      </c>
      <c r="AE3" s="2394"/>
      <c r="AF3" s="2394"/>
      <c r="AG3" s="2395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2396" t="s">
        <v>20</v>
      </c>
      <c r="B6" s="2389"/>
      <c r="C6" s="2397"/>
      <c r="D6" s="2396" t="s">
        <v>21</v>
      </c>
      <c r="E6" s="2389"/>
      <c r="F6" s="2389"/>
      <c r="G6" s="2389"/>
      <c r="H6" s="2398"/>
      <c r="I6" s="2389"/>
      <c r="J6" s="2389"/>
      <c r="K6" s="2389"/>
      <c r="L6" s="2399" t="s">
        <v>22</v>
      </c>
      <c r="M6" s="2389"/>
      <c r="N6" s="2389"/>
      <c r="O6" s="2389"/>
      <c r="P6" s="2389"/>
      <c r="Q6" s="2389"/>
      <c r="R6" s="2389"/>
      <c r="S6" s="2397"/>
      <c r="T6" s="2400"/>
      <c r="U6" s="2389"/>
      <c r="V6" s="2389"/>
      <c r="W6" s="2389"/>
      <c r="X6" s="2389"/>
      <c r="Y6" s="2389"/>
      <c r="Z6" s="2389"/>
      <c r="AA6" s="2397"/>
      <c r="AB6" s="2401"/>
      <c r="AC6" s="2402"/>
      <c r="AD6" s="2402"/>
      <c r="AE6" s="2402"/>
      <c r="AF6" s="2402"/>
      <c r="AG6" s="2403"/>
    </row>
    <row r="7" spans="1:38" ht="22.35" customHeight="1">
      <c r="A7" s="2396" t="s">
        <v>23</v>
      </c>
      <c r="B7" s="2389"/>
      <c r="C7" s="2389"/>
      <c r="D7" s="2389"/>
      <c r="E7" s="2389"/>
      <c r="F7" s="2389"/>
      <c r="G7" s="2389"/>
      <c r="H7" s="2389"/>
      <c r="I7" s="2389"/>
      <c r="J7" s="2389"/>
      <c r="K7" s="2397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389"/>
      <c r="V7" s="2389"/>
      <c r="W7" s="2389"/>
      <c r="X7" s="2389"/>
      <c r="Y7" s="2389"/>
      <c r="Z7" s="2389"/>
      <c r="AA7" s="2389"/>
      <c r="AB7" s="2404"/>
      <c r="AC7" s="2389"/>
      <c r="AD7" s="2389"/>
      <c r="AE7" s="2389"/>
      <c r="AF7" s="2389"/>
      <c r="AG7" s="2397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2405" t="s">
        <v>28</v>
      </c>
      <c r="B11" s="2406" t="s">
        <v>29</v>
      </c>
      <c r="C11" s="2407">
        <v>1</v>
      </c>
      <c r="D11" s="2408">
        <v>2</v>
      </c>
      <c r="E11" s="2408">
        <v>3</v>
      </c>
      <c r="F11" s="2407">
        <v>4</v>
      </c>
      <c r="G11" s="2407">
        <v>5</v>
      </c>
      <c r="H11" s="2407">
        <v>6</v>
      </c>
      <c r="I11" s="2407">
        <v>7</v>
      </c>
      <c r="J11" s="2407">
        <v>8</v>
      </c>
      <c r="K11" s="2408">
        <v>9</v>
      </c>
      <c r="L11" s="2408">
        <v>10</v>
      </c>
      <c r="M11" s="2407">
        <v>11</v>
      </c>
      <c r="N11" s="2407">
        <v>12</v>
      </c>
      <c r="O11" s="2407">
        <v>13</v>
      </c>
      <c r="P11" s="2407">
        <v>14</v>
      </c>
      <c r="Q11" s="2407">
        <v>15</v>
      </c>
      <c r="R11" s="2408">
        <v>16</v>
      </c>
      <c r="S11" s="2408">
        <v>17</v>
      </c>
      <c r="T11" s="2407">
        <v>18</v>
      </c>
      <c r="U11" s="2407">
        <v>19</v>
      </c>
      <c r="V11" s="2407">
        <v>20</v>
      </c>
      <c r="W11" s="2407">
        <v>21</v>
      </c>
      <c r="X11" s="2407">
        <v>22</v>
      </c>
      <c r="Y11" s="2408">
        <v>23</v>
      </c>
      <c r="Z11" s="2408">
        <v>24</v>
      </c>
      <c r="AA11" s="2407">
        <v>25</v>
      </c>
      <c r="AB11" s="2407">
        <v>26</v>
      </c>
      <c r="AC11" s="2407">
        <v>27</v>
      </c>
      <c r="AD11" s="2407">
        <v>28</v>
      </c>
      <c r="AE11" s="2407">
        <v>29</v>
      </c>
      <c r="AF11" s="2408">
        <v>30</v>
      </c>
      <c r="AG11" s="2409">
        <v>31</v>
      </c>
      <c r="AH11" s="176"/>
      <c r="AI11" s="177"/>
      <c r="AJ11" s="2410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349"/>
      <c r="E12" s="349"/>
      <c r="F12" s="349" t="s">
        <v>32</v>
      </c>
      <c r="G12" s="349" t="s">
        <v>32</v>
      </c>
      <c r="H12" s="349" t="s">
        <v>32</v>
      </c>
      <c r="I12" s="539" t="s">
        <v>32</v>
      </c>
      <c r="J12" s="539" t="s">
        <v>32</v>
      </c>
      <c r="K12" s="349"/>
      <c r="L12" s="349"/>
      <c r="M12" s="349" t="s">
        <v>32</v>
      </c>
      <c r="N12" s="349" t="s">
        <v>32</v>
      </c>
      <c r="O12" s="349" t="s">
        <v>32</v>
      </c>
      <c r="P12" s="349" t="s">
        <v>32</v>
      </c>
      <c r="Q12" s="349" t="s">
        <v>32</v>
      </c>
      <c r="R12" s="349"/>
      <c r="S12" s="349"/>
      <c r="T12" s="349" t="s">
        <v>32</v>
      </c>
      <c r="U12" s="349" t="s">
        <v>32</v>
      </c>
      <c r="V12" s="349" t="s">
        <v>32</v>
      </c>
      <c r="W12" s="539" t="s">
        <v>32</v>
      </c>
      <c r="X12" s="539" t="s">
        <v>32</v>
      </c>
      <c r="Y12" s="349"/>
      <c r="Z12" s="349"/>
      <c r="AA12" s="349" t="s">
        <v>32</v>
      </c>
      <c r="AB12" s="349" t="s">
        <v>32</v>
      </c>
      <c r="AC12" s="349" t="s">
        <v>32</v>
      </c>
      <c r="AD12" s="539" t="s">
        <v>32</v>
      </c>
      <c r="AE12" s="400" t="s">
        <v>32</v>
      </c>
      <c r="AF12" s="350"/>
      <c r="AG12" s="352"/>
      <c r="AH12" s="182"/>
      <c r="AI12" s="182"/>
      <c r="AJ12" s="2410">
        <v>160.33000000000001</v>
      </c>
    </row>
    <row r="13" spans="1:38" ht="22.35" customHeight="1">
      <c r="A13" s="2411" t="s">
        <v>33</v>
      </c>
      <c r="B13" s="2412"/>
      <c r="C13" s="2412"/>
      <c r="D13" s="2412"/>
      <c r="E13" s="2412"/>
      <c r="F13" s="2412"/>
      <c r="G13" s="2412"/>
      <c r="H13" s="2412"/>
      <c r="I13" s="2412"/>
      <c r="J13" s="2412"/>
      <c r="K13" s="2412"/>
      <c r="L13" s="2412"/>
      <c r="M13" s="2412"/>
      <c r="N13" s="2412"/>
      <c r="O13" s="2412"/>
      <c r="P13" s="2412"/>
      <c r="Q13" s="2412"/>
      <c r="R13" s="2412"/>
      <c r="S13" s="2412"/>
      <c r="T13" s="2412"/>
      <c r="U13" s="2412"/>
      <c r="V13" s="2412"/>
      <c r="W13" s="2412"/>
      <c r="X13" s="2412"/>
      <c r="Y13" s="2412"/>
      <c r="Z13" s="2412"/>
      <c r="AA13" s="2412"/>
      <c r="AB13" s="2412"/>
      <c r="AC13" s="2412"/>
      <c r="AD13" s="2412"/>
      <c r="AE13" s="2412"/>
      <c r="AF13" s="2412"/>
      <c r="AG13" s="2413"/>
      <c r="AH13" s="180"/>
      <c r="AI13" s="180"/>
    </row>
    <row r="14" spans="1:38" ht="22.35" customHeight="1">
      <c r="A14" s="2414">
        <v>8546</v>
      </c>
      <c r="B14" s="2415"/>
      <c r="C14" s="2416">
        <v>4</v>
      </c>
      <c r="D14" s="2416" t="s">
        <v>37</v>
      </c>
      <c r="E14" s="2416" t="s">
        <v>37</v>
      </c>
      <c r="F14" s="2416" t="s">
        <v>36</v>
      </c>
      <c r="G14" s="2416" t="s">
        <v>36</v>
      </c>
      <c r="H14" s="2417" t="s">
        <v>36</v>
      </c>
      <c r="I14" s="2417" t="s">
        <v>36</v>
      </c>
      <c r="J14" s="2417" t="s">
        <v>36</v>
      </c>
      <c r="K14" s="2418"/>
      <c r="L14" s="2417"/>
      <c r="M14" s="2419">
        <v>1</v>
      </c>
      <c r="N14" s="2416">
        <v>1</v>
      </c>
      <c r="O14" s="2416">
        <v>1</v>
      </c>
      <c r="P14" s="2420">
        <v>1</v>
      </c>
      <c r="Q14" s="2420">
        <v>1</v>
      </c>
      <c r="R14" s="2417"/>
      <c r="S14" s="2421"/>
      <c r="T14" s="2420">
        <v>2</v>
      </c>
      <c r="U14" s="2420">
        <v>2</v>
      </c>
      <c r="V14" s="2417">
        <v>2</v>
      </c>
      <c r="W14" s="2417">
        <v>2</v>
      </c>
      <c r="X14" s="2417">
        <v>2</v>
      </c>
      <c r="Y14" s="2417" t="s">
        <v>35</v>
      </c>
      <c r="Z14" s="2417" t="s">
        <v>35</v>
      </c>
      <c r="AA14" s="2417" t="s">
        <v>36</v>
      </c>
      <c r="AB14" s="2417" t="s">
        <v>36</v>
      </c>
      <c r="AC14" s="2417" t="s">
        <v>36</v>
      </c>
      <c r="AD14" s="2420" t="s">
        <v>36</v>
      </c>
      <c r="AE14" s="2417" t="s">
        <v>36</v>
      </c>
      <c r="AF14" s="2417"/>
      <c r="AG14" s="2422"/>
      <c r="AH14" s="182"/>
      <c r="AI14" s="182"/>
    </row>
    <row r="15" spans="1:38" ht="22.35" customHeight="1">
      <c r="A15" s="2414">
        <v>8546</v>
      </c>
      <c r="B15" s="2423" t="s">
        <v>38</v>
      </c>
      <c r="C15" s="2418" t="s">
        <v>36</v>
      </c>
      <c r="D15" s="2417"/>
      <c r="E15" s="2417"/>
      <c r="F15" s="2424">
        <v>4</v>
      </c>
      <c r="G15" s="2425">
        <v>4</v>
      </c>
      <c r="H15" s="2425">
        <v>4</v>
      </c>
      <c r="I15" s="2425" t="s">
        <v>334</v>
      </c>
      <c r="J15" s="2418">
        <v>4</v>
      </c>
      <c r="K15" s="2420" t="s">
        <v>37</v>
      </c>
      <c r="L15" s="2417" t="s">
        <v>37</v>
      </c>
      <c r="M15" s="2417" t="s">
        <v>36</v>
      </c>
      <c r="N15" s="2417" t="s">
        <v>36</v>
      </c>
      <c r="O15" s="2417" t="s">
        <v>36</v>
      </c>
      <c r="P15" s="2417" t="s">
        <v>36</v>
      </c>
      <c r="Q15" s="2417" t="s">
        <v>36</v>
      </c>
      <c r="R15" s="2417"/>
      <c r="S15" s="2417"/>
      <c r="T15" s="2417">
        <v>1</v>
      </c>
      <c r="U15" s="2417">
        <v>1</v>
      </c>
      <c r="V15" s="740">
        <v>1</v>
      </c>
      <c r="W15" s="740">
        <v>1</v>
      </c>
      <c r="X15" s="2417">
        <v>1</v>
      </c>
      <c r="Y15" s="2417"/>
      <c r="Z15" s="2417"/>
      <c r="AA15" s="2417">
        <v>2</v>
      </c>
      <c r="AB15" s="2417">
        <v>2</v>
      </c>
      <c r="AC15" s="2417">
        <v>2</v>
      </c>
      <c r="AD15" s="2417">
        <v>2</v>
      </c>
      <c r="AE15" s="2417">
        <v>2</v>
      </c>
      <c r="AF15" s="2417" t="s">
        <v>35</v>
      </c>
      <c r="AG15" s="2422" t="s">
        <v>35</v>
      </c>
      <c r="AH15" s="182"/>
      <c r="AI15" s="182"/>
      <c r="AL15" t="s">
        <v>0</v>
      </c>
    </row>
    <row r="16" spans="1:38" ht="22.35" customHeight="1">
      <c r="A16" s="2414">
        <v>8546</v>
      </c>
      <c r="B16" s="2415" t="s">
        <v>39</v>
      </c>
      <c r="C16" s="2420">
        <v>1</v>
      </c>
      <c r="D16" s="2417"/>
      <c r="E16" s="2417"/>
      <c r="F16" s="2417">
        <v>2</v>
      </c>
      <c r="G16" s="2417">
        <v>2</v>
      </c>
      <c r="H16" s="2417">
        <v>2</v>
      </c>
      <c r="I16" s="2417">
        <v>2</v>
      </c>
      <c r="J16" s="2417">
        <v>2</v>
      </c>
      <c r="K16" s="2417" t="s">
        <v>35</v>
      </c>
      <c r="L16" s="2417" t="s">
        <v>35</v>
      </c>
      <c r="M16" s="2417" t="s">
        <v>36</v>
      </c>
      <c r="N16" s="2420" t="s">
        <v>36</v>
      </c>
      <c r="O16" s="2420" t="s">
        <v>36</v>
      </c>
      <c r="P16" s="2420" t="s">
        <v>36</v>
      </c>
      <c r="Q16" s="2420" t="s">
        <v>36</v>
      </c>
      <c r="R16" s="2420"/>
      <c r="S16" s="2417"/>
      <c r="T16" s="2417">
        <v>4</v>
      </c>
      <c r="U16" s="2417">
        <v>4</v>
      </c>
      <c r="V16" s="2417">
        <v>4</v>
      </c>
      <c r="W16" s="2418">
        <v>4</v>
      </c>
      <c r="X16" s="2425">
        <v>4</v>
      </c>
      <c r="Y16" s="2425" t="s">
        <v>37</v>
      </c>
      <c r="Z16" s="2425" t="s">
        <v>37</v>
      </c>
      <c r="AA16" s="2420" t="s">
        <v>36</v>
      </c>
      <c r="AB16" s="2420" t="s">
        <v>36</v>
      </c>
      <c r="AC16" s="2420" t="s">
        <v>36</v>
      </c>
      <c r="AD16" s="2417" t="s">
        <v>36</v>
      </c>
      <c r="AE16" s="2417" t="s">
        <v>36</v>
      </c>
      <c r="AF16" s="2417"/>
      <c r="AG16" s="2422"/>
      <c r="AH16" s="182"/>
      <c r="AI16" s="182"/>
    </row>
    <row r="17" spans="1:40" ht="22.35" customHeight="1">
      <c r="A17" s="2414">
        <v>8546</v>
      </c>
      <c r="B17" s="2423" t="s">
        <v>40</v>
      </c>
      <c r="C17" s="2417" t="s">
        <v>36</v>
      </c>
      <c r="D17" s="2418"/>
      <c r="E17" s="2417"/>
      <c r="F17" s="2420">
        <v>1</v>
      </c>
      <c r="G17" s="2417">
        <v>1</v>
      </c>
      <c r="H17" s="740">
        <v>1</v>
      </c>
      <c r="I17" s="2417">
        <v>1</v>
      </c>
      <c r="J17" s="2417">
        <v>1</v>
      </c>
      <c r="K17" s="2417"/>
      <c r="L17" s="2417"/>
      <c r="M17" s="2416">
        <v>2</v>
      </c>
      <c r="N17" s="2416">
        <v>2</v>
      </c>
      <c r="O17" s="2416">
        <v>2</v>
      </c>
      <c r="P17" s="2416">
        <v>2</v>
      </c>
      <c r="Q17" s="2416">
        <v>2</v>
      </c>
      <c r="R17" s="2416" t="s">
        <v>35</v>
      </c>
      <c r="S17" s="2416" t="s">
        <v>35</v>
      </c>
      <c r="T17" s="632" t="s">
        <v>32</v>
      </c>
      <c r="U17" s="632" t="s">
        <v>32</v>
      </c>
      <c r="V17" s="633" t="s">
        <v>32</v>
      </c>
      <c r="W17" s="2417" t="s">
        <v>36</v>
      </c>
      <c r="X17" s="2418" t="s">
        <v>36</v>
      </c>
      <c r="Y17" s="2426" t="s">
        <v>37</v>
      </c>
      <c r="Z17" s="2426" t="s">
        <v>37</v>
      </c>
      <c r="AA17" s="2427">
        <v>4</v>
      </c>
      <c r="AB17" s="2427">
        <v>4</v>
      </c>
      <c r="AC17" s="2427">
        <v>4</v>
      </c>
      <c r="AD17" s="2427">
        <v>4</v>
      </c>
      <c r="AE17" s="2427">
        <v>4</v>
      </c>
      <c r="AF17" s="2427" t="s">
        <v>37</v>
      </c>
      <c r="AG17" s="2422" t="s">
        <v>37</v>
      </c>
      <c r="AH17" s="182"/>
      <c r="AI17" s="182"/>
    </row>
    <row r="18" spans="1:40" ht="22.35" customHeight="1">
      <c r="A18" s="2414" t="s">
        <v>378</v>
      </c>
      <c r="B18" s="2415" t="s">
        <v>41</v>
      </c>
      <c r="C18" s="2417">
        <v>2</v>
      </c>
      <c r="D18" s="2428" t="s">
        <v>35</v>
      </c>
      <c r="E18" s="2429" t="s">
        <v>35</v>
      </c>
      <c r="F18" s="2417" t="s">
        <v>36</v>
      </c>
      <c r="G18" s="2417" t="s">
        <v>36</v>
      </c>
      <c r="H18" s="2417" t="s">
        <v>36</v>
      </c>
      <c r="I18" s="2417" t="s">
        <v>36</v>
      </c>
      <c r="J18" s="2420" t="s">
        <v>36</v>
      </c>
      <c r="K18" s="2420"/>
      <c r="L18" s="2417"/>
      <c r="M18" s="2420">
        <v>4</v>
      </c>
      <c r="N18" s="2420">
        <v>4</v>
      </c>
      <c r="O18" s="2417">
        <v>4</v>
      </c>
      <c r="P18" s="2420">
        <v>4</v>
      </c>
      <c r="Q18" s="2420">
        <v>4</v>
      </c>
      <c r="R18" s="2420" t="s">
        <v>37</v>
      </c>
      <c r="S18" s="2420" t="s">
        <v>37</v>
      </c>
      <c r="T18" s="2420" t="s">
        <v>36</v>
      </c>
      <c r="U18" s="2419" t="s">
        <v>36</v>
      </c>
      <c r="V18" s="2419" t="s">
        <v>36</v>
      </c>
      <c r="W18" s="2417" t="s">
        <v>36</v>
      </c>
      <c r="X18" s="2417" t="s">
        <v>36</v>
      </c>
      <c r="Y18" s="2417"/>
      <c r="Z18" s="2417"/>
      <c r="AA18" s="2417">
        <v>1</v>
      </c>
      <c r="AB18" s="2417">
        <v>1</v>
      </c>
      <c r="AC18" s="740">
        <v>1</v>
      </c>
      <c r="AD18" s="2430">
        <v>1</v>
      </c>
      <c r="AE18" s="2430">
        <v>1</v>
      </c>
      <c r="AF18" s="2417"/>
      <c r="AG18" s="2422"/>
      <c r="AH18" s="182"/>
      <c r="AI18" s="182"/>
    </row>
    <row r="19" spans="1:40" ht="22.35" customHeight="1" thickBot="1">
      <c r="A19" s="2431" t="s">
        <v>42</v>
      </c>
      <c r="B19" s="2432"/>
      <c r="C19" s="2433"/>
      <c r="D19" s="2433"/>
      <c r="E19" s="2433"/>
      <c r="F19" s="2433"/>
      <c r="G19" s="2433"/>
      <c r="H19" s="2433"/>
      <c r="I19" s="2433"/>
      <c r="J19" s="2433"/>
      <c r="K19" s="2433"/>
      <c r="L19" s="2433"/>
      <c r="M19" s="2433"/>
      <c r="N19" s="2433"/>
      <c r="O19" s="2433"/>
      <c r="P19" s="2433"/>
      <c r="Q19" s="2433"/>
      <c r="R19" s="2433"/>
      <c r="S19" s="2433"/>
      <c r="T19" s="2433"/>
      <c r="U19" s="2433"/>
      <c r="V19" s="2433"/>
      <c r="W19" s="2433"/>
      <c r="X19" s="2433"/>
      <c r="Y19" s="2433"/>
      <c r="Z19" s="2433"/>
      <c r="AA19" s="2433"/>
      <c r="AB19" s="2433"/>
      <c r="AC19" s="2433"/>
      <c r="AD19" s="2433"/>
      <c r="AE19" s="2433"/>
      <c r="AF19" s="2433"/>
      <c r="AG19" s="2434"/>
      <c r="AH19" s="180"/>
      <c r="AI19" s="180"/>
      <c r="AJ19" s="2410" t="s">
        <v>30</v>
      </c>
      <c r="AK19" s="2410" t="s">
        <v>43</v>
      </c>
      <c r="AL19" s="2410" t="s">
        <v>44</v>
      </c>
      <c r="AM19" s="2410" t="s">
        <v>45</v>
      </c>
      <c r="AN19" s="2410" t="s">
        <v>46</v>
      </c>
    </row>
    <row r="20" spans="1:40" ht="22.35" customHeight="1">
      <c r="A20" s="353">
        <v>8500</v>
      </c>
      <c r="B20" s="354" t="s">
        <v>48</v>
      </c>
      <c r="C20" s="349" t="s">
        <v>32</v>
      </c>
      <c r="D20" s="349"/>
      <c r="E20" s="349"/>
      <c r="F20" s="349" t="s">
        <v>32</v>
      </c>
      <c r="G20" s="349" t="s">
        <v>32</v>
      </c>
      <c r="H20" s="349" t="s">
        <v>32</v>
      </c>
      <c r="I20" s="2435" t="s">
        <v>32</v>
      </c>
      <c r="J20" s="349" t="s">
        <v>32</v>
      </c>
      <c r="K20" s="349"/>
      <c r="L20" s="349"/>
      <c r="M20" s="349" t="s">
        <v>32</v>
      </c>
      <c r="N20" s="349" t="s">
        <v>32</v>
      </c>
      <c r="O20" s="349" t="s">
        <v>32</v>
      </c>
      <c r="P20" s="349" t="s">
        <v>32</v>
      </c>
      <c r="Q20" s="349" t="s">
        <v>32</v>
      </c>
      <c r="R20" s="349"/>
      <c r="S20" s="349"/>
      <c r="T20" s="633" t="s">
        <v>32</v>
      </c>
      <c r="U20" s="633" t="s">
        <v>32</v>
      </c>
      <c r="V20" s="633" t="s">
        <v>32</v>
      </c>
      <c r="W20" s="546" t="s">
        <v>32</v>
      </c>
      <c r="X20" s="349" t="s">
        <v>32</v>
      </c>
      <c r="Y20" s="349"/>
      <c r="Z20" s="557" t="s">
        <v>35</v>
      </c>
      <c r="AA20" s="349" t="s">
        <v>32</v>
      </c>
      <c r="AB20" s="349" t="s">
        <v>32</v>
      </c>
      <c r="AC20" s="349" t="s">
        <v>32</v>
      </c>
      <c r="AD20" s="740">
        <v>1</v>
      </c>
      <c r="AE20" s="349">
        <v>1</v>
      </c>
      <c r="AF20" s="349"/>
      <c r="AG20" s="397"/>
      <c r="AH20" s="182"/>
      <c r="AI20" s="182"/>
      <c r="AJ20" s="2436"/>
      <c r="AK20" s="2436"/>
      <c r="AL20" s="2436" t="str">
        <f>IF(AJ20="","",SUM(AJ20:AK20))</f>
        <v/>
      </c>
      <c r="AM20" s="2437" t="str">
        <f>IF(AJ20="","",AL20-NormTid)</f>
        <v/>
      </c>
      <c r="AN20" s="2437" t="str">
        <f>IF(AM20="","",AM20+'September 2021'!AN20)</f>
        <v/>
      </c>
    </row>
    <row r="21" spans="1:40" ht="22.35" customHeight="1">
      <c r="A21" s="2438">
        <v>8500</v>
      </c>
      <c r="B21" s="2439" t="s">
        <v>49</v>
      </c>
      <c r="C21" s="2435">
        <v>4</v>
      </c>
      <c r="D21" s="2435" t="s">
        <v>37</v>
      </c>
      <c r="E21" s="2435" t="s">
        <v>37</v>
      </c>
      <c r="F21" s="2435" t="s">
        <v>36</v>
      </c>
      <c r="G21" s="2435" t="s">
        <v>36</v>
      </c>
      <c r="H21" s="2435" t="s">
        <v>36</v>
      </c>
      <c r="I21" s="2435" t="s">
        <v>32</v>
      </c>
      <c r="J21" s="2435" t="s">
        <v>36</v>
      </c>
      <c r="K21" s="2435"/>
      <c r="L21" s="2440"/>
      <c r="M21" s="2416" t="s">
        <v>36</v>
      </c>
      <c r="N21" s="2416" t="s">
        <v>36</v>
      </c>
      <c r="O21" s="2416" t="s">
        <v>32</v>
      </c>
      <c r="P21" s="2416" t="s">
        <v>32</v>
      </c>
      <c r="Q21" s="2416" t="s">
        <v>36</v>
      </c>
      <c r="R21" s="2435"/>
      <c r="S21" s="2435"/>
      <c r="T21" s="2430" t="s">
        <v>32</v>
      </c>
      <c r="U21" s="2430" t="s">
        <v>32</v>
      </c>
      <c r="V21" s="2430" t="s">
        <v>32</v>
      </c>
      <c r="W21" s="2430" t="s">
        <v>32</v>
      </c>
      <c r="X21" s="2430" t="s">
        <v>32</v>
      </c>
      <c r="Y21" s="2441"/>
      <c r="Z21" s="2441"/>
      <c r="AA21" s="2416" t="s">
        <v>36</v>
      </c>
      <c r="AB21" s="2416" t="s">
        <v>36</v>
      </c>
      <c r="AC21" s="2416" t="s">
        <v>36</v>
      </c>
      <c r="AD21" s="2416" t="s">
        <v>36</v>
      </c>
      <c r="AE21" s="2416" t="s">
        <v>36</v>
      </c>
      <c r="AF21" s="2435"/>
      <c r="AG21" s="2442"/>
      <c r="AH21" s="182"/>
      <c r="AI21" s="182"/>
      <c r="AJ21" s="2436">
        <v>93</v>
      </c>
      <c r="AK21" s="2436">
        <v>2.75</v>
      </c>
      <c r="AL21" s="2436">
        <f t="shared" ref="AL21:AL23" si="0">IF(AJ21="","",SUM(AJ21:AK21))</f>
        <v>95.75</v>
      </c>
      <c r="AM21" s="2437">
        <f>IF(AJ21="","",AL21-NormTid)</f>
        <v>-64.580000000000013</v>
      </c>
      <c r="AN21" s="2437">
        <f>IF(AM21="","",AM21+'September 2021'!AN21)</f>
        <v>130.59999999999991</v>
      </c>
    </row>
    <row r="22" spans="1:40" ht="22.35" customHeight="1">
      <c r="A22" s="2438">
        <v>8500</v>
      </c>
      <c r="B22" s="2439" t="s">
        <v>51</v>
      </c>
      <c r="C22" s="2435" t="s">
        <v>36</v>
      </c>
      <c r="D22" s="2435" t="s">
        <v>35</v>
      </c>
      <c r="E22" s="2435" t="s">
        <v>35</v>
      </c>
      <c r="F22" s="2435">
        <v>4</v>
      </c>
      <c r="G22" s="2435">
        <v>4</v>
      </c>
      <c r="H22" s="2435">
        <v>4</v>
      </c>
      <c r="I22" s="2418">
        <v>4</v>
      </c>
      <c r="J22" s="2435" t="s">
        <v>36</v>
      </c>
      <c r="K22" s="2435"/>
      <c r="L22" s="2435"/>
      <c r="M22" s="2435">
        <v>1</v>
      </c>
      <c r="N22" s="2443">
        <v>1</v>
      </c>
      <c r="O22" s="740">
        <v>1</v>
      </c>
      <c r="P22" s="740">
        <v>1</v>
      </c>
      <c r="Q22" s="2440">
        <v>1</v>
      </c>
      <c r="R22" s="2443"/>
      <c r="S22" s="2435"/>
      <c r="T22" s="2420">
        <v>2</v>
      </c>
      <c r="U22" s="2420">
        <v>2</v>
      </c>
      <c r="V22" s="2417">
        <v>2</v>
      </c>
      <c r="W22" s="2417">
        <v>2</v>
      </c>
      <c r="X22" s="2417">
        <v>2</v>
      </c>
      <c r="Y22" s="2417" t="s">
        <v>35</v>
      </c>
      <c r="Z22" s="2417" t="s">
        <v>111</v>
      </c>
      <c r="AA22" s="2441" t="s">
        <v>32</v>
      </c>
      <c r="AB22" s="2441" t="s">
        <v>32</v>
      </c>
      <c r="AC22" s="2441" t="s">
        <v>32</v>
      </c>
      <c r="AD22" s="2441" t="s">
        <v>32</v>
      </c>
      <c r="AE22" s="2441" t="s">
        <v>32</v>
      </c>
      <c r="AF22" s="2441"/>
      <c r="AG22" s="2444"/>
      <c r="AH22" s="182"/>
      <c r="AI22" s="182"/>
      <c r="AJ22" s="2436">
        <v>188</v>
      </c>
      <c r="AK22" s="2436">
        <v>7.75</v>
      </c>
      <c r="AL22" s="2436">
        <f t="shared" si="0"/>
        <v>195.75</v>
      </c>
      <c r="AM22" s="2437">
        <f>IF(AJ22="","",AL22-NormTid)</f>
        <v>35.419999999999987</v>
      </c>
      <c r="AN22" s="2437">
        <f>IF(AM22="","",AM22+'September 2021'!AN22)</f>
        <v>139.94999999999993</v>
      </c>
    </row>
    <row r="23" spans="1:40" ht="22.35" customHeight="1">
      <c r="A23" s="2438"/>
      <c r="B23" s="2445"/>
      <c r="C23" s="2435"/>
      <c r="D23" s="2440"/>
      <c r="E23" s="2435"/>
      <c r="F23" s="2435"/>
      <c r="G23" s="2435"/>
      <c r="H23" s="2435"/>
      <c r="I23" s="2435"/>
      <c r="J23" s="2435"/>
      <c r="K23" s="2435"/>
      <c r="L23" s="2435"/>
      <c r="M23" s="2435"/>
      <c r="N23" s="2435"/>
      <c r="O23" s="2446"/>
      <c r="P23" s="2435"/>
      <c r="Q23" s="2435"/>
      <c r="R23" s="2447"/>
      <c r="S23" s="2447"/>
      <c r="T23" s="2435"/>
      <c r="U23" s="2435"/>
      <c r="V23" s="2435"/>
      <c r="W23" s="2435"/>
      <c r="X23" s="2435"/>
      <c r="Y23" s="2435"/>
      <c r="Z23" s="2435"/>
      <c r="AA23" s="2435"/>
      <c r="AB23" s="2435"/>
      <c r="AC23" s="2443"/>
      <c r="AD23" s="2443"/>
      <c r="AE23" s="2443"/>
      <c r="AF23" s="2443"/>
      <c r="AG23" s="2442"/>
      <c r="AJ23" s="2436"/>
      <c r="AK23" s="2436"/>
      <c r="AL23" s="2436" t="str">
        <f t="shared" si="0"/>
        <v/>
      </c>
      <c r="AM23" s="2437" t="str">
        <f>IF(AJ23="","",AL23-NormTid)</f>
        <v/>
      </c>
      <c r="AN23" s="2437" t="str">
        <f>IF(AM23="","",AM23+'September 2021'!AN23)</f>
        <v/>
      </c>
    </row>
    <row r="24" spans="1:40" ht="22.35" customHeight="1" thickBot="1">
      <c r="A24" s="1283"/>
      <c r="B24" s="2448" t="s">
        <v>54</v>
      </c>
      <c r="C24" s="2435" t="s">
        <v>32</v>
      </c>
      <c r="D24" s="2435"/>
      <c r="E24" s="2435"/>
      <c r="F24" s="2435" t="s">
        <v>32</v>
      </c>
      <c r="G24" s="2435" t="s">
        <v>32</v>
      </c>
      <c r="H24" s="2435" t="s">
        <v>32</v>
      </c>
      <c r="I24" s="2435" t="s">
        <v>32</v>
      </c>
      <c r="J24" s="2449" t="s">
        <v>32</v>
      </c>
      <c r="K24" s="2435"/>
      <c r="L24" s="2435"/>
      <c r="M24" s="2435" t="s">
        <v>32</v>
      </c>
      <c r="N24" s="2443" t="s">
        <v>32</v>
      </c>
      <c r="O24" s="2443" t="s">
        <v>32</v>
      </c>
      <c r="P24" s="2443" t="s">
        <v>32</v>
      </c>
      <c r="Q24" s="2440" t="s">
        <v>32</v>
      </c>
      <c r="R24" s="2443"/>
      <c r="S24" s="2435"/>
      <c r="T24" s="2435" t="s">
        <v>32</v>
      </c>
      <c r="U24" s="2443" t="s">
        <v>32</v>
      </c>
      <c r="V24" s="2443" t="s">
        <v>32</v>
      </c>
      <c r="W24" s="2443" t="s">
        <v>32</v>
      </c>
      <c r="X24" s="2435" t="s">
        <v>32</v>
      </c>
      <c r="Y24" s="2443"/>
      <c r="Z24" s="2435"/>
      <c r="AA24" s="2435" t="s">
        <v>32</v>
      </c>
      <c r="AB24" s="2435" t="s">
        <v>32</v>
      </c>
      <c r="AC24" s="2435" t="s">
        <v>32</v>
      </c>
      <c r="AD24" s="2435" t="s">
        <v>32</v>
      </c>
      <c r="AE24" s="2435" t="s">
        <v>32</v>
      </c>
      <c r="AF24" s="2435"/>
      <c r="AG24" s="2442"/>
    </row>
    <row r="25" spans="1:40" ht="22.35" customHeight="1" thickBot="1">
      <c r="A25" s="102"/>
      <c r="C25" s="2450" t="s">
        <v>0</v>
      </c>
      <c r="D25" s="2450"/>
      <c r="E25" s="2450"/>
      <c r="F25" s="2450"/>
      <c r="G25" s="2450"/>
      <c r="H25" s="2450"/>
      <c r="I25" s="2451"/>
      <c r="J25" s="2451"/>
      <c r="K25" s="2407"/>
      <c r="L25" s="2451"/>
      <c r="M25" s="2451"/>
      <c r="N25" s="2451"/>
      <c r="O25" s="2451"/>
      <c r="P25" s="2451"/>
      <c r="Q25" s="2451"/>
      <c r="R25" s="2451"/>
      <c r="S25" s="2451"/>
      <c r="T25" s="2451"/>
      <c r="U25" s="2452"/>
      <c r="V25" s="192"/>
      <c r="W25" s="192"/>
      <c r="X25" s="2452"/>
      <c r="Y25" s="2451"/>
      <c r="Z25" s="2451"/>
      <c r="AA25" s="2451"/>
      <c r="AB25" s="2451"/>
      <c r="AC25" s="2407"/>
      <c r="AD25" s="2407"/>
      <c r="AE25" s="2407"/>
      <c r="AF25" s="2407"/>
      <c r="AG25" s="2453"/>
    </row>
    <row r="26" spans="1:40" ht="22.35" customHeight="1" thickBot="1">
      <c r="A26" s="102"/>
      <c r="C26" t="s">
        <v>0</v>
      </c>
      <c r="F26">
        <v>4</v>
      </c>
      <c r="G26" t="s">
        <v>0</v>
      </c>
      <c r="H26" s="2419" t="s">
        <v>0</v>
      </c>
      <c r="I26" s="2419" t="s">
        <v>0</v>
      </c>
      <c r="J26" s="2454" t="s">
        <v>0</v>
      </c>
      <c r="K26" s="563" t="s">
        <v>0</v>
      </c>
      <c r="L26" s="2451" t="s">
        <v>0</v>
      </c>
      <c r="M26" s="509" t="s">
        <v>0</v>
      </c>
      <c r="N26" t="s">
        <v>0</v>
      </c>
      <c r="O26" s="740" t="s">
        <v>0</v>
      </c>
      <c r="P26" s="563" t="s">
        <v>0</v>
      </c>
      <c r="Q26" s="563" t="s">
        <v>0</v>
      </c>
      <c r="T26" s="211" t="s">
        <v>0</v>
      </c>
      <c r="U26" s="211" t="s">
        <v>0</v>
      </c>
      <c r="V26" s="192"/>
      <c r="W26" s="192"/>
      <c r="X26" s="192"/>
      <c r="Y26" s="2451"/>
      <c r="Z26" s="192" t="s">
        <v>0</v>
      </c>
      <c r="AA26" s="192" t="s">
        <v>0</v>
      </c>
      <c r="AB26" t="s">
        <v>0</v>
      </c>
      <c r="AE26" s="211" t="s">
        <v>0</v>
      </c>
      <c r="AF26">
        <v>23</v>
      </c>
      <c r="AG26">
        <v>23</v>
      </c>
    </row>
    <row r="27" spans="1:40" ht="22.35" customHeight="1">
      <c r="A27" s="102"/>
      <c r="F27" s="2419" t="s">
        <v>0</v>
      </c>
      <c r="G27" s="2419" t="s">
        <v>0</v>
      </c>
      <c r="H27" s="2419" t="s">
        <v>0</v>
      </c>
      <c r="I27" s="2419" t="s">
        <v>0</v>
      </c>
      <c r="J27" s="2419" t="s">
        <v>0</v>
      </c>
      <c r="K27" s="2419" t="s">
        <v>0</v>
      </c>
      <c r="P27" s="563" t="s">
        <v>0</v>
      </c>
      <c r="Q27" s="563" t="s">
        <v>0</v>
      </c>
      <c r="T27" t="s">
        <v>50</v>
      </c>
      <c r="V27" t="s">
        <v>0</v>
      </c>
      <c r="W27" t="s">
        <v>0</v>
      </c>
      <c r="X27" t="s">
        <v>0</v>
      </c>
      <c r="AD27" t="s">
        <v>183</v>
      </c>
      <c r="AE27" t="s">
        <v>0</v>
      </c>
    </row>
    <row r="28" spans="1:40" ht="22.35" customHeight="1" thickBot="1">
      <c r="A28" s="102"/>
      <c r="D28" s="2455" t="s">
        <v>0</v>
      </c>
      <c r="E28" s="2455" t="s">
        <v>0</v>
      </c>
      <c r="F28" s="192" t="s">
        <v>0</v>
      </c>
      <c r="G28" t="s">
        <v>0</v>
      </c>
      <c r="H28" s="740" t="s">
        <v>0</v>
      </c>
      <c r="I28" s="740" t="s">
        <v>0</v>
      </c>
      <c r="J28" t="s">
        <v>0</v>
      </c>
      <c r="N28" s="563" t="s">
        <v>0</v>
      </c>
      <c r="O28" s="563" t="s">
        <v>0</v>
      </c>
      <c r="P28" s="740" t="s">
        <v>0</v>
      </c>
      <c r="Q28" s="740" t="s">
        <v>0</v>
      </c>
      <c r="S28" s="563" t="s">
        <v>0</v>
      </c>
      <c r="T28" t="s">
        <v>183</v>
      </c>
      <c r="U28" t="s">
        <v>183</v>
      </c>
      <c r="V28" t="s">
        <v>183</v>
      </c>
      <c r="W28" t="s">
        <v>183</v>
      </c>
      <c r="X28" t="s">
        <v>0</v>
      </c>
      <c r="AD28" t="s">
        <v>0</v>
      </c>
      <c r="AE28" t="s">
        <v>0</v>
      </c>
    </row>
    <row r="29" spans="1:40" ht="22.35" customHeight="1">
      <c r="A29" s="102"/>
      <c r="H29" s="563" t="s">
        <v>0</v>
      </c>
      <c r="I29" s="563" t="s">
        <v>0</v>
      </c>
      <c r="J29" s="563" t="s">
        <v>0</v>
      </c>
      <c r="L29" s="563" t="s">
        <v>0</v>
      </c>
      <c r="T29">
        <v>99</v>
      </c>
      <c r="U29" t="s">
        <v>0</v>
      </c>
      <c r="V29" t="s">
        <v>0</v>
      </c>
      <c r="W29" t="s">
        <v>0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563" t="s">
        <v>0</v>
      </c>
      <c r="I30" s="563" t="s">
        <v>0</v>
      </c>
      <c r="J30" s="563" t="s">
        <v>0</v>
      </c>
      <c r="K30" s="563" t="s">
        <v>0</v>
      </c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2456" t="s">
        <v>61</v>
      </c>
      <c r="B32" s="2402"/>
      <c r="C32" s="2402"/>
      <c r="D32" s="2457" t="s">
        <v>62</v>
      </c>
      <c r="E32" s="2458"/>
      <c r="F32" s="2389"/>
      <c r="G32" s="2389"/>
      <c r="H32" s="2389"/>
      <c r="I32" s="2389"/>
      <c r="J32" s="2389"/>
      <c r="K32" s="2389"/>
      <c r="L32" s="2397"/>
      <c r="M32" s="2459" t="s">
        <v>63</v>
      </c>
      <c r="N32" s="2402"/>
      <c r="O32" s="2460"/>
      <c r="P32" s="2402"/>
      <c r="Q32" s="2402"/>
      <c r="R32" s="2402"/>
      <c r="S32" s="2461"/>
      <c r="T32" s="2457" t="s">
        <v>64</v>
      </c>
      <c r="U32" s="2389"/>
      <c r="V32" s="2458"/>
      <c r="W32" s="2389"/>
      <c r="X32" s="2389"/>
      <c r="Y32" s="2389"/>
      <c r="Z32" s="2397"/>
      <c r="AA32" s="162" t="s">
        <v>65</v>
      </c>
      <c r="AD32" s="100"/>
      <c r="AG32" s="103"/>
      <c r="AK32" s="1"/>
    </row>
    <row r="33" spans="1:38" ht="22.35" customHeight="1">
      <c r="A33" s="2462" t="s">
        <v>66</v>
      </c>
      <c r="B33" s="2389"/>
      <c r="C33" s="2389"/>
      <c r="D33" s="2463"/>
      <c r="E33" s="2389"/>
      <c r="F33" s="2389"/>
      <c r="G33" s="2397"/>
      <c r="H33" s="2404" t="s">
        <v>67</v>
      </c>
      <c r="I33" s="2389"/>
      <c r="J33" s="2389"/>
      <c r="K33" s="2389"/>
      <c r="L33" s="2389"/>
      <c r="M33" s="2464"/>
      <c r="N33" s="2389"/>
      <c r="O33" s="2389"/>
      <c r="P33" s="2389"/>
      <c r="Q33" s="2389"/>
      <c r="R33" s="2389"/>
      <c r="S33" s="2389"/>
      <c r="T33" s="2463"/>
      <c r="U33" s="161" t="s">
        <v>68</v>
      </c>
      <c r="AA33" s="2460"/>
      <c r="AB33" s="2402"/>
      <c r="AC33" s="2402"/>
      <c r="AD33" s="2402"/>
      <c r="AE33" s="2402"/>
      <c r="AF33" s="2402"/>
      <c r="AG33" s="2465"/>
      <c r="AK33" s="64"/>
    </row>
    <row r="34" spans="1:38" ht="22.35" customHeight="1" thickBot="1">
      <c r="A34" s="2466" t="s">
        <v>69</v>
      </c>
      <c r="B34" s="2467"/>
      <c r="C34" s="2467"/>
      <c r="D34" s="2468"/>
      <c r="E34" s="2467"/>
      <c r="F34" s="2467"/>
      <c r="G34" s="2469"/>
      <c r="H34" s="2470" t="s">
        <v>70</v>
      </c>
      <c r="I34" s="2469"/>
      <c r="J34" s="2467"/>
      <c r="K34" s="2467"/>
      <c r="L34" s="2467"/>
      <c r="M34" s="2471"/>
      <c r="N34" s="2467"/>
      <c r="O34" s="2467"/>
      <c r="P34" s="2467"/>
      <c r="Q34" s="2472"/>
      <c r="R34" s="2472"/>
      <c r="S34" s="2472"/>
      <c r="T34" s="2468"/>
      <c r="U34" s="2473" t="s">
        <v>71</v>
      </c>
      <c r="V34" s="2467"/>
      <c r="W34" s="2467"/>
      <c r="X34" s="2467"/>
      <c r="Y34" s="2467"/>
      <c r="Z34" s="2467"/>
      <c r="AA34" s="2467"/>
      <c r="AB34" s="2467"/>
      <c r="AC34" s="2467"/>
      <c r="AD34" s="2467"/>
      <c r="AE34" s="2467"/>
      <c r="AF34" s="2467"/>
      <c r="AG34" s="2474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2475" t="s">
        <v>28</v>
      </c>
      <c r="B36" s="2476" t="s">
        <v>29</v>
      </c>
      <c r="C36" s="2407">
        <v>1</v>
      </c>
      <c r="D36" s="2408">
        <v>2</v>
      </c>
      <c r="E36" s="2408">
        <v>3</v>
      </c>
      <c r="F36" s="2407">
        <v>4</v>
      </c>
      <c r="G36" s="2407">
        <v>5</v>
      </c>
      <c r="H36" s="2407">
        <v>6</v>
      </c>
      <c r="I36" s="2407">
        <v>7</v>
      </c>
      <c r="J36" s="2407">
        <v>8</v>
      </c>
      <c r="K36" s="2408">
        <v>9</v>
      </c>
      <c r="L36" s="2408">
        <v>10</v>
      </c>
      <c r="M36" s="2407">
        <v>11</v>
      </c>
      <c r="N36" s="2407">
        <v>12</v>
      </c>
      <c r="O36" s="2407">
        <v>13</v>
      </c>
      <c r="P36" s="2407">
        <v>14</v>
      </c>
      <c r="Q36" s="2407">
        <v>15</v>
      </c>
      <c r="R36" s="2408">
        <v>16</v>
      </c>
      <c r="S36" s="2408">
        <v>17</v>
      </c>
      <c r="T36" s="2407">
        <v>18</v>
      </c>
      <c r="U36" s="2407">
        <v>19</v>
      </c>
      <c r="V36" s="2407">
        <v>20</v>
      </c>
      <c r="W36" s="2407">
        <v>21</v>
      </c>
      <c r="X36" s="2407">
        <v>22</v>
      </c>
      <c r="Y36" s="2408">
        <v>23</v>
      </c>
      <c r="Z36" s="2408">
        <v>24</v>
      </c>
      <c r="AA36" s="2407">
        <v>25</v>
      </c>
      <c r="AB36" s="2407">
        <v>26</v>
      </c>
      <c r="AC36" s="2407">
        <v>27</v>
      </c>
      <c r="AD36" s="2407">
        <v>28</v>
      </c>
      <c r="AE36" s="2407">
        <v>29</v>
      </c>
      <c r="AF36" s="2408">
        <v>30</v>
      </c>
      <c r="AG36" s="2409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>
        <v>1</v>
      </c>
      <c r="D37" s="349"/>
      <c r="E37" s="361"/>
      <c r="F37" s="541">
        <v>9</v>
      </c>
      <c r="G37" s="541">
        <v>9</v>
      </c>
      <c r="H37" s="541">
        <v>9</v>
      </c>
      <c r="I37" s="541">
        <v>9</v>
      </c>
      <c r="J37" s="541">
        <v>9</v>
      </c>
      <c r="K37" s="541" t="s">
        <v>76</v>
      </c>
      <c r="L37" s="541" t="s">
        <v>77</v>
      </c>
      <c r="M37" s="361" t="s">
        <v>36</v>
      </c>
      <c r="N37" s="361" t="s">
        <v>36</v>
      </c>
      <c r="O37" s="349" t="s">
        <v>36</v>
      </c>
      <c r="P37" s="361" t="s">
        <v>36</v>
      </c>
      <c r="Q37" s="350" t="s">
        <v>36</v>
      </c>
      <c r="R37" s="349" t="s">
        <v>78</v>
      </c>
      <c r="S37" s="361" t="s">
        <v>74</v>
      </c>
      <c r="T37" s="361">
        <v>6</v>
      </c>
      <c r="U37" s="361">
        <v>6</v>
      </c>
      <c r="V37" s="361">
        <v>6</v>
      </c>
      <c r="W37" s="574">
        <v>6</v>
      </c>
      <c r="X37" s="350">
        <v>6</v>
      </c>
      <c r="Y37" s="350"/>
      <c r="Z37" s="361"/>
      <c r="AA37" s="361" t="s">
        <v>36</v>
      </c>
      <c r="AB37" s="570" t="s">
        <v>141</v>
      </c>
      <c r="AC37" s="557" t="s">
        <v>36</v>
      </c>
      <c r="AD37" s="557" t="s">
        <v>36</v>
      </c>
      <c r="AE37" s="361" t="s">
        <v>36</v>
      </c>
      <c r="AF37" s="361"/>
      <c r="AG37" s="362"/>
      <c r="AH37" s="181"/>
      <c r="AI37" s="182"/>
    </row>
    <row r="38" spans="1:38" ht="22.35" customHeight="1">
      <c r="A38" s="2477">
        <v>6</v>
      </c>
      <c r="B38" s="2448" t="s">
        <v>75</v>
      </c>
      <c r="C38" s="2416">
        <v>5</v>
      </c>
      <c r="D38" s="2416"/>
      <c r="E38" s="2416"/>
      <c r="F38" s="2416">
        <v>10</v>
      </c>
      <c r="G38" s="2416">
        <v>10</v>
      </c>
      <c r="H38" s="2416">
        <v>10</v>
      </c>
      <c r="I38" s="2416">
        <v>10</v>
      </c>
      <c r="J38" s="2416">
        <v>10</v>
      </c>
      <c r="K38" s="2416" t="s">
        <v>77</v>
      </c>
      <c r="L38" s="2416" t="s">
        <v>77</v>
      </c>
      <c r="M38" s="2416" t="s">
        <v>36</v>
      </c>
      <c r="N38" s="2416" t="s">
        <v>36</v>
      </c>
      <c r="O38" s="2416" t="s">
        <v>36</v>
      </c>
      <c r="P38" s="2416" t="s">
        <v>36</v>
      </c>
      <c r="Q38" s="2416" t="s">
        <v>36</v>
      </c>
      <c r="R38" s="2416" t="s">
        <v>80</v>
      </c>
      <c r="S38" s="2416" t="s">
        <v>80</v>
      </c>
      <c r="T38" s="2416">
        <v>7</v>
      </c>
      <c r="U38" s="2416">
        <v>7</v>
      </c>
      <c r="V38" s="2416">
        <v>7</v>
      </c>
      <c r="W38" s="2416">
        <v>7</v>
      </c>
      <c r="X38" s="2478">
        <v>7</v>
      </c>
      <c r="Y38" s="2416"/>
      <c r="Z38" s="2416"/>
      <c r="AA38" s="2416">
        <v>4</v>
      </c>
      <c r="AB38" s="2416">
        <v>4</v>
      </c>
      <c r="AC38" s="2416">
        <v>4</v>
      </c>
      <c r="AD38" s="2479">
        <v>4</v>
      </c>
      <c r="AE38" s="2416">
        <v>4</v>
      </c>
      <c r="AF38" s="2416"/>
      <c r="AG38" s="2480"/>
      <c r="AH38" s="181"/>
      <c r="AI38" s="182"/>
    </row>
    <row r="39" spans="1:38" ht="22.35" customHeight="1" thickBot="1">
      <c r="A39" s="2481">
        <v>11</v>
      </c>
      <c r="B39" s="2482" t="s">
        <v>79</v>
      </c>
      <c r="C39" s="2407">
        <v>3</v>
      </c>
      <c r="D39" s="2451"/>
      <c r="E39" s="2451"/>
      <c r="F39" s="2451">
        <v>11</v>
      </c>
      <c r="G39" s="2483">
        <v>11</v>
      </c>
      <c r="H39" s="2483">
        <v>11</v>
      </c>
      <c r="I39" s="2483">
        <v>11</v>
      </c>
      <c r="J39" s="2483">
        <v>11</v>
      </c>
      <c r="K39" s="2483" t="s">
        <v>73</v>
      </c>
      <c r="L39" s="2483" t="s">
        <v>73</v>
      </c>
      <c r="M39" s="2484" t="s">
        <v>36</v>
      </c>
      <c r="N39" s="2484" t="s">
        <v>36</v>
      </c>
      <c r="O39" s="2484" t="s">
        <v>36</v>
      </c>
      <c r="P39" s="2485" t="s">
        <v>36</v>
      </c>
      <c r="Q39" s="2486" t="s">
        <v>36</v>
      </c>
      <c r="R39" s="2486" t="s">
        <v>74</v>
      </c>
      <c r="S39" s="2485" t="s">
        <v>74</v>
      </c>
      <c r="T39" s="2487">
        <v>8</v>
      </c>
      <c r="U39" s="2487">
        <v>8</v>
      </c>
      <c r="V39" s="2487">
        <v>8</v>
      </c>
      <c r="W39" s="2487">
        <v>8</v>
      </c>
      <c r="X39" s="2487" t="s">
        <v>379</v>
      </c>
      <c r="Y39" s="2488"/>
      <c r="Z39" s="2488"/>
      <c r="AA39" s="2488" t="s">
        <v>36</v>
      </c>
      <c r="AB39" s="2488" t="s">
        <v>36</v>
      </c>
      <c r="AC39" s="2488" t="s">
        <v>36</v>
      </c>
      <c r="AD39" s="2488" t="s">
        <v>36</v>
      </c>
      <c r="AE39" s="2488" t="s">
        <v>36</v>
      </c>
      <c r="AF39" s="2451"/>
      <c r="AG39" s="2489"/>
      <c r="AH39" s="181"/>
      <c r="AI39" s="182"/>
    </row>
    <row r="40" spans="1:38" ht="22.35" customHeight="1">
      <c r="A40" s="359">
        <v>2</v>
      </c>
      <c r="B40" s="175" t="s">
        <v>81</v>
      </c>
      <c r="C40" s="349">
        <v>9</v>
      </c>
      <c r="D40" s="349" t="s">
        <v>76</v>
      </c>
      <c r="E40" s="349" t="s">
        <v>77</v>
      </c>
      <c r="F40" s="349" t="s">
        <v>36</v>
      </c>
      <c r="G40" s="349" t="s">
        <v>36</v>
      </c>
      <c r="H40" s="361" t="s">
        <v>36</v>
      </c>
      <c r="I40" s="361" t="s">
        <v>36</v>
      </c>
      <c r="J40" s="349" t="s">
        <v>36</v>
      </c>
      <c r="K40" s="349" t="s">
        <v>78</v>
      </c>
      <c r="L40" s="361" t="s">
        <v>74</v>
      </c>
      <c r="M40" s="361">
        <v>6</v>
      </c>
      <c r="N40" s="361">
        <v>6</v>
      </c>
      <c r="O40" s="350">
        <v>6</v>
      </c>
      <c r="P40" s="361">
        <v>6</v>
      </c>
      <c r="Q40" s="350">
        <v>6</v>
      </c>
      <c r="R40" s="350"/>
      <c r="S40" s="349"/>
      <c r="T40" s="350" t="s">
        <v>36</v>
      </c>
      <c r="U40" s="350" t="s">
        <v>36</v>
      </c>
      <c r="V40" s="350" t="s">
        <v>36</v>
      </c>
      <c r="W40" s="350" t="s">
        <v>36</v>
      </c>
      <c r="X40" s="350" t="s">
        <v>36</v>
      </c>
      <c r="Y40" s="361"/>
      <c r="Z40" s="361"/>
      <c r="AA40" s="361">
        <v>5</v>
      </c>
      <c r="AB40" s="361">
        <v>5</v>
      </c>
      <c r="AC40" s="350">
        <v>5</v>
      </c>
      <c r="AD40" s="350">
        <v>5</v>
      </c>
      <c r="AE40" s="586">
        <v>5</v>
      </c>
      <c r="AF40" s="361"/>
      <c r="AG40" s="362"/>
      <c r="AH40" s="181"/>
      <c r="AI40" s="182"/>
    </row>
    <row r="41" spans="1:38" ht="22.35" customHeight="1">
      <c r="A41" s="2477">
        <v>7</v>
      </c>
      <c r="B41" s="2423" t="s">
        <v>82</v>
      </c>
      <c r="C41" s="2420">
        <v>10</v>
      </c>
      <c r="D41" s="2420" t="s">
        <v>77</v>
      </c>
      <c r="E41" s="2420" t="s">
        <v>77</v>
      </c>
      <c r="F41" s="2420" t="s">
        <v>36</v>
      </c>
      <c r="G41" s="2490" t="s">
        <v>36</v>
      </c>
      <c r="H41" s="2490" t="s">
        <v>36</v>
      </c>
      <c r="I41" s="2491" t="s">
        <v>36</v>
      </c>
      <c r="J41" s="2491" t="s">
        <v>36</v>
      </c>
      <c r="K41" s="2491" t="s">
        <v>80</v>
      </c>
      <c r="L41" s="2491" t="s">
        <v>80</v>
      </c>
      <c r="M41" s="2491">
        <v>7</v>
      </c>
      <c r="N41" s="2491">
        <v>7</v>
      </c>
      <c r="O41" s="2491">
        <v>7</v>
      </c>
      <c r="P41" s="2420">
        <v>7</v>
      </c>
      <c r="Q41" s="2478">
        <v>7</v>
      </c>
      <c r="R41" s="2420"/>
      <c r="S41" s="2420"/>
      <c r="T41" s="2430">
        <v>4</v>
      </c>
      <c r="U41" s="2430">
        <v>4</v>
      </c>
      <c r="V41" s="2430">
        <v>4</v>
      </c>
      <c r="W41" s="2430">
        <v>4</v>
      </c>
      <c r="X41" s="2430">
        <v>4</v>
      </c>
      <c r="Y41" s="2430"/>
      <c r="Z41" s="2430"/>
      <c r="AA41" s="2490">
        <v>3</v>
      </c>
      <c r="AB41" s="2490">
        <v>3</v>
      </c>
      <c r="AC41" s="2490">
        <v>3</v>
      </c>
      <c r="AD41" s="2425">
        <v>3</v>
      </c>
      <c r="AE41" s="2425" t="s">
        <v>336</v>
      </c>
      <c r="AF41" s="2490"/>
      <c r="AG41" s="2492"/>
      <c r="AH41" s="181"/>
      <c r="AI41" s="182"/>
    </row>
    <row r="42" spans="1:38" ht="22.35" customHeight="1" thickBot="1">
      <c r="A42" s="2481">
        <v>12</v>
      </c>
      <c r="B42" s="2493" t="s">
        <v>83</v>
      </c>
      <c r="C42" s="2484">
        <v>11</v>
      </c>
      <c r="D42" s="2484" t="s">
        <v>73</v>
      </c>
      <c r="E42" s="2484" t="s">
        <v>73</v>
      </c>
      <c r="F42" s="2484" t="s">
        <v>36</v>
      </c>
      <c r="G42" s="2484" t="s">
        <v>36</v>
      </c>
      <c r="H42" s="2450" t="s">
        <v>32</v>
      </c>
      <c r="I42" s="2451" t="s">
        <v>32</v>
      </c>
      <c r="J42" s="2450" t="s">
        <v>32</v>
      </c>
      <c r="K42" s="2407"/>
      <c r="L42" s="2451"/>
      <c r="M42" s="2450" t="s">
        <v>32</v>
      </c>
      <c r="N42" s="2451" t="s">
        <v>32</v>
      </c>
      <c r="O42" s="2450" t="s">
        <v>32</v>
      </c>
      <c r="P42" s="2451" t="s">
        <v>32</v>
      </c>
      <c r="Q42" s="2450" t="s">
        <v>32</v>
      </c>
      <c r="R42" s="2451"/>
      <c r="S42" s="2451"/>
      <c r="T42" s="2450" t="s">
        <v>32</v>
      </c>
      <c r="U42" s="2452" t="s">
        <v>32</v>
      </c>
      <c r="V42" s="2450" t="s">
        <v>32</v>
      </c>
      <c r="W42" s="2452" t="s">
        <v>32</v>
      </c>
      <c r="X42" s="2450" t="s">
        <v>32</v>
      </c>
      <c r="Y42" s="2451"/>
      <c r="Z42" s="2451"/>
      <c r="AA42" s="2450" t="s">
        <v>32</v>
      </c>
      <c r="AB42" s="2451" t="s">
        <v>32</v>
      </c>
      <c r="AC42" s="2450" t="s">
        <v>32</v>
      </c>
      <c r="AD42" s="2407" t="s">
        <v>32</v>
      </c>
      <c r="AE42" s="2450" t="s">
        <v>32</v>
      </c>
      <c r="AF42" s="2407"/>
      <c r="AG42" s="2453"/>
      <c r="AH42" s="181"/>
      <c r="AI42" s="182"/>
    </row>
    <row r="43" spans="1:38" ht="22.35" customHeight="1">
      <c r="A43" s="359">
        <v>3</v>
      </c>
      <c r="B43" s="363" t="s">
        <v>84</v>
      </c>
      <c r="C43" s="349" t="s">
        <v>36</v>
      </c>
      <c r="D43" s="350" t="s">
        <v>78</v>
      </c>
      <c r="E43" s="361" t="s">
        <v>74</v>
      </c>
      <c r="F43" s="361">
        <v>6</v>
      </c>
      <c r="G43" s="361">
        <v>6</v>
      </c>
      <c r="H43" s="361">
        <v>6</v>
      </c>
      <c r="I43" s="361">
        <v>6</v>
      </c>
      <c r="J43" s="350">
        <v>6</v>
      </c>
      <c r="K43" s="350"/>
      <c r="L43" s="350"/>
      <c r="M43" s="350" t="s">
        <v>36</v>
      </c>
      <c r="N43" s="350" t="s">
        <v>36</v>
      </c>
      <c r="O43" s="350" t="s">
        <v>36</v>
      </c>
      <c r="P43" s="350" t="s">
        <v>36</v>
      </c>
      <c r="Q43" s="350" t="s">
        <v>36</v>
      </c>
      <c r="R43" s="361"/>
      <c r="S43" s="361"/>
      <c r="T43" s="620">
        <v>5</v>
      </c>
      <c r="U43" s="620">
        <v>5</v>
      </c>
      <c r="V43" s="621">
        <v>5</v>
      </c>
      <c r="W43" s="621">
        <v>5</v>
      </c>
      <c r="X43" s="546">
        <v>5</v>
      </c>
      <c r="Y43" s="361"/>
      <c r="Z43" s="361"/>
      <c r="AA43" s="361">
        <v>10</v>
      </c>
      <c r="AB43" s="361">
        <v>10</v>
      </c>
      <c r="AC43" s="364">
        <v>10</v>
      </c>
      <c r="AD43" s="361">
        <v>10</v>
      </c>
      <c r="AE43" s="361">
        <v>10</v>
      </c>
      <c r="AF43" s="552" t="s">
        <v>77</v>
      </c>
      <c r="AG43" s="648" t="s">
        <v>77</v>
      </c>
      <c r="AH43" s="181"/>
      <c r="AI43" s="182"/>
    </row>
    <row r="44" spans="1:38" ht="22.35" customHeight="1">
      <c r="A44" s="2477">
        <v>8</v>
      </c>
      <c r="B44" s="2423" t="s">
        <v>85</v>
      </c>
      <c r="C44" s="2421" t="s">
        <v>36</v>
      </c>
      <c r="D44" s="2421" t="s">
        <v>80</v>
      </c>
      <c r="E44" s="2421" t="s">
        <v>80</v>
      </c>
      <c r="F44" s="2421">
        <v>7</v>
      </c>
      <c r="G44" s="2420">
        <v>7</v>
      </c>
      <c r="H44" s="2420">
        <v>7</v>
      </c>
      <c r="I44" s="2490">
        <v>7</v>
      </c>
      <c r="J44" s="2494">
        <v>7</v>
      </c>
      <c r="K44" s="2416"/>
      <c r="L44" s="2416"/>
      <c r="M44" s="2416">
        <v>4</v>
      </c>
      <c r="N44" s="2420">
        <v>4</v>
      </c>
      <c r="O44" s="2490">
        <v>4</v>
      </c>
      <c r="P44" s="2490">
        <v>4</v>
      </c>
      <c r="Q44" s="2490">
        <v>4</v>
      </c>
      <c r="R44" s="2490"/>
      <c r="S44" s="2490"/>
      <c r="T44" s="2490">
        <v>3</v>
      </c>
      <c r="U44" s="2490">
        <v>3</v>
      </c>
      <c r="V44" s="2490">
        <v>3</v>
      </c>
      <c r="W44" s="615">
        <v>3</v>
      </c>
      <c r="X44" s="615">
        <v>3</v>
      </c>
      <c r="Y44" s="2490"/>
      <c r="Z44" s="2490"/>
      <c r="AA44" s="2490">
        <v>11</v>
      </c>
      <c r="AB44" s="2490">
        <v>11</v>
      </c>
      <c r="AC44" s="2490">
        <v>11</v>
      </c>
      <c r="AD44" s="2420">
        <v>11</v>
      </c>
      <c r="AE44" s="2420">
        <v>11</v>
      </c>
      <c r="AF44" s="2421" t="s">
        <v>73</v>
      </c>
      <c r="AG44" s="2492" t="s">
        <v>73</v>
      </c>
      <c r="AH44" s="181"/>
      <c r="AI44" s="182"/>
    </row>
    <row r="45" spans="1:38" ht="22.35" customHeight="1" thickBot="1">
      <c r="A45" s="2481">
        <v>13</v>
      </c>
      <c r="B45" s="2482" t="s">
        <v>86</v>
      </c>
      <c r="C45" s="2407" t="s">
        <v>36</v>
      </c>
      <c r="D45" s="2495" t="s">
        <v>74</v>
      </c>
      <c r="E45" s="2496" t="s">
        <v>74</v>
      </c>
      <c r="F45" s="2451">
        <v>8</v>
      </c>
      <c r="G45" s="2451">
        <v>8</v>
      </c>
      <c r="H45" s="2451">
        <v>8</v>
      </c>
      <c r="I45" s="2485">
        <v>8</v>
      </c>
      <c r="J45" s="2483">
        <v>8</v>
      </c>
      <c r="K45" s="2483"/>
      <c r="L45" s="2483"/>
      <c r="M45" s="2483" t="s">
        <v>363</v>
      </c>
      <c r="N45" s="2452" t="s">
        <v>36</v>
      </c>
      <c r="O45" s="2452" t="s">
        <v>36</v>
      </c>
      <c r="P45" s="2452" t="s">
        <v>36</v>
      </c>
      <c r="Q45" s="2451" t="s">
        <v>36</v>
      </c>
      <c r="R45" s="2451"/>
      <c r="S45" s="2451"/>
      <c r="T45" s="2451">
        <v>1</v>
      </c>
      <c r="U45" s="2451">
        <v>1</v>
      </c>
      <c r="V45" s="2483">
        <v>1</v>
      </c>
      <c r="W45" s="2483">
        <v>1</v>
      </c>
      <c r="X45" s="2483" t="s">
        <v>333</v>
      </c>
      <c r="Y45" s="2407"/>
      <c r="Z45" s="2451"/>
      <c r="AA45" s="2451">
        <v>9</v>
      </c>
      <c r="AB45" s="2451">
        <v>9</v>
      </c>
      <c r="AC45" s="2451">
        <v>9</v>
      </c>
      <c r="AD45" s="2451">
        <v>9</v>
      </c>
      <c r="AE45" s="2407">
        <v>9</v>
      </c>
      <c r="AF45" s="2497" t="s">
        <v>76</v>
      </c>
      <c r="AG45" s="2498" t="s">
        <v>77</v>
      </c>
      <c r="AH45" s="181"/>
      <c r="AI45" s="182"/>
    </row>
    <row r="46" spans="1:38" ht="22.35" customHeight="1">
      <c r="A46" s="359">
        <v>4</v>
      </c>
      <c r="B46" s="360" t="s">
        <v>87</v>
      </c>
      <c r="C46" s="361">
        <v>6</v>
      </c>
      <c r="D46" s="350"/>
      <c r="E46" s="361"/>
      <c r="F46" s="349" t="s">
        <v>36</v>
      </c>
      <c r="G46" s="349" t="s">
        <v>36</v>
      </c>
      <c r="H46" s="349" t="s">
        <v>36</v>
      </c>
      <c r="I46" s="349" t="s">
        <v>36</v>
      </c>
      <c r="J46" s="349"/>
      <c r="K46" s="349"/>
      <c r="L46" s="349"/>
      <c r="M46" s="349">
        <v>5</v>
      </c>
      <c r="N46" s="349">
        <v>5</v>
      </c>
      <c r="O46" s="349">
        <v>5</v>
      </c>
      <c r="P46" s="349">
        <v>5</v>
      </c>
      <c r="Q46" s="349">
        <v>5</v>
      </c>
      <c r="R46" s="349"/>
      <c r="S46" s="349"/>
      <c r="T46" s="361">
        <v>10</v>
      </c>
      <c r="U46" s="361">
        <v>10</v>
      </c>
      <c r="V46" s="364">
        <v>10</v>
      </c>
      <c r="W46" s="361">
        <v>10</v>
      </c>
      <c r="X46" s="361">
        <v>10</v>
      </c>
      <c r="Y46" s="349" t="s">
        <v>77</v>
      </c>
      <c r="Z46" s="361" t="s">
        <v>77</v>
      </c>
      <c r="AA46" s="361" t="s">
        <v>36</v>
      </c>
      <c r="AB46" s="361" t="s">
        <v>36</v>
      </c>
      <c r="AC46" s="361" t="s">
        <v>36</v>
      </c>
      <c r="AD46" s="361" t="s">
        <v>36</v>
      </c>
      <c r="AE46" s="350" t="s">
        <v>36</v>
      </c>
      <c r="AF46" s="361" t="s">
        <v>80</v>
      </c>
      <c r="AG46" s="362" t="s">
        <v>80</v>
      </c>
      <c r="AH46" s="181"/>
      <c r="AI46" s="182"/>
    </row>
    <row r="47" spans="1:38" ht="22.35" customHeight="1">
      <c r="A47" s="2477">
        <v>9</v>
      </c>
      <c r="B47" s="2423" t="s">
        <v>88</v>
      </c>
      <c r="C47" s="2490">
        <v>7</v>
      </c>
      <c r="D47" s="2490"/>
      <c r="E47" s="2490"/>
      <c r="F47" s="2430">
        <v>4</v>
      </c>
      <c r="G47" s="2430">
        <v>4</v>
      </c>
      <c r="H47" s="2430">
        <v>4</v>
      </c>
      <c r="I47" s="2430">
        <v>4</v>
      </c>
      <c r="J47" s="2430">
        <v>4</v>
      </c>
      <c r="K47" s="2430"/>
      <c r="L47" s="2430"/>
      <c r="M47" s="2479">
        <v>3</v>
      </c>
      <c r="N47" s="2479">
        <v>3</v>
      </c>
      <c r="O47" s="2479">
        <v>3</v>
      </c>
      <c r="P47" s="2499">
        <v>3</v>
      </c>
      <c r="Q47" s="2499">
        <v>3</v>
      </c>
      <c r="R47" s="2500"/>
      <c r="S47" s="2500"/>
      <c r="T47" s="2500">
        <v>11</v>
      </c>
      <c r="U47" s="2500">
        <v>11</v>
      </c>
      <c r="V47" s="2500">
        <v>11</v>
      </c>
      <c r="W47" s="2500">
        <v>11</v>
      </c>
      <c r="X47" s="2500">
        <v>11</v>
      </c>
      <c r="Y47" s="2500" t="s">
        <v>73</v>
      </c>
      <c r="Z47" s="2500" t="s">
        <v>73</v>
      </c>
      <c r="AA47" s="2490" t="s">
        <v>36</v>
      </c>
      <c r="AB47" s="2490" t="s">
        <v>36</v>
      </c>
      <c r="AC47" s="2490" t="s">
        <v>36</v>
      </c>
      <c r="AD47" s="2490" t="s">
        <v>36</v>
      </c>
      <c r="AE47" s="2490" t="s">
        <v>36</v>
      </c>
      <c r="AF47" s="2490" t="s">
        <v>74</v>
      </c>
      <c r="AG47" s="2492" t="s">
        <v>74</v>
      </c>
      <c r="AH47" s="181"/>
      <c r="AI47" s="182"/>
    </row>
    <row r="48" spans="1:38" ht="22.35" customHeight="1" thickBot="1">
      <c r="A48" s="2481">
        <v>14</v>
      </c>
      <c r="B48" s="2482" t="s">
        <v>89</v>
      </c>
      <c r="C48" s="2501">
        <v>8</v>
      </c>
      <c r="D48" s="2451"/>
      <c r="E48" s="2451"/>
      <c r="F48" s="2451" t="s">
        <v>36</v>
      </c>
      <c r="G48" s="2502">
        <v>4</v>
      </c>
      <c r="H48" s="2452" t="s">
        <v>36</v>
      </c>
      <c r="I48" s="2452" t="s">
        <v>36</v>
      </c>
      <c r="J48" s="2451" t="s">
        <v>36</v>
      </c>
      <c r="K48" s="2451"/>
      <c r="L48" s="2451"/>
      <c r="M48" s="2451">
        <v>1</v>
      </c>
      <c r="N48" s="2451">
        <v>1</v>
      </c>
      <c r="O48" s="2407">
        <v>1</v>
      </c>
      <c r="P48" s="2451">
        <v>1</v>
      </c>
      <c r="Q48" s="2451">
        <v>1</v>
      </c>
      <c r="R48" s="2407"/>
      <c r="S48" s="2451"/>
      <c r="T48" s="2451">
        <v>9</v>
      </c>
      <c r="U48" s="2483">
        <v>9</v>
      </c>
      <c r="V48" s="2483">
        <v>9</v>
      </c>
      <c r="W48" s="2483" t="s">
        <v>335</v>
      </c>
      <c r="X48" s="2488">
        <v>9</v>
      </c>
      <c r="Y48" s="2451" t="s">
        <v>76</v>
      </c>
      <c r="Z48" s="2451" t="s">
        <v>77</v>
      </c>
      <c r="AA48" s="2451" t="s">
        <v>36</v>
      </c>
      <c r="AB48" s="2451" t="s">
        <v>36</v>
      </c>
      <c r="AC48" s="2407" t="s">
        <v>36</v>
      </c>
      <c r="AD48" s="2503">
        <v>3</v>
      </c>
      <c r="AE48" s="2451" t="s">
        <v>36</v>
      </c>
      <c r="AF48" s="2407" t="s">
        <v>78</v>
      </c>
      <c r="AG48" s="2453" t="s">
        <v>74</v>
      </c>
      <c r="AH48" s="181"/>
      <c r="AI48" s="182"/>
    </row>
    <row r="49" spans="1:40" ht="22.35" customHeight="1">
      <c r="A49" s="359">
        <v>5</v>
      </c>
      <c r="B49" s="2423" t="s">
        <v>90</v>
      </c>
      <c r="C49" s="350" t="s">
        <v>36</v>
      </c>
      <c r="D49" s="361"/>
      <c r="E49" s="361"/>
      <c r="F49" s="547">
        <v>5</v>
      </c>
      <c r="G49" s="547">
        <v>5</v>
      </c>
      <c r="H49" s="547">
        <v>5</v>
      </c>
      <c r="I49" s="547">
        <v>5</v>
      </c>
      <c r="J49" s="547">
        <v>5</v>
      </c>
      <c r="K49" s="361"/>
      <c r="L49" s="361"/>
      <c r="M49" s="361">
        <v>10</v>
      </c>
      <c r="N49" s="351">
        <v>10</v>
      </c>
      <c r="O49" s="349">
        <v>10</v>
      </c>
      <c r="P49" s="361">
        <v>10</v>
      </c>
      <c r="Q49" s="361">
        <v>10</v>
      </c>
      <c r="R49" s="349" t="s">
        <v>77</v>
      </c>
      <c r="S49" s="361" t="s">
        <v>77</v>
      </c>
      <c r="T49" s="361" t="s">
        <v>36</v>
      </c>
      <c r="U49" s="350" t="s">
        <v>36</v>
      </c>
      <c r="V49" s="350" t="s">
        <v>36</v>
      </c>
      <c r="W49" s="350" t="s">
        <v>36</v>
      </c>
      <c r="X49" s="350" t="s">
        <v>36</v>
      </c>
      <c r="Y49" s="528" t="s">
        <v>80</v>
      </c>
      <c r="Z49" s="350" t="s">
        <v>80</v>
      </c>
      <c r="AA49" s="350">
        <v>7</v>
      </c>
      <c r="AB49" s="350">
        <v>7</v>
      </c>
      <c r="AC49" s="350">
        <v>7</v>
      </c>
      <c r="AD49" s="361">
        <v>7</v>
      </c>
      <c r="AE49" s="361">
        <v>7</v>
      </c>
      <c r="AF49" s="349"/>
      <c r="AG49" s="352"/>
      <c r="AH49" s="181"/>
      <c r="AI49" s="182"/>
    </row>
    <row r="50" spans="1:40" ht="22.35" customHeight="1">
      <c r="A50" s="2477">
        <v>10</v>
      </c>
      <c r="B50" s="2423" t="s">
        <v>91</v>
      </c>
      <c r="C50" s="2490">
        <v>4</v>
      </c>
      <c r="D50" s="2490"/>
      <c r="E50" s="2490"/>
      <c r="F50" s="2420">
        <v>3</v>
      </c>
      <c r="G50" s="2416">
        <v>3</v>
      </c>
      <c r="H50" s="2416">
        <v>3</v>
      </c>
      <c r="I50" s="2416">
        <v>3</v>
      </c>
      <c r="J50" s="2416">
        <v>3</v>
      </c>
      <c r="K50" s="2416"/>
      <c r="L50" s="2416"/>
      <c r="M50" s="2416">
        <v>11</v>
      </c>
      <c r="N50" s="2416">
        <v>11</v>
      </c>
      <c r="O50" s="2416">
        <v>11</v>
      </c>
      <c r="P50" s="2416">
        <v>11</v>
      </c>
      <c r="Q50" s="2425">
        <v>11</v>
      </c>
      <c r="R50" s="2425" t="s">
        <v>73</v>
      </c>
      <c r="S50" s="2425" t="s">
        <v>380</v>
      </c>
      <c r="T50" s="2416" t="s">
        <v>36</v>
      </c>
      <c r="U50" s="2416" t="s">
        <v>36</v>
      </c>
      <c r="V50" s="2416" t="s">
        <v>36</v>
      </c>
      <c r="W50" s="2420" t="s">
        <v>36</v>
      </c>
      <c r="X50" s="2490" t="s">
        <v>36</v>
      </c>
      <c r="Y50" s="2419" t="s">
        <v>74</v>
      </c>
      <c r="Z50" s="2490" t="s">
        <v>74</v>
      </c>
      <c r="AA50" s="2490">
        <v>8</v>
      </c>
      <c r="AB50" s="2490">
        <v>8</v>
      </c>
      <c r="AC50" s="2490">
        <v>8</v>
      </c>
      <c r="AD50" s="2490">
        <v>8</v>
      </c>
      <c r="AE50" s="2490">
        <v>8</v>
      </c>
      <c r="AF50" s="2490"/>
      <c r="AG50" s="2492"/>
      <c r="AH50" s="181"/>
      <c r="AI50" s="182"/>
    </row>
    <row r="51" spans="1:40" ht="22.35" customHeight="1" thickBot="1">
      <c r="A51" s="2481">
        <v>15</v>
      </c>
      <c r="B51" s="2482" t="s">
        <v>92</v>
      </c>
      <c r="C51" s="2451" t="s">
        <v>36</v>
      </c>
      <c r="D51" s="2451"/>
      <c r="E51" s="2451"/>
      <c r="F51" s="2452">
        <v>1</v>
      </c>
      <c r="G51" s="2452">
        <v>1</v>
      </c>
      <c r="H51" s="2452">
        <v>1</v>
      </c>
      <c r="I51" s="2452">
        <v>1</v>
      </c>
      <c r="J51" s="2452">
        <v>1</v>
      </c>
      <c r="K51" s="2407"/>
      <c r="L51" s="2451"/>
      <c r="M51" s="2451">
        <v>9</v>
      </c>
      <c r="N51" s="2451">
        <v>9</v>
      </c>
      <c r="O51" s="2451">
        <v>9</v>
      </c>
      <c r="P51" s="2451">
        <v>9</v>
      </c>
      <c r="Q51" s="2407">
        <v>9</v>
      </c>
      <c r="R51" s="2451" t="s">
        <v>76</v>
      </c>
      <c r="S51" s="2451" t="s">
        <v>77</v>
      </c>
      <c r="T51" s="2451" t="s">
        <v>36</v>
      </c>
      <c r="U51" s="2451" t="s">
        <v>36</v>
      </c>
      <c r="V51" s="2451" t="s">
        <v>36</v>
      </c>
      <c r="W51" s="2451" t="s">
        <v>36</v>
      </c>
      <c r="X51" s="2451" t="s">
        <v>36</v>
      </c>
      <c r="Y51" s="2407" t="s">
        <v>78</v>
      </c>
      <c r="Z51" s="2451" t="s">
        <v>74</v>
      </c>
      <c r="AA51" s="2451">
        <v>6</v>
      </c>
      <c r="AB51" s="2451">
        <v>6</v>
      </c>
      <c r="AC51" s="2451">
        <v>6</v>
      </c>
      <c r="AD51" s="2451">
        <v>6</v>
      </c>
      <c r="AE51" s="2407">
        <v>6</v>
      </c>
      <c r="AF51" s="2452"/>
      <c r="AG51" s="2504"/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46" t="s">
        <v>0</v>
      </c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2505" t="s">
        <v>28</v>
      </c>
      <c r="B54" s="2505"/>
      <c r="C54" s="2500"/>
      <c r="D54" s="2505" t="s">
        <v>94</v>
      </c>
      <c r="E54" s="2506"/>
      <c r="F54" s="2500"/>
      <c r="G54" s="2505" t="s">
        <v>95</v>
      </c>
      <c r="H54" s="2506"/>
      <c r="I54" s="2500"/>
      <c r="J54" s="2505" t="s">
        <v>96</v>
      </c>
      <c r="K54" s="2506"/>
      <c r="L54" s="2500"/>
      <c r="M54" s="2505" t="s">
        <v>97</v>
      </c>
      <c r="N54" s="2506"/>
      <c r="O54" s="2500"/>
      <c r="P54" s="2505" t="s">
        <v>98</v>
      </c>
      <c r="Q54" s="2506"/>
      <c r="R54" s="2507"/>
      <c r="S54" s="2508" t="s">
        <v>99</v>
      </c>
      <c r="T54" s="2506"/>
      <c r="U54" s="2500"/>
      <c r="V54" s="2505" t="s">
        <v>100</v>
      </c>
      <c r="W54" s="2506"/>
      <c r="X54" s="2509" t="s">
        <v>101</v>
      </c>
      <c r="Y54" s="2506"/>
      <c r="Z54" s="2506"/>
      <c r="AA54" s="2510"/>
      <c r="AB54" s="2391"/>
      <c r="AC54" s="2391"/>
      <c r="AD54" s="2391"/>
      <c r="AE54" s="2391"/>
      <c r="AF54" s="2391"/>
      <c r="AG54" s="2392"/>
      <c r="AH54" s="1"/>
    </row>
    <row r="55" spans="1:40" ht="22.35" customHeight="1">
      <c r="A55" s="2511">
        <v>8517</v>
      </c>
      <c r="B55" s="2512" t="s">
        <v>381</v>
      </c>
      <c r="C55" s="2513" t="s">
        <v>382</v>
      </c>
      <c r="D55" s="2514"/>
      <c r="E55" s="2390"/>
      <c r="F55" s="2513" t="s">
        <v>382</v>
      </c>
      <c r="G55" s="2514"/>
      <c r="H55" s="2390"/>
      <c r="I55" s="2513" t="s">
        <v>382</v>
      </c>
      <c r="J55" s="2514"/>
      <c r="K55" s="2390"/>
      <c r="L55" s="2513" t="s">
        <v>382</v>
      </c>
      <c r="M55" s="2514"/>
      <c r="N55" s="2390"/>
      <c r="O55" s="2513" t="s">
        <v>382</v>
      </c>
      <c r="P55" s="2514"/>
      <c r="Q55" s="2390"/>
      <c r="R55" s="2513"/>
      <c r="S55" s="2514"/>
      <c r="T55" s="2390"/>
      <c r="U55" s="2513" t="s">
        <v>383</v>
      </c>
      <c r="V55" s="2514"/>
      <c r="W55" s="2390"/>
      <c r="X55" s="2388"/>
      <c r="Y55" s="2391"/>
      <c r="Z55" s="2391"/>
      <c r="AA55" s="2391"/>
      <c r="AB55" s="2391"/>
      <c r="AC55" s="2391"/>
      <c r="AD55" s="2391"/>
      <c r="AE55" s="2391"/>
      <c r="AF55" s="2391"/>
      <c r="AG55" s="2392"/>
      <c r="AH55" s="1"/>
    </row>
    <row r="56" spans="1:40" ht="22.35" customHeight="1">
      <c r="B56" s="2414" t="s">
        <v>102</v>
      </c>
      <c r="C56" s="2515" t="s">
        <v>103</v>
      </c>
      <c r="D56" s="2516"/>
      <c r="E56" s="2517"/>
      <c r="F56" s="2515" t="s">
        <v>103</v>
      </c>
      <c r="G56" s="2518"/>
      <c r="H56" s="2517"/>
      <c r="I56" s="2513" t="s">
        <v>103</v>
      </c>
      <c r="J56" s="2514"/>
      <c r="K56" s="2519"/>
      <c r="L56" s="2513" t="s">
        <v>103</v>
      </c>
      <c r="M56" s="2514"/>
      <c r="N56" s="2519"/>
      <c r="O56" s="2513" t="s">
        <v>104</v>
      </c>
      <c r="P56" s="2514"/>
      <c r="Q56" s="2390"/>
      <c r="R56" s="2520" t="s">
        <v>0</v>
      </c>
      <c r="S56" s="2514"/>
      <c r="T56" s="2519"/>
      <c r="U56" s="2514" t="s">
        <v>0</v>
      </c>
      <c r="V56" s="2514"/>
      <c r="W56" s="2390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2521"/>
      <c r="B57" s="2512" t="s">
        <v>105</v>
      </c>
      <c r="C57" s="2513" t="s">
        <v>106</v>
      </c>
      <c r="D57" s="2514"/>
      <c r="E57" s="2390"/>
      <c r="F57" s="2513" t="s">
        <v>106</v>
      </c>
      <c r="G57" s="2514"/>
      <c r="H57" s="2519"/>
      <c r="I57" s="2513" t="s">
        <v>106</v>
      </c>
      <c r="J57" s="2514"/>
      <c r="K57" s="2519"/>
      <c r="L57" s="2513" t="s">
        <v>106</v>
      </c>
      <c r="M57" s="2514"/>
      <c r="N57" s="2519"/>
      <c r="O57" s="2513" t="s">
        <v>384</v>
      </c>
      <c r="P57" s="2514"/>
      <c r="Q57" s="2390"/>
      <c r="R57" s="112"/>
      <c r="S57" s="113"/>
      <c r="T57" s="2519"/>
      <c r="U57" s="2514"/>
      <c r="V57" s="2514"/>
      <c r="W57" s="2390"/>
      <c r="X57" s="2388"/>
      <c r="Y57" s="2391"/>
      <c r="Z57" s="2391"/>
      <c r="AA57" s="2391"/>
      <c r="AB57" s="2391"/>
      <c r="AC57" s="2391"/>
      <c r="AD57" s="2391"/>
      <c r="AE57" s="2391"/>
      <c r="AF57" s="2391"/>
      <c r="AG57" s="2392"/>
      <c r="AH57" s="1"/>
    </row>
    <row r="58" spans="1:40" ht="22.35" customHeight="1">
      <c r="A58" s="2505"/>
      <c r="B58" s="2414" t="s">
        <v>0</v>
      </c>
      <c r="C58" s="2522"/>
      <c r="D58" s="2522"/>
      <c r="E58" s="2523"/>
      <c r="F58" s="2522"/>
      <c r="G58" s="2522"/>
      <c r="H58" s="2523"/>
      <c r="I58" s="2522"/>
      <c r="J58" s="2522"/>
      <c r="K58" s="2523"/>
      <c r="L58" s="2522"/>
      <c r="M58" s="2522"/>
      <c r="N58" s="2523"/>
      <c r="O58" s="2522"/>
      <c r="P58" s="2522"/>
      <c r="Q58" s="2523"/>
      <c r="R58" s="2522"/>
      <c r="S58" s="2522"/>
      <c r="T58" s="2523"/>
      <c r="U58" s="2522"/>
      <c r="V58" s="2522"/>
      <c r="W58" s="2523"/>
      <c r="X58" s="2388"/>
      <c r="Y58" s="2391"/>
      <c r="Z58" s="2391"/>
      <c r="AA58" s="2391"/>
      <c r="AB58" s="2391"/>
      <c r="AC58" s="2391"/>
      <c r="AD58" s="2391"/>
      <c r="AE58" s="2391"/>
      <c r="AF58" s="2391"/>
      <c r="AG58" s="2392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2524"/>
      <c r="B60" s="2406" t="s">
        <v>29</v>
      </c>
      <c r="C60" s="2407">
        <v>1</v>
      </c>
      <c r="D60" s="2408">
        <v>2</v>
      </c>
      <c r="E60" s="2408">
        <v>3</v>
      </c>
      <c r="F60" s="2407">
        <v>4</v>
      </c>
      <c r="G60" s="2407">
        <v>5</v>
      </c>
      <c r="H60" s="2407">
        <v>6</v>
      </c>
      <c r="I60" s="2407">
        <v>7</v>
      </c>
      <c r="J60" s="2407">
        <v>8</v>
      </c>
      <c r="K60" s="2408">
        <v>9</v>
      </c>
      <c r="L60" s="2408">
        <v>10</v>
      </c>
      <c r="M60" s="2407">
        <v>11</v>
      </c>
      <c r="N60" s="2407">
        <v>12</v>
      </c>
      <c r="O60" s="2407">
        <v>13</v>
      </c>
      <c r="P60" s="2407">
        <v>14</v>
      </c>
      <c r="Q60" s="2407">
        <v>15</v>
      </c>
      <c r="R60" s="2408">
        <v>16</v>
      </c>
      <c r="S60" s="2408">
        <v>17</v>
      </c>
      <c r="T60" s="2407">
        <v>18</v>
      </c>
      <c r="U60" s="2407">
        <v>19</v>
      </c>
      <c r="V60" s="2407">
        <v>20</v>
      </c>
      <c r="W60" s="2407">
        <v>21</v>
      </c>
      <c r="X60" s="2407">
        <v>22</v>
      </c>
      <c r="Y60" s="2408">
        <v>23</v>
      </c>
      <c r="Z60" s="2408">
        <v>24</v>
      </c>
      <c r="AA60" s="2407">
        <v>25</v>
      </c>
      <c r="AB60" s="2407">
        <v>26</v>
      </c>
      <c r="AC60" s="2407">
        <v>27</v>
      </c>
      <c r="AD60" s="2407">
        <v>28</v>
      </c>
      <c r="AE60" s="2407">
        <v>29</v>
      </c>
      <c r="AF60" s="2408">
        <v>30</v>
      </c>
      <c r="AG60" s="2409">
        <v>31</v>
      </c>
      <c r="AH60" s="1"/>
      <c r="AJ60" s="2410" t="s">
        <v>30</v>
      </c>
      <c r="AK60" s="2410" t="s">
        <v>43</v>
      </c>
      <c r="AL60" s="2410" t="s">
        <v>44</v>
      </c>
      <c r="AM60" s="2410" t="s">
        <v>45</v>
      </c>
      <c r="AN60" s="2410" t="s">
        <v>46</v>
      </c>
    </row>
    <row r="61" spans="1:40" ht="22.35" customHeight="1" thickBot="1">
      <c r="A61" s="303"/>
      <c r="B61" s="304" t="s">
        <v>107</v>
      </c>
      <c r="C61" s="305">
        <v>8</v>
      </c>
      <c r="D61" s="305" t="s">
        <v>0</v>
      </c>
      <c r="E61" s="306" t="s">
        <v>0</v>
      </c>
      <c r="F61" s="305" t="s">
        <v>108</v>
      </c>
      <c r="G61" s="305" t="s">
        <v>108</v>
      </c>
      <c r="H61" s="305" t="s">
        <v>108</v>
      </c>
      <c r="I61" s="507" t="s">
        <v>108</v>
      </c>
      <c r="J61" s="305" t="s">
        <v>108</v>
      </c>
      <c r="K61" s="305" t="s">
        <v>109</v>
      </c>
      <c r="L61" s="305" t="s">
        <v>109</v>
      </c>
      <c r="M61" s="305" t="s">
        <v>36</v>
      </c>
      <c r="N61" s="507" t="s">
        <v>36</v>
      </c>
      <c r="O61" s="507" t="s">
        <v>36</v>
      </c>
      <c r="P61" s="306" t="s">
        <v>36</v>
      </c>
      <c r="Q61" s="307" t="s">
        <v>36</v>
      </c>
      <c r="R61" s="305"/>
      <c r="S61" s="306"/>
      <c r="T61" s="624" t="s">
        <v>36</v>
      </c>
      <c r="U61" s="624" t="s">
        <v>36</v>
      </c>
      <c r="V61" s="624" t="s">
        <v>36</v>
      </c>
      <c r="W61" s="624" t="s">
        <v>36</v>
      </c>
      <c r="X61" s="624" t="s">
        <v>36</v>
      </c>
      <c r="Y61" s="507"/>
      <c r="Z61" s="305"/>
      <c r="AA61" s="305">
        <v>26</v>
      </c>
      <c r="AB61" s="305">
        <v>26</v>
      </c>
      <c r="AC61" s="305">
        <v>26</v>
      </c>
      <c r="AD61" s="305">
        <v>26</v>
      </c>
      <c r="AE61" s="305">
        <v>26</v>
      </c>
      <c r="AF61" s="305"/>
      <c r="AG61" s="625">
        <v>26</v>
      </c>
      <c r="AH61" s="1"/>
      <c r="AJ61" s="2436">
        <v>116.5</v>
      </c>
      <c r="AK61" s="2436">
        <v>8.5</v>
      </c>
      <c r="AL61" s="2436">
        <f>IF(AJ61="","",SUM(AJ61:AK61))</f>
        <v>125</v>
      </c>
      <c r="AM61" s="2437">
        <f t="shared" ref="AM61:AM75" si="1">IF(AJ61="","",AL61-NormTid)</f>
        <v>-35.330000000000013</v>
      </c>
      <c r="AN61" s="2437">
        <f>IF(AM61="","",AM61+'September 2021'!AN61)</f>
        <v>71.699999999999932</v>
      </c>
    </row>
    <row r="62" spans="1:40" ht="22.35" customHeight="1" thickBot="1">
      <c r="A62" s="2525"/>
      <c r="B62" s="2526" t="s">
        <v>110</v>
      </c>
      <c r="C62" s="2527" t="s">
        <v>32</v>
      </c>
      <c r="D62" s="2435" t="s">
        <v>111</v>
      </c>
      <c r="E62" s="2435" t="s">
        <v>111</v>
      </c>
      <c r="F62" s="2435">
        <v>5</v>
      </c>
      <c r="G62" s="2435">
        <v>5</v>
      </c>
      <c r="H62" s="2435">
        <v>5</v>
      </c>
      <c r="I62" s="2435">
        <v>5</v>
      </c>
      <c r="J62" s="2435">
        <v>5</v>
      </c>
      <c r="K62" s="2494" t="s">
        <v>73</v>
      </c>
      <c r="L62" s="2494" t="s">
        <v>73</v>
      </c>
      <c r="M62" s="509" t="s">
        <v>32</v>
      </c>
      <c r="N62" s="509" t="s">
        <v>32</v>
      </c>
      <c r="O62" s="509" t="s">
        <v>32</v>
      </c>
      <c r="P62" s="509" t="s">
        <v>32</v>
      </c>
      <c r="Q62" s="509" t="s">
        <v>32</v>
      </c>
      <c r="R62" s="2443"/>
      <c r="S62" s="2443"/>
      <c r="T62" s="2435">
        <v>26</v>
      </c>
      <c r="U62" s="2443">
        <v>26</v>
      </c>
      <c r="V62" s="2443">
        <v>26</v>
      </c>
      <c r="W62" s="2435">
        <v>26</v>
      </c>
      <c r="X62" s="2435">
        <v>26</v>
      </c>
      <c r="Y62" s="2435"/>
      <c r="Z62" s="2435">
        <v>26</v>
      </c>
      <c r="AA62" s="2435" t="s">
        <v>32</v>
      </c>
      <c r="AB62" s="2435" t="s">
        <v>32</v>
      </c>
      <c r="AC62" t="s">
        <v>32</v>
      </c>
      <c r="AD62" t="s">
        <v>32</v>
      </c>
      <c r="AE62" s="2435">
        <v>5</v>
      </c>
      <c r="AF62" s="2435"/>
      <c r="AG62" s="2442"/>
      <c r="AH62" s="1"/>
      <c r="AJ62" s="2436">
        <v>156.5</v>
      </c>
      <c r="AK62" s="2436">
        <v>9.25</v>
      </c>
      <c r="AL62" s="2436">
        <f t="shared" ref="AL62:AL75" si="2">IF(AJ62="","",SUM(AJ62:AK62))</f>
        <v>165.75</v>
      </c>
      <c r="AM62" s="2437">
        <f t="shared" si="1"/>
        <v>5.4199999999999875</v>
      </c>
      <c r="AN62" s="2437">
        <f>IF(AM62="","",AM62+'September 2021'!AN62)</f>
        <v>68.939999999999927</v>
      </c>
    </row>
    <row r="63" spans="1:40" ht="21.75" customHeight="1">
      <c r="A63" s="2525"/>
      <c r="B63" s="2525" t="s">
        <v>112</v>
      </c>
      <c r="C63" s="2446">
        <v>26</v>
      </c>
      <c r="D63" s="2446"/>
      <c r="E63" s="2446">
        <v>26</v>
      </c>
      <c r="F63" s="2446">
        <v>26</v>
      </c>
      <c r="G63" s="2446">
        <v>26</v>
      </c>
      <c r="H63" s="2528">
        <v>26</v>
      </c>
      <c r="I63" s="2446">
        <v>26</v>
      </c>
      <c r="J63" s="2529">
        <v>26</v>
      </c>
      <c r="K63" s="2446"/>
      <c r="L63" s="2446">
        <v>26</v>
      </c>
      <c r="M63" s="2446">
        <v>25</v>
      </c>
      <c r="N63" s="2446">
        <v>25</v>
      </c>
      <c r="O63" s="2446">
        <v>25</v>
      </c>
      <c r="P63" s="2446">
        <v>25</v>
      </c>
      <c r="Q63" s="2435" t="s">
        <v>125</v>
      </c>
      <c r="R63" s="2446"/>
      <c r="S63" s="2446"/>
      <c r="T63" s="2446">
        <v>5</v>
      </c>
      <c r="U63" s="2443">
        <v>5</v>
      </c>
      <c r="V63" s="2443">
        <v>5</v>
      </c>
      <c r="W63" s="2443">
        <v>5</v>
      </c>
      <c r="X63" s="2435">
        <v>5</v>
      </c>
      <c r="Y63" s="2443"/>
      <c r="Z63" s="2435"/>
      <c r="AA63" s="2435">
        <v>25</v>
      </c>
      <c r="AB63" s="2435">
        <v>25</v>
      </c>
      <c r="AC63" s="2435">
        <v>25</v>
      </c>
      <c r="AD63" s="2530">
        <v>25</v>
      </c>
      <c r="AE63" s="2530">
        <v>25</v>
      </c>
      <c r="AF63" s="2435" t="s">
        <v>109</v>
      </c>
      <c r="AG63" s="2442" t="s">
        <v>109</v>
      </c>
      <c r="AH63" s="1"/>
      <c r="AJ63" s="2436">
        <v>198</v>
      </c>
      <c r="AK63" s="2436">
        <v>14</v>
      </c>
      <c r="AL63" s="2436">
        <f t="shared" si="2"/>
        <v>212</v>
      </c>
      <c r="AM63" s="2437">
        <f t="shared" si="1"/>
        <v>51.669999999999987</v>
      </c>
      <c r="AN63" s="2437">
        <f>IF(AM63="","",AM63+'September 2021'!AN63)</f>
        <v>69.439999999999927</v>
      </c>
    </row>
    <row r="64" spans="1:40" ht="22.35" customHeight="1">
      <c r="A64" s="2525"/>
      <c r="B64" s="2525" t="s">
        <v>114</v>
      </c>
      <c r="C64" s="2435">
        <v>25</v>
      </c>
      <c r="D64" s="2531" t="s">
        <v>0</v>
      </c>
      <c r="E64" s="2435"/>
      <c r="F64" s="2299" t="s">
        <v>32</v>
      </c>
      <c r="G64" s="2299" t="s">
        <v>32</v>
      </c>
      <c r="H64" s="2299" t="s">
        <v>32</v>
      </c>
      <c r="I64" s="2299" t="s">
        <v>32</v>
      </c>
      <c r="J64" s="2299" t="s">
        <v>32</v>
      </c>
      <c r="K64" s="2299"/>
      <c r="L64" s="2299"/>
      <c r="M64" s="2435" t="s">
        <v>122</v>
      </c>
      <c r="N64" s="2435" t="s">
        <v>122</v>
      </c>
      <c r="O64" s="2435" t="s">
        <v>122</v>
      </c>
      <c r="P64" s="2435" t="s">
        <v>122</v>
      </c>
      <c r="Q64" s="2435" t="s">
        <v>122</v>
      </c>
      <c r="R64" s="615" t="s">
        <v>32</v>
      </c>
      <c r="S64" s="2443"/>
      <c r="T64" s="2446" t="s">
        <v>113</v>
      </c>
      <c r="U64" s="218" t="s">
        <v>113</v>
      </c>
      <c r="V64" s="218" t="s">
        <v>50</v>
      </c>
      <c r="W64" s="632">
        <v>1</v>
      </c>
      <c r="X64" s="615" t="s">
        <v>50</v>
      </c>
      <c r="Y64" s="2446"/>
      <c r="Z64" s="2446"/>
      <c r="AA64" s="2435">
        <v>69</v>
      </c>
      <c r="AB64" s="2435">
        <v>69</v>
      </c>
      <c r="AC64" s="2435">
        <v>69</v>
      </c>
      <c r="AD64" s="2435">
        <v>69</v>
      </c>
      <c r="AE64" s="2435">
        <v>69</v>
      </c>
      <c r="AF64" s="2435"/>
      <c r="AG64" s="2532"/>
      <c r="AH64" s="1"/>
      <c r="AJ64" s="2436">
        <v>147.5</v>
      </c>
      <c r="AK64" s="2436">
        <v>0.75</v>
      </c>
      <c r="AL64" s="2436">
        <f t="shared" si="2"/>
        <v>148.25</v>
      </c>
      <c r="AM64" s="2437">
        <f t="shared" si="1"/>
        <v>-12.080000000000013</v>
      </c>
      <c r="AN64" s="2437">
        <f>IF(AM64="","",AM64+'September 2021'!AN64)</f>
        <v>124.68999999999994</v>
      </c>
    </row>
    <row r="65" spans="1:40" ht="22.35" customHeight="1">
      <c r="A65" s="2525"/>
      <c r="B65" s="2525" t="s">
        <v>117</v>
      </c>
      <c r="C65" s="2533" t="s">
        <v>32</v>
      </c>
      <c r="D65" s="2533"/>
      <c r="E65" s="2529" t="s">
        <v>109</v>
      </c>
      <c r="F65" s="2533" t="s">
        <v>32</v>
      </c>
      <c r="G65" s="2533" t="s">
        <v>32</v>
      </c>
      <c r="H65" s="2533" t="s">
        <v>32</v>
      </c>
      <c r="I65" s="2533" t="s">
        <v>32</v>
      </c>
      <c r="J65" s="2533" t="s">
        <v>32</v>
      </c>
      <c r="K65" s="2533"/>
      <c r="L65" s="2533"/>
      <c r="M65" s="2533" t="s">
        <v>32</v>
      </c>
      <c r="N65" s="2534" t="s">
        <v>32</v>
      </c>
      <c r="O65" s="2534" t="s">
        <v>32</v>
      </c>
      <c r="P65" s="2534" t="s">
        <v>32</v>
      </c>
      <c r="Q65" s="2535" t="s">
        <v>32</v>
      </c>
      <c r="R65" s="2534"/>
      <c r="S65" s="2533"/>
      <c r="T65" s="2533" t="s">
        <v>32</v>
      </c>
      <c r="U65" s="2534" t="s">
        <v>32</v>
      </c>
      <c r="V65" s="2534" t="s">
        <v>32</v>
      </c>
      <c r="W65" s="2534" t="s">
        <v>32</v>
      </c>
      <c r="X65" s="2534" t="s">
        <v>32</v>
      </c>
      <c r="Y65" s="2534"/>
      <c r="Z65" s="2533"/>
      <c r="AA65" s="2533" t="s">
        <v>32</v>
      </c>
      <c r="AB65" s="2533" t="s">
        <v>32</v>
      </c>
      <c r="AC65" s="2533" t="s">
        <v>32</v>
      </c>
      <c r="AD65" s="2533" t="s">
        <v>32</v>
      </c>
      <c r="AE65" s="2533" t="s">
        <v>32</v>
      </c>
      <c r="AF65" s="2533"/>
      <c r="AG65" s="2536"/>
      <c r="AH65" s="1"/>
      <c r="AJ65" s="2436">
        <v>154</v>
      </c>
      <c r="AK65" s="2436">
        <v>0</v>
      </c>
      <c r="AL65" s="2436">
        <f t="shared" si="2"/>
        <v>154</v>
      </c>
      <c r="AM65" s="2437">
        <f t="shared" si="1"/>
        <v>-6.3300000000000125</v>
      </c>
      <c r="AN65" s="2437">
        <f>IF(AM65="","",AM65+'September 2021'!AN65)</f>
        <v>-6.3100000000000733</v>
      </c>
    </row>
    <row r="66" spans="1:40" ht="22.35" customHeight="1">
      <c r="A66" s="2525"/>
      <c r="B66" s="2525" t="s">
        <v>119</v>
      </c>
      <c r="C66" s="2537" t="s">
        <v>32</v>
      </c>
      <c r="D66" s="2537"/>
      <c r="E66" s="2537"/>
      <c r="F66" s="2537" t="s">
        <v>32</v>
      </c>
      <c r="G66" s="2537" t="s">
        <v>32</v>
      </c>
      <c r="H66" s="2537" t="s">
        <v>32</v>
      </c>
      <c r="I66" s="2537" t="s">
        <v>32</v>
      </c>
      <c r="J66" s="2537" t="s">
        <v>32</v>
      </c>
      <c r="K66" s="2537"/>
      <c r="L66" s="2537"/>
      <c r="M66" s="2537" t="s">
        <v>32</v>
      </c>
      <c r="N66" s="2537" t="s">
        <v>32</v>
      </c>
      <c r="O66" s="2537" t="s">
        <v>32</v>
      </c>
      <c r="P66" s="2537" t="s">
        <v>32</v>
      </c>
      <c r="Q66" s="2537" t="s">
        <v>32</v>
      </c>
      <c r="R66" s="2537"/>
      <c r="S66" s="2537"/>
      <c r="T66" s="2537" t="s">
        <v>32</v>
      </c>
      <c r="U66" s="2537" t="s">
        <v>32</v>
      </c>
      <c r="V66" s="2537" t="s">
        <v>32</v>
      </c>
      <c r="W66" s="2537" t="s">
        <v>32</v>
      </c>
      <c r="X66" s="2537" t="s">
        <v>32</v>
      </c>
      <c r="Y66" s="2537"/>
      <c r="Z66" s="2537"/>
      <c r="AA66" s="2537" t="s">
        <v>32</v>
      </c>
      <c r="AB66" s="2537" t="s">
        <v>32</v>
      </c>
      <c r="AC66" s="2537" t="s">
        <v>32</v>
      </c>
      <c r="AD66" s="2537" t="s">
        <v>32</v>
      </c>
      <c r="AE66" s="2537" t="s">
        <v>32</v>
      </c>
      <c r="AF66" s="2537"/>
      <c r="AG66" s="2538"/>
      <c r="AH66" s="1"/>
      <c r="AJ66" s="2436"/>
      <c r="AK66" s="2436"/>
      <c r="AL66" s="2436" t="str">
        <f>IF(AJ66="","",SUM(AJ66:AK66))</f>
        <v/>
      </c>
      <c r="AM66" s="2437" t="str">
        <f t="shared" si="1"/>
        <v/>
      </c>
      <c r="AN66" s="2437" t="str">
        <f>IF(AM66="","",AM66+'September 2021'!AN66)</f>
        <v/>
      </c>
    </row>
    <row r="67" spans="1:40" ht="22.35" customHeight="1">
      <c r="A67" s="2525"/>
      <c r="B67" s="2525" t="s">
        <v>120</v>
      </c>
      <c r="C67" s="2435" t="s">
        <v>122</v>
      </c>
      <c r="D67" s="2435"/>
      <c r="E67" s="2435"/>
      <c r="F67" s="2441" t="s">
        <v>32</v>
      </c>
      <c r="G67" s="2441" t="s">
        <v>32</v>
      </c>
      <c r="H67" s="2441" t="s">
        <v>32</v>
      </c>
      <c r="I67" s="2441" t="s">
        <v>32</v>
      </c>
      <c r="J67" s="2441" t="s">
        <v>32</v>
      </c>
      <c r="K67" s="2441"/>
      <c r="L67" s="2441"/>
      <c r="M67" s="2441" t="s">
        <v>32</v>
      </c>
      <c r="N67" s="2441" t="s">
        <v>32</v>
      </c>
      <c r="O67" s="2441" t="s">
        <v>32</v>
      </c>
      <c r="P67" s="2441" t="s">
        <v>32</v>
      </c>
      <c r="Q67" s="2441" t="s">
        <v>32</v>
      </c>
      <c r="R67" s="2441"/>
      <c r="S67" s="2441"/>
      <c r="T67" s="2443" t="s">
        <v>122</v>
      </c>
      <c r="U67" s="2443" t="s">
        <v>122</v>
      </c>
      <c r="V67" s="2443" t="s">
        <v>122</v>
      </c>
      <c r="W67" s="2443" t="s">
        <v>122</v>
      </c>
      <c r="X67" s="2443" t="s">
        <v>122</v>
      </c>
      <c r="Y67" s="2443"/>
      <c r="Z67" s="2435"/>
      <c r="AA67" s="563" t="s">
        <v>32</v>
      </c>
      <c r="AB67" s="563" t="s">
        <v>32</v>
      </c>
      <c r="AC67" s="563" t="s">
        <v>32</v>
      </c>
      <c r="AD67" s="563" t="s">
        <v>32</v>
      </c>
      <c r="AE67" s="564">
        <v>3</v>
      </c>
      <c r="AF67" s="2532"/>
      <c r="AG67" s="2532"/>
      <c r="AH67" s="1"/>
      <c r="AJ67" s="2436">
        <v>151</v>
      </c>
      <c r="AK67" s="2436">
        <v>1.75</v>
      </c>
      <c r="AL67" s="2436">
        <f t="shared" si="2"/>
        <v>152.75</v>
      </c>
      <c r="AM67" s="2437">
        <f t="shared" si="1"/>
        <v>-7.5800000000000125</v>
      </c>
      <c r="AN67" s="2437">
        <f>IF(AM67="","",AM67+'September 2021'!AN67)</f>
        <v>0.26999999999992497</v>
      </c>
    </row>
    <row r="68" spans="1:40" ht="22.35" customHeight="1">
      <c r="A68" s="2448"/>
      <c r="B68" s="2526" t="s">
        <v>123</v>
      </c>
      <c r="C68" s="2539" t="s">
        <v>108</v>
      </c>
      <c r="D68" s="2540" t="s">
        <v>0</v>
      </c>
      <c r="E68" s="2531" t="s">
        <v>0</v>
      </c>
      <c r="F68" s="2446">
        <v>25</v>
      </c>
      <c r="G68" s="2446">
        <v>25</v>
      </c>
      <c r="H68" s="2446">
        <v>25</v>
      </c>
      <c r="I68" s="2446">
        <v>25</v>
      </c>
      <c r="J68" s="2446">
        <v>25</v>
      </c>
      <c r="K68" s="2435"/>
      <c r="L68" s="2541" t="s">
        <v>32</v>
      </c>
      <c r="M68" s="2435">
        <v>26</v>
      </c>
      <c r="N68" s="2435">
        <v>26</v>
      </c>
      <c r="O68" s="2435">
        <v>26</v>
      </c>
      <c r="P68" s="2435">
        <v>26</v>
      </c>
      <c r="Q68" s="2435">
        <v>26</v>
      </c>
      <c r="R68" s="2443"/>
      <c r="S68" s="2435">
        <v>26</v>
      </c>
      <c r="T68" s="2435">
        <v>25</v>
      </c>
      <c r="U68" s="2435">
        <v>25</v>
      </c>
      <c r="V68" s="2435">
        <v>25</v>
      </c>
      <c r="W68" s="2435">
        <v>25</v>
      </c>
      <c r="X68" s="2435">
        <v>25</v>
      </c>
      <c r="Y68" s="2443"/>
      <c r="Z68" s="2435"/>
      <c r="AA68" s="2441" t="s">
        <v>32</v>
      </c>
      <c r="AB68" s="2441" t="s">
        <v>32</v>
      </c>
      <c r="AC68" s="2441" t="s">
        <v>32</v>
      </c>
      <c r="AD68" s="2441" t="s">
        <v>32</v>
      </c>
      <c r="AE68" s="2441" t="s">
        <v>32</v>
      </c>
      <c r="AF68" s="2441"/>
      <c r="AG68" s="2444"/>
      <c r="AH68" s="1"/>
      <c r="AJ68" s="2436">
        <v>172.25</v>
      </c>
      <c r="AK68" s="2436">
        <v>9.5</v>
      </c>
      <c r="AL68" s="2436">
        <f t="shared" si="2"/>
        <v>181.75</v>
      </c>
      <c r="AM68" s="2437">
        <f t="shared" si="1"/>
        <v>21.419999999999987</v>
      </c>
      <c r="AN68" s="2437">
        <f>IF(AM68="","",AM68+'September 2021'!AN68)</f>
        <v>115.68999999999993</v>
      </c>
    </row>
    <row r="69" spans="1:40" ht="22.35" customHeight="1" thickBot="1">
      <c r="A69" s="2525"/>
      <c r="B69" s="2525" t="s">
        <v>128</v>
      </c>
      <c r="C69" s="2435">
        <v>69</v>
      </c>
      <c r="D69" s="2542" t="s">
        <v>0</v>
      </c>
      <c r="E69" s="2542" t="s">
        <v>0</v>
      </c>
      <c r="F69" s="2435" t="s">
        <v>132</v>
      </c>
      <c r="G69" s="2435" t="s">
        <v>132</v>
      </c>
      <c r="H69" s="2435" t="s">
        <v>132</v>
      </c>
      <c r="I69" s="2435" t="s">
        <v>132</v>
      </c>
      <c r="J69" s="2435" t="s">
        <v>132</v>
      </c>
      <c r="K69" s="2435" t="s">
        <v>0</v>
      </c>
      <c r="L69" s="2543" t="s">
        <v>0</v>
      </c>
      <c r="M69" s="2435">
        <v>69</v>
      </c>
      <c r="N69" s="2543">
        <v>69</v>
      </c>
      <c r="O69" s="2543">
        <v>69</v>
      </c>
      <c r="P69" s="2543">
        <v>69</v>
      </c>
      <c r="Q69" s="2543">
        <v>69</v>
      </c>
      <c r="R69" s="2443"/>
      <c r="S69" s="2443"/>
      <c r="T69" s="2443" t="s">
        <v>115</v>
      </c>
      <c r="U69" s="2443" t="s">
        <v>115</v>
      </c>
      <c r="V69" s="2443" t="s">
        <v>115</v>
      </c>
      <c r="W69" s="2443" t="s">
        <v>115</v>
      </c>
      <c r="X69" s="2443" t="s">
        <v>115</v>
      </c>
      <c r="Y69" s="2435"/>
      <c r="Z69" s="2435"/>
      <c r="AA69" s="2435">
        <v>89</v>
      </c>
      <c r="AB69" s="2435">
        <v>89</v>
      </c>
      <c r="AC69" s="2435">
        <v>89</v>
      </c>
      <c r="AD69" s="2544">
        <v>4</v>
      </c>
      <c r="AE69" s="2545" t="s">
        <v>50</v>
      </c>
      <c r="AF69" s="2435"/>
      <c r="AG69" s="2442"/>
      <c r="AH69" s="1"/>
      <c r="AJ69" s="2436">
        <v>152.25</v>
      </c>
      <c r="AK69" s="2436">
        <v>0.25</v>
      </c>
      <c r="AL69" s="2436">
        <f t="shared" si="2"/>
        <v>152.5</v>
      </c>
      <c r="AM69" s="2437">
        <f t="shared" si="1"/>
        <v>-7.8300000000000125</v>
      </c>
      <c r="AN69" s="2437">
        <f>IF(AM69="","",AM69+'September 2021'!AN69)</f>
        <v>2.6899999999999249</v>
      </c>
    </row>
    <row r="70" spans="1:40" ht="22.35" customHeight="1" thickBot="1">
      <c r="A70" s="2525"/>
      <c r="B70" s="2525" t="s">
        <v>130</v>
      </c>
      <c r="C70" s="2435" t="s">
        <v>32</v>
      </c>
      <c r="D70" s="2537" t="s">
        <v>109</v>
      </c>
      <c r="E70" s="2537" t="s">
        <v>109</v>
      </c>
      <c r="F70" s="2546" t="s">
        <v>32</v>
      </c>
      <c r="G70" s="2537" t="s">
        <v>36</v>
      </c>
      <c r="H70" s="2537" t="s">
        <v>363</v>
      </c>
      <c r="I70" s="2435" t="s">
        <v>36</v>
      </c>
      <c r="J70" s="2529" t="s">
        <v>32</v>
      </c>
      <c r="K70" s="2547"/>
      <c r="L70" s="2547"/>
      <c r="M70" s="2435" t="s">
        <v>108</v>
      </c>
      <c r="N70" s="2435" t="s">
        <v>108</v>
      </c>
      <c r="O70" s="2435" t="s">
        <v>108</v>
      </c>
      <c r="P70" s="2443" t="s">
        <v>108</v>
      </c>
      <c r="Q70" s="2435" t="s">
        <v>108</v>
      </c>
      <c r="R70" s="2435" t="s">
        <v>109</v>
      </c>
      <c r="S70" s="2435" t="s">
        <v>109</v>
      </c>
      <c r="T70" s="2446" t="s">
        <v>36</v>
      </c>
      <c r="U70" s="2529" t="s">
        <v>36</v>
      </c>
      <c r="V70" s="2446" t="s">
        <v>36</v>
      </c>
      <c r="W70" s="2446" t="s">
        <v>36</v>
      </c>
      <c r="X70" s="2446" t="s">
        <v>36</v>
      </c>
      <c r="Y70" s="563" t="s">
        <v>32</v>
      </c>
      <c r="Z70" s="563" t="s">
        <v>32</v>
      </c>
      <c r="AA70" s="509" t="s">
        <v>32</v>
      </c>
      <c r="AB70" s="509" t="s">
        <v>32</v>
      </c>
      <c r="AC70" s="509" t="s">
        <v>32</v>
      </c>
      <c r="AD70" s="509" t="s">
        <v>32</v>
      </c>
      <c r="AE70" s="509" t="s">
        <v>32</v>
      </c>
      <c r="AF70" s="2529"/>
      <c r="AG70" s="2548"/>
      <c r="AH70" s="1"/>
      <c r="AJ70" s="2436">
        <v>156.25</v>
      </c>
      <c r="AK70" s="2436">
        <v>10.5</v>
      </c>
      <c r="AL70" s="2436">
        <f t="shared" si="2"/>
        <v>166.75</v>
      </c>
      <c r="AM70" s="2437">
        <f t="shared" si="1"/>
        <v>6.4199999999999875</v>
      </c>
      <c r="AN70" s="2437">
        <f>IF(AM70="","",AM70+'September 2021'!AN70)</f>
        <v>32.189999999999927</v>
      </c>
    </row>
    <row r="71" spans="1:40" ht="22.35" customHeight="1">
      <c r="A71" s="2525"/>
      <c r="B71" s="2525" t="s">
        <v>131</v>
      </c>
      <c r="C71" s="2435" t="s">
        <v>36</v>
      </c>
      <c r="D71" s="2435" t="s">
        <v>74</v>
      </c>
      <c r="E71" s="2543" t="s">
        <v>74</v>
      </c>
      <c r="F71" s="2541" t="s">
        <v>183</v>
      </c>
      <c r="G71" s="2435" t="s">
        <v>36</v>
      </c>
      <c r="H71" s="2435" t="s">
        <v>36</v>
      </c>
      <c r="I71" s="2435" t="s">
        <v>36</v>
      </c>
      <c r="J71" s="563" t="s">
        <v>32</v>
      </c>
      <c r="K71" s="2435" t="s">
        <v>74</v>
      </c>
      <c r="L71" s="2543" t="s">
        <v>74</v>
      </c>
      <c r="M71" s="2435">
        <v>99</v>
      </c>
      <c r="N71" s="2435">
        <v>99</v>
      </c>
      <c r="O71" s="2435">
        <v>99</v>
      </c>
      <c r="P71" s="2435">
        <v>99</v>
      </c>
      <c r="Q71" s="2435" t="s">
        <v>36</v>
      </c>
      <c r="R71" s="2435"/>
      <c r="S71" s="2435" t="s">
        <v>111</v>
      </c>
      <c r="T71" s="2435" t="s">
        <v>126</v>
      </c>
      <c r="U71" s="2435" t="s">
        <v>126</v>
      </c>
      <c r="V71" s="2435" t="s">
        <v>135</v>
      </c>
      <c r="W71" s="2435" t="s">
        <v>183</v>
      </c>
      <c r="X71" s="2435" t="s">
        <v>183</v>
      </c>
      <c r="Y71" s="2435"/>
      <c r="Z71" s="2435"/>
      <c r="AA71" s="563" t="s">
        <v>122</v>
      </c>
      <c r="AB71" s="563" t="s">
        <v>122</v>
      </c>
      <c r="AC71" s="563" t="s">
        <v>122</v>
      </c>
      <c r="AD71" s="563" t="s">
        <v>122</v>
      </c>
      <c r="AE71" s="563" t="s">
        <v>122</v>
      </c>
      <c r="AF71" s="2435"/>
      <c r="AG71" s="2442"/>
      <c r="AH71" s="1"/>
      <c r="AJ71" s="2436">
        <v>164</v>
      </c>
      <c r="AK71" s="2436">
        <v>4.5</v>
      </c>
      <c r="AL71" s="2436">
        <f t="shared" si="2"/>
        <v>168.5</v>
      </c>
      <c r="AM71" s="2437">
        <f t="shared" si="1"/>
        <v>8.1699999999999875</v>
      </c>
      <c r="AN71" s="2437">
        <f>IF(AM71="","",AM71+'September 2021'!AN71)</f>
        <v>56.199999999999925</v>
      </c>
    </row>
    <row r="72" spans="1:40" ht="22.35" customHeight="1">
      <c r="A72" s="2525"/>
      <c r="B72" s="2525" t="s">
        <v>133</v>
      </c>
      <c r="C72" s="2549" t="s">
        <v>50</v>
      </c>
      <c r="D72" s="2531" t="s">
        <v>0</v>
      </c>
      <c r="E72" s="2542" t="s">
        <v>0</v>
      </c>
      <c r="F72" s="2550" t="s">
        <v>50</v>
      </c>
      <c r="G72" s="2541" t="s">
        <v>50</v>
      </c>
      <c r="H72" s="2550" t="s">
        <v>50</v>
      </c>
      <c r="I72" s="2550" t="s">
        <v>50</v>
      </c>
      <c r="J72" s="2550" t="s">
        <v>50</v>
      </c>
      <c r="K72" s="2435"/>
      <c r="L72" s="2435"/>
      <c r="M72" s="2435" t="s">
        <v>50</v>
      </c>
      <c r="N72" s="2435" t="s">
        <v>50</v>
      </c>
      <c r="O72" s="2541" t="s">
        <v>50</v>
      </c>
      <c r="P72" s="2435" t="s">
        <v>50</v>
      </c>
      <c r="Q72" s="2435" t="s">
        <v>50</v>
      </c>
      <c r="R72" s="2435"/>
      <c r="S72" s="2435"/>
      <c r="T72" s="2435" t="s">
        <v>50</v>
      </c>
      <c r="U72" s="2435" t="s">
        <v>50</v>
      </c>
      <c r="V72" s="2435" t="s">
        <v>50</v>
      </c>
      <c r="W72" s="2446" t="s">
        <v>50</v>
      </c>
      <c r="X72" s="2446" t="s">
        <v>50</v>
      </c>
      <c r="Y72" s="563" t="s">
        <v>0</v>
      </c>
      <c r="Z72" s="563" t="s">
        <v>32</v>
      </c>
      <c r="AA72" s="2435" t="s">
        <v>50</v>
      </c>
      <c r="AB72" s="2435" t="s">
        <v>50</v>
      </c>
      <c r="AC72" s="2435" t="s">
        <v>50</v>
      </c>
      <c r="AD72" s="2435" t="s">
        <v>50</v>
      </c>
      <c r="AE72" s="2435" t="s">
        <v>50</v>
      </c>
      <c r="AF72" s="2435"/>
      <c r="AG72" s="2442"/>
      <c r="AH72" s="1"/>
      <c r="AJ72" s="2436">
        <v>153.75</v>
      </c>
      <c r="AK72" s="2436">
        <v>1</v>
      </c>
      <c r="AL72" s="2436">
        <f t="shared" si="2"/>
        <v>154.75</v>
      </c>
      <c r="AM72" s="2437">
        <f t="shared" si="1"/>
        <v>-5.5800000000000125</v>
      </c>
      <c r="AN72" s="2437">
        <f>IF(AM72="","",AM72+'September 2021'!AN72)</f>
        <v>-20.550000000000075</v>
      </c>
    </row>
    <row r="73" spans="1:40" ht="22.35" customHeight="1">
      <c r="A73" s="2551"/>
      <c r="B73" s="2448" t="s">
        <v>134</v>
      </c>
      <c r="C73" s="2543">
        <v>6</v>
      </c>
      <c r="D73" s="2440"/>
      <c r="E73" s="2543"/>
      <c r="F73" s="2435" t="s">
        <v>36</v>
      </c>
      <c r="G73" s="2435" t="s">
        <v>36</v>
      </c>
      <c r="H73" s="2435" t="s">
        <v>36</v>
      </c>
      <c r="I73" s="2435" t="s">
        <v>36</v>
      </c>
      <c r="J73" s="2435" t="s">
        <v>32</v>
      </c>
      <c r="K73" s="2435"/>
      <c r="L73" s="2435"/>
      <c r="M73" s="2435" t="s">
        <v>213</v>
      </c>
      <c r="N73" s="2435" t="s">
        <v>213</v>
      </c>
      <c r="O73" s="2435" t="s">
        <v>213</v>
      </c>
      <c r="P73" s="2435" t="s">
        <v>213</v>
      </c>
      <c r="Q73" s="2435" t="s">
        <v>36</v>
      </c>
      <c r="R73" s="2435"/>
      <c r="S73" s="2435"/>
      <c r="T73" s="2543" t="s">
        <v>211</v>
      </c>
      <c r="U73" s="2543" t="s">
        <v>211</v>
      </c>
      <c r="V73" s="2543" t="s">
        <v>211</v>
      </c>
      <c r="W73" s="2543" t="s">
        <v>211</v>
      </c>
      <c r="X73" s="2543" t="s">
        <v>211</v>
      </c>
      <c r="Y73" s="2435"/>
      <c r="Z73" s="2543"/>
      <c r="AA73" s="2543" t="s">
        <v>212</v>
      </c>
      <c r="AB73" s="2543" t="s">
        <v>212</v>
      </c>
      <c r="AC73" s="2543" t="s">
        <v>212</v>
      </c>
      <c r="AD73" s="2543" t="s">
        <v>212</v>
      </c>
      <c r="AE73" s="2543" t="s">
        <v>212</v>
      </c>
      <c r="AF73" s="2543" t="s">
        <v>212</v>
      </c>
      <c r="AG73" s="2532"/>
      <c r="AH73" s="1"/>
      <c r="AJ73" s="2436"/>
      <c r="AK73" s="2436"/>
      <c r="AL73" s="2436" t="str">
        <f t="shared" si="2"/>
        <v/>
      </c>
      <c r="AM73" s="2437" t="str">
        <f t="shared" si="1"/>
        <v/>
      </c>
      <c r="AN73" s="2437" t="str">
        <f>IF(AM73="","",AM73+'September 2021'!AN73)</f>
        <v/>
      </c>
    </row>
    <row r="74" spans="1:40" ht="22.35" customHeight="1">
      <c r="A74" s="2525"/>
      <c r="B74" s="2525" t="s">
        <v>366</v>
      </c>
      <c r="C74" s="2435" t="s">
        <v>211</v>
      </c>
      <c r="D74" s="2435"/>
      <c r="E74" s="2435"/>
      <c r="F74" s="2435" t="s">
        <v>212</v>
      </c>
      <c r="G74" s="2435" t="s">
        <v>212</v>
      </c>
      <c r="H74" s="2435" t="s">
        <v>212</v>
      </c>
      <c r="I74" s="2435" t="s">
        <v>212</v>
      </c>
      <c r="J74" s="2435" t="s">
        <v>212</v>
      </c>
      <c r="K74" s="2435" t="s">
        <v>212</v>
      </c>
      <c r="L74" s="2435"/>
      <c r="M74" s="2435">
        <v>5</v>
      </c>
      <c r="N74" s="2435">
        <v>5</v>
      </c>
      <c r="O74" s="2435">
        <v>5</v>
      </c>
      <c r="P74" s="2435">
        <v>5</v>
      </c>
      <c r="Q74" s="2435">
        <v>5</v>
      </c>
      <c r="R74" s="2435"/>
      <c r="S74" s="2435"/>
      <c r="T74" s="2543">
        <v>10</v>
      </c>
      <c r="U74" s="2543">
        <v>10</v>
      </c>
      <c r="V74" s="2552">
        <v>10</v>
      </c>
      <c r="W74" s="2543">
        <v>10</v>
      </c>
      <c r="X74" s="2543">
        <v>10</v>
      </c>
      <c r="Y74" s="2435" t="s">
        <v>77</v>
      </c>
      <c r="Z74" s="2543" t="s">
        <v>77</v>
      </c>
      <c r="AA74" s="2543" t="s">
        <v>36</v>
      </c>
      <c r="AB74" s="2543" t="s">
        <v>36</v>
      </c>
      <c r="AC74" s="2543" t="s">
        <v>36</v>
      </c>
      <c r="AD74" s="2543" t="s">
        <v>36</v>
      </c>
      <c r="AE74" s="2440" t="s">
        <v>36</v>
      </c>
      <c r="AF74" s="2543" t="s">
        <v>80</v>
      </c>
      <c r="AG74" s="2532" t="s">
        <v>80</v>
      </c>
      <c r="AH74" s="1"/>
      <c r="AJ74" s="2436"/>
      <c r="AK74" s="2436"/>
      <c r="AL74" s="2436" t="str">
        <f t="shared" si="2"/>
        <v/>
      </c>
      <c r="AM74" s="2437" t="str">
        <f t="shared" si="1"/>
        <v/>
      </c>
      <c r="AN74" s="2437" t="str">
        <f>IF(AM74="","",AM74+'September 2021'!AN74)</f>
        <v/>
      </c>
    </row>
    <row r="75" spans="1:40" ht="22.35" customHeight="1">
      <c r="AJ75" s="2436"/>
      <c r="AK75" s="2436"/>
      <c r="AL75" s="2436" t="str">
        <f t="shared" si="2"/>
        <v/>
      </c>
      <c r="AM75" s="2437" t="str">
        <f t="shared" si="1"/>
        <v/>
      </c>
      <c r="AN75" s="2437" t="str">
        <f>IF(AM75="","",AM75+'September 2021'!AN75)</f>
        <v/>
      </c>
    </row>
    <row r="76" spans="1:40" ht="22.35" customHeight="1">
      <c r="AJ76" s="2436"/>
      <c r="AK76" s="2436"/>
      <c r="AL76" s="2436" t="str">
        <f t="shared" ref="AL76" si="3">IF(AJ76="","",SUM(AJ76:AK76))</f>
        <v/>
      </c>
      <c r="AM76" s="2437" t="str">
        <f t="shared" ref="AM76" si="4">IF(AJ76="","",AL76-NormTid)</f>
        <v/>
      </c>
      <c r="AN76" s="2437" t="str">
        <f>IF(AM76="","",AM76+'September 2021'!AN76)</f>
        <v/>
      </c>
    </row>
    <row r="77" spans="1:40" ht="22.35" customHeight="1" thickBot="1">
      <c r="A77" s="2553"/>
      <c r="B77" s="2554" t="s">
        <v>138</v>
      </c>
      <c r="C77" s="2555">
        <v>1</v>
      </c>
      <c r="D77" s="2556">
        <v>2</v>
      </c>
      <c r="E77" s="2556">
        <v>3</v>
      </c>
      <c r="F77" s="2555">
        <v>4</v>
      </c>
      <c r="G77" s="2555">
        <v>5</v>
      </c>
      <c r="H77" s="2555">
        <v>6</v>
      </c>
      <c r="I77" s="2555">
        <v>7</v>
      </c>
      <c r="J77" s="2555">
        <v>8</v>
      </c>
      <c r="K77" s="2556">
        <v>9</v>
      </c>
      <c r="L77" s="2556">
        <v>10</v>
      </c>
      <c r="M77" s="2555">
        <v>11</v>
      </c>
      <c r="N77" s="2555">
        <v>12</v>
      </c>
      <c r="O77" s="2555">
        <v>13</v>
      </c>
      <c r="P77" s="2555">
        <v>14</v>
      </c>
      <c r="Q77" s="2555">
        <v>15</v>
      </c>
      <c r="R77" s="2556">
        <v>16</v>
      </c>
      <c r="S77" s="2556">
        <v>17</v>
      </c>
      <c r="T77" s="2555">
        <v>18</v>
      </c>
      <c r="U77" s="2555">
        <v>19</v>
      </c>
      <c r="V77" s="2555">
        <v>20</v>
      </c>
      <c r="W77" s="2555">
        <v>21</v>
      </c>
      <c r="X77" s="2555">
        <v>22</v>
      </c>
      <c r="Y77" s="2556">
        <v>23</v>
      </c>
      <c r="Z77" s="2556">
        <v>24</v>
      </c>
      <c r="AA77" s="2555">
        <v>25</v>
      </c>
      <c r="AB77" s="2555">
        <v>26</v>
      </c>
      <c r="AC77" s="2555">
        <v>27</v>
      </c>
      <c r="AD77" s="2555">
        <v>28</v>
      </c>
      <c r="AE77" s="2555">
        <v>29</v>
      </c>
      <c r="AF77" s="2556">
        <v>30</v>
      </c>
      <c r="AG77" s="2557">
        <v>31</v>
      </c>
      <c r="AH77" s="1"/>
      <c r="AJ77" s="2436"/>
      <c r="AK77" s="2436"/>
      <c r="AL77" s="2436" t="str">
        <f>IF(AJ77="","",SUM(AJ77:AK77))</f>
        <v/>
      </c>
      <c r="AM77" s="2437" t="str">
        <f>IF(AJ77="","",AL77-NormTid)</f>
        <v/>
      </c>
      <c r="AN77" s="2437" t="str">
        <f>IF(AM77="","",AM77+'September 2021'!AN77)</f>
        <v/>
      </c>
    </row>
    <row r="78" spans="1:40" ht="22.35" customHeight="1" thickBot="1">
      <c r="A78" s="308"/>
      <c r="B78" s="308" t="s">
        <v>139</v>
      </c>
      <c r="C78" s="2435">
        <v>11</v>
      </c>
      <c r="D78" s="2455" t="s">
        <v>73</v>
      </c>
      <c r="E78" s="2455" t="s">
        <v>73</v>
      </c>
      <c r="F78" s="2446" t="s">
        <v>36</v>
      </c>
      <c r="G78" s="2446" t="s">
        <v>36</v>
      </c>
      <c r="H78" s="2446">
        <v>4</v>
      </c>
      <c r="I78" s="2446">
        <v>4</v>
      </c>
      <c r="J78" s="2446">
        <v>4</v>
      </c>
      <c r="K78" s="2435" t="s">
        <v>0</v>
      </c>
      <c r="L78" s="2435"/>
      <c r="M78" s="2435" t="s">
        <v>32</v>
      </c>
      <c r="N78" s="2435" t="s">
        <v>32</v>
      </c>
      <c r="O78" s="2435" t="s">
        <v>32</v>
      </c>
      <c r="P78" s="2435">
        <v>8</v>
      </c>
      <c r="Q78" s="2435" t="s">
        <v>32</v>
      </c>
      <c r="R78" s="2443"/>
      <c r="S78" s="2435"/>
      <c r="T78" s="2435">
        <v>4</v>
      </c>
      <c r="U78" s="2443">
        <v>4</v>
      </c>
      <c r="V78" s="2443">
        <v>4</v>
      </c>
      <c r="W78" s="2443">
        <v>4</v>
      </c>
      <c r="X78" s="2435">
        <v>4</v>
      </c>
      <c r="Y78" s="361" t="s">
        <v>80</v>
      </c>
      <c r="Z78" s="2435"/>
      <c r="AA78" s="2451">
        <v>1</v>
      </c>
      <c r="AB78" s="2451">
        <v>1</v>
      </c>
      <c r="AC78" s="2407">
        <v>1</v>
      </c>
      <c r="AD78" s="2407">
        <v>1</v>
      </c>
      <c r="AE78" s="2407">
        <v>1</v>
      </c>
      <c r="AF78" s="2435"/>
      <c r="AG78" s="311"/>
      <c r="AH78" s="1"/>
    </row>
    <row r="79" spans="1:40" ht="22.35" customHeight="1" thickBot="1">
      <c r="A79" s="2526"/>
      <c r="B79" s="2526" t="s">
        <v>140</v>
      </c>
      <c r="C79" s="2435" t="s">
        <v>50</v>
      </c>
      <c r="D79" s="2539" t="s">
        <v>111</v>
      </c>
      <c r="E79" s="2539" t="s">
        <v>111</v>
      </c>
      <c r="F79" s="509" t="s">
        <v>32</v>
      </c>
      <c r="G79" s="623">
        <v>11</v>
      </c>
      <c r="H79" s="563" t="s">
        <v>32</v>
      </c>
      <c r="I79" s="623">
        <v>8</v>
      </c>
      <c r="J79" s="509" t="s">
        <v>32</v>
      </c>
      <c r="K79" s="615" t="s">
        <v>32</v>
      </c>
      <c r="L79" s="2443"/>
      <c r="M79" s="509" t="s">
        <v>36</v>
      </c>
      <c r="N79" s="2454" t="s">
        <v>36</v>
      </c>
      <c r="O79" s="2454" t="s">
        <v>36</v>
      </c>
      <c r="P79" s="2454" t="s">
        <v>135</v>
      </c>
      <c r="Q79" s="2436">
        <v>25</v>
      </c>
      <c r="R79" s="615" t="s">
        <v>32</v>
      </c>
      <c r="S79" s="615" t="s">
        <v>32</v>
      </c>
      <c r="T79" s="509" t="s">
        <v>36</v>
      </c>
      <c r="U79" s="509">
        <v>99</v>
      </c>
      <c r="V79" s="632">
        <v>3</v>
      </c>
      <c r="W79" s="509">
        <v>22</v>
      </c>
      <c r="X79" s="2503" t="s">
        <v>36</v>
      </c>
      <c r="Y79" s="563" t="s">
        <v>32</v>
      </c>
      <c r="Z79" s="2543"/>
      <c r="AA79" s="2543" t="s">
        <v>108</v>
      </c>
      <c r="AB79" s="2543" t="s">
        <v>108</v>
      </c>
      <c r="AC79" s="2543" t="s">
        <v>108</v>
      </c>
      <c r="AD79" s="2529" t="s">
        <v>108</v>
      </c>
      <c r="AE79" s="2558" t="s">
        <v>108</v>
      </c>
      <c r="AF79" s="2435"/>
      <c r="AG79" s="2442"/>
      <c r="AH79" s="1"/>
    </row>
    <row r="80" spans="1:40" ht="22.35" customHeight="1" thickBot="1">
      <c r="A80" s="2559"/>
      <c r="B80" s="2526" t="s">
        <v>342</v>
      </c>
      <c r="C80" s="2435" t="s">
        <v>36</v>
      </c>
      <c r="D80" s="2435"/>
      <c r="E80" s="2435"/>
      <c r="F80" s="615" t="s">
        <v>122</v>
      </c>
      <c r="G80" s="2454" t="s">
        <v>122</v>
      </c>
      <c r="H80" s="615" t="s">
        <v>122</v>
      </c>
      <c r="I80" s="615" t="s">
        <v>122</v>
      </c>
      <c r="J80" s="2454" t="s">
        <v>122</v>
      </c>
      <c r="K80" s="2435"/>
      <c r="L80" s="2435"/>
      <c r="M80" s="2451">
        <v>8</v>
      </c>
      <c r="N80" s="2451" t="s">
        <v>32</v>
      </c>
      <c r="O80" s="563" t="s">
        <v>32</v>
      </c>
      <c r="P80" s="563" t="s">
        <v>32</v>
      </c>
      <c r="Q80" s="563" t="s">
        <v>32</v>
      </c>
      <c r="R80" s="2450" t="s">
        <v>73</v>
      </c>
      <c r="S80" s="2450" t="s">
        <v>73</v>
      </c>
      <c r="T80" s="2446" t="s">
        <v>36</v>
      </c>
      <c r="U80" s="2446" t="s">
        <v>36</v>
      </c>
      <c r="V80" s="2529" t="s">
        <v>36</v>
      </c>
      <c r="W80" s="2446" t="s">
        <v>36</v>
      </c>
      <c r="X80" s="2446" t="s">
        <v>36</v>
      </c>
      <c r="Y80" s="2435"/>
      <c r="Z80" s="2488"/>
      <c r="AA80" s="2435">
        <v>21</v>
      </c>
      <c r="AB80" s="2435">
        <v>21</v>
      </c>
      <c r="AC80" s="2435">
        <v>21</v>
      </c>
      <c r="AD80" s="2435">
        <v>21</v>
      </c>
      <c r="AE80" s="2435">
        <v>21</v>
      </c>
      <c r="AF80" s="2435">
        <v>21</v>
      </c>
      <c r="AG80" s="2454">
        <v>21</v>
      </c>
      <c r="AH80" s="1"/>
    </row>
    <row r="81" spans="1:35" ht="22.35" customHeight="1" thickBot="1">
      <c r="A81" s="994"/>
      <c r="B81" s="995" t="s">
        <v>350</v>
      </c>
      <c r="C81" s="563" t="s">
        <v>32</v>
      </c>
      <c r="D81" s="563" t="s">
        <v>32</v>
      </c>
      <c r="E81" s="615" t="s">
        <v>0</v>
      </c>
      <c r="F81" s="1564" t="s">
        <v>32</v>
      </c>
      <c r="G81" s="997">
        <v>89</v>
      </c>
      <c r="H81" s="2560" t="s">
        <v>32</v>
      </c>
      <c r="I81" s="2541">
        <v>89</v>
      </c>
      <c r="J81" s="1126">
        <v>89</v>
      </c>
      <c r="K81" s="997" t="s">
        <v>111</v>
      </c>
      <c r="L81" s="997" t="s">
        <v>111</v>
      </c>
      <c r="M81" s="563" t="s">
        <v>32</v>
      </c>
      <c r="N81" s="563">
        <v>8</v>
      </c>
      <c r="O81" s="563">
        <v>8</v>
      </c>
      <c r="P81" s="563" t="s">
        <v>32</v>
      </c>
      <c r="Q81" s="349" t="s">
        <v>50</v>
      </c>
      <c r="R81" s="996"/>
      <c r="S81" s="998"/>
      <c r="T81" s="2537" t="s">
        <v>50</v>
      </c>
      <c r="U81" s="2537" t="s">
        <v>358</v>
      </c>
      <c r="V81" s="996">
        <v>99</v>
      </c>
      <c r="W81" s="998" t="s">
        <v>50</v>
      </c>
      <c r="X81" s="996">
        <v>1</v>
      </c>
      <c r="Y81" s="998" t="s">
        <v>111</v>
      </c>
      <c r="Z81" s="998" t="s">
        <v>111</v>
      </c>
      <c r="AA81" s="563" t="s">
        <v>32</v>
      </c>
      <c r="AB81" s="563" t="s">
        <v>32</v>
      </c>
      <c r="AC81" s="563" t="s">
        <v>32</v>
      </c>
      <c r="AD81" s="563" t="s">
        <v>32</v>
      </c>
      <c r="AE81" s="563" t="s">
        <v>50</v>
      </c>
      <c r="AF81" s="999"/>
      <c r="AG81" s="999"/>
      <c r="AH81" s="1"/>
    </row>
    <row r="82" spans="1:35" ht="22.35" customHeight="1" thickBot="1">
      <c r="A82" s="205"/>
      <c r="B82" s="613" t="s">
        <v>359</v>
      </c>
      <c r="C82" s="203">
        <v>79</v>
      </c>
      <c r="D82" s="207"/>
      <c r="E82" s="207"/>
      <c r="F82" s="2451">
        <v>9</v>
      </c>
      <c r="G82" s="2451">
        <v>9</v>
      </c>
      <c r="H82" s="2451">
        <v>9</v>
      </c>
      <c r="I82" s="2451">
        <v>9</v>
      </c>
      <c r="J82" s="2407">
        <v>9</v>
      </c>
      <c r="K82" s="2451" t="s">
        <v>76</v>
      </c>
      <c r="L82" s="2451" t="s">
        <v>77</v>
      </c>
      <c r="M82" s="2446" t="s">
        <v>36</v>
      </c>
      <c r="N82" s="2446" t="s">
        <v>36</v>
      </c>
      <c r="O82" s="2446" t="s">
        <v>36</v>
      </c>
      <c r="P82" s="2446" t="s">
        <v>36</v>
      </c>
      <c r="Q82" s="2446">
        <v>8</v>
      </c>
      <c r="R82" s="2407" t="s">
        <v>74</v>
      </c>
      <c r="S82" s="2451" t="s">
        <v>74</v>
      </c>
      <c r="T82" s="2561">
        <v>8</v>
      </c>
      <c r="U82" s="2561">
        <v>8</v>
      </c>
      <c r="V82" s="2561">
        <v>8</v>
      </c>
      <c r="W82" s="2561">
        <v>8</v>
      </c>
      <c r="X82" s="2488">
        <v>8</v>
      </c>
      <c r="Y82" s="203"/>
      <c r="Z82" s="203"/>
      <c r="AA82" s="2446" t="s">
        <v>36</v>
      </c>
      <c r="AB82" s="2446" t="s">
        <v>36</v>
      </c>
      <c r="AC82" s="2446" t="s">
        <v>36</v>
      </c>
      <c r="AD82" s="2446" t="s">
        <v>36</v>
      </c>
      <c r="AE82" s="2446" t="s">
        <v>36</v>
      </c>
      <c r="AF82" s="2451" t="s">
        <v>76</v>
      </c>
      <c r="AG82" s="2451" t="s">
        <v>77</v>
      </c>
      <c r="AH82" s="1"/>
    </row>
    <row r="83" spans="1:35" ht="22.35" customHeight="1" thickBot="1">
      <c r="A83" s="204"/>
      <c r="B83" s="508" t="s">
        <v>352</v>
      </c>
      <c r="C83" s="203">
        <v>21</v>
      </c>
      <c r="D83" s="203">
        <v>21</v>
      </c>
      <c r="E83" s="203">
        <v>21</v>
      </c>
      <c r="F83" s="2446" t="s">
        <v>36</v>
      </c>
      <c r="G83" s="2446" t="s">
        <v>36</v>
      </c>
      <c r="H83" s="2446" t="s">
        <v>36</v>
      </c>
      <c r="I83" s="2446" t="s">
        <v>36</v>
      </c>
      <c r="J83" s="2446" t="s">
        <v>36</v>
      </c>
      <c r="K83" s="2435">
        <v>89</v>
      </c>
      <c r="L83" s="203" t="s">
        <v>0</v>
      </c>
      <c r="M83" s="509">
        <v>3</v>
      </c>
      <c r="N83" s="509">
        <v>3</v>
      </c>
      <c r="O83" s="509">
        <v>3</v>
      </c>
      <c r="P83" s="509">
        <v>3</v>
      </c>
      <c r="Q83" s="563" t="s">
        <v>32</v>
      </c>
      <c r="R83" s="203" t="s">
        <v>0</v>
      </c>
      <c r="S83" s="203" t="s">
        <v>0</v>
      </c>
      <c r="T83" s="2454">
        <v>69</v>
      </c>
      <c r="U83" s="2454">
        <v>69</v>
      </c>
      <c r="V83" s="2454">
        <v>69</v>
      </c>
      <c r="W83" s="2454">
        <v>69</v>
      </c>
      <c r="X83" s="2454">
        <v>69</v>
      </c>
      <c r="Y83" s="509" t="s">
        <v>0</v>
      </c>
      <c r="Z83" s="203"/>
      <c r="AA83" s="635" t="s">
        <v>52</v>
      </c>
      <c r="AB83" s="203" t="s">
        <v>126</v>
      </c>
      <c r="AC83" s="203" t="s">
        <v>135</v>
      </c>
      <c r="AD83" s="203">
        <v>89</v>
      </c>
      <c r="AE83" s="203">
        <v>89</v>
      </c>
      <c r="AF83" s="203" t="s">
        <v>0</v>
      </c>
      <c r="AG83" s="225"/>
      <c r="AH83" s="1"/>
    </row>
    <row r="84" spans="1:35" ht="22.35" customHeight="1">
      <c r="A84" s="64" t="s">
        <v>143</v>
      </c>
      <c r="AH84" s="1"/>
    </row>
    <row r="85" spans="1:35" ht="22.35" customHeight="1" thickBot="1">
      <c r="A85" s="2562"/>
      <c r="B85" s="2476" t="s">
        <v>29</v>
      </c>
      <c r="C85" s="2407">
        <v>1</v>
      </c>
      <c r="D85" s="2408">
        <v>2</v>
      </c>
      <c r="E85" s="2408">
        <v>3</v>
      </c>
      <c r="F85" s="2407">
        <v>4</v>
      </c>
      <c r="G85" s="2407">
        <v>5</v>
      </c>
      <c r="H85" s="2407">
        <v>6</v>
      </c>
      <c r="I85" s="2407">
        <v>7</v>
      </c>
      <c r="J85" s="2407">
        <v>8</v>
      </c>
      <c r="K85" s="2408">
        <v>9</v>
      </c>
      <c r="L85" s="2408">
        <v>10</v>
      </c>
      <c r="M85" s="2407">
        <v>11</v>
      </c>
      <c r="N85" s="2407">
        <v>12</v>
      </c>
      <c r="O85" s="2407">
        <v>13</v>
      </c>
      <c r="P85" s="2407">
        <v>14</v>
      </c>
      <c r="Q85" s="2407">
        <v>15</v>
      </c>
      <c r="R85" s="2408">
        <v>16</v>
      </c>
      <c r="S85" s="2408">
        <v>17</v>
      </c>
      <c r="T85" s="2407">
        <v>18</v>
      </c>
      <c r="U85" s="2407">
        <v>19</v>
      </c>
      <c r="V85" s="2407">
        <v>20</v>
      </c>
      <c r="W85" s="2407">
        <v>21</v>
      </c>
      <c r="X85" s="2407">
        <v>22</v>
      </c>
      <c r="Y85" s="2408">
        <v>23</v>
      </c>
      <c r="Z85" s="2408">
        <v>24</v>
      </c>
      <c r="AA85" s="2407">
        <v>25</v>
      </c>
      <c r="AB85" s="2407">
        <v>26</v>
      </c>
      <c r="AC85" s="2407">
        <v>27</v>
      </c>
      <c r="AD85" s="2407">
        <v>28</v>
      </c>
      <c r="AE85" s="2407">
        <v>29</v>
      </c>
      <c r="AF85" s="2408">
        <v>30</v>
      </c>
      <c r="AG85" s="2409">
        <v>31</v>
      </c>
      <c r="AH85" s="1"/>
    </row>
    <row r="86" spans="1:35" ht="22.35" customHeight="1">
      <c r="A86" s="365"/>
      <c r="B86" s="366" t="s">
        <v>144</v>
      </c>
      <c r="C86" s="349"/>
      <c r="D86" s="364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52"/>
      <c r="AH86" s="1"/>
    </row>
    <row r="87" spans="1:35" ht="22.35" customHeight="1">
      <c r="A87" s="2563">
        <v>2</v>
      </c>
      <c r="B87" s="2423" t="s">
        <v>369</v>
      </c>
      <c r="C87" s="2564">
        <v>8</v>
      </c>
      <c r="D87" s="2419"/>
      <c r="E87" s="2419"/>
      <c r="F87" s="2564">
        <v>9</v>
      </c>
      <c r="G87" s="2564">
        <v>9</v>
      </c>
      <c r="H87" s="2564">
        <v>9</v>
      </c>
      <c r="I87" s="2564">
        <v>9</v>
      </c>
      <c r="J87" s="2564">
        <v>9</v>
      </c>
      <c r="K87" s="2416"/>
      <c r="L87" s="2416"/>
      <c r="M87" s="2564" t="s">
        <v>0</v>
      </c>
      <c r="N87" s="2564" t="s">
        <v>125</v>
      </c>
      <c r="O87" s="2564" t="s">
        <v>125</v>
      </c>
      <c r="P87" s="2564" t="s">
        <v>125</v>
      </c>
      <c r="Q87" s="2564" t="s">
        <v>125</v>
      </c>
      <c r="R87" s="2565"/>
      <c r="S87" s="2565"/>
      <c r="T87" s="2564">
        <v>89</v>
      </c>
      <c r="U87" s="2564">
        <v>89</v>
      </c>
      <c r="V87" s="2564">
        <v>89</v>
      </c>
      <c r="W87" s="2564">
        <v>89</v>
      </c>
      <c r="X87" s="2564">
        <v>89</v>
      </c>
      <c r="Y87" s="2564">
        <v>89</v>
      </c>
      <c r="Z87" s="2565"/>
      <c r="AA87" s="2564" t="s">
        <v>125</v>
      </c>
      <c r="AB87" s="2564" t="s">
        <v>125</v>
      </c>
      <c r="AC87" s="2564" t="s">
        <v>125</v>
      </c>
      <c r="AD87" s="2564" t="s">
        <v>125</v>
      </c>
      <c r="AE87" s="2566" t="s">
        <v>125</v>
      </c>
      <c r="AF87" s="2565"/>
      <c r="AG87" s="2567"/>
      <c r="AH87" s="1"/>
    </row>
    <row r="88" spans="1:35" ht="22.35" customHeight="1">
      <c r="A88" s="2563">
        <v>3</v>
      </c>
      <c r="B88" s="2423"/>
      <c r="C88" s="2419"/>
      <c r="D88" s="2419"/>
      <c r="E88" s="2419"/>
      <c r="F88" s="2419"/>
      <c r="G88" s="2419"/>
      <c r="H88" s="2419"/>
      <c r="I88" s="2419"/>
      <c r="J88" s="2419"/>
      <c r="K88" s="2419"/>
      <c r="L88" s="2419"/>
      <c r="M88" s="2419"/>
      <c r="N88" s="2419"/>
      <c r="O88" s="2419"/>
      <c r="P88" s="2419"/>
      <c r="Q88" s="2419"/>
      <c r="R88" s="2419"/>
      <c r="S88" s="2419"/>
      <c r="T88" s="2419"/>
      <c r="U88" s="2419"/>
      <c r="V88" s="2419"/>
      <c r="W88" s="2419"/>
      <c r="X88" s="2419"/>
      <c r="Y88" s="2419"/>
      <c r="Z88" s="2419"/>
      <c r="AA88" s="2419"/>
      <c r="AB88" s="2419"/>
      <c r="AC88" s="2419"/>
      <c r="AD88" s="2419"/>
      <c r="AE88" s="2419"/>
      <c r="AF88" s="2419"/>
      <c r="AG88" s="2480"/>
      <c r="AH88" s="1"/>
    </row>
    <row r="89" spans="1:35" ht="22.35" customHeight="1" thickBot="1">
      <c r="A89" s="2524">
        <v>4</v>
      </c>
      <c r="B89" s="2482"/>
      <c r="C89" s="2455"/>
      <c r="D89" s="2455"/>
      <c r="E89" s="2455"/>
      <c r="F89" s="2455"/>
      <c r="G89" s="2455"/>
      <c r="H89" s="2455"/>
      <c r="I89" s="2455"/>
      <c r="J89" s="2455"/>
      <c r="K89" s="2455"/>
      <c r="L89" s="2455"/>
      <c r="M89" s="2455"/>
      <c r="N89" s="2455"/>
      <c r="O89" s="2455"/>
      <c r="P89" s="2455"/>
      <c r="Q89" s="2455"/>
      <c r="R89" s="2455"/>
      <c r="S89" s="2455"/>
      <c r="T89" s="2455"/>
      <c r="U89" s="2455"/>
      <c r="V89" s="2455"/>
      <c r="W89" s="2455"/>
      <c r="X89" s="2455"/>
      <c r="Y89" s="2455"/>
      <c r="Z89" s="2455"/>
      <c r="AA89" s="2568"/>
      <c r="AB89" s="2569"/>
      <c r="AC89" s="2569"/>
      <c r="AD89" s="2569"/>
      <c r="AE89" s="2570"/>
      <c r="AF89" s="2455"/>
      <c r="AG89" s="2453"/>
      <c r="AH89" s="1"/>
    </row>
    <row r="90" spans="1:35" ht="22.35" customHeight="1">
      <c r="A90" s="209"/>
      <c r="B90" s="21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  <c r="AA90" s="211"/>
      <c r="AB90" s="211"/>
      <c r="AC90" s="211"/>
      <c r="AD90" s="211"/>
      <c r="AE90" s="211"/>
      <c r="AF90" s="211"/>
      <c r="AG90" s="211"/>
      <c r="AH90" s="1"/>
    </row>
    <row r="91" spans="1:35" ht="22.35" customHeight="1">
      <c r="A91" s="209"/>
      <c r="B91" s="21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1"/>
    </row>
    <row r="92" spans="1:35" ht="22.35" customHeight="1" thickBot="1">
      <c r="A92" t="s">
        <v>145</v>
      </c>
    </row>
    <row r="93" spans="1:35" ht="22.35" customHeight="1" thickBot="1">
      <c r="B93" s="323" t="s">
        <v>146</v>
      </c>
      <c r="C93" s="252"/>
      <c r="D93" s="314" t="s">
        <v>94</v>
      </c>
      <c r="E93" s="314"/>
      <c r="F93" s="279"/>
      <c r="G93" s="252"/>
      <c r="H93" s="314" t="s">
        <v>95</v>
      </c>
      <c r="I93" s="314"/>
      <c r="J93" s="279"/>
      <c r="K93" s="252"/>
      <c r="L93" s="314" t="s">
        <v>96</v>
      </c>
      <c r="M93" s="314"/>
      <c r="N93" s="279"/>
      <c r="O93" s="252"/>
      <c r="P93" s="314" t="s">
        <v>97</v>
      </c>
      <c r="Q93" s="314"/>
      <c r="R93" s="279"/>
      <c r="S93" s="252"/>
      <c r="T93" s="314" t="s">
        <v>98</v>
      </c>
      <c r="U93" s="314"/>
      <c r="V93" s="279"/>
      <c r="W93" s="252"/>
      <c r="X93" s="314" t="s">
        <v>99</v>
      </c>
      <c r="Y93" s="314"/>
      <c r="Z93" s="279"/>
      <c r="AA93" s="252"/>
      <c r="AB93" s="314" t="s">
        <v>100</v>
      </c>
      <c r="AC93" s="314"/>
      <c r="AD93" s="314"/>
      <c r="AE93" s="314" t="s">
        <v>147</v>
      </c>
      <c r="AF93" s="314"/>
      <c r="AG93" s="314"/>
      <c r="AH93" s="314"/>
      <c r="AI93" s="267"/>
    </row>
    <row r="94" spans="1:35" ht="22.35" customHeight="1">
      <c r="B94" s="441" t="s">
        <v>148</v>
      </c>
      <c r="C94" s="368" t="s">
        <v>149</v>
      </c>
      <c r="D94" s="314"/>
      <c r="E94" s="357"/>
      <c r="F94" s="372"/>
      <c r="G94" s="368" t="s">
        <v>149</v>
      </c>
      <c r="H94" s="357"/>
      <c r="I94" s="357"/>
      <c r="J94" s="372"/>
      <c r="K94" s="252" t="s">
        <v>149</v>
      </c>
      <c r="L94" s="314"/>
      <c r="M94" s="314"/>
      <c r="N94" s="279"/>
      <c r="O94" s="252" t="s">
        <v>150</v>
      </c>
      <c r="P94" s="314"/>
      <c r="Q94" s="357"/>
      <c r="R94" s="372"/>
      <c r="S94" s="368" t="s">
        <v>151</v>
      </c>
      <c r="T94" s="357"/>
      <c r="U94" s="357"/>
      <c r="V94" s="357"/>
      <c r="W94" s="523"/>
      <c r="X94" s="524"/>
      <c r="Y94" s="524"/>
      <c r="Z94" s="525"/>
      <c r="AA94" s="357"/>
      <c r="AB94" s="357"/>
      <c r="AC94" s="357"/>
      <c r="AD94" s="357"/>
      <c r="AE94" s="368">
        <v>37</v>
      </c>
      <c r="AF94" s="314"/>
      <c r="AG94" s="357"/>
      <c r="AH94" s="357"/>
      <c r="AI94" s="358"/>
    </row>
    <row r="95" spans="1:35" ht="22.35" customHeight="1">
      <c r="B95" s="2571" t="s">
        <v>152</v>
      </c>
      <c r="C95" s="2572" t="s">
        <v>153</v>
      </c>
      <c r="D95" s="2389"/>
      <c r="E95" s="2389" t="s">
        <v>385</v>
      </c>
      <c r="F95" s="2397"/>
      <c r="G95" s="2572" t="s">
        <v>154</v>
      </c>
      <c r="H95" s="2389"/>
      <c r="I95" s="2389" t="s">
        <v>386</v>
      </c>
      <c r="J95" s="2397"/>
      <c r="K95" s="2572" t="s">
        <v>155</v>
      </c>
      <c r="L95" s="2389" t="s">
        <v>156</v>
      </c>
      <c r="M95" s="2389"/>
      <c r="N95" s="2397"/>
      <c r="O95" s="2572" t="s">
        <v>155</v>
      </c>
      <c r="P95" s="2389" t="s">
        <v>156</v>
      </c>
      <c r="Q95" s="2389"/>
      <c r="R95" s="2397"/>
      <c r="S95" s="2572" t="s">
        <v>154</v>
      </c>
      <c r="T95" s="2389" t="s">
        <v>157</v>
      </c>
      <c r="U95" s="2389"/>
      <c r="V95" s="2397"/>
      <c r="W95" s="8" t="s">
        <v>109</v>
      </c>
      <c r="X95" s="14" t="s">
        <v>158</v>
      </c>
      <c r="Y95" s="14"/>
      <c r="Z95" s="14"/>
      <c r="AA95" s="2572" t="s">
        <v>109</v>
      </c>
      <c r="AB95" s="2389" t="s">
        <v>158</v>
      </c>
      <c r="AC95" s="2572"/>
      <c r="AD95" s="2572"/>
      <c r="AE95" s="2572">
        <v>68</v>
      </c>
      <c r="AF95" s="2389"/>
      <c r="AG95" s="2389"/>
      <c r="AH95" s="2389"/>
      <c r="AI95" s="2398"/>
    </row>
    <row r="96" spans="1:35" ht="22.35" customHeight="1">
      <c r="B96" s="2571" t="s">
        <v>159</v>
      </c>
      <c r="C96" s="2573" t="s">
        <v>160</v>
      </c>
      <c r="D96" s="2389"/>
      <c r="E96" s="2389"/>
      <c r="F96" s="2397"/>
      <c r="G96" s="2389" t="s">
        <v>160</v>
      </c>
      <c r="H96" s="2389"/>
      <c r="I96" s="2389"/>
      <c r="J96" s="2397"/>
      <c r="K96" s="2389" t="s">
        <v>160</v>
      </c>
      <c r="L96" s="2389"/>
      <c r="M96" s="2389"/>
      <c r="N96" s="2397"/>
      <c r="O96" s="2389" t="s">
        <v>160</v>
      </c>
      <c r="P96" s="2389"/>
      <c r="Q96" s="2389"/>
      <c r="R96" s="2397"/>
      <c r="S96" s="2389" t="s">
        <v>160</v>
      </c>
      <c r="T96" s="2389"/>
      <c r="U96" s="2389"/>
      <c r="V96" s="2397"/>
      <c r="W96" s="2572"/>
      <c r="X96" s="2389"/>
      <c r="Y96" s="2389"/>
      <c r="Z96" s="2397"/>
      <c r="AA96" s="2572"/>
      <c r="AB96" s="2389"/>
      <c r="AC96" s="2389"/>
      <c r="AD96" s="2389"/>
      <c r="AE96" s="2572">
        <v>0</v>
      </c>
      <c r="AF96" s="2389"/>
      <c r="AG96" s="2389"/>
      <c r="AH96" s="2389"/>
      <c r="AI96" s="2398"/>
    </row>
    <row r="97" spans="1:38" ht="22.35" customHeight="1" thickBot="1">
      <c r="B97" s="2574" t="s">
        <v>161</v>
      </c>
      <c r="C97" s="2575" t="s">
        <v>149</v>
      </c>
      <c r="D97" s="516"/>
      <c r="E97" s="2467"/>
      <c r="F97" s="2469"/>
      <c r="G97" s="2575" t="s">
        <v>149</v>
      </c>
      <c r="H97" s="516"/>
      <c r="I97" s="2467"/>
      <c r="J97" s="2469"/>
      <c r="K97" s="2575" t="s">
        <v>149</v>
      </c>
      <c r="L97" s="516"/>
      <c r="M97" s="2467"/>
      <c r="N97" s="2469"/>
      <c r="O97" s="2575" t="s">
        <v>150</v>
      </c>
      <c r="P97" s="2467"/>
      <c r="Q97" s="2467"/>
      <c r="R97" s="2469"/>
      <c r="S97" s="2575" t="s">
        <v>151</v>
      </c>
      <c r="T97" s="2467"/>
      <c r="U97" s="2467"/>
      <c r="V97" s="2467"/>
      <c r="W97" s="2576"/>
      <c r="X97" s="2467"/>
      <c r="Y97" s="2467"/>
      <c r="Z97" s="2577"/>
      <c r="AA97" s="2467"/>
      <c r="AB97" s="2467"/>
      <c r="AC97" s="2467"/>
      <c r="AD97" s="2467"/>
      <c r="AE97" s="2575">
        <v>37</v>
      </c>
      <c r="AF97" s="2467"/>
      <c r="AG97" s="2467"/>
      <c r="AH97" s="2467"/>
      <c r="AI97" s="2474"/>
    </row>
    <row r="98" spans="1:38" ht="22.35" customHeight="1">
      <c r="D98" s="14"/>
    </row>
    <row r="99" spans="1:38" ht="22.35" customHeight="1" thickBot="1">
      <c r="A99" s="2507"/>
      <c r="B99" s="2507" t="s">
        <v>29</v>
      </c>
      <c r="C99" s="2407">
        <v>1</v>
      </c>
      <c r="D99" s="2408">
        <v>2</v>
      </c>
      <c r="E99" s="2408">
        <v>3</v>
      </c>
      <c r="F99" s="2407">
        <v>4</v>
      </c>
      <c r="G99" s="2407">
        <v>5</v>
      </c>
      <c r="H99" s="2407">
        <v>6</v>
      </c>
      <c r="I99" s="2407">
        <v>7</v>
      </c>
      <c r="J99" s="2407">
        <v>8</v>
      </c>
      <c r="K99" s="2408">
        <v>9</v>
      </c>
      <c r="L99" s="2408">
        <v>10</v>
      </c>
      <c r="M99" s="2407">
        <v>11</v>
      </c>
      <c r="N99" s="2407">
        <v>12</v>
      </c>
      <c r="O99" s="2407">
        <v>13</v>
      </c>
      <c r="P99" s="2407">
        <v>14</v>
      </c>
      <c r="Q99" s="2407">
        <v>15</v>
      </c>
      <c r="R99" s="2408">
        <v>16</v>
      </c>
      <c r="S99" s="2408">
        <v>17</v>
      </c>
      <c r="T99" s="2407">
        <v>18</v>
      </c>
      <c r="U99" s="2407">
        <v>19</v>
      </c>
      <c r="V99" s="2407">
        <v>20</v>
      </c>
      <c r="W99" s="2407">
        <v>21</v>
      </c>
      <c r="X99" s="2407">
        <v>22</v>
      </c>
      <c r="Y99" s="2408">
        <v>23</v>
      </c>
      <c r="Z99" s="2408">
        <v>24</v>
      </c>
      <c r="AA99" s="2407">
        <v>25</v>
      </c>
      <c r="AB99" s="2407">
        <v>26</v>
      </c>
      <c r="AC99" s="2407">
        <v>27</v>
      </c>
      <c r="AD99" s="2407">
        <v>28</v>
      </c>
      <c r="AE99" s="2407">
        <v>29</v>
      </c>
      <c r="AF99" s="2408">
        <v>30</v>
      </c>
      <c r="AG99" s="2409">
        <v>31</v>
      </c>
      <c r="AH99" s="176"/>
      <c r="AI99" s="177"/>
    </row>
    <row r="100" spans="1:38" ht="22.35" customHeight="1">
      <c r="A100" s="367">
        <v>1</v>
      </c>
      <c r="B100" s="526" t="s">
        <v>162</v>
      </c>
      <c r="C100" s="349" t="s">
        <v>163</v>
      </c>
      <c r="D100" s="349"/>
      <c r="E100" s="349"/>
      <c r="F100" s="349" t="s">
        <v>163</v>
      </c>
      <c r="G100" s="349" t="s">
        <v>163</v>
      </c>
      <c r="H100" s="349" t="s">
        <v>163</v>
      </c>
      <c r="I100" s="349" t="s">
        <v>163</v>
      </c>
      <c r="J100" s="349" t="s">
        <v>163</v>
      </c>
      <c r="K100" s="349"/>
      <c r="L100" s="349"/>
      <c r="M100" s="349" t="s">
        <v>108</v>
      </c>
      <c r="N100" s="349" t="s">
        <v>108</v>
      </c>
      <c r="O100" s="349" t="s">
        <v>108</v>
      </c>
      <c r="P100" s="511" t="s">
        <v>108</v>
      </c>
      <c r="Q100" s="349" t="s">
        <v>108</v>
      </c>
      <c r="R100" s="349" t="s">
        <v>109</v>
      </c>
      <c r="S100" s="349" t="s">
        <v>109</v>
      </c>
      <c r="T100" s="349" t="s">
        <v>36</v>
      </c>
      <c r="U100" s="349" t="s">
        <v>36</v>
      </c>
      <c r="V100" s="349" t="s">
        <v>36</v>
      </c>
      <c r="W100" s="349" t="s">
        <v>36</v>
      </c>
      <c r="X100" s="512" t="s">
        <v>36</v>
      </c>
      <c r="Y100" s="512"/>
      <c r="Z100" s="512"/>
      <c r="AA100" s="512" t="s">
        <v>163</v>
      </c>
      <c r="AB100" s="349" t="s">
        <v>163</v>
      </c>
      <c r="AC100" s="349" t="s">
        <v>163</v>
      </c>
      <c r="AD100" s="349" t="s">
        <v>163</v>
      </c>
      <c r="AE100" s="349" t="s">
        <v>163</v>
      </c>
      <c r="AF100" s="349"/>
      <c r="AG100" s="352"/>
      <c r="AH100" s="181"/>
      <c r="AI100" s="182"/>
    </row>
    <row r="101" spans="1:38" ht="22.35" customHeight="1" thickBot="1">
      <c r="A101" s="2578">
        <v>2</v>
      </c>
      <c r="B101" s="2579" t="s">
        <v>164</v>
      </c>
      <c r="C101" s="2580" t="s">
        <v>36</v>
      </c>
      <c r="D101" s="2580"/>
      <c r="E101" s="2580"/>
      <c r="F101" s="2580" t="s">
        <v>135</v>
      </c>
      <c r="G101" s="2580" t="s">
        <v>135</v>
      </c>
      <c r="H101" s="2580" t="s">
        <v>135</v>
      </c>
      <c r="I101" s="2580" t="s">
        <v>135</v>
      </c>
      <c r="J101" s="2580" t="s">
        <v>135</v>
      </c>
      <c r="K101" s="2435"/>
      <c r="L101" s="2435"/>
      <c r="M101" s="2435" t="s">
        <v>135</v>
      </c>
      <c r="N101" s="2419" t="s">
        <v>163</v>
      </c>
      <c r="O101" s="740" t="s">
        <v>135</v>
      </c>
      <c r="P101" s="2419" t="s">
        <v>126</v>
      </c>
      <c r="Q101" s="2419">
        <v>3</v>
      </c>
      <c r="R101" s="2419"/>
      <c r="S101" s="2419"/>
      <c r="T101" s="2419" t="s">
        <v>108</v>
      </c>
      <c r="U101" s="2494" t="s">
        <v>108</v>
      </c>
      <c r="V101" s="2419" t="s">
        <v>108</v>
      </c>
      <c r="W101" s="2491" t="s">
        <v>108</v>
      </c>
      <c r="X101" s="2419" t="s">
        <v>108</v>
      </c>
      <c r="Y101" s="2419" t="s">
        <v>109</v>
      </c>
      <c r="Z101" s="2419" t="s">
        <v>109</v>
      </c>
      <c r="AA101" s="2419" t="s">
        <v>36</v>
      </c>
      <c r="AB101" s="2494" t="s">
        <v>135</v>
      </c>
      <c r="AC101" s="2419" t="s">
        <v>36</v>
      </c>
      <c r="AD101" s="2419" t="s">
        <v>36</v>
      </c>
      <c r="AE101" s="2419" t="s">
        <v>36</v>
      </c>
      <c r="AF101" s="2419"/>
      <c r="AG101" s="2581"/>
      <c r="AH101" s="181"/>
      <c r="AI101" s="182"/>
      <c r="AK101">
        <v>28</v>
      </c>
    </row>
    <row r="102" spans="1:38" ht="22.35" customHeight="1">
      <c r="A102" s="2578">
        <v>3</v>
      </c>
      <c r="B102" s="2579" t="s">
        <v>165</v>
      </c>
      <c r="C102" s="2419" t="s">
        <v>115</v>
      </c>
      <c r="D102" s="615" t="s">
        <v>32</v>
      </c>
      <c r="E102" s="557" t="s">
        <v>32</v>
      </c>
      <c r="F102" s="305" t="s">
        <v>115</v>
      </c>
      <c r="G102" s="305" t="s">
        <v>115</v>
      </c>
      <c r="H102" s="305" t="s">
        <v>115</v>
      </c>
      <c r="I102" s="305" t="s">
        <v>115</v>
      </c>
      <c r="J102" s="2582" t="s">
        <v>115</v>
      </c>
      <c r="K102" s="615" t="s">
        <v>32</v>
      </c>
      <c r="L102" s="557" t="s">
        <v>32</v>
      </c>
      <c r="M102" s="2582" t="s">
        <v>115</v>
      </c>
      <c r="N102" s="2582" t="s">
        <v>115</v>
      </c>
      <c r="O102" s="2582" t="s">
        <v>115</v>
      </c>
      <c r="P102" s="2582" t="s">
        <v>115</v>
      </c>
      <c r="Q102" s="2582" t="s">
        <v>115</v>
      </c>
      <c r="R102" s="2419"/>
      <c r="S102" s="557" t="s">
        <v>32</v>
      </c>
      <c r="T102" s="2583" t="s">
        <v>163</v>
      </c>
      <c r="U102" s="2583" t="s">
        <v>163</v>
      </c>
      <c r="V102" s="2583" t="s">
        <v>163</v>
      </c>
      <c r="W102" s="2583" t="s">
        <v>163</v>
      </c>
      <c r="X102" s="2583" t="s">
        <v>163</v>
      </c>
      <c r="Y102" s="2419"/>
      <c r="Z102" s="557" t="s">
        <v>32</v>
      </c>
      <c r="AA102" s="2582" t="s">
        <v>115</v>
      </c>
      <c r="AB102" s="2582" t="s">
        <v>115</v>
      </c>
      <c r="AC102" s="2582" t="s">
        <v>115</v>
      </c>
      <c r="AD102" s="2582" t="s">
        <v>115</v>
      </c>
      <c r="AE102" s="2582" t="s">
        <v>115</v>
      </c>
      <c r="AF102" s="2419" t="s">
        <v>0</v>
      </c>
      <c r="AG102" s="557" t="s">
        <v>32</v>
      </c>
      <c r="AH102" s="181"/>
      <c r="AI102" s="182"/>
      <c r="AL102" t="s">
        <v>0</v>
      </c>
    </row>
    <row r="103" spans="1:38" ht="22.35" customHeight="1" thickBot="1">
      <c r="A103" s="2584">
        <v>4</v>
      </c>
      <c r="B103" s="2493" t="s">
        <v>162</v>
      </c>
      <c r="C103" s="2585" t="s">
        <v>163</v>
      </c>
      <c r="D103" s="2585" t="s">
        <v>0</v>
      </c>
      <c r="E103" s="2585" t="s">
        <v>0</v>
      </c>
      <c r="F103" s="2585" t="s">
        <v>108</v>
      </c>
      <c r="G103" s="2585" t="s">
        <v>108</v>
      </c>
      <c r="H103" s="2585" t="s">
        <v>108</v>
      </c>
      <c r="I103" s="2585" t="s">
        <v>108</v>
      </c>
      <c r="J103" s="2585" t="s">
        <v>108</v>
      </c>
      <c r="K103" s="2585" t="s">
        <v>109</v>
      </c>
      <c r="L103" s="2585" t="s">
        <v>109</v>
      </c>
      <c r="M103" s="2585" t="s">
        <v>36</v>
      </c>
      <c r="N103" s="2585" t="s">
        <v>36</v>
      </c>
      <c r="O103" s="2585" t="s">
        <v>36</v>
      </c>
      <c r="P103" s="2585" t="s">
        <v>36</v>
      </c>
      <c r="Q103" s="2585" t="s">
        <v>36</v>
      </c>
      <c r="R103" s="2585"/>
      <c r="S103" s="2585"/>
      <c r="T103" s="2585" t="s">
        <v>163</v>
      </c>
      <c r="U103" s="2585" t="s">
        <v>163</v>
      </c>
      <c r="V103" s="2585" t="s">
        <v>163</v>
      </c>
      <c r="W103" s="2585" t="s">
        <v>163</v>
      </c>
      <c r="X103" s="2585" t="s">
        <v>163</v>
      </c>
      <c r="Y103" s="2585"/>
      <c r="Z103" s="2585"/>
      <c r="AA103" s="2407" t="s">
        <v>163</v>
      </c>
      <c r="AB103" s="2407" t="s">
        <v>163</v>
      </c>
      <c r="AC103" s="2407" t="s">
        <v>163</v>
      </c>
      <c r="AD103" s="2407" t="s">
        <v>163</v>
      </c>
      <c r="AE103" s="2407" t="s">
        <v>163</v>
      </c>
      <c r="AF103" s="2585" t="s">
        <v>0</v>
      </c>
      <c r="AG103" s="2453" t="s">
        <v>0</v>
      </c>
      <c r="AH103" s="181"/>
      <c r="AI103" s="182"/>
    </row>
    <row r="104" spans="1:38" ht="22.35" customHeight="1" thickBot="1">
      <c r="A104" s="212"/>
      <c r="B104" s="200"/>
      <c r="C104" s="213"/>
      <c r="D104" s="213"/>
      <c r="E104" s="213"/>
      <c r="F104" s="213"/>
      <c r="G104" s="213"/>
      <c r="H104" s="213"/>
      <c r="I104" s="213"/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  <c r="U104" s="21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13"/>
      <c r="AF104" s="213"/>
      <c r="AG104" s="214"/>
      <c r="AH104" s="215"/>
      <c r="AI104" s="182"/>
    </row>
    <row r="105" spans="1:38" ht="22.35" customHeight="1">
      <c r="A105" s="72"/>
      <c r="B105" s="248" t="s">
        <v>167</v>
      </c>
      <c r="C105" s="368"/>
      <c r="D105" s="369" t="s">
        <v>94</v>
      </c>
      <c r="E105" s="370"/>
      <c r="F105" s="368"/>
      <c r="G105" s="371" t="s">
        <v>95</v>
      </c>
      <c r="H105" s="372"/>
      <c r="I105" s="373"/>
      <c r="J105" s="371" t="s">
        <v>96</v>
      </c>
      <c r="K105" s="374"/>
      <c r="L105" s="373"/>
      <c r="M105" s="375" t="s">
        <v>97</v>
      </c>
      <c r="N105" s="374"/>
      <c r="O105" s="373"/>
      <c r="P105" s="371" t="s">
        <v>98</v>
      </c>
      <c r="Q105" s="376"/>
      <c r="R105" s="373"/>
      <c r="S105" s="371" t="s">
        <v>99</v>
      </c>
      <c r="T105" s="377"/>
      <c r="U105" s="373"/>
      <c r="V105" s="371" t="s">
        <v>100</v>
      </c>
      <c r="W105" s="376"/>
      <c r="X105" s="378" t="s">
        <v>147</v>
      </c>
      <c r="Y105" s="379"/>
      <c r="Z105" s="379"/>
      <c r="AA105" s="380"/>
      <c r="AB105" s="235" t="s">
        <v>101</v>
      </c>
      <c r="AC105" s="236"/>
      <c r="AD105" s="236"/>
      <c r="AE105" s="237"/>
      <c r="AF105" s="237"/>
      <c r="AG105" s="238"/>
      <c r="AH105" s="215"/>
      <c r="AI105" s="182"/>
    </row>
    <row r="106" spans="1:38" ht="22.35" customHeight="1">
      <c r="A106" s="72"/>
      <c r="B106" s="2586" t="s">
        <v>169</v>
      </c>
      <c r="C106" s="2587" t="s">
        <v>170</v>
      </c>
      <c r="D106" s="2391"/>
      <c r="E106" s="2392"/>
      <c r="F106" s="2587" t="s">
        <v>170</v>
      </c>
      <c r="G106" s="2391"/>
      <c r="H106" s="2392"/>
      <c r="I106" s="2587" t="s">
        <v>170</v>
      </c>
      <c r="J106" s="2391"/>
      <c r="K106" s="2392"/>
      <c r="L106" s="2587" t="s">
        <v>170</v>
      </c>
      <c r="M106" s="2391"/>
      <c r="N106" s="2392"/>
      <c r="O106" s="2587" t="s">
        <v>171</v>
      </c>
      <c r="P106" s="2391"/>
      <c r="Q106" s="2392"/>
      <c r="R106" s="2587"/>
      <c r="S106" s="2391"/>
      <c r="T106" s="2392"/>
      <c r="U106" s="2587"/>
      <c r="V106" s="2391"/>
      <c r="W106" s="2392"/>
      <c r="X106" s="2587"/>
      <c r="Y106" s="2588"/>
      <c r="Z106" s="2588"/>
      <c r="AA106" s="2588"/>
      <c r="AB106" s="2388"/>
      <c r="AC106" s="2588"/>
      <c r="AD106" s="2588"/>
      <c r="AE106" s="2588"/>
      <c r="AF106" s="2588"/>
      <c r="AG106" s="2589"/>
      <c r="AH106" s="215"/>
      <c r="AI106" s="182"/>
    </row>
    <row r="107" spans="1:38" ht="22.35" customHeight="1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5"/>
      <c r="AI107" s="182"/>
    </row>
    <row r="108" spans="1:38" ht="22.35" customHeight="1" thickBot="1">
      <c r="A108" s="2562" t="s">
        <v>28</v>
      </c>
      <c r="B108" s="2476" t="s">
        <v>29</v>
      </c>
      <c r="C108" s="2407">
        <v>1</v>
      </c>
      <c r="D108" s="2408">
        <v>2</v>
      </c>
      <c r="E108" s="2408">
        <v>3</v>
      </c>
      <c r="F108" s="2407">
        <v>4</v>
      </c>
      <c r="G108" s="2407">
        <v>5</v>
      </c>
      <c r="H108" s="2407">
        <v>6</v>
      </c>
      <c r="I108" s="2407">
        <v>7</v>
      </c>
      <c r="J108" s="2407">
        <v>8</v>
      </c>
      <c r="K108" s="2408">
        <v>9</v>
      </c>
      <c r="L108" s="2408">
        <v>10</v>
      </c>
      <c r="M108" s="2407">
        <v>11</v>
      </c>
      <c r="N108" s="2407">
        <v>12</v>
      </c>
      <c r="O108" s="2407">
        <v>13</v>
      </c>
      <c r="P108" s="2407">
        <v>14</v>
      </c>
      <c r="Q108" s="2407">
        <v>15</v>
      </c>
      <c r="R108" s="2408">
        <v>16</v>
      </c>
      <c r="S108" s="2408">
        <v>17</v>
      </c>
      <c r="T108" s="2407">
        <v>18</v>
      </c>
      <c r="U108" s="2407">
        <v>19</v>
      </c>
      <c r="V108" s="2407">
        <v>20</v>
      </c>
      <c r="W108" s="2407">
        <v>21</v>
      </c>
      <c r="X108" s="2407">
        <v>22</v>
      </c>
      <c r="Y108" s="2408">
        <v>23</v>
      </c>
      <c r="Z108" s="2408">
        <v>24</v>
      </c>
      <c r="AA108" s="2407">
        <v>25</v>
      </c>
      <c r="AB108" s="2407">
        <v>26</v>
      </c>
      <c r="AC108" s="2407">
        <v>27</v>
      </c>
      <c r="AD108" s="2407">
        <v>28</v>
      </c>
      <c r="AE108" s="2407">
        <v>29</v>
      </c>
      <c r="AF108" s="2408">
        <v>30</v>
      </c>
      <c r="AG108" s="2409">
        <v>31</v>
      </c>
      <c r="AH108" s="215"/>
      <c r="AI108" s="182"/>
    </row>
    <row r="109" spans="1:38" ht="22.35" customHeight="1">
      <c r="A109" s="381">
        <v>8520</v>
      </c>
      <c r="B109" s="382" t="s">
        <v>172</v>
      </c>
      <c r="C109" s="349" t="s">
        <v>173</v>
      </c>
      <c r="D109" s="349"/>
      <c r="E109" s="349"/>
      <c r="F109" s="619" t="s">
        <v>173</v>
      </c>
      <c r="G109" s="349" t="s">
        <v>173</v>
      </c>
      <c r="H109" s="546" t="s">
        <v>173</v>
      </c>
      <c r="I109" s="349" t="s">
        <v>173</v>
      </c>
      <c r="J109" s="349" t="s">
        <v>173</v>
      </c>
      <c r="K109" s="349"/>
      <c r="L109" s="349"/>
      <c r="M109" s="349" t="s">
        <v>173</v>
      </c>
      <c r="N109" s="349" t="s">
        <v>173</v>
      </c>
      <c r="O109" s="349" t="s">
        <v>173</v>
      </c>
      <c r="P109" s="349" t="s">
        <v>173</v>
      </c>
      <c r="Q109" s="349" t="s">
        <v>173</v>
      </c>
      <c r="R109" s="349"/>
      <c r="S109" s="349"/>
      <c r="T109" s="349" t="s">
        <v>173</v>
      </c>
      <c r="U109" s="349" t="s">
        <v>173</v>
      </c>
      <c r="V109" s="349" t="s">
        <v>173</v>
      </c>
      <c r="W109" s="349" t="s">
        <v>173</v>
      </c>
      <c r="X109" s="349" t="s">
        <v>173</v>
      </c>
      <c r="Y109" s="349"/>
      <c r="Z109" s="349"/>
      <c r="AA109" s="546" t="s">
        <v>173</v>
      </c>
      <c r="AB109" s="546" t="s">
        <v>173</v>
      </c>
      <c r="AC109" s="546" t="s">
        <v>173</v>
      </c>
      <c r="AD109" s="546" t="s">
        <v>173</v>
      </c>
      <c r="AE109" s="546" t="s">
        <v>173</v>
      </c>
      <c r="AF109" s="349"/>
      <c r="AG109" s="352"/>
      <c r="AH109" s="215"/>
      <c r="AI109" s="182"/>
    </row>
    <row r="110" spans="1:38" ht="22.35" customHeight="1">
      <c r="A110" s="221"/>
      <c r="B110" s="22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5"/>
      <c r="AI110" s="182"/>
    </row>
    <row r="111" spans="1:38" ht="22.35" customHeight="1">
      <c r="AH111" s="107"/>
      <c r="AI111" s="107"/>
    </row>
    <row r="112" spans="1:38" ht="22.35" customHeight="1" thickBot="1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>
      <c r="A113" s="172"/>
      <c r="B113" s="248" t="s">
        <v>175</v>
      </c>
      <c r="C113" s="383"/>
      <c r="D113" s="384" t="s">
        <v>94</v>
      </c>
      <c r="E113" s="385"/>
      <c r="F113" s="386"/>
      <c r="G113" s="383"/>
      <c r="H113" s="384" t="s">
        <v>95</v>
      </c>
      <c r="I113" s="385"/>
      <c r="J113" s="386"/>
      <c r="K113" s="383"/>
      <c r="L113" s="384" t="s">
        <v>96</v>
      </c>
      <c r="M113" s="385"/>
      <c r="N113" s="386"/>
      <c r="O113" s="383"/>
      <c r="P113" s="384" t="s">
        <v>97</v>
      </c>
      <c r="Q113" s="385"/>
      <c r="R113" s="386"/>
      <c r="S113" s="383"/>
      <c r="T113" s="384" t="s">
        <v>98</v>
      </c>
      <c r="U113" s="385"/>
      <c r="V113" s="386"/>
      <c r="W113" s="383"/>
      <c r="X113" s="384" t="s">
        <v>99</v>
      </c>
      <c r="Y113" s="385"/>
      <c r="Z113" s="386"/>
      <c r="AA113" s="383"/>
      <c r="AB113" s="384" t="s">
        <v>100</v>
      </c>
      <c r="AC113" s="385"/>
      <c r="AD113" s="385"/>
      <c r="AE113" s="387" t="s">
        <v>101</v>
      </c>
      <c r="AF113" s="385"/>
      <c r="AG113" s="385"/>
      <c r="AH113" s="385"/>
      <c r="AI113" s="388"/>
    </row>
    <row r="114" spans="1:35" ht="22.35" customHeight="1">
      <c r="A114" s="172"/>
      <c r="B114" s="2590" t="s">
        <v>148</v>
      </c>
      <c r="C114" s="2591">
        <v>69</v>
      </c>
      <c r="D114" s="2592" t="s">
        <v>176</v>
      </c>
      <c r="E114" s="2592"/>
      <c r="F114" s="2593"/>
      <c r="G114" s="2591">
        <v>69</v>
      </c>
      <c r="H114" s="2592" t="s">
        <v>176</v>
      </c>
      <c r="I114" s="2592"/>
      <c r="J114" s="2593"/>
      <c r="K114" s="2591">
        <v>69</v>
      </c>
      <c r="L114" s="2592" t="s">
        <v>176</v>
      </c>
      <c r="M114" s="2592"/>
      <c r="N114" s="2593"/>
      <c r="O114" s="2591">
        <v>69</v>
      </c>
      <c r="P114" s="2592" t="s">
        <v>176</v>
      </c>
      <c r="Q114" s="2592"/>
      <c r="R114" s="2593"/>
      <c r="S114" s="2591">
        <v>69</v>
      </c>
      <c r="T114" s="2592" t="s">
        <v>176</v>
      </c>
      <c r="U114" s="2592"/>
      <c r="V114" s="2593"/>
      <c r="W114" s="2591"/>
      <c r="X114" s="2594"/>
      <c r="Y114" s="2594"/>
      <c r="Z114" s="2595"/>
      <c r="AA114" s="2591"/>
      <c r="AB114" s="2592"/>
      <c r="AC114" s="2592"/>
      <c r="AD114" s="2514"/>
      <c r="AE114" s="2596">
        <v>35</v>
      </c>
      <c r="AF114" s="2592"/>
      <c r="AG114" s="2592"/>
      <c r="AH114" s="2514"/>
      <c r="AI114" s="2597"/>
    </row>
    <row r="115" spans="1:35" ht="22.35" customHeight="1">
      <c r="A115" s="172"/>
      <c r="B115" s="2590" t="s">
        <v>152</v>
      </c>
      <c r="C115" s="2591">
        <v>79</v>
      </c>
      <c r="D115" s="2592" t="s">
        <v>177</v>
      </c>
      <c r="E115" s="2592"/>
      <c r="F115" s="2593"/>
      <c r="G115" s="2591">
        <v>79</v>
      </c>
      <c r="H115" s="2592" t="s">
        <v>177</v>
      </c>
      <c r="I115" s="2592"/>
      <c r="J115" s="2593"/>
      <c r="K115" s="2591">
        <v>79</v>
      </c>
      <c r="L115" s="2592" t="s">
        <v>177</v>
      </c>
      <c r="M115" s="2592"/>
      <c r="N115" s="2593"/>
      <c r="O115" s="2591">
        <v>79</v>
      </c>
      <c r="P115" s="2592" t="s">
        <v>177</v>
      </c>
      <c r="Q115" s="2592"/>
      <c r="R115" s="2593"/>
      <c r="S115" s="2591">
        <v>79</v>
      </c>
      <c r="T115" s="2592" t="s">
        <v>177</v>
      </c>
      <c r="U115" s="2592"/>
      <c r="V115" s="2593"/>
      <c r="W115" s="2591"/>
      <c r="X115" s="2592"/>
      <c r="Y115" s="2592"/>
      <c r="Z115" s="2593"/>
      <c r="AA115" s="2592"/>
      <c r="AB115" s="2592"/>
      <c r="AC115" s="2592"/>
      <c r="AD115" s="2514"/>
      <c r="AE115" s="2596">
        <v>40</v>
      </c>
      <c r="AF115" s="2592"/>
      <c r="AG115" s="2592"/>
      <c r="AH115" s="2514"/>
      <c r="AI115" s="2597"/>
    </row>
    <row r="116" spans="1:35" ht="22.35" customHeight="1">
      <c r="A116" s="172"/>
      <c r="B116" s="2590" t="s">
        <v>159</v>
      </c>
      <c r="C116" s="2591">
        <v>89</v>
      </c>
      <c r="D116" s="2592" t="s">
        <v>178</v>
      </c>
      <c r="E116" s="2592"/>
      <c r="F116" s="2593"/>
      <c r="G116" s="2591">
        <v>89</v>
      </c>
      <c r="H116" s="2592" t="s">
        <v>178</v>
      </c>
      <c r="I116" s="2592"/>
      <c r="J116" s="2593"/>
      <c r="K116" s="2591">
        <v>89</v>
      </c>
      <c r="L116" s="2592" t="s">
        <v>178</v>
      </c>
      <c r="M116" s="2592"/>
      <c r="N116" s="2593"/>
      <c r="O116" s="2591">
        <v>89</v>
      </c>
      <c r="P116" s="2592" t="s">
        <v>178</v>
      </c>
      <c r="Q116" s="2592"/>
      <c r="R116" s="2593"/>
      <c r="S116" s="2591">
        <v>89</v>
      </c>
      <c r="T116" s="2592" t="s">
        <v>179</v>
      </c>
      <c r="U116" s="2592"/>
      <c r="V116" s="2593"/>
      <c r="W116" s="2598"/>
      <c r="X116" s="2599" t="s">
        <v>180</v>
      </c>
      <c r="Y116" s="2599"/>
      <c r="Z116" s="2600"/>
      <c r="AA116" s="2598"/>
      <c r="AB116" s="2599"/>
      <c r="AC116" s="2599"/>
      <c r="AD116" s="2516"/>
      <c r="AE116" s="2596">
        <v>44</v>
      </c>
      <c r="AF116" s="2592"/>
      <c r="AG116" s="2592"/>
      <c r="AH116" s="2514"/>
      <c r="AI116" s="2597"/>
    </row>
    <row r="117" spans="1:35" ht="22.35" customHeight="1">
      <c r="A117" s="172"/>
      <c r="B117" s="38" t="s">
        <v>161</v>
      </c>
      <c r="C117" s="2598">
        <v>99</v>
      </c>
      <c r="D117" s="2599" t="s">
        <v>181</v>
      </c>
      <c r="E117" s="2599"/>
      <c r="F117" s="2600"/>
      <c r="G117" s="2598">
        <v>99</v>
      </c>
      <c r="H117" s="2599" t="s">
        <v>181</v>
      </c>
      <c r="I117" s="2599"/>
      <c r="J117" s="2600"/>
      <c r="K117" s="2598">
        <v>99</v>
      </c>
      <c r="L117" s="2599" t="s">
        <v>181</v>
      </c>
      <c r="M117" s="2599"/>
      <c r="N117" s="2600"/>
      <c r="O117" s="2598">
        <v>99</v>
      </c>
      <c r="P117" s="2599" t="s">
        <v>181</v>
      </c>
      <c r="Q117" s="2599"/>
      <c r="R117" s="2600"/>
      <c r="S117" s="2598">
        <v>99</v>
      </c>
      <c r="T117" s="2599" t="s">
        <v>160</v>
      </c>
      <c r="U117" s="2599"/>
      <c r="V117" s="2516"/>
      <c r="W117" s="2515"/>
      <c r="X117" s="2516"/>
      <c r="Y117" s="2599"/>
      <c r="Z117" s="2600"/>
      <c r="AA117" s="2515"/>
      <c r="AB117" s="2516"/>
      <c r="AC117" s="2599"/>
      <c r="AD117" s="2600"/>
      <c r="AE117" s="2601">
        <v>28</v>
      </c>
      <c r="AF117" s="2599"/>
      <c r="AG117" s="2599"/>
      <c r="AH117" s="2516"/>
      <c r="AI117" s="2602"/>
    </row>
    <row r="118" spans="1:35" ht="22.35" customHeight="1" thickBot="1">
      <c r="A118" s="172"/>
      <c r="B118" s="2603" t="s">
        <v>182</v>
      </c>
      <c r="C118" s="2604" t="s">
        <v>183</v>
      </c>
      <c r="D118" s="2605" t="s">
        <v>184</v>
      </c>
      <c r="E118" s="2606"/>
      <c r="F118" s="2469"/>
      <c r="G118" s="2604" t="s">
        <v>183</v>
      </c>
      <c r="H118" s="2605" t="s">
        <v>184</v>
      </c>
      <c r="I118" s="2467"/>
      <c r="J118" s="2606"/>
      <c r="K118" s="2604" t="s">
        <v>183</v>
      </c>
      <c r="L118" s="2605" t="s">
        <v>184</v>
      </c>
      <c r="M118" s="2606"/>
      <c r="N118" s="2607"/>
      <c r="O118" s="2604" t="s">
        <v>183</v>
      </c>
      <c r="P118" s="2605" t="s">
        <v>184</v>
      </c>
      <c r="Q118" s="2606"/>
      <c r="R118" s="2605"/>
      <c r="S118" s="2604" t="s">
        <v>183</v>
      </c>
      <c r="T118" s="2471" t="s">
        <v>185</v>
      </c>
      <c r="U118" s="2605"/>
      <c r="V118" s="2607"/>
      <c r="W118" s="2606"/>
      <c r="X118" s="2605"/>
      <c r="Y118" s="2605"/>
      <c r="Z118" s="2605"/>
      <c r="AA118" s="2608"/>
      <c r="AB118" s="2609"/>
      <c r="AC118" s="2605"/>
      <c r="AD118" s="2610"/>
      <c r="AE118" s="2605"/>
      <c r="AF118" s="2605"/>
      <c r="AG118" s="2605"/>
      <c r="AH118" s="2611"/>
      <c r="AI118" s="2612"/>
    </row>
    <row r="119" spans="1:35" ht="22.35" customHeight="1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>
      <c r="A120" s="2562"/>
      <c r="B120" s="2476" t="s">
        <v>29</v>
      </c>
      <c r="C120" s="2407">
        <v>1</v>
      </c>
      <c r="D120" s="2408">
        <v>2</v>
      </c>
      <c r="E120" s="2408">
        <v>3</v>
      </c>
      <c r="F120" s="2407">
        <v>4</v>
      </c>
      <c r="G120" s="2407">
        <v>5</v>
      </c>
      <c r="H120" s="2407">
        <v>6</v>
      </c>
      <c r="I120" s="2407">
        <v>7</v>
      </c>
      <c r="J120" s="2407">
        <v>8</v>
      </c>
      <c r="K120" s="2408">
        <v>9</v>
      </c>
      <c r="L120" s="2408">
        <v>10</v>
      </c>
      <c r="M120" s="2407">
        <v>11</v>
      </c>
      <c r="N120" s="2407">
        <v>12</v>
      </c>
      <c r="O120" s="2407">
        <v>13</v>
      </c>
      <c r="P120" s="2407">
        <v>14</v>
      </c>
      <c r="Q120" s="2407">
        <v>15</v>
      </c>
      <c r="R120" s="2408">
        <v>16</v>
      </c>
      <c r="S120" s="2408">
        <v>17</v>
      </c>
      <c r="T120" s="2407">
        <v>18</v>
      </c>
      <c r="U120" s="2407">
        <v>19</v>
      </c>
      <c r="V120" s="2407">
        <v>20</v>
      </c>
      <c r="W120" s="2407">
        <v>21</v>
      </c>
      <c r="X120" s="2407">
        <v>22</v>
      </c>
      <c r="Y120" s="2408">
        <v>23</v>
      </c>
      <c r="Z120" s="2408">
        <v>24</v>
      </c>
      <c r="AA120" s="2407">
        <v>25</v>
      </c>
      <c r="AB120" s="2407">
        <v>26</v>
      </c>
      <c r="AC120" s="2407">
        <v>27</v>
      </c>
      <c r="AD120" s="2407">
        <v>28</v>
      </c>
      <c r="AE120" s="2407">
        <v>29</v>
      </c>
      <c r="AF120" s="2408">
        <v>30</v>
      </c>
      <c r="AG120" s="2409">
        <v>31</v>
      </c>
      <c r="AH120" s="176"/>
      <c r="AI120" s="177"/>
    </row>
    <row r="121" spans="1:35" ht="22.35" customHeight="1">
      <c r="A121" s="367">
        <v>1</v>
      </c>
      <c r="B121" s="389" t="s">
        <v>186</v>
      </c>
      <c r="C121" s="361" t="s">
        <v>36</v>
      </c>
      <c r="D121" s="361"/>
      <c r="E121" s="349"/>
      <c r="F121" s="349" t="s">
        <v>173</v>
      </c>
      <c r="G121" s="350" t="s">
        <v>183</v>
      </c>
      <c r="H121" s="361" t="s">
        <v>173</v>
      </c>
      <c r="I121" s="350" t="s">
        <v>183</v>
      </c>
      <c r="J121" s="350" t="s">
        <v>183</v>
      </c>
      <c r="K121" s="361"/>
      <c r="L121" s="350"/>
      <c r="M121" s="541">
        <v>69</v>
      </c>
      <c r="N121" s="541">
        <v>69</v>
      </c>
      <c r="O121" s="541">
        <v>69</v>
      </c>
      <c r="P121" s="530">
        <v>69</v>
      </c>
      <c r="Q121" s="530">
        <v>69</v>
      </c>
      <c r="R121" s="530"/>
      <c r="S121" s="530"/>
      <c r="T121" s="349">
        <v>79</v>
      </c>
      <c r="U121" s="361">
        <v>79</v>
      </c>
      <c r="V121" s="361">
        <v>79</v>
      </c>
      <c r="W121" s="361">
        <v>79</v>
      </c>
      <c r="X121" s="361">
        <v>79</v>
      </c>
      <c r="Y121" s="361"/>
      <c r="Z121" s="361"/>
      <c r="AA121" s="350" t="s">
        <v>173</v>
      </c>
      <c r="AB121" s="361" t="s">
        <v>173</v>
      </c>
      <c r="AC121" s="361" t="s">
        <v>173</v>
      </c>
      <c r="AD121" s="530" t="s">
        <v>173</v>
      </c>
      <c r="AE121" s="361" t="s">
        <v>173</v>
      </c>
      <c r="AF121" s="350">
        <v>89</v>
      </c>
      <c r="AG121" s="362"/>
      <c r="AH121" s="201"/>
      <c r="AI121" s="107"/>
    </row>
    <row r="122" spans="1:35" ht="22.35" customHeight="1">
      <c r="A122" s="2578">
        <v>2</v>
      </c>
      <c r="B122" s="2613" t="s">
        <v>188</v>
      </c>
      <c r="C122" s="2420" t="s">
        <v>183</v>
      </c>
      <c r="D122" s="2490"/>
      <c r="E122" s="2419"/>
      <c r="F122" s="2419">
        <v>69</v>
      </c>
      <c r="G122" s="2490">
        <v>69</v>
      </c>
      <c r="H122" s="2490">
        <v>69</v>
      </c>
      <c r="I122" s="2490">
        <v>69</v>
      </c>
      <c r="J122" s="2490">
        <v>69</v>
      </c>
      <c r="K122" s="2490"/>
      <c r="L122" s="2419"/>
      <c r="M122" s="2419">
        <v>79</v>
      </c>
      <c r="N122" s="2490">
        <v>79</v>
      </c>
      <c r="O122" s="2490">
        <v>79</v>
      </c>
      <c r="P122" s="2490">
        <v>79</v>
      </c>
      <c r="Q122" s="2490">
        <v>79</v>
      </c>
      <c r="R122" s="2420"/>
      <c r="S122" s="2490"/>
      <c r="T122" s="2419">
        <v>89</v>
      </c>
      <c r="U122" s="2490">
        <v>89</v>
      </c>
      <c r="V122" s="2490">
        <v>89</v>
      </c>
      <c r="W122" s="2490">
        <v>89</v>
      </c>
      <c r="X122" s="2490">
        <v>89</v>
      </c>
      <c r="Y122" s="2490">
        <v>89</v>
      </c>
      <c r="Z122" s="2419"/>
      <c r="AA122" s="2419">
        <v>99</v>
      </c>
      <c r="AB122" s="2420">
        <v>99</v>
      </c>
      <c r="AC122" s="2490">
        <v>99</v>
      </c>
      <c r="AD122" s="2420">
        <v>99</v>
      </c>
      <c r="AE122" s="2491" t="s">
        <v>36</v>
      </c>
      <c r="AF122" s="2491"/>
      <c r="AG122" s="2614"/>
      <c r="AH122" s="202"/>
      <c r="AI122" s="171"/>
    </row>
    <row r="123" spans="1:35" ht="22.35" customHeight="1">
      <c r="A123" s="2578">
        <v>3</v>
      </c>
      <c r="B123" s="2613" t="s">
        <v>353</v>
      </c>
      <c r="C123" s="2615" t="s">
        <v>32</v>
      </c>
      <c r="D123" s="2615"/>
      <c r="E123" s="2615"/>
      <c r="F123" s="2615">
        <v>79</v>
      </c>
      <c r="G123" s="2615">
        <v>79</v>
      </c>
      <c r="H123" s="2615">
        <v>79</v>
      </c>
      <c r="I123" s="2615">
        <v>79</v>
      </c>
      <c r="J123" s="2615">
        <v>79</v>
      </c>
      <c r="K123" s="2615"/>
      <c r="L123" s="2615"/>
      <c r="M123" s="2615">
        <v>89</v>
      </c>
      <c r="N123" s="2615">
        <v>89</v>
      </c>
      <c r="O123" s="2615">
        <v>89</v>
      </c>
      <c r="P123" s="2615">
        <v>89</v>
      </c>
      <c r="Q123" s="2615">
        <v>89</v>
      </c>
      <c r="R123" s="2615">
        <v>89</v>
      </c>
      <c r="S123" s="2615"/>
      <c r="T123" s="2425">
        <v>99</v>
      </c>
      <c r="U123" s="2425">
        <v>99</v>
      </c>
      <c r="V123" s="2425" t="s">
        <v>371</v>
      </c>
      <c r="W123" s="2616">
        <v>99</v>
      </c>
      <c r="X123" s="2615" t="s">
        <v>36</v>
      </c>
      <c r="Y123" s="2615"/>
      <c r="Z123" s="2615"/>
      <c r="AA123" s="2615" t="s">
        <v>183</v>
      </c>
      <c r="AB123" s="2615" t="s">
        <v>183</v>
      </c>
      <c r="AC123" s="2615" t="s">
        <v>183</v>
      </c>
      <c r="AD123" s="2615" t="s">
        <v>173</v>
      </c>
      <c r="AE123" s="2615" t="s">
        <v>183</v>
      </c>
      <c r="AF123" s="2615"/>
      <c r="AG123" s="2617"/>
      <c r="AH123" s="201"/>
      <c r="AI123" s="107"/>
    </row>
    <row r="124" spans="1:35" ht="22.35" customHeight="1">
      <c r="A124" s="2578">
        <v>4</v>
      </c>
      <c r="B124" s="2613"/>
      <c r="C124" s="2419">
        <v>79</v>
      </c>
      <c r="D124" s="2419"/>
      <c r="E124" s="2419"/>
      <c r="F124" s="2419">
        <v>89</v>
      </c>
      <c r="G124" s="2419">
        <v>89</v>
      </c>
      <c r="H124" s="2419">
        <v>89</v>
      </c>
      <c r="I124" s="2419">
        <v>89</v>
      </c>
      <c r="J124" s="2419">
        <v>89</v>
      </c>
      <c r="K124" s="2419">
        <v>89</v>
      </c>
      <c r="L124" s="2419"/>
      <c r="M124" s="2419">
        <v>99</v>
      </c>
      <c r="N124" s="2419">
        <v>99</v>
      </c>
      <c r="O124" s="2419">
        <v>99</v>
      </c>
      <c r="P124" s="2419">
        <v>99</v>
      </c>
      <c r="Q124" s="2565" t="s">
        <v>36</v>
      </c>
      <c r="R124" s="2565"/>
      <c r="S124" s="2419"/>
      <c r="T124" s="2419" t="s">
        <v>183</v>
      </c>
      <c r="U124" s="2419" t="s">
        <v>183</v>
      </c>
      <c r="V124" s="2419" t="s">
        <v>183</v>
      </c>
      <c r="W124" s="2419" t="s">
        <v>343</v>
      </c>
      <c r="X124" s="2419" t="s">
        <v>343</v>
      </c>
      <c r="Y124" s="2565"/>
      <c r="Z124" s="2491"/>
      <c r="AA124" s="2419">
        <v>69</v>
      </c>
      <c r="AB124" s="2419">
        <v>69</v>
      </c>
      <c r="AC124" s="2419">
        <v>69</v>
      </c>
      <c r="AD124" s="2419">
        <v>69</v>
      </c>
      <c r="AE124" s="2419">
        <v>69</v>
      </c>
      <c r="AF124" s="2565"/>
      <c r="AG124" s="2618"/>
      <c r="AH124" s="201"/>
      <c r="AI124" s="107"/>
    </row>
    <row r="125" spans="1:35" ht="22.35" customHeight="1" thickBot="1">
      <c r="A125" s="2584">
        <v>5</v>
      </c>
      <c r="B125" s="2619" t="s">
        <v>190</v>
      </c>
      <c r="C125" s="2455">
        <v>89</v>
      </c>
      <c r="D125" s="2455">
        <v>89</v>
      </c>
      <c r="E125" s="2455"/>
      <c r="F125" s="2407">
        <v>99</v>
      </c>
      <c r="G125" s="2451">
        <v>99</v>
      </c>
      <c r="H125" s="2451">
        <v>99</v>
      </c>
      <c r="I125" s="2451">
        <v>99</v>
      </c>
      <c r="J125" s="2451" t="s">
        <v>36</v>
      </c>
      <c r="K125" s="2451"/>
      <c r="L125" s="2407"/>
      <c r="M125" s="2407" t="s">
        <v>183</v>
      </c>
      <c r="N125" s="2455" t="s">
        <v>183</v>
      </c>
      <c r="O125" s="2455" t="s">
        <v>183</v>
      </c>
      <c r="P125" s="2455" t="s">
        <v>183</v>
      </c>
      <c r="Q125" s="2455" t="s">
        <v>183</v>
      </c>
      <c r="R125" s="2455"/>
      <c r="S125" s="2407"/>
      <c r="T125" s="2620">
        <v>69</v>
      </c>
      <c r="U125" s="2620">
        <v>69</v>
      </c>
      <c r="V125" s="2620">
        <v>69</v>
      </c>
      <c r="W125" s="2621">
        <v>69</v>
      </c>
      <c r="X125" s="2621">
        <v>69</v>
      </c>
      <c r="Y125" s="2621"/>
      <c r="Z125" s="2621"/>
      <c r="AA125" s="2450">
        <v>79</v>
      </c>
      <c r="AB125" s="2455">
        <v>79</v>
      </c>
      <c r="AC125" s="2455">
        <v>79</v>
      </c>
      <c r="AD125" s="2455">
        <v>79</v>
      </c>
      <c r="AE125" s="2455">
        <v>79</v>
      </c>
      <c r="AF125" s="2455"/>
      <c r="AG125" s="2622"/>
      <c r="AH125" s="201"/>
      <c r="AI125" s="107"/>
    </row>
    <row r="126" spans="1:35" ht="22.35" customHeight="1">
      <c r="A126" s="212"/>
      <c r="B126" s="229"/>
      <c r="C126" s="230"/>
      <c r="D126" s="230"/>
      <c r="E126" s="230"/>
      <c r="F126" s="211"/>
      <c r="G126" s="228"/>
      <c r="H126" s="228"/>
      <c r="I126" s="228"/>
      <c r="J126" s="228"/>
      <c r="K126" s="228"/>
      <c r="L126" s="211"/>
      <c r="M126" s="211"/>
      <c r="N126" s="230"/>
      <c r="O126" s="230"/>
      <c r="P126" s="230"/>
      <c r="Q126" s="230"/>
      <c r="R126" s="230"/>
      <c r="S126" s="211"/>
      <c r="T126" s="231"/>
      <c r="U126" s="230"/>
      <c r="V126" s="230"/>
      <c r="W126" s="230"/>
      <c r="X126" s="230"/>
      <c r="Y126" s="230"/>
      <c r="Z126" s="232"/>
      <c r="AA126" s="232"/>
      <c r="AB126" s="230"/>
      <c r="AC126" s="230"/>
      <c r="AD126" s="230"/>
      <c r="AE126" s="230"/>
      <c r="AF126" s="230"/>
      <c r="AG126" s="232"/>
      <c r="AH126" s="201"/>
      <c r="AI126" s="107"/>
    </row>
    <row r="127" spans="1:35" ht="22.35" customHeight="1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>
      <c r="A129" s="172"/>
      <c r="B129" s="248" t="s">
        <v>175</v>
      </c>
      <c r="C129" s="383"/>
      <c r="D129" s="384" t="s">
        <v>94</v>
      </c>
      <c r="E129" s="385"/>
      <c r="F129" s="386"/>
      <c r="G129" s="383"/>
      <c r="H129" s="384" t="s">
        <v>95</v>
      </c>
      <c r="I129" s="385"/>
      <c r="J129" s="386"/>
      <c r="K129" s="383"/>
      <c r="L129" s="384" t="s">
        <v>96</v>
      </c>
      <c r="M129" s="385"/>
      <c r="N129" s="386"/>
      <c r="O129" s="383"/>
      <c r="P129" s="384" t="s">
        <v>97</v>
      </c>
      <c r="Q129" s="385"/>
      <c r="R129" s="386"/>
      <c r="S129" s="383"/>
      <c r="T129" s="384" t="s">
        <v>98</v>
      </c>
      <c r="U129" s="385"/>
      <c r="V129" s="386"/>
      <c r="W129" s="383"/>
      <c r="X129" s="384" t="s">
        <v>99</v>
      </c>
      <c r="Y129" s="385"/>
      <c r="Z129" s="386"/>
      <c r="AA129" s="383"/>
      <c r="AB129" s="384" t="s">
        <v>100</v>
      </c>
      <c r="AC129" s="385"/>
      <c r="AD129" s="385"/>
      <c r="AE129" s="387" t="s">
        <v>101</v>
      </c>
      <c r="AF129" s="385"/>
      <c r="AG129" s="385"/>
      <c r="AH129" s="385"/>
      <c r="AI129" s="388"/>
    </row>
    <row r="130" spans="1:35" ht="22.35" customHeight="1">
      <c r="A130" s="172"/>
      <c r="B130" s="2590" t="s">
        <v>192</v>
      </c>
      <c r="C130" s="2513" t="s">
        <v>193</v>
      </c>
      <c r="D130" s="2592"/>
      <c r="E130" s="2592"/>
      <c r="F130" s="2593"/>
      <c r="G130" s="2513" t="s">
        <v>193</v>
      </c>
      <c r="H130" s="2592"/>
      <c r="I130" s="2592"/>
      <c r="J130" s="2593"/>
      <c r="K130" s="2513" t="s">
        <v>193</v>
      </c>
      <c r="L130" s="2592"/>
      <c r="M130" s="2592"/>
      <c r="N130" s="2593"/>
      <c r="O130" s="2513" t="s">
        <v>193</v>
      </c>
      <c r="P130" s="2592"/>
      <c r="Q130" s="2592"/>
      <c r="R130" s="2593"/>
      <c r="S130" s="2513" t="s">
        <v>193</v>
      </c>
      <c r="T130" s="2592"/>
      <c r="U130" s="2592"/>
      <c r="V130" s="2593"/>
      <c r="W130" s="2513" t="s">
        <v>194</v>
      </c>
      <c r="X130" s="2594"/>
      <c r="Y130" s="2594"/>
      <c r="Z130" s="2595"/>
      <c r="AA130" s="2513" t="s">
        <v>194</v>
      </c>
      <c r="AB130" s="2592"/>
      <c r="AC130" s="2592"/>
      <c r="AD130" s="2514"/>
      <c r="AE130" s="2596">
        <v>69</v>
      </c>
      <c r="AF130" s="194"/>
      <c r="AG130" s="194"/>
      <c r="AH130" s="194"/>
      <c r="AI130" s="195"/>
    </row>
    <row r="131" spans="1:35" ht="22.35" customHeight="1">
      <c r="A131" s="172"/>
      <c r="B131" s="2590" t="s">
        <v>152</v>
      </c>
      <c r="C131" s="2513" t="s">
        <v>160</v>
      </c>
      <c r="D131" s="2592"/>
      <c r="E131" s="2592"/>
      <c r="F131" s="2593"/>
      <c r="G131" s="2513" t="s">
        <v>160</v>
      </c>
      <c r="H131" s="2592"/>
      <c r="I131" s="2592"/>
      <c r="J131" s="2593"/>
      <c r="K131" s="2513" t="s">
        <v>160</v>
      </c>
      <c r="L131" s="2592"/>
      <c r="M131" s="2592"/>
      <c r="N131" s="2593"/>
      <c r="O131" s="2513" t="s">
        <v>160</v>
      </c>
      <c r="P131" s="2592"/>
      <c r="Q131" s="2592"/>
      <c r="R131" s="2593"/>
      <c r="S131" s="2513" t="s">
        <v>160</v>
      </c>
      <c r="T131" s="2592"/>
      <c r="U131" s="2592"/>
      <c r="V131" s="2593"/>
      <c r="W131" s="2513" t="s">
        <v>160</v>
      </c>
      <c r="X131" s="2592"/>
      <c r="Y131" s="2592"/>
      <c r="Z131" s="2593"/>
      <c r="AA131" s="2592" t="s">
        <v>160</v>
      </c>
      <c r="AB131" s="2592"/>
      <c r="AC131" s="2592"/>
      <c r="AD131" s="2514"/>
      <c r="AE131" s="2596">
        <v>0</v>
      </c>
      <c r="AF131" s="194"/>
      <c r="AG131" s="194"/>
      <c r="AH131" s="194"/>
      <c r="AI131" s="195"/>
    </row>
    <row r="132" spans="1:35" ht="22.35" customHeight="1">
      <c r="A132" s="172"/>
      <c r="B132" s="2590" t="s">
        <v>195</v>
      </c>
      <c r="C132" s="2513" t="s">
        <v>193</v>
      </c>
      <c r="D132" s="2592"/>
      <c r="E132" s="2592"/>
      <c r="F132" s="2593"/>
      <c r="G132" s="2513" t="s">
        <v>193</v>
      </c>
      <c r="H132" s="2592"/>
      <c r="I132" s="2592"/>
      <c r="J132" s="2593"/>
      <c r="K132" s="2513" t="s">
        <v>193</v>
      </c>
      <c r="L132" s="2592"/>
      <c r="M132" s="2592"/>
      <c r="N132" s="2593"/>
      <c r="O132" s="2513" t="s">
        <v>193</v>
      </c>
      <c r="P132" s="2592"/>
      <c r="Q132" s="2592"/>
      <c r="R132" s="2593"/>
      <c r="S132" s="2513" t="s">
        <v>193</v>
      </c>
      <c r="T132" s="2592"/>
      <c r="U132" s="2592"/>
      <c r="V132" s="2593"/>
      <c r="W132" s="2513" t="s">
        <v>194</v>
      </c>
      <c r="X132" s="2594"/>
      <c r="Y132" s="2594"/>
      <c r="Z132" s="2595"/>
      <c r="AA132" s="2513" t="s">
        <v>194</v>
      </c>
      <c r="AB132" s="2592"/>
      <c r="AC132" s="2592"/>
      <c r="AD132" s="2514"/>
      <c r="AE132" s="2596">
        <v>69</v>
      </c>
      <c r="AF132" s="2592"/>
      <c r="AG132" s="2592" t="s">
        <v>0</v>
      </c>
      <c r="AH132" s="2514"/>
      <c r="AI132" s="2597"/>
    </row>
    <row r="133" spans="1:35" ht="22.35" customHeight="1">
      <c r="A133" s="172"/>
      <c r="B133" s="2590" t="s">
        <v>161</v>
      </c>
      <c r="C133" s="2513" t="s">
        <v>160</v>
      </c>
      <c r="D133" s="2592"/>
      <c r="E133" s="2592"/>
      <c r="F133" s="2593"/>
      <c r="G133" s="2513" t="s">
        <v>160</v>
      </c>
      <c r="H133" s="2592"/>
      <c r="I133" s="2592"/>
      <c r="J133" s="2593"/>
      <c r="K133" s="2513" t="s">
        <v>160</v>
      </c>
      <c r="L133" s="2592"/>
      <c r="M133" s="2592"/>
      <c r="N133" s="2593"/>
      <c r="O133" s="2513" t="s">
        <v>160</v>
      </c>
      <c r="P133" s="2592"/>
      <c r="Q133" s="2592"/>
      <c r="R133" s="2593"/>
      <c r="S133" s="2513" t="s">
        <v>160</v>
      </c>
      <c r="T133" s="2592"/>
      <c r="U133" s="2592"/>
      <c r="V133" s="2593"/>
      <c r="W133" s="2513" t="s">
        <v>160</v>
      </c>
      <c r="X133" s="2592"/>
      <c r="Y133" s="2592"/>
      <c r="Z133" s="2593"/>
      <c r="AA133" s="2592" t="s">
        <v>160</v>
      </c>
      <c r="AB133" s="2592"/>
      <c r="AC133" s="2592"/>
      <c r="AD133" s="2514"/>
      <c r="AE133" s="2596">
        <v>0</v>
      </c>
      <c r="AF133" s="2592"/>
      <c r="AG133" s="2592"/>
      <c r="AH133" s="2514"/>
      <c r="AI133" s="2597"/>
    </row>
    <row r="134" spans="1:35" ht="22.35" customHeight="1">
      <c r="A134" s="172"/>
      <c r="B134" s="2590" t="s">
        <v>196</v>
      </c>
      <c r="C134" s="2513" t="s">
        <v>193</v>
      </c>
      <c r="D134" s="2592"/>
      <c r="E134" s="2592"/>
      <c r="F134" s="2593"/>
      <c r="G134" s="2513" t="s">
        <v>193</v>
      </c>
      <c r="H134" s="2592"/>
      <c r="I134" s="2592"/>
      <c r="J134" s="2593"/>
      <c r="K134" s="2513" t="s">
        <v>193</v>
      </c>
      <c r="L134" s="2592"/>
      <c r="M134" s="2592"/>
      <c r="N134" s="2593"/>
      <c r="O134" s="2513" t="s">
        <v>193</v>
      </c>
      <c r="P134" s="2592"/>
      <c r="Q134" s="2592"/>
      <c r="R134" s="2593"/>
      <c r="S134" s="2513" t="s">
        <v>193</v>
      </c>
      <c r="T134" s="2592"/>
      <c r="U134" s="2592"/>
      <c r="V134" s="2593"/>
      <c r="W134" s="2513" t="s">
        <v>197</v>
      </c>
      <c r="X134" s="2599"/>
      <c r="Y134" s="2599"/>
      <c r="Z134" s="2600"/>
      <c r="AA134" s="2513" t="s">
        <v>197</v>
      </c>
      <c r="AB134" s="2599"/>
      <c r="AC134" s="2599"/>
      <c r="AD134" s="2516"/>
      <c r="AE134" s="2596">
        <v>66</v>
      </c>
      <c r="AF134" s="2592"/>
      <c r="AG134" s="2592"/>
      <c r="AH134" s="2514"/>
      <c r="AI134" s="2597"/>
    </row>
    <row r="135" spans="1:35" ht="22.35" customHeight="1" thickBot="1">
      <c r="A135" s="172"/>
      <c r="B135" s="2590" t="s">
        <v>198</v>
      </c>
      <c r="C135" s="2623" t="s">
        <v>160</v>
      </c>
      <c r="D135" s="2624"/>
      <c r="E135" s="2624"/>
      <c r="F135" s="2625"/>
      <c r="G135" s="2623" t="s">
        <v>160</v>
      </c>
      <c r="H135" s="2624"/>
      <c r="I135" s="2624"/>
      <c r="J135" s="2625"/>
      <c r="K135" s="2623" t="s">
        <v>160</v>
      </c>
      <c r="L135" s="2624"/>
      <c r="M135" s="2624"/>
      <c r="N135" s="2625"/>
      <c r="O135" s="2623" t="s">
        <v>160</v>
      </c>
      <c r="P135" s="2624"/>
      <c r="Q135" s="2624"/>
      <c r="R135" s="2625"/>
      <c r="S135" s="2623" t="s">
        <v>160</v>
      </c>
      <c r="T135" s="2624"/>
      <c r="U135" s="2624"/>
      <c r="V135" s="2611"/>
      <c r="W135" s="2623" t="s">
        <v>160</v>
      </c>
      <c r="X135" s="2611"/>
      <c r="Y135" s="2624"/>
      <c r="Z135" s="2625"/>
      <c r="AA135" s="2623" t="s">
        <v>160</v>
      </c>
      <c r="AB135" s="2611"/>
      <c r="AC135" s="2624"/>
      <c r="AD135" s="2625"/>
      <c r="AE135" s="2626" t="s">
        <v>168</v>
      </c>
      <c r="AF135" s="2624"/>
      <c r="AG135" s="2624"/>
      <c r="AH135" s="2611"/>
      <c r="AI135" s="2612"/>
    </row>
    <row r="136" spans="1:35" ht="22.35" customHeight="1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>
      <c r="A137" s="2562"/>
      <c r="B137" s="2406" t="s">
        <v>29</v>
      </c>
      <c r="C137" s="2407">
        <v>1</v>
      </c>
      <c r="D137" s="2408">
        <v>2</v>
      </c>
      <c r="E137" s="2408">
        <v>3</v>
      </c>
      <c r="F137" s="2407">
        <v>4</v>
      </c>
      <c r="G137" s="2407">
        <v>5</v>
      </c>
      <c r="H137" s="2407">
        <v>6</v>
      </c>
      <c r="I137" s="2407">
        <v>7</v>
      </c>
      <c r="J137" s="2407">
        <v>8</v>
      </c>
      <c r="K137" s="2408">
        <v>9</v>
      </c>
      <c r="L137" s="2408">
        <v>10</v>
      </c>
      <c r="M137" s="2407">
        <v>11</v>
      </c>
      <c r="N137" s="2407">
        <v>12</v>
      </c>
      <c r="O137" s="2407">
        <v>13</v>
      </c>
      <c r="P137" s="2407">
        <v>14</v>
      </c>
      <c r="Q137" s="2407">
        <v>15</v>
      </c>
      <c r="R137" s="2408">
        <v>16</v>
      </c>
      <c r="S137" s="2408">
        <v>17</v>
      </c>
      <c r="T137" s="2407">
        <v>18</v>
      </c>
      <c r="U137" s="2407">
        <v>19</v>
      </c>
      <c r="V137" s="2407">
        <v>20</v>
      </c>
      <c r="W137" s="2407">
        <v>21</v>
      </c>
      <c r="X137" s="2407">
        <v>22</v>
      </c>
      <c r="Y137" s="2408">
        <v>23</v>
      </c>
      <c r="Z137" s="2408">
        <v>24</v>
      </c>
      <c r="AA137" s="2407">
        <v>25</v>
      </c>
      <c r="AB137" s="2407">
        <v>26</v>
      </c>
      <c r="AC137" s="2407">
        <v>27</v>
      </c>
      <c r="AD137" s="2407">
        <v>28</v>
      </c>
      <c r="AE137" s="2407">
        <v>29</v>
      </c>
      <c r="AF137" s="2408">
        <v>30</v>
      </c>
      <c r="AG137" s="2409">
        <v>31</v>
      </c>
      <c r="AH137" s="176"/>
      <c r="AI137" s="177"/>
    </row>
    <row r="138" spans="1:35" ht="22.35" customHeight="1">
      <c r="A138" s="317">
        <v>1</v>
      </c>
      <c r="B138" s="227" t="s">
        <v>199</v>
      </c>
      <c r="C138" s="309">
        <v>22</v>
      </c>
      <c r="D138" s="309">
        <v>22</v>
      </c>
      <c r="E138" s="309">
        <v>22</v>
      </c>
      <c r="F138" s="309" t="s">
        <v>36</v>
      </c>
      <c r="G138" s="312" t="s">
        <v>36</v>
      </c>
      <c r="H138" s="309" t="s">
        <v>36</v>
      </c>
      <c r="I138" s="310" t="s">
        <v>36</v>
      </c>
      <c r="J138" s="312" t="s">
        <v>36</v>
      </c>
      <c r="K138" s="309"/>
      <c r="L138" s="310"/>
      <c r="M138" s="312">
        <v>23</v>
      </c>
      <c r="N138" s="312">
        <v>23</v>
      </c>
      <c r="O138" s="309">
        <v>23</v>
      </c>
      <c r="P138" s="309">
        <v>23</v>
      </c>
      <c r="Q138" s="309">
        <v>23</v>
      </c>
      <c r="R138" s="309">
        <v>23</v>
      </c>
      <c r="S138" s="309">
        <v>23</v>
      </c>
      <c r="T138" s="636">
        <v>22</v>
      </c>
      <c r="U138" s="637">
        <v>22</v>
      </c>
      <c r="V138" s="309" t="s">
        <v>36</v>
      </c>
      <c r="W138" s="310" t="s">
        <v>36</v>
      </c>
      <c r="X138" s="309" t="s">
        <v>36</v>
      </c>
      <c r="Y138" s="638">
        <v>22</v>
      </c>
      <c r="Z138" s="639" t="s">
        <v>387</v>
      </c>
      <c r="AA138" s="542">
        <v>21</v>
      </c>
      <c r="AB138" s="542">
        <v>21</v>
      </c>
      <c r="AC138" s="587">
        <v>21</v>
      </c>
      <c r="AD138" s="644">
        <v>21</v>
      </c>
      <c r="AE138" s="644">
        <v>21</v>
      </c>
      <c r="AF138" s="644">
        <v>21</v>
      </c>
      <c r="AG138" s="645">
        <v>21</v>
      </c>
      <c r="AH138" s="107"/>
      <c r="AI138" s="107"/>
    </row>
    <row r="139" spans="1:35" ht="22.35" customHeight="1">
      <c r="A139" s="2627">
        <v>2</v>
      </c>
      <c r="B139" s="2439" t="s">
        <v>200</v>
      </c>
      <c r="C139" s="2435">
        <v>23</v>
      </c>
      <c r="D139" s="2435">
        <v>23</v>
      </c>
      <c r="E139" s="2435">
        <v>23</v>
      </c>
      <c r="F139" s="2435" t="s">
        <v>36</v>
      </c>
      <c r="G139" s="2435" t="s">
        <v>36</v>
      </c>
      <c r="H139" s="2435" t="s">
        <v>36</v>
      </c>
      <c r="I139" s="2543" t="s">
        <v>36</v>
      </c>
      <c r="J139" s="2435" t="s">
        <v>36</v>
      </c>
      <c r="K139" s="2435"/>
      <c r="L139" s="2543"/>
      <c r="M139" s="2440">
        <v>21</v>
      </c>
      <c r="N139" s="2440">
        <v>21</v>
      </c>
      <c r="O139" s="2440">
        <v>21</v>
      </c>
      <c r="P139" s="2440">
        <v>21</v>
      </c>
      <c r="Q139" s="2440">
        <v>21</v>
      </c>
      <c r="R139" s="2440">
        <v>21</v>
      </c>
      <c r="S139" s="2440">
        <v>21</v>
      </c>
      <c r="T139" s="2440" t="s">
        <v>36</v>
      </c>
      <c r="U139" s="2440" t="s">
        <v>36</v>
      </c>
      <c r="V139" s="2440" t="s">
        <v>36</v>
      </c>
      <c r="W139" s="2543" t="s">
        <v>36</v>
      </c>
      <c r="X139" s="2435" t="s">
        <v>36</v>
      </c>
      <c r="Y139" s="2435"/>
      <c r="Z139" s="2543"/>
      <c r="AA139" s="2440">
        <v>22</v>
      </c>
      <c r="AB139" s="2440">
        <v>22</v>
      </c>
      <c r="AC139" s="2440">
        <v>22</v>
      </c>
      <c r="AD139" s="2440">
        <v>22</v>
      </c>
      <c r="AE139" s="2440">
        <v>22</v>
      </c>
      <c r="AF139" s="2440">
        <v>22</v>
      </c>
      <c r="AG139" s="2442">
        <v>22</v>
      </c>
      <c r="AH139" s="107"/>
      <c r="AI139" s="107"/>
    </row>
    <row r="140" spans="1:35" ht="22.35" customHeight="1">
      <c r="A140" s="2627">
        <v>3</v>
      </c>
      <c r="B140" s="2439" t="s">
        <v>201</v>
      </c>
      <c r="C140" s="2628">
        <v>21</v>
      </c>
      <c r="D140" s="2628">
        <v>21</v>
      </c>
      <c r="E140" s="2628">
        <v>21</v>
      </c>
      <c r="F140" s="2435" t="s">
        <v>36</v>
      </c>
      <c r="G140" s="2440" t="s">
        <v>36</v>
      </c>
      <c r="H140" s="2440" t="s">
        <v>36</v>
      </c>
      <c r="I140" s="2443" t="s">
        <v>36</v>
      </c>
      <c r="J140" s="2443" t="s">
        <v>36</v>
      </c>
      <c r="K140" s="2443"/>
      <c r="L140" s="2443"/>
      <c r="M140" s="2443">
        <v>22</v>
      </c>
      <c r="N140" s="2443">
        <v>22</v>
      </c>
      <c r="O140" s="2443">
        <v>22</v>
      </c>
      <c r="P140" s="2435">
        <v>22</v>
      </c>
      <c r="Q140" s="2435">
        <v>22</v>
      </c>
      <c r="R140" s="2447">
        <v>22</v>
      </c>
      <c r="S140" s="2447">
        <v>22</v>
      </c>
      <c r="T140" s="2435" t="s">
        <v>36</v>
      </c>
      <c r="U140" s="2440" t="s">
        <v>36</v>
      </c>
      <c r="V140" s="2440" t="s">
        <v>36</v>
      </c>
      <c r="W140" s="2543" t="s">
        <v>36</v>
      </c>
      <c r="X140" s="2435" t="s">
        <v>36</v>
      </c>
      <c r="Y140" s="2435"/>
      <c r="Z140" s="2543"/>
      <c r="AA140" s="2435">
        <v>23</v>
      </c>
      <c r="AB140" s="2435">
        <v>23</v>
      </c>
      <c r="AC140" s="2435">
        <v>23</v>
      </c>
      <c r="AD140" s="2629">
        <v>23</v>
      </c>
      <c r="AE140" s="2629">
        <v>23</v>
      </c>
      <c r="AF140" s="2629">
        <v>23</v>
      </c>
      <c r="AG140" s="2630">
        <v>23</v>
      </c>
      <c r="AH140" s="107"/>
      <c r="AI140" s="107"/>
    </row>
    <row r="141" spans="1:35" ht="22.35" customHeight="1">
      <c r="A141" s="2627">
        <v>4</v>
      </c>
      <c r="B141" s="2439" t="s">
        <v>202</v>
      </c>
      <c r="C141" s="2435" t="s">
        <v>36</v>
      </c>
      <c r="D141" s="2435"/>
      <c r="E141" s="2543"/>
      <c r="F141" s="2435">
        <v>22</v>
      </c>
      <c r="G141" s="2435">
        <v>22</v>
      </c>
      <c r="H141" s="2435">
        <v>22</v>
      </c>
      <c r="I141" s="2435">
        <v>22</v>
      </c>
      <c r="J141" s="2435">
        <v>22</v>
      </c>
      <c r="K141" s="2435">
        <v>22</v>
      </c>
      <c r="L141" s="2435">
        <v>22</v>
      </c>
      <c r="M141" s="2435" t="s">
        <v>36</v>
      </c>
      <c r="N141" s="2435" t="s">
        <v>36</v>
      </c>
      <c r="O141" s="2631" t="s">
        <v>36</v>
      </c>
      <c r="P141" s="2443" t="s">
        <v>36</v>
      </c>
      <c r="Q141" s="2443" t="s">
        <v>36</v>
      </c>
      <c r="R141" s="2443"/>
      <c r="S141" s="2443"/>
      <c r="T141" s="2443">
        <v>23</v>
      </c>
      <c r="U141" s="2443">
        <v>23</v>
      </c>
      <c r="V141" s="2443">
        <v>23</v>
      </c>
      <c r="W141" s="2435">
        <v>23</v>
      </c>
      <c r="X141" s="2435">
        <v>23</v>
      </c>
      <c r="Y141" s="2435">
        <v>23</v>
      </c>
      <c r="Z141" s="2435">
        <v>23</v>
      </c>
      <c r="AA141" s="2435" t="s">
        <v>36</v>
      </c>
      <c r="AB141" s="2435" t="s">
        <v>36</v>
      </c>
      <c r="AC141" s="2435" t="s">
        <v>36</v>
      </c>
      <c r="AD141" s="2543" t="s">
        <v>36</v>
      </c>
      <c r="AE141" s="2435" t="s">
        <v>36</v>
      </c>
      <c r="AF141" s="2435"/>
      <c r="AG141" s="2632"/>
      <c r="AH141" s="107"/>
      <c r="AI141" s="107"/>
    </row>
    <row r="142" spans="1:35" ht="22.35" customHeight="1">
      <c r="A142" s="2627">
        <v>5</v>
      </c>
      <c r="B142" s="2439" t="s">
        <v>203</v>
      </c>
      <c r="C142" s="2435" t="s">
        <v>36</v>
      </c>
      <c r="D142" s="2435"/>
      <c r="E142" s="2543"/>
      <c r="F142" s="2440">
        <v>23</v>
      </c>
      <c r="G142" s="2435">
        <v>23</v>
      </c>
      <c r="H142" s="2435">
        <v>23</v>
      </c>
      <c r="I142" s="2435">
        <v>23</v>
      </c>
      <c r="J142" s="2435">
        <v>23</v>
      </c>
      <c r="K142" s="2435">
        <v>23</v>
      </c>
      <c r="L142" s="2435">
        <v>23</v>
      </c>
      <c r="M142" s="2435" t="s">
        <v>36</v>
      </c>
      <c r="N142" s="2435" t="s">
        <v>36</v>
      </c>
      <c r="O142" s="2435" t="s">
        <v>36</v>
      </c>
      <c r="P142" s="2543" t="s">
        <v>36</v>
      </c>
      <c r="Q142" s="2435" t="s">
        <v>36</v>
      </c>
      <c r="R142" s="2435"/>
      <c r="S142" s="2543"/>
      <c r="T142" s="2435">
        <v>21</v>
      </c>
      <c r="U142" s="2435">
        <v>21</v>
      </c>
      <c r="V142" s="2435">
        <v>21</v>
      </c>
      <c r="W142" s="2435">
        <v>21</v>
      </c>
      <c r="X142" s="2435">
        <v>21</v>
      </c>
      <c r="Y142" s="2435">
        <v>21</v>
      </c>
      <c r="Z142" s="2435">
        <v>21</v>
      </c>
      <c r="AA142" s="2435" t="s">
        <v>36</v>
      </c>
      <c r="AB142" s="2435" t="s">
        <v>36</v>
      </c>
      <c r="AC142" s="2440" t="s">
        <v>36</v>
      </c>
      <c r="AD142" s="2440" t="s">
        <v>36</v>
      </c>
      <c r="AE142" s="2440" t="s">
        <v>36</v>
      </c>
      <c r="AF142" s="2435"/>
      <c r="AG142" s="2632"/>
      <c r="AH142" s="107"/>
      <c r="AI142" s="107"/>
    </row>
    <row r="143" spans="1:35" ht="22.35" customHeight="1" thickBot="1">
      <c r="A143" s="1068">
        <v>6</v>
      </c>
      <c r="B143" s="1069" t="s">
        <v>204</v>
      </c>
      <c r="C143" s="996" t="s">
        <v>36</v>
      </c>
      <c r="D143" s="996"/>
      <c r="E143" s="998"/>
      <c r="F143" s="996">
        <v>21</v>
      </c>
      <c r="G143" s="996">
        <v>21</v>
      </c>
      <c r="H143" s="1070">
        <v>21</v>
      </c>
      <c r="I143" s="1070">
        <v>21</v>
      </c>
      <c r="J143" s="1070">
        <v>21</v>
      </c>
      <c r="K143" s="1070">
        <v>21</v>
      </c>
      <c r="L143" s="1070">
        <v>21</v>
      </c>
      <c r="M143" s="1070" t="s">
        <v>36</v>
      </c>
      <c r="N143" s="1072" t="s">
        <v>36</v>
      </c>
      <c r="O143" s="1072" t="s">
        <v>36</v>
      </c>
      <c r="P143" s="998" t="s">
        <v>36</v>
      </c>
      <c r="Q143" s="996" t="s">
        <v>36</v>
      </c>
      <c r="R143" s="996"/>
      <c r="S143" s="998"/>
      <c r="T143" s="2633">
        <v>22</v>
      </c>
      <c r="U143" s="2633">
        <v>22</v>
      </c>
      <c r="V143" s="2633">
        <v>22</v>
      </c>
      <c r="W143" s="2633">
        <v>22</v>
      </c>
      <c r="X143" s="2633">
        <v>22</v>
      </c>
      <c r="Y143" s="2633">
        <v>22</v>
      </c>
      <c r="Z143" s="2633">
        <v>22</v>
      </c>
      <c r="AA143" s="1129" t="s">
        <v>363</v>
      </c>
      <c r="AB143" s="2634" t="s">
        <v>36</v>
      </c>
      <c r="AC143" s="2634" t="s">
        <v>36</v>
      </c>
      <c r="AD143" s="2634" t="s">
        <v>36</v>
      </c>
      <c r="AE143" s="2634" t="s">
        <v>36</v>
      </c>
      <c r="AF143" s="996"/>
      <c r="AG143" s="1074"/>
      <c r="AH143" s="107"/>
      <c r="AI143" s="107"/>
    </row>
    <row r="144" spans="1:35" ht="22.35" customHeight="1">
      <c r="A144" s="212"/>
      <c r="B144" s="210"/>
      <c r="C144" s="211"/>
      <c r="D144" s="211"/>
      <c r="E144" s="228"/>
      <c r="F144" s="211"/>
      <c r="G144" s="211"/>
      <c r="H144" s="233"/>
      <c r="I144" s="233"/>
      <c r="J144" s="233"/>
      <c r="K144" s="233"/>
      <c r="L144" s="233"/>
      <c r="M144" s="233"/>
      <c r="N144" s="202"/>
      <c r="O144" s="202"/>
      <c r="P144" s="228"/>
      <c r="Q144" s="211"/>
      <c r="R144" s="211"/>
      <c r="S144" s="228"/>
      <c r="T144" s="211"/>
      <c r="U144" s="211"/>
      <c r="V144" s="211"/>
      <c r="W144" s="211"/>
      <c r="X144" s="211"/>
      <c r="Y144" s="211"/>
      <c r="Z144" s="211"/>
      <c r="AA144" s="211"/>
      <c r="AB144" s="202"/>
      <c r="AC144" s="202"/>
      <c r="AD144" s="228"/>
      <c r="AE144" s="211"/>
      <c r="AF144" s="211"/>
      <c r="AG144" s="228"/>
      <c r="AH144" s="107"/>
      <c r="AI144" s="107"/>
    </row>
    <row r="145" spans="1:35" ht="22.35" customHeight="1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>
      <c r="A147" s="1"/>
      <c r="B147" s="248" t="s">
        <v>175</v>
      </c>
      <c r="C147" s="368"/>
      <c r="D147" s="384" t="s">
        <v>94</v>
      </c>
      <c r="E147" s="357"/>
      <c r="F147" s="372"/>
      <c r="G147" s="368"/>
      <c r="H147" s="384" t="s">
        <v>95</v>
      </c>
      <c r="I147" s="357"/>
      <c r="J147" s="372"/>
      <c r="K147" s="368"/>
      <c r="L147" s="384" t="s">
        <v>96</v>
      </c>
      <c r="M147" s="357"/>
      <c r="N147" s="372"/>
      <c r="O147" s="368"/>
      <c r="P147" s="384" t="s">
        <v>97</v>
      </c>
      <c r="Q147" s="357"/>
      <c r="R147" s="372"/>
      <c r="S147" s="368"/>
      <c r="T147" s="384" t="s">
        <v>98</v>
      </c>
      <c r="U147" s="357"/>
      <c r="V147" s="372"/>
      <c r="W147" s="368"/>
      <c r="X147" s="384" t="s">
        <v>99</v>
      </c>
      <c r="Y147" s="357"/>
      <c r="Z147" s="372"/>
      <c r="AA147" s="368"/>
      <c r="AB147" s="384" t="s">
        <v>100</v>
      </c>
      <c r="AC147" s="357"/>
      <c r="AD147" s="357"/>
      <c r="AE147" s="387" t="s">
        <v>101</v>
      </c>
      <c r="AF147" s="357"/>
      <c r="AG147" s="357"/>
      <c r="AH147" s="357"/>
      <c r="AI147" s="358"/>
    </row>
    <row r="148" spans="1:35" ht="22.35" customHeight="1">
      <c r="A148" s="1"/>
      <c r="B148" s="2590" t="s">
        <v>148</v>
      </c>
      <c r="C148" s="2513" t="s">
        <v>176</v>
      </c>
      <c r="D148" s="2389"/>
      <c r="E148" s="2389"/>
      <c r="F148" s="2593"/>
      <c r="G148" s="2513" t="s">
        <v>176</v>
      </c>
      <c r="H148" s="2389"/>
      <c r="I148" s="2389"/>
      <c r="J148" s="2593"/>
      <c r="K148" s="2513" t="s">
        <v>176</v>
      </c>
      <c r="L148" s="2389"/>
      <c r="M148" s="2389"/>
      <c r="N148" s="2593"/>
      <c r="O148" s="2513" t="s">
        <v>206</v>
      </c>
      <c r="P148" s="2389"/>
      <c r="Q148" s="2389"/>
      <c r="R148" s="2593"/>
      <c r="S148" s="2513" t="s">
        <v>160</v>
      </c>
      <c r="T148" s="2389"/>
      <c r="U148" s="2389"/>
      <c r="V148" s="2593"/>
      <c r="W148" s="2635"/>
      <c r="X148" s="2636"/>
      <c r="Y148" s="2636"/>
      <c r="Z148" s="2595"/>
      <c r="AA148" s="2591"/>
      <c r="AB148" s="2389"/>
      <c r="AC148" s="2389"/>
      <c r="AD148" s="2514"/>
      <c r="AE148" s="2596">
        <v>27</v>
      </c>
      <c r="AF148" s="2389"/>
      <c r="AG148" s="2389"/>
      <c r="AH148" s="2514"/>
      <c r="AI148" s="2398"/>
    </row>
    <row r="149" spans="1:35" ht="22.35" customHeight="1">
      <c r="A149" s="1"/>
      <c r="B149" s="2590" t="s">
        <v>152</v>
      </c>
      <c r="C149" s="2513" t="s">
        <v>207</v>
      </c>
      <c r="D149" s="2389"/>
      <c r="E149" s="2389"/>
      <c r="F149" s="2593"/>
      <c r="G149" s="2513" t="s">
        <v>207</v>
      </c>
      <c r="H149" s="2389"/>
      <c r="I149" s="2389"/>
      <c r="J149" s="2593"/>
      <c r="K149" s="2513" t="s">
        <v>207</v>
      </c>
      <c r="L149" s="2389"/>
      <c r="M149" s="2389"/>
      <c r="N149" s="2593"/>
      <c r="O149" s="2513" t="s">
        <v>207</v>
      </c>
      <c r="P149" s="2389"/>
      <c r="Q149" s="2389"/>
      <c r="R149" s="2593"/>
      <c r="S149" s="2513" t="s">
        <v>176</v>
      </c>
      <c r="T149" s="2389"/>
      <c r="U149" s="2389"/>
      <c r="V149" s="2593"/>
      <c r="W149" s="2513"/>
      <c r="X149" s="2389"/>
      <c r="Y149" s="2389"/>
      <c r="Z149" s="2593"/>
      <c r="AA149" s="2389"/>
      <c r="AB149" s="2389"/>
      <c r="AC149" s="2389"/>
      <c r="AD149" s="2514"/>
      <c r="AE149" s="2596">
        <v>39</v>
      </c>
      <c r="AF149" s="2389"/>
      <c r="AG149" s="2389"/>
      <c r="AH149" s="2514"/>
      <c r="AI149" s="2398"/>
    </row>
    <row r="150" spans="1:35" ht="22.35" customHeight="1">
      <c r="A150" s="1"/>
      <c r="B150" s="2590" t="s">
        <v>159</v>
      </c>
      <c r="C150" s="2513" t="s">
        <v>207</v>
      </c>
      <c r="D150" s="2389"/>
      <c r="E150" s="2389"/>
      <c r="F150" s="2593"/>
      <c r="G150" s="2513" t="s">
        <v>207</v>
      </c>
      <c r="H150" s="2389"/>
      <c r="I150" s="2389"/>
      <c r="J150" s="2593"/>
      <c r="K150" s="2513" t="s">
        <v>207</v>
      </c>
      <c r="L150" s="2389"/>
      <c r="M150" s="2389"/>
      <c r="N150" s="2593"/>
      <c r="O150" s="2513" t="s">
        <v>207</v>
      </c>
      <c r="P150" s="2389"/>
      <c r="Q150" s="2389"/>
      <c r="R150" s="2593"/>
      <c r="S150" s="2513" t="s">
        <v>207</v>
      </c>
      <c r="T150" s="2389"/>
      <c r="U150" s="2389"/>
      <c r="V150" s="2593"/>
      <c r="W150" s="2515" t="s">
        <v>208</v>
      </c>
      <c r="X150" s="2402"/>
      <c r="Y150" s="2402"/>
      <c r="Z150" s="2600"/>
      <c r="AA150" s="2598"/>
      <c r="AB150" s="2402"/>
      <c r="AC150" s="2402"/>
      <c r="AD150" s="2516"/>
      <c r="AE150" s="2596">
        <v>45</v>
      </c>
      <c r="AF150" s="2389"/>
      <c r="AG150" s="2389"/>
      <c r="AH150" s="2514"/>
      <c r="AI150" s="2398"/>
    </row>
    <row r="151" spans="1:35" ht="22.35" customHeight="1" thickBot="1">
      <c r="A151" s="1"/>
      <c r="B151" s="454" t="s">
        <v>161</v>
      </c>
      <c r="C151" s="2623"/>
      <c r="D151" s="2467"/>
      <c r="E151" s="2467"/>
      <c r="F151" s="2625"/>
      <c r="G151" s="2623"/>
      <c r="H151" s="2467"/>
      <c r="I151" s="2467"/>
      <c r="J151" s="2625"/>
      <c r="K151" s="2623"/>
      <c r="L151" s="2467"/>
      <c r="M151" s="2467"/>
      <c r="N151" s="2625"/>
      <c r="O151" s="2623"/>
      <c r="P151" s="2467"/>
      <c r="Q151" s="2467"/>
      <c r="R151" s="2625"/>
      <c r="S151" s="2623"/>
      <c r="T151" s="2467"/>
      <c r="U151" s="2467"/>
      <c r="V151" s="2611"/>
      <c r="W151" s="2623"/>
      <c r="X151" s="2611"/>
      <c r="Y151" s="2467"/>
      <c r="Z151" s="2625"/>
      <c r="AA151" s="2623"/>
      <c r="AB151" s="2611"/>
      <c r="AC151" s="2467"/>
      <c r="AD151" s="2625"/>
      <c r="AE151" s="2637"/>
      <c r="AF151" s="2467"/>
      <c r="AG151" s="2467"/>
      <c r="AH151" s="2611"/>
      <c r="AI151" s="2474"/>
    </row>
    <row r="152" spans="1:35" ht="22.35" customHeight="1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>
      <c r="A153" s="2562"/>
      <c r="B153" s="2476" t="s">
        <v>29</v>
      </c>
      <c r="C153" s="2407">
        <v>1</v>
      </c>
      <c r="D153" s="2408">
        <v>2</v>
      </c>
      <c r="E153" s="2408">
        <v>3</v>
      </c>
      <c r="F153" s="2407">
        <v>4</v>
      </c>
      <c r="G153" s="2407">
        <v>5</v>
      </c>
      <c r="H153" s="2407">
        <v>6</v>
      </c>
      <c r="I153" s="2407">
        <v>7</v>
      </c>
      <c r="J153" s="2407">
        <v>8</v>
      </c>
      <c r="K153" s="2408">
        <v>9</v>
      </c>
      <c r="L153" s="2408">
        <v>10</v>
      </c>
      <c r="M153" s="2407">
        <v>11</v>
      </c>
      <c r="N153" s="2407">
        <v>12</v>
      </c>
      <c r="O153" s="2407">
        <v>13</v>
      </c>
      <c r="P153" s="2407">
        <v>14</v>
      </c>
      <c r="Q153" s="2407">
        <v>15</v>
      </c>
      <c r="R153" s="2408">
        <v>16</v>
      </c>
      <c r="S153" s="2408">
        <v>17</v>
      </c>
      <c r="T153" s="2407">
        <v>18</v>
      </c>
      <c r="U153" s="2407">
        <v>19</v>
      </c>
      <c r="V153" s="2407">
        <v>20</v>
      </c>
      <c r="W153" s="2407">
        <v>21</v>
      </c>
      <c r="X153" s="2407">
        <v>22</v>
      </c>
      <c r="Y153" s="2408">
        <v>23</v>
      </c>
      <c r="Z153" s="2408">
        <v>24</v>
      </c>
      <c r="AA153" s="2407">
        <v>25</v>
      </c>
      <c r="AB153" s="2407">
        <v>26</v>
      </c>
      <c r="AC153" s="2407">
        <v>27</v>
      </c>
      <c r="AD153" s="2407">
        <v>28</v>
      </c>
      <c r="AE153" s="2407">
        <v>29</v>
      </c>
      <c r="AF153" s="2408">
        <v>30</v>
      </c>
      <c r="AG153" s="2409">
        <v>31</v>
      </c>
      <c r="AH153" s="176"/>
      <c r="AI153" s="177"/>
    </row>
    <row r="154" spans="1:35" ht="22.35" customHeight="1">
      <c r="A154" s="367">
        <v>1</v>
      </c>
      <c r="B154" s="390" t="s">
        <v>209</v>
      </c>
      <c r="C154" s="349" t="s">
        <v>32</v>
      </c>
      <c r="D154" s="349"/>
      <c r="E154" s="349"/>
      <c r="F154" s="349" t="s">
        <v>32</v>
      </c>
      <c r="G154" s="349" t="s">
        <v>32</v>
      </c>
      <c r="H154" s="349" t="s">
        <v>32</v>
      </c>
      <c r="I154" s="349" t="s">
        <v>32</v>
      </c>
      <c r="J154" s="349" t="s">
        <v>32</v>
      </c>
      <c r="K154" s="350"/>
      <c r="L154" s="349"/>
      <c r="M154" s="349" t="s">
        <v>32</v>
      </c>
      <c r="N154" s="350" t="s">
        <v>32</v>
      </c>
      <c r="O154" s="350" t="s">
        <v>32</v>
      </c>
      <c r="P154" s="349" t="s">
        <v>32</v>
      </c>
      <c r="Q154" s="349" t="s">
        <v>32</v>
      </c>
      <c r="R154" s="349"/>
      <c r="S154" s="349"/>
      <c r="T154" s="539" t="s">
        <v>32</v>
      </c>
      <c r="U154" s="539" t="s">
        <v>32</v>
      </c>
      <c r="V154" s="539" t="s">
        <v>32</v>
      </c>
      <c r="W154" s="539" t="s">
        <v>32</v>
      </c>
      <c r="X154" s="539" t="s">
        <v>32</v>
      </c>
      <c r="Y154" s="350"/>
      <c r="Z154" s="349"/>
      <c r="AA154" s="351" t="s">
        <v>32</v>
      </c>
      <c r="AB154" s="350" t="s">
        <v>32</v>
      </c>
      <c r="AC154" s="552" t="s">
        <v>32</v>
      </c>
      <c r="AD154" s="552" t="s">
        <v>32</v>
      </c>
      <c r="AE154" s="552" t="s">
        <v>32</v>
      </c>
      <c r="AF154" s="552"/>
      <c r="AG154" s="648"/>
      <c r="AH154" s="215"/>
      <c r="AI154" s="182"/>
    </row>
    <row r="155" spans="1:35" ht="22.35" customHeight="1">
      <c r="A155" s="2578">
        <v>2</v>
      </c>
      <c r="B155" s="2638" t="s">
        <v>210</v>
      </c>
      <c r="C155" s="2419" t="s">
        <v>36</v>
      </c>
      <c r="D155" s="2419"/>
      <c r="E155" s="2419"/>
      <c r="F155" s="2419" t="s">
        <v>211</v>
      </c>
      <c r="G155" s="2419" t="s">
        <v>211</v>
      </c>
      <c r="H155" s="2419" t="s">
        <v>211</v>
      </c>
      <c r="I155" s="2419" t="s">
        <v>211</v>
      </c>
      <c r="J155" s="2419" t="s">
        <v>211</v>
      </c>
      <c r="K155" s="2419"/>
      <c r="L155" s="2419"/>
      <c r="M155" s="2419" t="s">
        <v>212</v>
      </c>
      <c r="N155" s="2419" t="s">
        <v>212</v>
      </c>
      <c r="O155" s="2419" t="s">
        <v>212</v>
      </c>
      <c r="P155" s="2419" t="s">
        <v>212</v>
      </c>
      <c r="Q155" s="2419" t="s">
        <v>212</v>
      </c>
      <c r="R155" s="2419" t="s">
        <v>212</v>
      </c>
      <c r="S155" s="2419"/>
      <c r="T155" s="2430" t="s">
        <v>213</v>
      </c>
      <c r="U155" s="2430" t="s">
        <v>213</v>
      </c>
      <c r="V155" s="2430" t="s">
        <v>213</v>
      </c>
      <c r="W155" s="2430" t="s">
        <v>213</v>
      </c>
      <c r="X155" s="2430" t="s">
        <v>36</v>
      </c>
      <c r="Y155" s="2430"/>
      <c r="Z155" s="2430"/>
      <c r="AA155" s="2419" t="s">
        <v>211</v>
      </c>
      <c r="AB155" s="2419" t="s">
        <v>211</v>
      </c>
      <c r="AC155" s="2419" t="s">
        <v>211</v>
      </c>
      <c r="AD155" s="2419" t="s">
        <v>211</v>
      </c>
      <c r="AE155" s="2419" t="s">
        <v>211</v>
      </c>
      <c r="AF155" s="2419"/>
      <c r="AG155" s="2480"/>
      <c r="AH155" s="215"/>
      <c r="AI155" s="182"/>
    </row>
    <row r="156" spans="1:35" ht="22.35" customHeight="1">
      <c r="A156" s="2578">
        <v>3</v>
      </c>
      <c r="B156" s="2639" t="s">
        <v>214</v>
      </c>
      <c r="C156" s="2419" t="s">
        <v>211</v>
      </c>
      <c r="D156" s="2419"/>
      <c r="E156" s="2419"/>
      <c r="F156" s="2419" t="s">
        <v>212</v>
      </c>
      <c r="G156" s="2419" t="s">
        <v>212</v>
      </c>
      <c r="H156" s="2419" t="s">
        <v>212</v>
      </c>
      <c r="I156" s="2419" t="s">
        <v>212</v>
      </c>
      <c r="J156" s="2419" t="s">
        <v>212</v>
      </c>
      <c r="K156" s="2419" t="s">
        <v>212</v>
      </c>
      <c r="L156" s="2419"/>
      <c r="M156" s="2419" t="s">
        <v>213</v>
      </c>
      <c r="N156" s="2419" t="s">
        <v>213</v>
      </c>
      <c r="O156" s="2419" t="s">
        <v>213</v>
      </c>
      <c r="P156" s="2419" t="s">
        <v>213</v>
      </c>
      <c r="Q156" s="2419" t="s">
        <v>36</v>
      </c>
      <c r="R156" s="2419"/>
      <c r="S156" s="2419"/>
      <c r="T156" s="2419" t="s">
        <v>211</v>
      </c>
      <c r="U156" s="2419" t="s">
        <v>211</v>
      </c>
      <c r="V156" s="2419" t="s">
        <v>211</v>
      </c>
      <c r="W156" s="2419" t="s">
        <v>211</v>
      </c>
      <c r="X156" s="2419" t="s">
        <v>211</v>
      </c>
      <c r="Y156" s="2419"/>
      <c r="Z156" s="2419"/>
      <c r="AA156" s="2419" t="s">
        <v>212</v>
      </c>
      <c r="AB156" s="2419" t="s">
        <v>212</v>
      </c>
      <c r="AC156" s="2419" t="s">
        <v>212</v>
      </c>
      <c r="AD156" s="2419" t="s">
        <v>212</v>
      </c>
      <c r="AE156" s="2419" t="s">
        <v>212</v>
      </c>
      <c r="AF156" s="2419" t="s">
        <v>212</v>
      </c>
      <c r="AG156" s="2480"/>
      <c r="AH156" s="215"/>
      <c r="AI156" s="182"/>
    </row>
    <row r="157" spans="1:35" ht="22.35" customHeight="1">
      <c r="A157" s="2578">
        <v>4</v>
      </c>
      <c r="B157" s="2639" t="s">
        <v>215</v>
      </c>
      <c r="C157" s="2419" t="s">
        <v>32</v>
      </c>
      <c r="D157" s="2500" t="s">
        <v>212</v>
      </c>
      <c r="E157" s="2419"/>
      <c r="F157" s="2419"/>
      <c r="G157" s="2419" t="s">
        <v>125</v>
      </c>
      <c r="H157" s="2416" t="s">
        <v>32</v>
      </c>
      <c r="I157" s="2416"/>
      <c r="J157" s="2416" t="s">
        <v>32</v>
      </c>
      <c r="K157" s="2416"/>
      <c r="L157" s="2416"/>
      <c r="M157" s="2419"/>
      <c r="N157" s="2419" t="s">
        <v>125</v>
      </c>
      <c r="O157" s="2419" t="s">
        <v>32</v>
      </c>
      <c r="P157" s="2419"/>
      <c r="Q157" s="2419" t="s">
        <v>32</v>
      </c>
      <c r="R157" s="2419"/>
      <c r="S157" s="2419"/>
      <c r="T157" s="2419"/>
      <c r="U157" s="2419" t="s">
        <v>125</v>
      </c>
      <c r="V157" s="2419"/>
      <c r="W157" s="2419"/>
      <c r="X157" s="2419" t="s">
        <v>32</v>
      </c>
      <c r="Y157" s="2500" t="s">
        <v>212</v>
      </c>
      <c r="Z157" s="2419"/>
      <c r="AA157" s="2419"/>
      <c r="AB157" s="2419" t="s">
        <v>125</v>
      </c>
      <c r="AC157" s="2419" t="s">
        <v>32</v>
      </c>
      <c r="AD157" s="2419"/>
      <c r="AE157" s="2419" t="s">
        <v>32</v>
      </c>
      <c r="AF157" s="2419"/>
      <c r="AG157" s="2480"/>
      <c r="AH157" s="215"/>
      <c r="AI157" s="182"/>
    </row>
    <row r="158" spans="1:35" ht="22.35" customHeight="1">
      <c r="A158" s="2578">
        <v>5</v>
      </c>
      <c r="B158" s="2639" t="s">
        <v>216</v>
      </c>
      <c r="C158" s="2419"/>
      <c r="D158" s="2419"/>
      <c r="E158" s="2419"/>
      <c r="F158" s="2419" t="s">
        <v>125</v>
      </c>
      <c r="G158" s="2419"/>
      <c r="H158" s="2419"/>
      <c r="I158" s="2419" t="s">
        <v>32</v>
      </c>
      <c r="J158" s="2419"/>
      <c r="K158" s="2419"/>
      <c r="L158" s="2419"/>
      <c r="M158" s="2419" t="s">
        <v>125</v>
      </c>
      <c r="N158" s="2419"/>
      <c r="O158" s="2419"/>
      <c r="P158" s="2419" t="s">
        <v>32</v>
      </c>
      <c r="Q158" s="2419"/>
      <c r="R158" s="2419"/>
      <c r="S158" s="2419"/>
      <c r="T158" s="2419" t="s">
        <v>125</v>
      </c>
      <c r="U158" s="2419"/>
      <c r="V158" s="2419"/>
      <c r="W158" s="2419" t="s">
        <v>32</v>
      </c>
      <c r="X158" s="2419"/>
      <c r="Y158" s="2419"/>
      <c r="Z158" s="2419"/>
      <c r="AA158" s="2419" t="s">
        <v>125</v>
      </c>
      <c r="AB158" s="2419"/>
      <c r="AC158" s="2419"/>
      <c r="AD158" s="2419" t="s">
        <v>32</v>
      </c>
      <c r="AE158" s="2419"/>
      <c r="AF158" s="2419"/>
      <c r="AG158" s="2480"/>
      <c r="AH158" s="215"/>
      <c r="AI158" s="182"/>
    </row>
    <row r="159" spans="1:35" ht="22.35" customHeight="1">
      <c r="A159" s="2578">
        <v>6</v>
      </c>
      <c r="B159" s="2423" t="s">
        <v>217</v>
      </c>
      <c r="C159" s="2419" t="s">
        <v>32</v>
      </c>
      <c r="D159" s="2419"/>
      <c r="E159" s="2419"/>
      <c r="F159" s="2640" t="s">
        <v>32</v>
      </c>
      <c r="G159" s="2419" t="s">
        <v>32</v>
      </c>
      <c r="H159" s="2419" t="s">
        <v>32</v>
      </c>
      <c r="I159" s="2419" t="s">
        <v>32</v>
      </c>
      <c r="J159" s="2425" t="s">
        <v>32</v>
      </c>
      <c r="K159" s="2425"/>
      <c r="L159" s="2425"/>
      <c r="M159" s="2425" t="s">
        <v>32</v>
      </c>
      <c r="N159" s="2425" t="s">
        <v>32</v>
      </c>
      <c r="O159" s="2425" t="s">
        <v>278</v>
      </c>
      <c r="P159" s="2419" t="s">
        <v>32</v>
      </c>
      <c r="Q159" s="2500" t="s">
        <v>32</v>
      </c>
      <c r="R159" s="2419"/>
      <c r="S159" s="2419"/>
      <c r="T159" s="2419" t="s">
        <v>32</v>
      </c>
      <c r="U159" s="2419" t="s">
        <v>32</v>
      </c>
      <c r="V159" s="2420" t="s">
        <v>32</v>
      </c>
      <c r="W159" s="2419" t="s">
        <v>32</v>
      </c>
      <c r="X159" s="2416" t="s">
        <v>32</v>
      </c>
      <c r="Y159" s="2419"/>
      <c r="Z159" s="2419"/>
      <c r="AA159" s="2640" t="s">
        <v>32</v>
      </c>
      <c r="AB159" s="2419" t="s">
        <v>32</v>
      </c>
      <c r="AC159" s="2419" t="s">
        <v>32</v>
      </c>
      <c r="AD159" s="2419" t="s">
        <v>32</v>
      </c>
      <c r="AE159" s="2419" t="s">
        <v>32</v>
      </c>
      <c r="AF159" s="2419"/>
      <c r="AG159" s="2480"/>
      <c r="AH159" s="201"/>
      <c r="AI159" s="107"/>
    </row>
    <row r="160" spans="1:35" ht="22.35" customHeight="1" thickBot="1">
      <c r="A160" s="2584"/>
      <c r="B160" s="2482"/>
      <c r="C160" s="2407"/>
      <c r="D160" s="2407"/>
      <c r="E160" s="2407"/>
      <c r="F160" s="2407"/>
      <c r="G160" s="2407"/>
      <c r="H160" s="2407"/>
      <c r="I160" s="2407"/>
      <c r="J160" s="2407"/>
      <c r="K160" s="2407"/>
      <c r="L160" s="2407"/>
      <c r="M160" s="2407"/>
      <c r="N160" s="2407"/>
      <c r="O160" s="2407"/>
      <c r="P160" s="2407"/>
      <c r="Q160" s="2407"/>
      <c r="R160" s="2407"/>
      <c r="S160" s="2407"/>
      <c r="T160" s="2407"/>
      <c r="U160" s="2407"/>
      <c r="V160" s="2407"/>
      <c r="W160" s="2407"/>
      <c r="X160" s="2407"/>
      <c r="Y160" s="2407"/>
      <c r="Z160" s="2407"/>
      <c r="AA160" s="2407"/>
      <c r="AB160" s="2407"/>
      <c r="AC160" s="2407"/>
      <c r="AD160" s="2407"/>
      <c r="AE160" s="2407"/>
      <c r="AF160" s="2407"/>
      <c r="AG160" s="2453"/>
      <c r="AH160" s="107"/>
      <c r="AI160" s="107"/>
    </row>
    <row r="161" spans="1:36" ht="22.35" customHeight="1">
      <c r="A161" s="212"/>
      <c r="B161" s="210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107"/>
      <c r="AI161" s="107"/>
    </row>
    <row r="162" spans="1:36" ht="22.35" customHeight="1">
      <c r="A162" s="212"/>
      <c r="B162" s="210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107"/>
      <c r="AI162" s="107"/>
    </row>
    <row r="163" spans="1:36" ht="22.35" customHeight="1" thickBot="1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>
      <c r="A164" s="109"/>
      <c r="B164" s="239" t="s">
        <v>220</v>
      </c>
      <c r="C164" s="240"/>
      <c r="D164" s="241" t="s">
        <v>94</v>
      </c>
      <c r="E164" s="242"/>
      <c r="F164" s="243"/>
      <c r="G164" s="244"/>
      <c r="H164" s="241" t="s">
        <v>95</v>
      </c>
      <c r="I164" s="242"/>
      <c r="J164" s="243"/>
      <c r="K164" s="244"/>
      <c r="L164" s="241" t="s">
        <v>96</v>
      </c>
      <c r="M164" s="242"/>
      <c r="N164" s="243"/>
      <c r="O164" s="244"/>
      <c r="P164" s="241" t="s">
        <v>97</v>
      </c>
      <c r="Q164" s="242"/>
      <c r="R164" s="243"/>
      <c r="S164" s="244"/>
      <c r="T164" s="241" t="s">
        <v>98</v>
      </c>
      <c r="U164" s="242"/>
      <c r="V164" s="243"/>
      <c r="W164" s="244"/>
      <c r="X164" s="241" t="s">
        <v>99</v>
      </c>
      <c r="Y164" s="242"/>
      <c r="Z164" s="243"/>
      <c r="AA164" s="244"/>
      <c r="AB164" s="241" t="s">
        <v>100</v>
      </c>
      <c r="AC164" s="242"/>
      <c r="AD164" s="242"/>
      <c r="AE164" s="245" t="s">
        <v>101</v>
      </c>
      <c r="AF164" s="242"/>
      <c r="AG164" s="242"/>
      <c r="AH164" s="242"/>
      <c r="AI164" s="246"/>
    </row>
    <row r="165" spans="1:36" ht="22.35" customHeight="1">
      <c r="A165" s="109"/>
      <c r="B165" s="2641" t="s">
        <v>221</v>
      </c>
      <c r="C165" s="2642" t="s">
        <v>113</v>
      </c>
      <c r="D165" s="2643" t="s">
        <v>222</v>
      </c>
      <c r="E165" s="2644"/>
      <c r="F165" s="2645"/>
      <c r="G165" s="2646"/>
      <c r="H165" s="2643" t="s">
        <v>222</v>
      </c>
      <c r="I165" s="2644"/>
      <c r="J165" s="2645"/>
      <c r="K165" s="2646"/>
      <c r="L165" s="2643" t="s">
        <v>222</v>
      </c>
      <c r="M165" s="2644"/>
      <c r="N165" s="2645"/>
      <c r="O165" s="2646"/>
      <c r="P165" s="2643" t="s">
        <v>223</v>
      </c>
      <c r="Q165" s="2644"/>
      <c r="R165" s="2645"/>
      <c r="S165" s="2646"/>
      <c r="T165" s="2643" t="s">
        <v>224</v>
      </c>
      <c r="U165" s="2645"/>
      <c r="V165" s="2645"/>
      <c r="W165" s="2647"/>
      <c r="X165" s="2648"/>
      <c r="Y165" s="2648"/>
      <c r="Z165" s="2649"/>
      <c r="AA165" s="2647"/>
      <c r="AB165" s="2648"/>
      <c r="AC165" s="2648"/>
      <c r="AD165" s="2648"/>
      <c r="AE165" s="2647"/>
      <c r="AF165" s="2648"/>
      <c r="AG165" s="2648"/>
      <c r="AH165" s="2650"/>
      <c r="AI165" s="2651"/>
    </row>
    <row r="166" spans="1:36" ht="22.35" customHeight="1">
      <c r="A166" s="109"/>
      <c r="B166" s="2641" t="s">
        <v>221</v>
      </c>
      <c r="C166" s="2642" t="s">
        <v>118</v>
      </c>
      <c r="D166" s="2643" t="s">
        <v>222</v>
      </c>
      <c r="E166" s="2644"/>
      <c r="F166" s="2645"/>
      <c r="G166" s="2646"/>
      <c r="H166" s="2643" t="s">
        <v>222</v>
      </c>
      <c r="I166" s="2644"/>
      <c r="J166" s="2645"/>
      <c r="K166" s="2646"/>
      <c r="L166" s="2643" t="s">
        <v>222</v>
      </c>
      <c r="M166" s="2644"/>
      <c r="N166" s="2645"/>
      <c r="O166" s="2646"/>
      <c r="P166" s="2643" t="s">
        <v>223</v>
      </c>
      <c r="Q166" s="2644"/>
      <c r="R166" s="2645"/>
      <c r="S166" s="2646"/>
      <c r="T166" s="2643" t="s">
        <v>224</v>
      </c>
      <c r="U166" s="2645"/>
      <c r="V166" s="2645"/>
      <c r="W166" s="2647"/>
      <c r="X166" s="2648"/>
      <c r="Y166" s="2648"/>
      <c r="Z166" s="2649"/>
      <c r="AA166" s="2647"/>
      <c r="AB166" s="2648"/>
      <c r="AC166" s="2648"/>
      <c r="AD166" s="2648"/>
      <c r="AE166" s="2647"/>
      <c r="AF166" s="2648"/>
      <c r="AG166" s="2648"/>
      <c r="AH166" s="2650"/>
      <c r="AI166" s="2651"/>
    </row>
    <row r="167" spans="1:36" ht="22.35" customHeight="1">
      <c r="A167" s="109"/>
      <c r="B167" s="2641" t="s">
        <v>225</v>
      </c>
      <c r="C167" s="2642" t="s">
        <v>126</v>
      </c>
      <c r="D167" s="2643" t="s">
        <v>222</v>
      </c>
      <c r="E167" s="2644"/>
      <c r="F167" s="2645"/>
      <c r="G167" s="2646"/>
      <c r="H167" s="2643" t="s">
        <v>222</v>
      </c>
      <c r="I167" s="2644"/>
      <c r="J167" s="2645"/>
      <c r="K167" s="2646"/>
      <c r="L167" s="2643" t="s">
        <v>222</v>
      </c>
      <c r="M167" s="2644"/>
      <c r="N167" s="2645"/>
      <c r="O167" s="2646"/>
      <c r="P167" s="2643" t="s">
        <v>223</v>
      </c>
      <c r="Q167" s="2644"/>
      <c r="R167" s="2645"/>
      <c r="S167" s="2646"/>
      <c r="T167" s="2643" t="s">
        <v>224</v>
      </c>
      <c r="U167" s="2645"/>
      <c r="V167" s="2645"/>
      <c r="W167" s="2647"/>
      <c r="X167" s="2648"/>
      <c r="Y167" s="2648"/>
      <c r="Z167" s="2649"/>
      <c r="AA167" s="2647"/>
      <c r="AB167" s="2648"/>
      <c r="AC167" s="2648"/>
      <c r="AD167" s="2648"/>
      <c r="AE167" s="2647"/>
      <c r="AF167" s="2648"/>
      <c r="AG167" s="2648"/>
      <c r="AH167" s="2650"/>
      <c r="AI167" s="2651"/>
    </row>
    <row r="168" spans="1:36" ht="22.35" customHeight="1">
      <c r="A168" s="109"/>
      <c r="B168" s="2641" t="s">
        <v>226</v>
      </c>
      <c r="C168" s="2642" t="s">
        <v>50</v>
      </c>
      <c r="D168" s="2643" t="s">
        <v>227</v>
      </c>
      <c r="E168" s="2644"/>
      <c r="F168" s="2645"/>
      <c r="G168" s="2646"/>
      <c r="H168" s="2643" t="s">
        <v>227</v>
      </c>
      <c r="I168" s="2644"/>
      <c r="J168" s="2645"/>
      <c r="K168" s="2646"/>
      <c r="L168" s="2643" t="s">
        <v>228</v>
      </c>
      <c r="M168" s="2644"/>
      <c r="N168" s="2645"/>
      <c r="O168" s="2646"/>
      <c r="P168" s="2643" t="s">
        <v>229</v>
      </c>
      <c r="Q168" s="2644"/>
      <c r="R168" s="2645"/>
      <c r="S168" s="2646"/>
      <c r="T168" s="2643" t="s">
        <v>230</v>
      </c>
      <c r="U168" s="2645"/>
      <c r="V168" s="2645"/>
      <c r="W168" s="2647"/>
      <c r="X168" s="2648"/>
      <c r="Y168" s="2648"/>
      <c r="Z168" s="2649"/>
      <c r="AA168" s="2647"/>
      <c r="AB168" s="2648"/>
      <c r="AC168" s="2648"/>
      <c r="AD168" s="2648"/>
      <c r="AE168" s="2647"/>
      <c r="AF168" s="2648"/>
      <c r="AG168" s="2648"/>
      <c r="AH168" s="2650"/>
      <c r="AI168" s="2651"/>
    </row>
    <row r="169" spans="1:36" ht="22.35" customHeight="1">
      <c r="A169" s="109"/>
      <c r="B169" s="2641" t="s">
        <v>231</v>
      </c>
      <c r="C169" s="2642" t="s">
        <v>115</v>
      </c>
      <c r="D169" s="2643" t="s">
        <v>232</v>
      </c>
      <c r="E169" s="2644"/>
      <c r="F169" s="2645"/>
      <c r="G169" s="2646"/>
      <c r="H169" s="2643" t="s">
        <v>232</v>
      </c>
      <c r="I169" s="2644"/>
      <c r="J169" s="2645"/>
      <c r="K169" s="2646"/>
      <c r="L169" s="2643" t="s">
        <v>233</v>
      </c>
      <c r="M169" s="2644"/>
      <c r="N169" s="2645"/>
      <c r="O169" s="2646"/>
      <c r="P169" s="2643" t="s">
        <v>234</v>
      </c>
      <c r="Q169" s="2644"/>
      <c r="R169" s="2645"/>
      <c r="S169" s="2646"/>
      <c r="T169" s="2643" t="s">
        <v>235</v>
      </c>
      <c r="U169" s="2645"/>
      <c r="V169" s="2645"/>
      <c r="W169" s="2647"/>
      <c r="X169" s="2648"/>
      <c r="Y169" s="2648"/>
      <c r="Z169" s="2649"/>
      <c r="AA169" s="2647"/>
      <c r="AB169" s="2648"/>
      <c r="AC169" s="2648"/>
      <c r="AD169" s="2648"/>
      <c r="AE169" s="2647"/>
      <c r="AF169" s="2648"/>
      <c r="AG169" s="2648"/>
      <c r="AH169" s="2650"/>
      <c r="AI169" s="2651"/>
    </row>
    <row r="170" spans="1:36" ht="22.35" customHeight="1">
      <c r="A170" s="109"/>
      <c r="B170" s="2641" t="s">
        <v>236</v>
      </c>
      <c r="C170" s="2642" t="s">
        <v>132</v>
      </c>
      <c r="D170" s="2643" t="s">
        <v>222</v>
      </c>
      <c r="E170" s="2644"/>
      <c r="F170" s="2645"/>
      <c r="G170" s="2646"/>
      <c r="H170" s="2643" t="s">
        <v>222</v>
      </c>
      <c r="I170" s="2644"/>
      <c r="J170" s="2645"/>
      <c r="K170" s="2646"/>
      <c r="L170" s="2643" t="s">
        <v>222</v>
      </c>
      <c r="M170" s="2644"/>
      <c r="N170" s="2645"/>
      <c r="O170" s="2646"/>
      <c r="P170" s="2643" t="s">
        <v>222</v>
      </c>
      <c r="Q170" s="2644"/>
      <c r="R170" s="2645"/>
      <c r="S170" s="2646"/>
      <c r="T170" s="2643" t="s">
        <v>232</v>
      </c>
      <c r="U170" s="2645"/>
      <c r="V170" s="2645"/>
      <c r="W170" s="2647"/>
      <c r="X170" s="2648"/>
      <c r="Y170" s="2648"/>
      <c r="Z170" s="2649"/>
      <c r="AA170" s="2647"/>
      <c r="AB170" s="2648"/>
      <c r="AC170" s="2648"/>
      <c r="AD170" s="2648"/>
      <c r="AE170" s="2647"/>
      <c r="AF170" s="2648"/>
      <c r="AG170" s="2648"/>
      <c r="AH170" s="2650"/>
      <c r="AI170" s="2651"/>
    </row>
    <row r="171" spans="1:36" ht="22.35" customHeight="1">
      <c r="A171" s="109"/>
      <c r="B171" s="2641" t="s">
        <v>237</v>
      </c>
      <c r="C171" s="2642" t="s">
        <v>135</v>
      </c>
      <c r="D171" s="2643" t="s">
        <v>222</v>
      </c>
      <c r="E171" s="2644"/>
      <c r="F171" s="2645"/>
      <c r="G171" s="2646"/>
      <c r="H171" s="2643" t="s">
        <v>222</v>
      </c>
      <c r="I171" s="2644"/>
      <c r="J171" s="2645"/>
      <c r="K171" s="2646"/>
      <c r="L171" s="2643" t="s">
        <v>222</v>
      </c>
      <c r="M171" s="2644"/>
      <c r="N171" s="2645"/>
      <c r="O171" s="2646"/>
      <c r="P171" s="2643" t="s">
        <v>223</v>
      </c>
      <c r="Q171" s="2644"/>
      <c r="R171" s="2645"/>
      <c r="S171" s="2646"/>
      <c r="T171" s="2643" t="s">
        <v>224</v>
      </c>
      <c r="U171" s="2645"/>
      <c r="V171" s="2645"/>
      <c r="W171" s="2647"/>
      <c r="X171" s="2648"/>
      <c r="Y171" s="2648"/>
      <c r="Z171" s="2649"/>
      <c r="AA171" s="2647"/>
      <c r="AB171" s="2648"/>
      <c r="AC171" s="2648"/>
      <c r="AD171" s="2648"/>
      <c r="AE171" s="2647"/>
      <c r="AF171" s="2648"/>
      <c r="AG171" s="2648"/>
      <c r="AH171" s="2650"/>
      <c r="AI171" s="2651"/>
    </row>
    <row r="172" spans="1:36" ht="22.35" customHeight="1">
      <c r="A172" s="109"/>
      <c r="B172" s="2641" t="s">
        <v>237</v>
      </c>
      <c r="C172" s="2642" t="s">
        <v>52</v>
      </c>
      <c r="D172" s="2643" t="s">
        <v>222</v>
      </c>
      <c r="E172" s="2644"/>
      <c r="F172" s="2645"/>
      <c r="G172" s="2646"/>
      <c r="H172" s="2643" t="s">
        <v>222</v>
      </c>
      <c r="I172" s="2644"/>
      <c r="J172" s="2645"/>
      <c r="K172" s="2646"/>
      <c r="L172" s="2643" t="s">
        <v>222</v>
      </c>
      <c r="M172" s="2644"/>
      <c r="N172" s="2645"/>
      <c r="O172" s="2646"/>
      <c r="P172" s="2643" t="s">
        <v>223</v>
      </c>
      <c r="Q172" s="2644"/>
      <c r="R172" s="2645"/>
      <c r="S172" s="2646"/>
      <c r="T172" s="2643" t="s">
        <v>224</v>
      </c>
      <c r="U172" s="2645"/>
      <c r="V172" s="2645"/>
      <c r="W172" s="2647"/>
      <c r="X172" s="2648"/>
      <c r="Y172" s="2648"/>
      <c r="Z172" s="2649"/>
      <c r="AA172" s="2647"/>
      <c r="AB172" s="2648"/>
      <c r="AC172" s="2648"/>
      <c r="AD172" s="2648"/>
      <c r="AE172" s="2647"/>
      <c r="AF172" s="2648"/>
      <c r="AG172" s="2648"/>
      <c r="AH172" s="2650"/>
      <c r="AI172" s="2651"/>
    </row>
    <row r="173" spans="1:36" ht="22.35" customHeight="1">
      <c r="A173" s="109"/>
      <c r="B173" s="2641" t="s">
        <v>238</v>
      </c>
      <c r="C173" s="2642" t="s">
        <v>141</v>
      </c>
      <c r="D173" s="2643" t="s">
        <v>222</v>
      </c>
      <c r="E173" s="2644"/>
      <c r="F173" s="2645"/>
      <c r="G173" s="2646"/>
      <c r="H173" s="2643" t="s">
        <v>222</v>
      </c>
      <c r="I173" s="2644"/>
      <c r="J173" s="2645"/>
      <c r="K173" s="2646"/>
      <c r="L173" s="2643" t="s">
        <v>222</v>
      </c>
      <c r="M173" s="2644"/>
      <c r="N173" s="2645"/>
      <c r="O173" s="2646"/>
      <c r="P173" s="2643" t="s">
        <v>239</v>
      </c>
      <c r="Q173" s="2644"/>
      <c r="R173" s="2645"/>
      <c r="S173" s="2646"/>
      <c r="T173" s="2643" t="s">
        <v>235</v>
      </c>
      <c r="U173" s="2645"/>
      <c r="V173" s="2645"/>
      <c r="W173" s="2647"/>
      <c r="X173" s="2648"/>
      <c r="Y173" s="2648"/>
      <c r="Z173" s="2649"/>
      <c r="AA173" s="2647"/>
      <c r="AB173" s="2648"/>
      <c r="AC173" s="2648"/>
      <c r="AD173" s="2648"/>
      <c r="AE173" s="2647"/>
      <c r="AF173" s="2648"/>
      <c r="AG173" s="2648"/>
      <c r="AH173" s="2650"/>
      <c r="AI173" s="2651"/>
    </row>
    <row r="174" spans="1:36" ht="22.35" customHeight="1">
      <c r="A174" s="109"/>
      <c r="B174" s="2652" t="s">
        <v>240</v>
      </c>
      <c r="C174" s="2653" t="s">
        <v>124</v>
      </c>
      <c r="D174" s="2654" t="s">
        <v>222</v>
      </c>
      <c r="E174" s="2655"/>
      <c r="F174" s="2656"/>
      <c r="G174" s="2657"/>
      <c r="H174" s="2654" t="s">
        <v>222</v>
      </c>
      <c r="I174" s="2655"/>
      <c r="J174" s="2656"/>
      <c r="K174" s="2657"/>
      <c r="L174" s="2654" t="s">
        <v>222</v>
      </c>
      <c r="M174" s="2655"/>
      <c r="N174" s="2656"/>
      <c r="O174" s="2657"/>
      <c r="P174" s="2654" t="s">
        <v>223</v>
      </c>
      <c r="Q174" s="2655"/>
      <c r="R174" s="2656"/>
      <c r="S174" s="2657"/>
      <c r="T174" s="2654" t="s">
        <v>224</v>
      </c>
      <c r="U174" s="2656"/>
      <c r="V174" s="198"/>
      <c r="W174" s="2658"/>
      <c r="X174" s="197"/>
      <c r="Y174" s="197"/>
      <c r="Z174" s="198"/>
      <c r="AA174" s="2658"/>
      <c r="AB174" s="197"/>
      <c r="AC174" s="197"/>
      <c r="AD174" s="197"/>
      <c r="AE174" s="2658"/>
      <c r="AF174" s="197"/>
      <c r="AG174" s="197"/>
      <c r="AH174" s="199"/>
      <c r="AI174" s="2659"/>
      <c r="AJ174" s="200"/>
    </row>
    <row r="175" spans="1:36" ht="22.35" customHeight="1">
      <c r="A175" s="109"/>
      <c r="B175" s="2641" t="s">
        <v>241</v>
      </c>
      <c r="C175" s="2642" t="s">
        <v>242</v>
      </c>
      <c r="D175" s="2643" t="s">
        <v>222</v>
      </c>
      <c r="E175" s="2644"/>
      <c r="F175" s="2645"/>
      <c r="G175" s="2646"/>
      <c r="H175" s="2643" t="s">
        <v>222</v>
      </c>
      <c r="I175" s="2644"/>
      <c r="J175" s="2645"/>
      <c r="K175" s="2646"/>
      <c r="L175" s="2643" t="s">
        <v>222</v>
      </c>
      <c r="M175" s="2644"/>
      <c r="N175" s="2645"/>
      <c r="O175" s="2646"/>
      <c r="P175" s="2643" t="s">
        <v>223</v>
      </c>
      <c r="Q175" s="2644"/>
      <c r="R175" s="2645"/>
      <c r="S175" s="2646"/>
      <c r="T175" s="2643" t="s">
        <v>224</v>
      </c>
      <c r="U175" s="2645"/>
      <c r="V175" s="2644"/>
      <c r="W175" s="2647"/>
      <c r="X175" s="2648"/>
      <c r="Y175" s="2648"/>
      <c r="Z175" s="2648"/>
      <c r="AA175" s="2647"/>
      <c r="AB175" s="2648"/>
      <c r="AC175" s="2648"/>
      <c r="AD175" s="2648"/>
      <c r="AE175" s="2647"/>
      <c r="AF175" s="2648"/>
      <c r="AG175" s="2648"/>
      <c r="AH175" s="2650"/>
      <c r="AI175" s="2651"/>
      <c r="AJ175" s="200"/>
    </row>
    <row r="176" spans="1:36" ht="22.35" customHeight="1">
      <c r="A176" s="109"/>
      <c r="B176" s="2641" t="s">
        <v>243</v>
      </c>
      <c r="C176" s="2642" t="s">
        <v>122</v>
      </c>
      <c r="D176" s="2643" t="s">
        <v>244</v>
      </c>
      <c r="E176" s="2644"/>
      <c r="F176" s="2645"/>
      <c r="G176" s="2646"/>
      <c r="H176" s="2643" t="s">
        <v>244</v>
      </c>
      <c r="I176" s="2644"/>
      <c r="J176" s="2645"/>
      <c r="K176" s="2646"/>
      <c r="L176" s="2643" t="s">
        <v>244</v>
      </c>
      <c r="M176" s="2644"/>
      <c r="N176" s="2644"/>
      <c r="O176" s="2646"/>
      <c r="P176" s="2643" t="s">
        <v>244</v>
      </c>
      <c r="Q176" s="2644"/>
      <c r="R176" s="2644"/>
      <c r="S176" s="2646"/>
      <c r="T176" s="2643" t="s">
        <v>235</v>
      </c>
      <c r="U176" s="2645"/>
      <c r="V176" s="2644"/>
      <c r="W176" s="2660"/>
      <c r="X176" s="2648"/>
      <c r="Y176" s="2648"/>
      <c r="Z176" s="2648"/>
      <c r="AA176" s="2647"/>
      <c r="AB176" s="2648"/>
      <c r="AC176" s="2648"/>
      <c r="AD176" s="2648"/>
      <c r="AE176" s="2647"/>
      <c r="AF176" s="2648"/>
      <c r="AG176" s="2648"/>
      <c r="AH176" s="2650"/>
      <c r="AI176" s="2651"/>
      <c r="AJ176" s="200"/>
    </row>
    <row r="177" spans="1:36" ht="22.35" customHeight="1">
      <c r="A177" s="109"/>
      <c r="B177" s="2641" t="s">
        <v>245</v>
      </c>
      <c r="C177" s="2642" t="s">
        <v>246</v>
      </c>
      <c r="D177" s="2643" t="s">
        <v>244</v>
      </c>
      <c r="E177" s="2644"/>
      <c r="F177" s="2645"/>
      <c r="G177" s="2646"/>
      <c r="H177" s="2643" t="s">
        <v>244</v>
      </c>
      <c r="I177" s="2644"/>
      <c r="J177" s="2645"/>
      <c r="K177" s="2646"/>
      <c r="L177" s="2643" t="s">
        <v>244</v>
      </c>
      <c r="M177" s="2644"/>
      <c r="N177" s="2644"/>
      <c r="O177" s="2646"/>
      <c r="P177" s="2643" t="s">
        <v>244</v>
      </c>
      <c r="Q177" s="2644"/>
      <c r="R177" s="2644"/>
      <c r="S177" s="2646"/>
      <c r="T177" s="2643" t="s">
        <v>235</v>
      </c>
      <c r="U177" s="2645"/>
      <c r="V177" s="2644"/>
      <c r="W177" s="2660"/>
      <c r="X177" s="2648"/>
      <c r="Y177" s="2648"/>
      <c r="Z177" s="2649"/>
      <c r="AA177" s="2661"/>
      <c r="AB177" s="2648"/>
      <c r="AC177" s="2648"/>
      <c r="AD177" s="2648"/>
      <c r="AE177" s="2647"/>
      <c r="AF177" s="2648"/>
      <c r="AG177" s="2648"/>
      <c r="AH177" s="2650"/>
      <c r="AI177" s="2651"/>
      <c r="AJ177" s="200"/>
    </row>
    <row r="178" spans="1:36" ht="22.35" customHeight="1" thickBot="1">
      <c r="A178" s="109"/>
      <c r="B178" s="1100" t="s">
        <v>247</v>
      </c>
      <c r="C178" s="1101" t="s">
        <v>127</v>
      </c>
      <c r="D178" s="2662" t="s">
        <v>244</v>
      </c>
      <c r="E178" s="2663"/>
      <c r="F178" s="1104"/>
      <c r="G178" s="1105"/>
      <c r="H178" s="2662" t="s">
        <v>244</v>
      </c>
      <c r="I178" s="2663"/>
      <c r="J178" s="1104"/>
      <c r="K178" s="1105"/>
      <c r="L178" s="2662" t="s">
        <v>244</v>
      </c>
      <c r="M178" s="2663"/>
      <c r="N178" s="2663"/>
      <c r="O178" s="1105"/>
      <c r="P178" s="2662" t="s">
        <v>244</v>
      </c>
      <c r="Q178" s="2663"/>
      <c r="R178" s="2663"/>
      <c r="S178" s="1105"/>
      <c r="T178" s="2662" t="s">
        <v>235</v>
      </c>
      <c r="U178" s="1104"/>
      <c r="V178" s="2663"/>
      <c r="W178" s="1106"/>
      <c r="X178" s="2664"/>
      <c r="Y178" s="2664"/>
      <c r="Z178" s="1108"/>
      <c r="AA178" s="2665"/>
      <c r="AB178" s="2664"/>
      <c r="AC178" s="2664"/>
      <c r="AD178" s="2664"/>
      <c r="AE178" s="1110"/>
      <c r="AF178" s="2664"/>
      <c r="AG178" s="2664"/>
      <c r="AH178" s="2666"/>
      <c r="AI178" s="1112"/>
      <c r="AJ178" s="200"/>
    </row>
    <row r="179" spans="1:36" ht="22.35" customHeight="1">
      <c r="A179" s="109"/>
      <c r="B179" s="218"/>
      <c r="C179" s="219"/>
      <c r="D179" s="220"/>
      <c r="E179" s="221"/>
      <c r="F179" s="221"/>
      <c r="G179" s="222"/>
      <c r="H179" s="220"/>
      <c r="I179" s="221"/>
      <c r="J179" s="221"/>
      <c r="K179" s="222"/>
      <c r="L179" s="220"/>
      <c r="M179" s="221"/>
      <c r="N179" s="221"/>
      <c r="O179" s="222"/>
      <c r="P179" s="210"/>
      <c r="Q179" s="221"/>
      <c r="R179" s="221"/>
      <c r="S179" s="222"/>
      <c r="T179" s="210"/>
      <c r="U179" s="221"/>
      <c r="V179" s="221"/>
      <c r="W179" s="221"/>
      <c r="X179" s="221"/>
      <c r="Y179" s="221"/>
      <c r="Z179" s="221"/>
      <c r="AA179" s="222"/>
      <c r="AB179" s="221"/>
      <c r="AC179" s="221"/>
      <c r="AD179" s="221"/>
      <c r="AE179" s="222"/>
      <c r="AF179" s="221"/>
      <c r="AG179" s="221"/>
      <c r="AH179" s="201"/>
      <c r="AI179" s="201"/>
      <c r="AJ179" s="200"/>
    </row>
    <row r="180" spans="1:36" ht="22.35" customHeight="1" thickBot="1">
      <c r="A180" s="148"/>
      <c r="B180" s="2667" t="s">
        <v>29</v>
      </c>
      <c r="C180" s="2407">
        <v>1</v>
      </c>
      <c r="D180" s="2408">
        <v>2</v>
      </c>
      <c r="E180" s="2408">
        <v>3</v>
      </c>
      <c r="F180" s="2407">
        <v>4</v>
      </c>
      <c r="G180" s="2407">
        <v>5</v>
      </c>
      <c r="H180" s="2407">
        <v>6</v>
      </c>
      <c r="I180" s="2407">
        <v>7</v>
      </c>
      <c r="J180" s="2407">
        <v>8</v>
      </c>
      <c r="K180" s="2408">
        <v>9</v>
      </c>
      <c r="L180" s="2408">
        <v>10</v>
      </c>
      <c r="M180" s="2407">
        <v>11</v>
      </c>
      <c r="N180" s="2407">
        <v>12</v>
      </c>
      <c r="O180" s="2407">
        <v>13</v>
      </c>
      <c r="P180" s="2407">
        <v>14</v>
      </c>
      <c r="Q180" s="2407">
        <v>15</v>
      </c>
      <c r="R180" s="2408">
        <v>16</v>
      </c>
      <c r="S180" s="2408">
        <v>17</v>
      </c>
      <c r="T180" s="2407">
        <v>18</v>
      </c>
      <c r="U180" s="2407">
        <v>19</v>
      </c>
      <c r="V180" s="2407">
        <v>20</v>
      </c>
      <c r="W180" s="2407">
        <v>21</v>
      </c>
      <c r="X180" s="2407">
        <v>22</v>
      </c>
      <c r="Y180" s="2408">
        <v>23</v>
      </c>
      <c r="Z180" s="2408">
        <v>24</v>
      </c>
      <c r="AA180" s="2407">
        <v>25</v>
      </c>
      <c r="AB180" s="2407">
        <v>26</v>
      </c>
      <c r="AC180" s="2407">
        <v>27</v>
      </c>
      <c r="AD180" s="2407">
        <v>28</v>
      </c>
      <c r="AE180" s="2407">
        <v>29</v>
      </c>
      <c r="AF180" s="2408">
        <v>30</v>
      </c>
      <c r="AG180" s="2409">
        <v>31</v>
      </c>
      <c r="AH180" s="183"/>
      <c r="AI180" s="177"/>
    </row>
    <row r="181" spans="1:36" ht="22.35" customHeight="1">
      <c r="A181" s="109"/>
      <c r="B181" s="318" t="s">
        <v>248</v>
      </c>
      <c r="C181" s="514" t="s">
        <v>113</v>
      </c>
      <c r="D181" s="514"/>
      <c r="E181" s="514"/>
      <c r="F181" s="514" t="s">
        <v>113</v>
      </c>
      <c r="G181" s="514" t="s">
        <v>113</v>
      </c>
      <c r="H181" s="514" t="s">
        <v>113</v>
      </c>
      <c r="I181" s="514" t="s">
        <v>113</v>
      </c>
      <c r="J181" s="514" t="s">
        <v>113</v>
      </c>
      <c r="K181" s="514"/>
      <c r="L181" s="514"/>
      <c r="M181" s="514" t="s">
        <v>113</v>
      </c>
      <c r="N181" s="615" t="s">
        <v>113</v>
      </c>
      <c r="O181" s="514" t="s">
        <v>113</v>
      </c>
      <c r="P181" s="514" t="s">
        <v>113</v>
      </c>
      <c r="Q181" s="514" t="s">
        <v>113</v>
      </c>
      <c r="R181" s="514"/>
      <c r="S181" s="514"/>
      <c r="T181" s="218" t="s">
        <v>113</v>
      </c>
      <c r="U181" s="514" t="s">
        <v>113</v>
      </c>
      <c r="V181" s="514" t="s">
        <v>113</v>
      </c>
      <c r="W181" s="514" t="s">
        <v>113</v>
      </c>
      <c r="X181" s="514" t="s">
        <v>113</v>
      </c>
      <c r="Y181" s="514"/>
      <c r="Z181" s="514"/>
      <c r="AA181" s="514" t="s">
        <v>113</v>
      </c>
      <c r="AB181" s="514" t="s">
        <v>113</v>
      </c>
      <c r="AC181" s="514" t="s">
        <v>113</v>
      </c>
      <c r="AD181" s="514" t="s">
        <v>113</v>
      </c>
      <c r="AE181" s="514" t="s">
        <v>113</v>
      </c>
      <c r="AF181" s="514"/>
      <c r="AG181" s="515"/>
      <c r="AH181" s="182"/>
      <c r="AI181" s="182"/>
    </row>
    <row r="182" spans="1:36" ht="22.35" customHeight="1">
      <c r="A182" s="109"/>
      <c r="B182" s="2668" t="s">
        <v>249</v>
      </c>
      <c r="C182" s="2669" t="s">
        <v>113</v>
      </c>
      <c r="D182" s="2669"/>
      <c r="E182" s="2669"/>
      <c r="F182" s="2669" t="s">
        <v>113</v>
      </c>
      <c r="G182" s="2669" t="s">
        <v>113</v>
      </c>
      <c r="H182" s="2669" t="s">
        <v>113</v>
      </c>
      <c r="I182" s="2669" t="s">
        <v>113</v>
      </c>
      <c r="J182" s="2669" t="s">
        <v>113</v>
      </c>
      <c r="K182" s="2669"/>
      <c r="L182" s="2669"/>
      <c r="M182" s="2669" t="s">
        <v>113</v>
      </c>
      <c r="N182" s="2669" t="s">
        <v>113</v>
      </c>
      <c r="O182" s="2669" t="s">
        <v>113</v>
      </c>
      <c r="P182" s="2669" t="s">
        <v>113</v>
      </c>
      <c r="Q182" s="2669" t="s">
        <v>113</v>
      </c>
      <c r="R182" s="2669"/>
      <c r="S182" s="2669"/>
      <c r="T182" s="2670" t="s">
        <v>113</v>
      </c>
      <c r="U182" s="2670" t="s">
        <v>113</v>
      </c>
      <c r="V182" s="2669" t="s">
        <v>113</v>
      </c>
      <c r="W182" s="2669" t="s">
        <v>113</v>
      </c>
      <c r="X182" s="2669" t="s">
        <v>113</v>
      </c>
      <c r="Y182" s="2669"/>
      <c r="Z182" s="2669"/>
      <c r="AA182" s="2669" t="s">
        <v>113</v>
      </c>
      <c r="AB182" s="2669" t="s">
        <v>113</v>
      </c>
      <c r="AC182" s="2669" t="s">
        <v>113</v>
      </c>
      <c r="AD182" s="2669" t="s">
        <v>113</v>
      </c>
      <c r="AE182" s="2669" t="s">
        <v>113</v>
      </c>
      <c r="AF182" s="2669"/>
      <c r="AG182" s="2671"/>
      <c r="AH182" s="182"/>
      <c r="AI182" s="182"/>
    </row>
    <row r="183" spans="1:36" ht="22.35" customHeight="1">
      <c r="A183" s="109"/>
      <c r="B183" s="2668" t="s">
        <v>250</v>
      </c>
      <c r="C183" s="2669" t="s">
        <v>118</v>
      </c>
      <c r="D183" s="2669"/>
      <c r="E183" s="2669"/>
      <c r="F183" s="563" t="s">
        <v>118</v>
      </c>
      <c r="G183" s="563" t="s">
        <v>118</v>
      </c>
      <c r="H183" s="2669" t="s">
        <v>118</v>
      </c>
      <c r="I183" s="2669" t="s">
        <v>118</v>
      </c>
      <c r="J183" s="2669" t="s">
        <v>118</v>
      </c>
      <c r="K183" s="2669"/>
      <c r="L183" s="615" t="s">
        <v>32</v>
      </c>
      <c r="M183" s="615" t="s">
        <v>118</v>
      </c>
      <c r="N183" s="2669" t="s">
        <v>118</v>
      </c>
      <c r="O183" s="2669" t="s">
        <v>118</v>
      </c>
      <c r="P183" s="2669" t="s">
        <v>118</v>
      </c>
      <c r="Q183" s="563" t="s">
        <v>118</v>
      </c>
      <c r="R183" s="2669"/>
      <c r="S183" s="615" t="s">
        <v>32</v>
      </c>
      <c r="T183" s="622" t="s">
        <v>118</v>
      </c>
      <c r="U183" s="2672" t="s">
        <v>118</v>
      </c>
      <c r="V183" s="2672" t="s">
        <v>118</v>
      </c>
      <c r="W183" s="2669" t="s">
        <v>118</v>
      </c>
      <c r="X183" s="2669" t="s">
        <v>118</v>
      </c>
      <c r="Y183" s="2669"/>
      <c r="Z183" s="2669"/>
      <c r="AA183" s="2669" t="s">
        <v>118</v>
      </c>
      <c r="AB183" s="2669" t="s">
        <v>118</v>
      </c>
      <c r="AC183" s="2669" t="s">
        <v>118</v>
      </c>
      <c r="AD183" s="2669" t="s">
        <v>118</v>
      </c>
      <c r="AE183" s="2669" t="s">
        <v>113</v>
      </c>
      <c r="AF183" s="2669"/>
      <c r="AG183" s="2671"/>
      <c r="AH183" s="182"/>
      <c r="AI183" s="182"/>
    </row>
    <row r="184" spans="1:36" ht="22.35" customHeight="1">
      <c r="A184" s="109"/>
      <c r="B184" s="2668" t="s">
        <v>251</v>
      </c>
      <c r="C184" s="2669" t="s">
        <v>126</v>
      </c>
      <c r="D184" s="2669"/>
      <c r="E184" s="615" t="s">
        <v>32</v>
      </c>
      <c r="F184" s="2669" t="s">
        <v>126</v>
      </c>
      <c r="G184" s="2669" t="s">
        <v>126</v>
      </c>
      <c r="H184" s="2669" t="s">
        <v>126</v>
      </c>
      <c r="I184" s="2669" t="s">
        <v>126</v>
      </c>
      <c r="J184" s="2669" t="s">
        <v>126</v>
      </c>
      <c r="K184" s="2669"/>
      <c r="L184" s="615" t="s">
        <v>32</v>
      </c>
      <c r="M184" s="2669" t="s">
        <v>126</v>
      </c>
      <c r="N184" s="2669" t="s">
        <v>126</v>
      </c>
      <c r="O184" s="2669" t="s">
        <v>126</v>
      </c>
      <c r="P184" s="2673" t="s">
        <v>126</v>
      </c>
      <c r="Q184" s="2669" t="s">
        <v>126</v>
      </c>
      <c r="R184" s="2669"/>
      <c r="S184" s="563" t="s">
        <v>0</v>
      </c>
      <c r="T184" s="2672" t="s">
        <v>126</v>
      </c>
      <c r="U184" s="2672" t="s">
        <v>126</v>
      </c>
      <c r="V184" s="2669" t="s">
        <v>126</v>
      </c>
      <c r="W184" s="2669" t="s">
        <v>126</v>
      </c>
      <c r="X184" s="2669" t="s">
        <v>126</v>
      </c>
      <c r="Y184" s="2669"/>
      <c r="Z184" s="2669"/>
      <c r="AA184" s="2669" t="s">
        <v>126</v>
      </c>
      <c r="AB184" s="2674" t="s">
        <v>126</v>
      </c>
      <c r="AC184" s="2669" t="s">
        <v>126</v>
      </c>
      <c r="AD184" s="2669" t="s">
        <v>126</v>
      </c>
      <c r="AE184" s="2669" t="s">
        <v>126</v>
      </c>
      <c r="AF184" s="2669"/>
      <c r="AG184" s="2671"/>
      <c r="AH184" s="182"/>
      <c r="AI184" s="182"/>
    </row>
    <row r="185" spans="1:36" ht="22.35" customHeight="1">
      <c r="A185" s="109"/>
      <c r="B185" s="2448" t="s">
        <v>252</v>
      </c>
      <c r="C185" s="2669" t="s">
        <v>50</v>
      </c>
      <c r="D185" s="2669"/>
      <c r="E185" s="2669"/>
      <c r="F185" s="2669" t="s">
        <v>50</v>
      </c>
      <c r="G185" s="2669" t="s">
        <v>50</v>
      </c>
      <c r="H185" s="2669" t="s">
        <v>50</v>
      </c>
      <c r="I185" s="2669" t="s">
        <v>50</v>
      </c>
      <c r="J185" s="2669" t="s">
        <v>50</v>
      </c>
      <c r="K185" s="2669"/>
      <c r="L185" s="2669"/>
      <c r="M185" s="2669" t="s">
        <v>50</v>
      </c>
      <c r="N185" s="2669" t="s">
        <v>50</v>
      </c>
      <c r="O185" s="2669" t="s">
        <v>50</v>
      </c>
      <c r="P185" s="2669" t="s">
        <v>50</v>
      </c>
      <c r="Q185" s="2669" t="s">
        <v>50</v>
      </c>
      <c r="R185" s="2669"/>
      <c r="S185" s="2669"/>
      <c r="T185" s="2675" t="s">
        <v>50</v>
      </c>
      <c r="U185" s="2675" t="s">
        <v>50</v>
      </c>
      <c r="V185" s="2675" t="s">
        <v>50</v>
      </c>
      <c r="W185" s="2675" t="s">
        <v>50</v>
      </c>
      <c r="X185" s="2675" t="s">
        <v>50</v>
      </c>
      <c r="Y185" s="2675"/>
      <c r="Z185" s="2675"/>
      <c r="AA185" s="2669" t="s">
        <v>50</v>
      </c>
      <c r="AB185" s="2669" t="s">
        <v>50</v>
      </c>
      <c r="AC185" s="2669" t="s">
        <v>50</v>
      </c>
      <c r="AD185" s="2669" t="s">
        <v>50</v>
      </c>
      <c r="AE185" s="2669" t="s">
        <v>50</v>
      </c>
      <c r="AF185" s="2669"/>
      <c r="AG185" s="2671"/>
      <c r="AH185" s="182"/>
      <c r="AI185" s="182"/>
    </row>
    <row r="186" spans="1:36" ht="22.35" customHeight="1">
      <c r="A186" s="109"/>
      <c r="B186" s="2525" t="s">
        <v>0</v>
      </c>
      <c r="C186" s="2669" t="s">
        <v>115</v>
      </c>
      <c r="D186" s="2669"/>
      <c r="E186" s="2669"/>
      <c r="F186" s="2669" t="s">
        <v>115</v>
      </c>
      <c r="G186" s="2669" t="s">
        <v>115</v>
      </c>
      <c r="H186" s="2669" t="s">
        <v>115</v>
      </c>
      <c r="I186" s="2669" t="s">
        <v>115</v>
      </c>
      <c r="J186" s="2669" t="s">
        <v>115</v>
      </c>
      <c r="K186" s="2669"/>
      <c r="L186" s="2669"/>
      <c r="M186" s="2669" t="s">
        <v>115</v>
      </c>
      <c r="N186" s="2669" t="s">
        <v>115</v>
      </c>
      <c r="O186" s="2669" t="s">
        <v>115</v>
      </c>
      <c r="P186" s="2669" t="s">
        <v>115</v>
      </c>
      <c r="Q186" s="2669" t="s">
        <v>115</v>
      </c>
      <c r="R186" s="2669"/>
      <c r="S186" s="2669"/>
      <c r="T186" s="2669" t="s">
        <v>115</v>
      </c>
      <c r="U186" s="2669" t="s">
        <v>115</v>
      </c>
      <c r="V186" s="2669" t="s">
        <v>115</v>
      </c>
      <c r="W186" s="2669" t="s">
        <v>115</v>
      </c>
      <c r="X186" s="2669" t="s">
        <v>115</v>
      </c>
      <c r="Y186" s="2669"/>
      <c r="Z186" s="2669"/>
      <c r="AA186" s="2669" t="s">
        <v>115</v>
      </c>
      <c r="AB186" s="2669" t="s">
        <v>115</v>
      </c>
      <c r="AC186" s="2669" t="s">
        <v>115</v>
      </c>
      <c r="AD186" s="2669" t="s">
        <v>115</v>
      </c>
      <c r="AE186" s="2669" t="s">
        <v>115</v>
      </c>
      <c r="AF186" s="2669"/>
      <c r="AG186" s="2671"/>
      <c r="AH186" s="182"/>
      <c r="AI186" s="182"/>
    </row>
    <row r="187" spans="1:36" ht="22.35" customHeight="1">
      <c r="A187" s="109"/>
      <c r="B187" s="2668" t="s">
        <v>253</v>
      </c>
      <c r="C187" s="2676" t="s">
        <v>132</v>
      </c>
      <c r="D187" s="2676"/>
      <c r="E187" s="2676"/>
      <c r="F187" s="2675" t="s">
        <v>132</v>
      </c>
      <c r="G187" s="2675" t="s">
        <v>132</v>
      </c>
      <c r="H187" s="2675" t="s">
        <v>132</v>
      </c>
      <c r="I187" s="2675" t="s">
        <v>132</v>
      </c>
      <c r="J187" s="2675" t="s">
        <v>132</v>
      </c>
      <c r="K187" s="2675"/>
      <c r="L187" s="2675"/>
      <c r="M187" s="2676" t="s">
        <v>132</v>
      </c>
      <c r="N187" s="2676" t="s">
        <v>132</v>
      </c>
      <c r="O187" s="2676" t="s">
        <v>132</v>
      </c>
      <c r="P187" s="2676" t="s">
        <v>132</v>
      </c>
      <c r="Q187" s="2676" t="s">
        <v>132</v>
      </c>
      <c r="R187" s="2676"/>
      <c r="S187" s="2676"/>
      <c r="T187" s="2676" t="s">
        <v>132</v>
      </c>
      <c r="U187" s="2676" t="s">
        <v>132</v>
      </c>
      <c r="V187" s="2676" t="s">
        <v>132</v>
      </c>
      <c r="W187" s="2676" t="s">
        <v>132</v>
      </c>
      <c r="X187" s="2676" t="s">
        <v>132</v>
      </c>
      <c r="Y187" s="2676"/>
      <c r="Z187" s="2676"/>
      <c r="AA187" s="2676" t="s">
        <v>132</v>
      </c>
      <c r="AB187" s="2676" t="s">
        <v>132</v>
      </c>
      <c r="AC187" s="2676" t="s">
        <v>132</v>
      </c>
      <c r="AD187" s="2676" t="s">
        <v>132</v>
      </c>
      <c r="AE187" s="2676" t="s">
        <v>132</v>
      </c>
      <c r="AF187" s="2676"/>
      <c r="AG187" s="2671"/>
      <c r="AH187" s="182"/>
      <c r="AI187" s="182"/>
    </row>
    <row r="188" spans="1:36" ht="22.35" customHeight="1">
      <c r="A188" s="109"/>
      <c r="B188" s="2526" t="s">
        <v>254</v>
      </c>
      <c r="C188" s="2669" t="s">
        <v>135</v>
      </c>
      <c r="D188" s="2669"/>
      <c r="E188" s="2669"/>
      <c r="F188" s="2672" t="s">
        <v>135</v>
      </c>
      <c r="G188" s="2672" t="s">
        <v>135</v>
      </c>
      <c r="H188" s="2672" t="s">
        <v>135</v>
      </c>
      <c r="I188" s="2672" t="s">
        <v>135</v>
      </c>
      <c r="J188" s="2672" t="s">
        <v>135</v>
      </c>
      <c r="K188" s="2675"/>
      <c r="L188" s="2675"/>
      <c r="M188" s="2675" t="s">
        <v>135</v>
      </c>
      <c r="N188" s="2677" t="s">
        <v>135</v>
      </c>
      <c r="O188" s="2678" t="s">
        <v>135</v>
      </c>
      <c r="P188" s="2678" t="s">
        <v>355</v>
      </c>
      <c r="Q188" s="2679" t="s">
        <v>135</v>
      </c>
      <c r="R188" s="2679"/>
      <c r="S188" s="2679"/>
      <c r="T188" s="2677" t="s">
        <v>135</v>
      </c>
      <c r="U188" s="2677" t="s">
        <v>135</v>
      </c>
      <c r="V188" s="2675" t="s">
        <v>135</v>
      </c>
      <c r="W188" s="2677" t="s">
        <v>135</v>
      </c>
      <c r="X188" s="2677" t="s">
        <v>135</v>
      </c>
      <c r="Y188" s="2677"/>
      <c r="Z188" s="2677"/>
      <c r="AA188" s="2669" t="s">
        <v>135</v>
      </c>
      <c r="AB188" s="2680" t="s">
        <v>355</v>
      </c>
      <c r="AC188" s="2669" t="s">
        <v>135</v>
      </c>
      <c r="AD188" s="2669" t="s">
        <v>135</v>
      </c>
      <c r="AE188" s="2669" t="s">
        <v>135</v>
      </c>
      <c r="AF188" s="2669"/>
      <c r="AG188" s="2671"/>
      <c r="AH188" s="182"/>
      <c r="AI188" s="182"/>
    </row>
    <row r="189" spans="1:36" ht="22.35" customHeight="1">
      <c r="A189" s="109"/>
      <c r="B189" s="2668" t="s">
        <v>255</v>
      </c>
      <c r="C189" s="522" t="s">
        <v>52</v>
      </c>
      <c r="D189" s="522"/>
      <c r="E189" s="522"/>
      <c r="F189" s="522" t="s">
        <v>52</v>
      </c>
      <c r="G189" s="522" t="s">
        <v>52</v>
      </c>
      <c r="H189" s="522" t="s">
        <v>52</v>
      </c>
      <c r="I189" s="522" t="s">
        <v>52</v>
      </c>
      <c r="J189" s="522" t="s">
        <v>52</v>
      </c>
      <c r="K189" s="522"/>
      <c r="L189" s="522"/>
      <c r="M189" s="522" t="s">
        <v>52</v>
      </c>
      <c r="N189" s="522" t="s">
        <v>52</v>
      </c>
      <c r="O189" s="522" t="s">
        <v>52</v>
      </c>
      <c r="P189" s="522" t="s">
        <v>52</v>
      </c>
      <c r="Q189" s="522" t="s">
        <v>52</v>
      </c>
      <c r="R189" s="522"/>
      <c r="S189" s="522"/>
      <c r="T189" s="522" t="s">
        <v>52</v>
      </c>
      <c r="U189" s="522" t="s">
        <v>52</v>
      </c>
      <c r="V189" s="522" t="s">
        <v>52</v>
      </c>
      <c r="W189" s="522" t="s">
        <v>52</v>
      </c>
      <c r="X189" s="522" t="s">
        <v>52</v>
      </c>
      <c r="Y189" s="522"/>
      <c r="Z189" s="522"/>
      <c r="AA189" s="522" t="s">
        <v>52</v>
      </c>
      <c r="AB189" s="522" t="s">
        <v>52</v>
      </c>
      <c r="AC189" s="522" t="s">
        <v>52</v>
      </c>
      <c r="AD189" s="522" t="s">
        <v>52</v>
      </c>
      <c r="AE189" s="522" t="s">
        <v>52</v>
      </c>
      <c r="AF189" s="522"/>
      <c r="AG189" s="513"/>
      <c r="AH189" s="182"/>
      <c r="AI189" s="182"/>
    </row>
    <row r="190" spans="1:36" ht="22.35" customHeight="1">
      <c r="A190" s="109"/>
      <c r="B190" s="2668" t="s">
        <v>257</v>
      </c>
      <c r="C190" s="2543" t="s">
        <v>141</v>
      </c>
      <c r="D190" s="2543"/>
      <c r="E190" s="2543"/>
      <c r="F190" s="2543" t="s">
        <v>141</v>
      </c>
      <c r="G190" s="2543" t="s">
        <v>141</v>
      </c>
      <c r="H190" s="2543" t="s">
        <v>141</v>
      </c>
      <c r="I190" s="2543" t="s">
        <v>141</v>
      </c>
      <c r="J190" s="2543" t="s">
        <v>141</v>
      </c>
      <c r="K190" s="2543"/>
      <c r="L190" s="2543"/>
      <c r="M190" s="2543" t="s">
        <v>141</v>
      </c>
      <c r="N190" s="2543" t="s">
        <v>141</v>
      </c>
      <c r="O190" s="2543" t="s">
        <v>141</v>
      </c>
      <c r="P190" s="2543" t="s">
        <v>141</v>
      </c>
      <c r="Q190" s="2543" t="s">
        <v>141</v>
      </c>
      <c r="R190" s="2543"/>
      <c r="S190" s="2543"/>
      <c r="T190" s="2543" t="s">
        <v>141</v>
      </c>
      <c r="U190" s="2543" t="s">
        <v>141</v>
      </c>
      <c r="V190" s="2543" t="s">
        <v>141</v>
      </c>
      <c r="W190" s="2543" t="s">
        <v>141</v>
      </c>
      <c r="X190" s="2543" t="s">
        <v>141</v>
      </c>
      <c r="Y190" s="2543"/>
      <c r="Z190" s="2543"/>
      <c r="AA190" s="2543" t="s">
        <v>141</v>
      </c>
      <c r="AB190" s="2681" t="s">
        <v>258</v>
      </c>
      <c r="AC190" s="2543" t="s">
        <v>141</v>
      </c>
      <c r="AD190" s="2543" t="s">
        <v>141</v>
      </c>
      <c r="AE190" s="2543" t="s">
        <v>141</v>
      </c>
      <c r="AF190" s="2543"/>
      <c r="AG190" s="2632"/>
      <c r="AH190" s="182"/>
      <c r="AI190" s="182"/>
    </row>
    <row r="191" spans="1:36" ht="22.35" customHeight="1">
      <c r="A191" s="109"/>
      <c r="B191" s="2526" t="s">
        <v>259</v>
      </c>
      <c r="C191" s="2543" t="s">
        <v>124</v>
      </c>
      <c r="D191" s="2543"/>
      <c r="E191" s="2543"/>
      <c r="F191" s="2543" t="s">
        <v>124</v>
      </c>
      <c r="G191" s="2543" t="s">
        <v>124</v>
      </c>
      <c r="H191" s="2543" t="s">
        <v>124</v>
      </c>
      <c r="I191" s="2543" t="s">
        <v>124</v>
      </c>
      <c r="J191" s="2543" t="s">
        <v>124</v>
      </c>
      <c r="K191" s="2543"/>
      <c r="L191" s="2543"/>
      <c r="M191" s="2543" t="s">
        <v>124</v>
      </c>
      <c r="N191" s="2543" t="s">
        <v>124</v>
      </c>
      <c r="O191" s="2543" t="s">
        <v>124</v>
      </c>
      <c r="P191" s="2543" t="s">
        <v>124</v>
      </c>
      <c r="Q191" s="2543" t="s">
        <v>124</v>
      </c>
      <c r="R191" s="2543"/>
      <c r="S191" s="2543"/>
      <c r="T191" s="2543" t="s">
        <v>124</v>
      </c>
      <c r="U191" s="2543" t="s">
        <v>124</v>
      </c>
      <c r="V191" s="2543" t="s">
        <v>124</v>
      </c>
      <c r="W191" s="2543" t="s">
        <v>124</v>
      </c>
      <c r="X191" s="2543" t="s">
        <v>124</v>
      </c>
      <c r="Y191" s="2543"/>
      <c r="Z191" s="2543"/>
      <c r="AA191" s="2543" t="s">
        <v>124</v>
      </c>
      <c r="AB191" s="2543" t="s">
        <v>124</v>
      </c>
      <c r="AC191" s="2543" t="s">
        <v>124</v>
      </c>
      <c r="AD191" s="2543" t="s">
        <v>124</v>
      </c>
      <c r="AE191" s="2543" t="s">
        <v>124</v>
      </c>
      <c r="AF191" s="2543"/>
      <c r="AG191" s="2632"/>
      <c r="AH191" s="182"/>
      <c r="AI191" s="182"/>
    </row>
    <row r="192" spans="1:36" ht="22.35" customHeight="1">
      <c r="A192" s="109"/>
      <c r="B192" s="2668" t="s">
        <v>261</v>
      </c>
      <c r="C192" s="2543" t="s">
        <v>242</v>
      </c>
      <c r="D192" s="2543"/>
      <c r="E192" s="2543"/>
      <c r="F192" s="2543" t="s">
        <v>242</v>
      </c>
      <c r="G192" s="2543" t="s">
        <v>242</v>
      </c>
      <c r="H192" s="2543" t="s">
        <v>242</v>
      </c>
      <c r="I192" s="2543" t="s">
        <v>242</v>
      </c>
      <c r="J192" s="2543" t="s">
        <v>242</v>
      </c>
      <c r="K192" s="2543"/>
      <c r="L192" s="2543"/>
      <c r="M192" s="2543" t="s">
        <v>242</v>
      </c>
      <c r="N192" s="2543" t="s">
        <v>242</v>
      </c>
      <c r="O192" s="2543" t="s">
        <v>242</v>
      </c>
      <c r="P192" s="2543" t="s">
        <v>242</v>
      </c>
      <c r="Q192" s="2543" t="s">
        <v>242</v>
      </c>
      <c r="R192" s="2543"/>
      <c r="S192" s="2543"/>
      <c r="T192" s="2543" t="s">
        <v>242</v>
      </c>
      <c r="U192" s="2543" t="s">
        <v>242</v>
      </c>
      <c r="V192" s="2543" t="s">
        <v>242</v>
      </c>
      <c r="W192" s="2543" t="s">
        <v>242</v>
      </c>
      <c r="X192" s="2543" t="s">
        <v>242</v>
      </c>
      <c r="Y192" s="2543"/>
      <c r="Z192" s="2543"/>
      <c r="AA192" s="2543" t="s">
        <v>242</v>
      </c>
      <c r="AB192" s="2543" t="s">
        <v>242</v>
      </c>
      <c r="AC192" s="2543" t="s">
        <v>242</v>
      </c>
      <c r="AD192" s="2543" t="s">
        <v>242</v>
      </c>
      <c r="AE192" s="2543" t="s">
        <v>242</v>
      </c>
      <c r="AF192" s="2543"/>
      <c r="AG192" s="2632"/>
      <c r="AH192" s="182"/>
      <c r="AI192" s="182"/>
    </row>
    <row r="193" spans="1:35" ht="22.35" customHeight="1">
      <c r="A193" s="109"/>
      <c r="B193" s="2526"/>
      <c r="C193" s="2543" t="s">
        <v>122</v>
      </c>
      <c r="D193" s="2543"/>
      <c r="E193" s="2543"/>
      <c r="F193" s="2543" t="s">
        <v>122</v>
      </c>
      <c r="G193" s="2543" t="s">
        <v>122</v>
      </c>
      <c r="H193" s="2543" t="s">
        <v>122</v>
      </c>
      <c r="I193" s="2543" t="s">
        <v>122</v>
      </c>
      <c r="J193" s="2543" t="s">
        <v>122</v>
      </c>
      <c r="K193" s="2543"/>
      <c r="L193" s="2543"/>
      <c r="M193" s="2543" t="s">
        <v>122</v>
      </c>
      <c r="N193" s="2543" t="s">
        <v>122</v>
      </c>
      <c r="O193" s="2543" t="s">
        <v>122</v>
      </c>
      <c r="P193" s="2543" t="s">
        <v>122</v>
      </c>
      <c r="Q193" s="2543" t="s">
        <v>122</v>
      </c>
      <c r="R193" s="2543"/>
      <c r="S193" s="2543"/>
      <c r="T193" s="2543" t="s">
        <v>122</v>
      </c>
      <c r="U193" s="2543" t="s">
        <v>122</v>
      </c>
      <c r="V193" s="2543" t="s">
        <v>122</v>
      </c>
      <c r="W193" s="2543" t="s">
        <v>122</v>
      </c>
      <c r="X193" s="2543" t="s">
        <v>122</v>
      </c>
      <c r="Y193" s="2543"/>
      <c r="Z193" s="2543"/>
      <c r="AA193" s="2543" t="s">
        <v>122</v>
      </c>
      <c r="AB193" s="2543" t="s">
        <v>122</v>
      </c>
      <c r="AC193" s="2543" t="s">
        <v>122</v>
      </c>
      <c r="AD193" s="2543" t="s">
        <v>122</v>
      </c>
      <c r="AE193" s="2543" t="s">
        <v>122</v>
      </c>
      <c r="AF193" s="2543"/>
      <c r="AG193" s="2632"/>
      <c r="AH193" s="182"/>
      <c r="AI193" s="182"/>
    </row>
    <row r="194" spans="1:35" ht="22.35" customHeight="1">
      <c r="A194" s="109"/>
      <c r="B194" s="2526" t="s">
        <v>262</v>
      </c>
      <c r="C194" s="2543" t="s">
        <v>246</v>
      </c>
      <c r="D194" s="2543"/>
      <c r="E194" s="2543"/>
      <c r="F194" s="2543" t="s">
        <v>246</v>
      </c>
      <c r="G194" s="2543" t="s">
        <v>246</v>
      </c>
      <c r="H194" s="2543" t="s">
        <v>246</v>
      </c>
      <c r="I194" s="2543" t="s">
        <v>246</v>
      </c>
      <c r="J194" s="2543" t="s">
        <v>246</v>
      </c>
      <c r="K194" s="2543"/>
      <c r="L194" s="2543"/>
      <c r="M194" s="2543" t="s">
        <v>246</v>
      </c>
      <c r="N194" s="2543" t="s">
        <v>246</v>
      </c>
      <c r="O194" s="2543" t="s">
        <v>246</v>
      </c>
      <c r="P194" s="2543" t="s">
        <v>246</v>
      </c>
      <c r="Q194" s="2543" t="s">
        <v>246</v>
      </c>
      <c r="R194" s="2543"/>
      <c r="S194" s="2543"/>
      <c r="T194" s="2543" t="s">
        <v>246</v>
      </c>
      <c r="U194" s="2543" t="s">
        <v>246</v>
      </c>
      <c r="V194" s="2543" t="s">
        <v>246</v>
      </c>
      <c r="W194" s="2543" t="s">
        <v>246</v>
      </c>
      <c r="X194" s="2543" t="s">
        <v>246</v>
      </c>
      <c r="Y194" s="2543"/>
      <c r="Z194" s="2543"/>
      <c r="AA194" s="2543" t="s">
        <v>246</v>
      </c>
      <c r="AB194" s="2543" t="s">
        <v>246</v>
      </c>
      <c r="AC194" s="2543" t="s">
        <v>246</v>
      </c>
      <c r="AD194" s="2543" t="s">
        <v>246</v>
      </c>
      <c r="AE194" s="2543" t="s">
        <v>246</v>
      </c>
      <c r="AF194" s="2543"/>
      <c r="AG194" s="2632"/>
      <c r="AH194" s="107"/>
      <c r="AI194" s="107"/>
    </row>
    <row r="195" spans="1:35" ht="21" customHeight="1" thickBot="1">
      <c r="A195" s="148"/>
      <c r="B195" s="995" t="s">
        <v>263</v>
      </c>
      <c r="C195" s="998" t="s">
        <v>127</v>
      </c>
      <c r="D195" s="998"/>
      <c r="E195" s="998"/>
      <c r="F195" s="998" t="s">
        <v>127</v>
      </c>
      <c r="G195" s="998" t="s">
        <v>127</v>
      </c>
      <c r="H195" s="998" t="s">
        <v>127</v>
      </c>
      <c r="I195" s="998" t="s">
        <v>127</v>
      </c>
      <c r="J195" s="998" t="s">
        <v>127</v>
      </c>
      <c r="K195" s="998"/>
      <c r="L195" s="998"/>
      <c r="M195" s="998" t="s">
        <v>127</v>
      </c>
      <c r="N195" s="998" t="s">
        <v>127</v>
      </c>
      <c r="O195" s="998" t="s">
        <v>127</v>
      </c>
      <c r="P195" s="998" t="s">
        <v>127</v>
      </c>
      <c r="Q195" s="998" t="s">
        <v>127</v>
      </c>
      <c r="R195" s="998"/>
      <c r="S195" s="998"/>
      <c r="T195" s="998" t="s">
        <v>127</v>
      </c>
      <c r="U195" s="998" t="s">
        <v>127</v>
      </c>
      <c r="V195" s="998" t="s">
        <v>127</v>
      </c>
      <c r="W195" s="998" t="s">
        <v>127</v>
      </c>
      <c r="X195" s="998" t="s">
        <v>127</v>
      </c>
      <c r="Y195" s="998"/>
      <c r="Z195" s="998"/>
      <c r="AA195" s="998" t="s">
        <v>127</v>
      </c>
      <c r="AB195" s="998" t="s">
        <v>127</v>
      </c>
      <c r="AC195" s="2682" t="s">
        <v>127</v>
      </c>
      <c r="AD195" s="998" t="s">
        <v>127</v>
      </c>
      <c r="AE195" s="1072" t="s">
        <v>127</v>
      </c>
      <c r="AF195" s="1072"/>
      <c r="AG195" s="1074"/>
      <c r="AH195" s="115"/>
    </row>
    <row r="196" spans="1:35" ht="21" customHeight="1">
      <c r="A196" s="148"/>
      <c r="B196" s="229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  <c r="U196" s="228"/>
      <c r="V196" s="228"/>
      <c r="W196" s="228"/>
      <c r="X196" s="228"/>
      <c r="Y196" s="228"/>
      <c r="Z196" s="228"/>
      <c r="AA196" s="228"/>
      <c r="AB196" s="228"/>
      <c r="AC196" s="228"/>
      <c r="AD196" s="228"/>
      <c r="AE196" s="228"/>
      <c r="AF196" s="228"/>
      <c r="AG196" s="228"/>
      <c r="AH196" s="115"/>
    </row>
    <row r="197" spans="1:35" ht="22.35" customHeight="1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>
      <c r="A198" s="1" t="s">
        <v>265</v>
      </c>
      <c r="B198" s="59"/>
    </row>
    <row r="199" spans="1:35" ht="22.35" customHeight="1">
      <c r="A199" s="1"/>
      <c r="B199" s="2683" t="s">
        <v>266</v>
      </c>
      <c r="C199" s="391" t="s">
        <v>94</v>
      </c>
      <c r="D199" s="391"/>
      <c r="E199" s="391"/>
      <c r="F199" s="391"/>
      <c r="G199" s="392" t="s">
        <v>95</v>
      </c>
      <c r="H199" s="391"/>
      <c r="I199" s="391"/>
      <c r="J199" s="391"/>
      <c r="K199" s="392" t="s">
        <v>96</v>
      </c>
      <c r="L199" s="391"/>
      <c r="M199" s="391"/>
      <c r="N199" s="391"/>
      <c r="O199" s="392" t="s">
        <v>97</v>
      </c>
      <c r="P199" s="391"/>
      <c r="Q199" s="391"/>
      <c r="R199" s="391"/>
      <c r="S199" s="392" t="s">
        <v>98</v>
      </c>
      <c r="T199" s="391"/>
      <c r="U199" s="391"/>
      <c r="V199" s="391"/>
      <c r="W199" s="393" t="s">
        <v>99</v>
      </c>
      <c r="X199" s="357"/>
      <c r="Y199" s="391"/>
      <c r="Z199" s="394"/>
      <c r="AA199" s="393" t="s">
        <v>100</v>
      </c>
      <c r="AB199" s="357"/>
      <c r="AC199" s="391"/>
      <c r="AD199" s="394"/>
      <c r="AE199" s="395" t="s">
        <v>101</v>
      </c>
      <c r="AF199" s="391"/>
      <c r="AG199" s="391"/>
      <c r="AH199" s="391"/>
      <c r="AI199" s="358"/>
    </row>
    <row r="200" spans="1:35" ht="22.35" customHeight="1">
      <c r="A200" s="1"/>
      <c r="B200" s="2684">
        <v>3701</v>
      </c>
      <c r="C200" s="110" t="s">
        <v>267</v>
      </c>
      <c r="D200" s="110"/>
      <c r="E200" s="110"/>
      <c r="F200" s="110"/>
      <c r="G200" s="742" t="s">
        <v>268</v>
      </c>
      <c r="H200" s="110"/>
      <c r="I200" s="110"/>
      <c r="J200" s="110"/>
      <c r="K200" s="742" t="s">
        <v>268</v>
      </c>
      <c r="L200" s="110"/>
      <c r="M200" s="110"/>
      <c r="N200" s="110"/>
      <c r="O200" s="742" t="s">
        <v>268</v>
      </c>
      <c r="P200" s="110"/>
      <c r="Q200" s="110"/>
      <c r="R200" s="110"/>
      <c r="S200" s="742" t="s">
        <v>269</v>
      </c>
      <c r="T200" s="110"/>
      <c r="U200" s="110"/>
      <c r="V200" s="110"/>
      <c r="W200" s="2685"/>
      <c r="X200" s="2686"/>
      <c r="Y200" s="2464"/>
      <c r="Z200" s="2687"/>
      <c r="AA200" s="2685"/>
      <c r="AB200" s="2686"/>
      <c r="AC200" s="2464"/>
      <c r="AD200" s="2687"/>
      <c r="AE200" s="2591"/>
      <c r="AF200" s="2464"/>
      <c r="AG200" s="2464"/>
      <c r="AH200" s="2464"/>
      <c r="AI200" s="2398"/>
    </row>
    <row r="201" spans="1:35" ht="22.35" customHeight="1">
      <c r="B201" s="2683">
        <v>3700</v>
      </c>
      <c r="C201" s="2464" t="s">
        <v>170</v>
      </c>
      <c r="D201" s="2464"/>
      <c r="E201" s="2464"/>
      <c r="F201" s="2464"/>
      <c r="G201" s="2688" t="s">
        <v>170</v>
      </c>
      <c r="H201" s="2464"/>
      <c r="I201" s="2464"/>
      <c r="J201" s="2464"/>
      <c r="K201" s="2688" t="s">
        <v>170</v>
      </c>
      <c r="L201" s="2464"/>
      <c r="M201" s="2464"/>
      <c r="N201" s="2464"/>
      <c r="O201" s="2688" t="s">
        <v>170</v>
      </c>
      <c r="P201" s="2464"/>
      <c r="Q201" s="2464"/>
      <c r="R201" s="2464"/>
      <c r="S201" s="2688" t="s">
        <v>171</v>
      </c>
      <c r="T201" s="2464"/>
      <c r="U201" s="2464"/>
      <c r="V201" s="2464"/>
      <c r="W201" s="2464"/>
      <c r="X201" s="2688"/>
      <c r="Y201" s="2464"/>
      <c r="Z201" s="2593"/>
      <c r="AA201" s="2591"/>
      <c r="AB201" s="2464"/>
      <c r="AC201" s="2464"/>
      <c r="AD201" s="2514"/>
      <c r="AE201" s="2689"/>
      <c r="AF201" s="2464"/>
      <c r="AG201" s="2464"/>
      <c r="AH201" s="2514"/>
      <c r="AI201" s="2398"/>
    </row>
    <row r="202" spans="1:35" ht="22.35" customHeight="1">
      <c r="A202" s="1"/>
      <c r="B202" s="2683">
        <v>8514</v>
      </c>
      <c r="C202" s="2464" t="s">
        <v>268</v>
      </c>
      <c r="D202" s="2464"/>
      <c r="E202" s="2464"/>
      <c r="F202" s="2464"/>
      <c r="G202" s="2688" t="s">
        <v>268</v>
      </c>
      <c r="H202" s="2464"/>
      <c r="I202" s="2464"/>
      <c r="J202" s="2464"/>
      <c r="K202" s="2688" t="s">
        <v>268</v>
      </c>
      <c r="L202" s="2464"/>
      <c r="M202" s="2464"/>
      <c r="N202" s="2464"/>
      <c r="O202" s="2688" t="s">
        <v>268</v>
      </c>
      <c r="P202" s="2464"/>
      <c r="Q202" s="2464"/>
      <c r="R202" s="2464"/>
      <c r="S202" s="2688" t="s">
        <v>270</v>
      </c>
      <c r="T202" s="2464"/>
      <c r="U202" s="2464"/>
      <c r="V202" s="2464"/>
      <c r="W202" s="2464"/>
      <c r="X202" s="2688"/>
      <c r="Y202" s="2464"/>
      <c r="Z202" s="2593"/>
      <c r="AA202" s="2513"/>
      <c r="AB202" s="2464"/>
      <c r="AC202" s="2464"/>
      <c r="AD202" s="2514"/>
      <c r="AE202" s="2513"/>
      <c r="AF202" s="2464"/>
      <c r="AG202" s="2464"/>
      <c r="AH202" s="2514"/>
      <c r="AI202" s="2398"/>
    </row>
    <row r="203" spans="1:35" ht="22.35" customHeight="1">
      <c r="A203" s="1"/>
      <c r="B203" s="2683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>
      <c r="A204" s="1"/>
      <c r="B204" s="2683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>
      <c r="A205" s="1"/>
      <c r="B205" s="2690" t="s">
        <v>273</v>
      </c>
      <c r="C205" s="2471" t="s">
        <v>274</v>
      </c>
      <c r="D205" s="2471"/>
      <c r="E205" s="2471"/>
      <c r="F205" s="2471"/>
      <c r="G205" s="2691" t="s">
        <v>274</v>
      </c>
      <c r="H205" s="2471"/>
      <c r="I205" s="2471"/>
      <c r="J205" s="2471"/>
      <c r="K205" s="2692" t="s">
        <v>274</v>
      </c>
      <c r="L205" s="2471"/>
      <c r="M205" s="2471"/>
      <c r="N205" s="2471"/>
      <c r="O205" s="2691" t="s">
        <v>274</v>
      </c>
      <c r="P205" s="2471"/>
      <c r="Q205" s="2471"/>
      <c r="R205" s="2471"/>
      <c r="S205" s="2691" t="s">
        <v>275</v>
      </c>
      <c r="T205" s="2471"/>
      <c r="U205" s="2471"/>
      <c r="V205" s="2471"/>
      <c r="W205" s="2471"/>
      <c r="X205" s="2691"/>
      <c r="Y205" s="2471"/>
      <c r="Z205" s="2625"/>
      <c r="AA205" s="2604"/>
      <c r="AB205" s="2471"/>
      <c r="AC205" s="2471"/>
      <c r="AD205" s="2611"/>
      <c r="AE205" s="2693"/>
      <c r="AF205" s="2471"/>
      <c r="AG205" s="2471"/>
      <c r="AH205" s="2611"/>
      <c r="AI205" s="2474"/>
    </row>
    <row r="206" spans="1:35" ht="22.35" customHeight="1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>
      <c r="A208" s="2562"/>
      <c r="B208" s="2476" t="s">
        <v>29</v>
      </c>
      <c r="C208" s="2407">
        <v>1</v>
      </c>
      <c r="D208" s="2408">
        <v>2</v>
      </c>
      <c r="E208" s="2408">
        <v>3</v>
      </c>
      <c r="F208" s="2407">
        <v>4</v>
      </c>
      <c r="G208" s="2407">
        <v>5</v>
      </c>
      <c r="H208" s="2407">
        <v>6</v>
      </c>
      <c r="I208" s="2407">
        <v>7</v>
      </c>
      <c r="J208" s="2407">
        <v>8</v>
      </c>
      <c r="K208" s="2408">
        <v>9</v>
      </c>
      <c r="L208" s="2408">
        <v>10</v>
      </c>
      <c r="M208" s="2407">
        <v>11</v>
      </c>
      <c r="N208" s="2407">
        <v>12</v>
      </c>
      <c r="O208" s="2407">
        <v>13</v>
      </c>
      <c r="P208" s="2407">
        <v>14</v>
      </c>
      <c r="Q208" s="2407">
        <v>15</v>
      </c>
      <c r="R208" s="2408">
        <v>16</v>
      </c>
      <c r="S208" s="2408">
        <v>17</v>
      </c>
      <c r="T208" s="2407">
        <v>18</v>
      </c>
      <c r="U208" s="2407">
        <v>19</v>
      </c>
      <c r="V208" s="2407">
        <v>20</v>
      </c>
      <c r="W208" s="2407">
        <v>21</v>
      </c>
      <c r="X208" s="2407">
        <v>22</v>
      </c>
      <c r="Y208" s="2408">
        <v>23</v>
      </c>
      <c r="Z208" s="2408">
        <v>24</v>
      </c>
      <c r="AA208" s="2407">
        <v>25</v>
      </c>
      <c r="AB208" s="2407">
        <v>26</v>
      </c>
      <c r="AC208" s="2407">
        <v>27</v>
      </c>
      <c r="AD208" s="2407">
        <v>28</v>
      </c>
      <c r="AE208" s="2407">
        <v>29</v>
      </c>
      <c r="AF208" s="2408">
        <v>30</v>
      </c>
      <c r="AG208" s="2409">
        <v>31</v>
      </c>
      <c r="AH208" s="176"/>
      <c r="AI208" s="177"/>
    </row>
    <row r="209" spans="1:35" ht="22.35" customHeight="1">
      <c r="A209" s="249"/>
      <c r="B209" s="540" t="s">
        <v>277</v>
      </c>
      <c r="C209" s="2435" t="s">
        <v>32</v>
      </c>
      <c r="D209" s="2435"/>
      <c r="E209" s="2435"/>
      <c r="F209" s="2435" t="s">
        <v>32</v>
      </c>
      <c r="G209" s="2435" t="s">
        <v>32</v>
      </c>
      <c r="H209" s="2435" t="s">
        <v>32</v>
      </c>
      <c r="I209" s="2435" t="s">
        <v>32</v>
      </c>
      <c r="J209" s="2435" t="s">
        <v>32</v>
      </c>
      <c r="K209" s="2435"/>
      <c r="L209" s="2435"/>
      <c r="M209" s="2435" t="s">
        <v>32</v>
      </c>
      <c r="N209" s="2443" t="s">
        <v>32</v>
      </c>
      <c r="O209" s="2443" t="s">
        <v>32</v>
      </c>
      <c r="P209" s="2443" t="s">
        <v>32</v>
      </c>
      <c r="Q209" s="2440" t="s">
        <v>32</v>
      </c>
      <c r="R209" s="2443"/>
      <c r="S209" s="2443"/>
      <c r="T209" s="2435" t="s">
        <v>32</v>
      </c>
      <c r="U209" s="2443" t="s">
        <v>32</v>
      </c>
      <c r="V209" s="2443" t="s">
        <v>32</v>
      </c>
      <c r="W209" s="2443" t="s">
        <v>32</v>
      </c>
      <c r="X209" s="2435" t="s">
        <v>32</v>
      </c>
      <c r="Y209" s="2443"/>
      <c r="Z209" s="2435"/>
      <c r="AA209" s="2435" t="s">
        <v>32</v>
      </c>
      <c r="AB209" s="2435" t="s">
        <v>32</v>
      </c>
      <c r="AC209" s="2435" t="s">
        <v>32</v>
      </c>
      <c r="AD209" s="2435" t="s">
        <v>32</v>
      </c>
      <c r="AE209" s="2435" t="s">
        <v>32</v>
      </c>
      <c r="AF209" s="2435"/>
      <c r="AG209" s="234"/>
      <c r="AH209" s="176"/>
      <c r="AI209" s="177"/>
    </row>
    <row r="210" spans="1:35" ht="22.35" customHeight="1">
      <c r="A210" s="2694"/>
      <c r="B210" s="2695" t="s">
        <v>279</v>
      </c>
      <c r="C210" s="2435" t="s">
        <v>32</v>
      </c>
      <c r="D210" s="2435"/>
      <c r="E210" s="2435"/>
      <c r="F210" s="2435" t="s">
        <v>32</v>
      </c>
      <c r="G210" s="2435" t="s">
        <v>32</v>
      </c>
      <c r="H210" s="2435" t="s">
        <v>32</v>
      </c>
      <c r="I210" s="2435" t="s">
        <v>32</v>
      </c>
      <c r="J210" s="2435" t="s">
        <v>32</v>
      </c>
      <c r="K210" s="2435"/>
      <c r="L210" s="2435"/>
      <c r="M210" s="2435" t="s">
        <v>32</v>
      </c>
      <c r="N210" s="2443" t="s">
        <v>32</v>
      </c>
      <c r="O210" s="2443" t="s">
        <v>32</v>
      </c>
      <c r="P210" s="2443" t="s">
        <v>32</v>
      </c>
      <c r="Q210" s="2440" t="s">
        <v>32</v>
      </c>
      <c r="R210" s="2443"/>
      <c r="S210" s="2435"/>
      <c r="T210" s="2435" t="s">
        <v>32</v>
      </c>
      <c r="U210" s="2443" t="s">
        <v>32</v>
      </c>
      <c r="V210" s="2443" t="s">
        <v>32</v>
      </c>
      <c r="W210" s="2696" t="s">
        <v>32</v>
      </c>
      <c r="X210" s="2696" t="s">
        <v>32</v>
      </c>
      <c r="Y210" s="2443"/>
      <c r="Z210" s="2435"/>
      <c r="AA210" s="2435" t="s">
        <v>32</v>
      </c>
      <c r="AB210" s="2435" t="s">
        <v>32</v>
      </c>
      <c r="AC210" s="2435" t="s">
        <v>32</v>
      </c>
      <c r="AD210" s="2440" t="s">
        <v>32</v>
      </c>
      <c r="AE210" s="2440" t="s">
        <v>32</v>
      </c>
      <c r="AF210" s="2440"/>
      <c r="AG210" s="2697"/>
      <c r="AH210" s="176"/>
      <c r="AI210" s="177"/>
    </row>
    <row r="211" spans="1:35" ht="22.35" customHeight="1">
      <c r="A211" s="2698">
        <v>8514</v>
      </c>
      <c r="B211" s="2699" t="s">
        <v>280</v>
      </c>
      <c r="C211" s="2436" t="s">
        <v>32</v>
      </c>
      <c r="D211" s="2435"/>
      <c r="E211" s="2435"/>
      <c r="F211" s="2435" t="s">
        <v>32</v>
      </c>
      <c r="G211" s="2435" t="s">
        <v>32</v>
      </c>
      <c r="H211" s="2435" t="s">
        <v>32</v>
      </c>
      <c r="I211" s="2435" t="s">
        <v>32</v>
      </c>
      <c r="J211" s="2436" t="s">
        <v>32</v>
      </c>
      <c r="K211" s="2435"/>
      <c r="L211" s="2435"/>
      <c r="M211" s="2629" t="s">
        <v>278</v>
      </c>
      <c r="N211" s="2436" t="s">
        <v>32</v>
      </c>
      <c r="O211" s="2436" t="s">
        <v>32</v>
      </c>
      <c r="P211" s="2436" t="s">
        <v>32</v>
      </c>
      <c r="Q211" s="2436" t="s">
        <v>32</v>
      </c>
      <c r="R211" s="2443"/>
      <c r="S211" s="2435"/>
      <c r="T211" s="2435" t="s">
        <v>32</v>
      </c>
      <c r="U211" s="2443" t="s">
        <v>32</v>
      </c>
      <c r="V211" s="2443" t="s">
        <v>32</v>
      </c>
      <c r="W211" s="2441" t="s">
        <v>32</v>
      </c>
      <c r="X211" s="2441" t="s">
        <v>32</v>
      </c>
      <c r="Y211" s="2443"/>
      <c r="Z211" s="2435"/>
      <c r="AA211" s="2435" t="s">
        <v>32</v>
      </c>
      <c r="AB211" s="2435" t="s">
        <v>32</v>
      </c>
      <c r="AC211" s="2435" t="s">
        <v>32</v>
      </c>
      <c r="AD211" s="2440" t="s">
        <v>32</v>
      </c>
      <c r="AE211" s="2440" t="s">
        <v>32</v>
      </c>
      <c r="AF211" s="2440"/>
      <c r="AG211" s="2697"/>
      <c r="AH211" s="181"/>
      <c r="AI211" s="182"/>
    </row>
    <row r="212" spans="1:35" ht="21" customHeight="1">
      <c r="A212" s="2698">
        <v>3701</v>
      </c>
      <c r="B212" s="2700" t="s">
        <v>281</v>
      </c>
      <c r="C212" s="2435" t="s">
        <v>32</v>
      </c>
      <c r="D212" s="2435"/>
      <c r="E212" s="2435"/>
      <c r="F212" s="2435" t="s">
        <v>32</v>
      </c>
      <c r="G212" s="2435" t="s">
        <v>32</v>
      </c>
      <c r="H212" s="2435" t="s">
        <v>32</v>
      </c>
      <c r="I212" s="2435" t="s">
        <v>32</v>
      </c>
      <c r="J212" s="2435" t="s">
        <v>32</v>
      </c>
      <c r="K212" s="2435"/>
      <c r="L212" s="2435"/>
      <c r="M212" s="2435" t="s">
        <v>32</v>
      </c>
      <c r="N212" s="2443" t="s">
        <v>32</v>
      </c>
      <c r="O212" s="2443" t="s">
        <v>32</v>
      </c>
      <c r="P212" s="2443" t="s">
        <v>32</v>
      </c>
      <c r="Q212" s="2440" t="s">
        <v>32</v>
      </c>
      <c r="R212" s="2443"/>
      <c r="S212" s="2435"/>
      <c r="T212" s="2435" t="s">
        <v>32</v>
      </c>
      <c r="U212" s="2443" t="s">
        <v>32</v>
      </c>
      <c r="V212" s="2443" t="s">
        <v>32</v>
      </c>
      <c r="W212" s="2443" t="s">
        <v>32</v>
      </c>
      <c r="X212" s="2435" t="s">
        <v>32</v>
      </c>
      <c r="Y212" s="2443"/>
      <c r="Z212" s="2435"/>
      <c r="AA212" s="2435" t="s">
        <v>32</v>
      </c>
      <c r="AB212" s="2435" t="s">
        <v>32</v>
      </c>
      <c r="AC212" s="2435" t="s">
        <v>32</v>
      </c>
      <c r="AD212" s="2443" t="s">
        <v>32</v>
      </c>
      <c r="AE212" s="2443" t="s">
        <v>32</v>
      </c>
      <c r="AF212" s="2443"/>
      <c r="AG212" s="2697"/>
      <c r="AH212" s="181"/>
      <c r="AI212" s="182"/>
    </row>
    <row r="213" spans="1:35" ht="21" customHeight="1">
      <c r="A213" s="2698">
        <v>3701</v>
      </c>
      <c r="B213" s="2448" t="s">
        <v>282</v>
      </c>
      <c r="C213" s="2628" t="s">
        <v>32</v>
      </c>
      <c r="D213" s="2435"/>
      <c r="E213" s="2435"/>
      <c r="F213" s="2435" t="s">
        <v>32</v>
      </c>
      <c r="G213" s="2435" t="s">
        <v>32</v>
      </c>
      <c r="H213" s="2435" t="s">
        <v>32</v>
      </c>
      <c r="I213" s="2435" t="s">
        <v>32</v>
      </c>
      <c r="J213" s="2435" t="s">
        <v>32</v>
      </c>
      <c r="K213" s="2435"/>
      <c r="L213" s="2435"/>
      <c r="M213" s="2435" t="s">
        <v>32</v>
      </c>
      <c r="N213" s="2443" t="s">
        <v>32</v>
      </c>
      <c r="O213" s="2628" t="s">
        <v>32</v>
      </c>
      <c r="P213" s="2628" t="s">
        <v>32</v>
      </c>
      <c r="Q213" s="2701" t="s">
        <v>32</v>
      </c>
      <c r="R213" s="2443"/>
      <c r="S213" s="2435"/>
      <c r="T213" s="2435" t="s">
        <v>32</v>
      </c>
      <c r="U213" s="2443" t="s">
        <v>32</v>
      </c>
      <c r="V213" s="558" t="s">
        <v>32</v>
      </c>
      <c r="W213" s="558" t="s">
        <v>32</v>
      </c>
      <c r="X213" s="2701" t="s">
        <v>32</v>
      </c>
      <c r="Y213" s="2443"/>
      <c r="Z213" s="2435"/>
      <c r="AA213" s="2541" t="s">
        <v>32</v>
      </c>
      <c r="AB213" s="2435" t="s">
        <v>32</v>
      </c>
      <c r="AC213" s="2435" t="s">
        <v>32</v>
      </c>
      <c r="AD213" s="2443" t="s">
        <v>32</v>
      </c>
      <c r="AE213" s="2436" t="s">
        <v>32</v>
      </c>
      <c r="AF213" s="2443"/>
      <c r="AG213" s="2697"/>
      <c r="AH213" s="181"/>
      <c r="AI213" s="182"/>
    </row>
    <row r="214" spans="1:35" ht="21" customHeight="1">
      <c r="A214" s="2698">
        <v>3701</v>
      </c>
      <c r="B214" s="2448" t="s">
        <v>283</v>
      </c>
      <c r="C214" s="2435" t="s">
        <v>32</v>
      </c>
      <c r="D214" s="2435"/>
      <c r="E214" s="2435"/>
      <c r="F214" s="2435" t="s">
        <v>32</v>
      </c>
      <c r="G214" s="2435" t="s">
        <v>32</v>
      </c>
      <c r="H214" s="2435" t="s">
        <v>32</v>
      </c>
      <c r="I214" s="2435" t="s">
        <v>32</v>
      </c>
      <c r="J214" s="2435" t="s">
        <v>32</v>
      </c>
      <c r="K214" s="2435"/>
      <c r="L214" s="2435"/>
      <c r="M214" s="2435" t="s">
        <v>32</v>
      </c>
      <c r="N214" s="2443" t="s">
        <v>32</v>
      </c>
      <c r="O214" s="2443" t="s">
        <v>32</v>
      </c>
      <c r="P214" s="2443" t="s">
        <v>32</v>
      </c>
      <c r="Q214" s="2440" t="s">
        <v>32</v>
      </c>
      <c r="R214" s="2443"/>
      <c r="S214" s="2435"/>
      <c r="T214" s="2435" t="s">
        <v>32</v>
      </c>
      <c r="U214" s="2443" t="s">
        <v>32</v>
      </c>
      <c r="V214" s="2443" t="s">
        <v>32</v>
      </c>
      <c r="W214" s="2443" t="s">
        <v>32</v>
      </c>
      <c r="X214" s="2435" t="s">
        <v>32</v>
      </c>
      <c r="Y214" s="2447"/>
      <c r="Z214" s="2435"/>
      <c r="AA214" s="2435" t="s">
        <v>32</v>
      </c>
      <c r="AB214" s="2435" t="s">
        <v>32</v>
      </c>
      <c r="AC214" s="2435" t="s">
        <v>32</v>
      </c>
      <c r="AD214" s="2447" t="s">
        <v>32</v>
      </c>
      <c r="AE214" s="2440" t="s">
        <v>32</v>
      </c>
      <c r="AF214" s="2440"/>
      <c r="AG214" s="2697"/>
      <c r="AH214" s="181"/>
      <c r="AI214" s="182"/>
    </row>
    <row r="215" spans="1:35" ht="21" customHeight="1">
      <c r="A215" s="2698">
        <v>3701</v>
      </c>
      <c r="B215" s="2700" t="s">
        <v>284</v>
      </c>
      <c r="C215" s="2435" t="s">
        <v>32</v>
      </c>
      <c r="D215" s="2435"/>
      <c r="E215" s="2435"/>
      <c r="F215" s="2435" t="s">
        <v>32</v>
      </c>
      <c r="G215" s="2435" t="s">
        <v>32</v>
      </c>
      <c r="H215" s="2435" t="s">
        <v>32</v>
      </c>
      <c r="I215" s="2435" t="s">
        <v>32</v>
      </c>
      <c r="J215" s="2435" t="s">
        <v>32</v>
      </c>
      <c r="K215" s="2435"/>
      <c r="L215" s="2435"/>
      <c r="M215" s="2435" t="s">
        <v>32</v>
      </c>
      <c r="N215" s="2443" t="s">
        <v>32</v>
      </c>
      <c r="O215" s="2443" t="s">
        <v>32</v>
      </c>
      <c r="P215" s="2443" t="s">
        <v>32</v>
      </c>
      <c r="Q215" s="2440" t="s">
        <v>32</v>
      </c>
      <c r="R215" s="2443"/>
      <c r="S215" s="2435"/>
      <c r="T215" s="2435" t="s">
        <v>32</v>
      </c>
      <c r="U215" s="2443" t="s">
        <v>32</v>
      </c>
      <c r="V215" s="2443" t="s">
        <v>32</v>
      </c>
      <c r="W215" s="2443" t="s">
        <v>32</v>
      </c>
      <c r="X215" s="2435" t="s">
        <v>32</v>
      </c>
      <c r="Y215" s="2443"/>
      <c r="Z215" s="2435"/>
      <c r="AA215" s="2435" t="s">
        <v>32</v>
      </c>
      <c r="AB215" s="2435" t="s">
        <v>32</v>
      </c>
      <c r="AC215" s="2435" t="s">
        <v>32</v>
      </c>
      <c r="AD215" s="2440" t="s">
        <v>32</v>
      </c>
      <c r="AE215" s="2440" t="s">
        <v>32</v>
      </c>
      <c r="AF215" s="2440"/>
      <c r="AG215" s="2697"/>
      <c r="AH215" s="181"/>
      <c r="AI215" s="182"/>
    </row>
    <row r="216" spans="1:35" ht="22.35" customHeight="1" thickBot="1">
      <c r="A216" s="2698">
        <v>3701</v>
      </c>
      <c r="B216" s="2448" t="s">
        <v>285</v>
      </c>
      <c r="C216" s="2435" t="s">
        <v>32</v>
      </c>
      <c r="D216" s="2435"/>
      <c r="E216" s="2435"/>
      <c r="F216" s="2435" t="s">
        <v>32</v>
      </c>
      <c r="G216" s="2435" t="s">
        <v>32</v>
      </c>
      <c r="H216" s="2435" t="s">
        <v>32</v>
      </c>
      <c r="I216" s="2435" t="s">
        <v>32</v>
      </c>
      <c r="J216" s="2435" t="s">
        <v>32</v>
      </c>
      <c r="K216" s="2435"/>
      <c r="L216" s="2435"/>
      <c r="M216" s="2435" t="s">
        <v>32</v>
      </c>
      <c r="N216" s="2443" t="s">
        <v>32</v>
      </c>
      <c r="O216" s="2443" t="s">
        <v>32</v>
      </c>
      <c r="P216" s="2443" t="s">
        <v>32</v>
      </c>
      <c r="Q216" s="2440" t="s">
        <v>32</v>
      </c>
      <c r="R216" s="2443"/>
      <c r="S216" s="2435"/>
      <c r="T216" s="2435" t="s">
        <v>32</v>
      </c>
      <c r="U216" s="2443" t="s">
        <v>32</v>
      </c>
      <c r="V216" s="2502" t="s">
        <v>32</v>
      </c>
      <c r="W216" s="2502" t="s">
        <v>32</v>
      </c>
      <c r="X216" s="2502" t="s">
        <v>32</v>
      </c>
      <c r="Y216" s="2443"/>
      <c r="Z216" s="2435"/>
      <c r="AA216" s="2435" t="s">
        <v>32</v>
      </c>
      <c r="AB216" s="2435" t="s">
        <v>32</v>
      </c>
      <c r="AC216" s="2435" t="s">
        <v>32</v>
      </c>
      <c r="AD216" s="2443" t="s">
        <v>32</v>
      </c>
      <c r="AE216" s="2443" t="s">
        <v>32</v>
      </c>
      <c r="AF216" s="2443"/>
      <c r="AG216" s="2697"/>
      <c r="AH216" s="181"/>
      <c r="AI216" s="182"/>
    </row>
    <row r="217" spans="1:35" ht="22.35" customHeight="1">
      <c r="A217" s="2698">
        <v>3701</v>
      </c>
      <c r="B217" s="2448" t="s">
        <v>286</v>
      </c>
      <c r="C217" s="2435" t="s">
        <v>32</v>
      </c>
      <c r="D217" s="2435"/>
      <c r="E217" s="2435"/>
      <c r="F217" s="2435" t="s">
        <v>32</v>
      </c>
      <c r="G217" s="2435" t="s">
        <v>32</v>
      </c>
      <c r="H217" s="2435" t="s">
        <v>32</v>
      </c>
      <c r="I217" s="2435" t="s">
        <v>32</v>
      </c>
      <c r="J217" s="2701" t="s">
        <v>32</v>
      </c>
      <c r="K217" s="2435"/>
      <c r="L217" s="2435"/>
      <c r="M217" s="2435" t="s">
        <v>32</v>
      </c>
      <c r="N217" s="2443" t="s">
        <v>32</v>
      </c>
      <c r="O217" s="2443" t="s">
        <v>32</v>
      </c>
      <c r="P217" s="2443" t="s">
        <v>32</v>
      </c>
      <c r="Q217" s="2440" t="s">
        <v>32</v>
      </c>
      <c r="R217" s="2443"/>
      <c r="S217" s="2435"/>
      <c r="T217" s="2435" t="s">
        <v>32</v>
      </c>
      <c r="U217" s="2443" t="s">
        <v>32</v>
      </c>
      <c r="V217" s="2443" t="s">
        <v>32</v>
      </c>
      <c r="W217" s="2443" t="s">
        <v>32</v>
      </c>
      <c r="X217" s="2435" t="s">
        <v>32</v>
      </c>
      <c r="Y217" s="2443"/>
      <c r="Z217" s="2435"/>
      <c r="AA217" s="2435" t="s">
        <v>32</v>
      </c>
      <c r="AB217" s="2435" t="s">
        <v>32</v>
      </c>
      <c r="AC217" s="2435" t="s">
        <v>32</v>
      </c>
      <c r="AD217" s="2443" t="s">
        <v>32</v>
      </c>
      <c r="AE217" s="2443" t="s">
        <v>32</v>
      </c>
      <c r="AF217" s="2443"/>
      <c r="AG217" s="2697"/>
      <c r="AH217" s="181"/>
      <c r="AI217" s="182"/>
    </row>
    <row r="218" spans="1:35" ht="22.35" customHeight="1">
      <c r="A218" s="2698">
        <v>3701</v>
      </c>
      <c r="B218" s="2448" t="s">
        <v>287</v>
      </c>
      <c r="C218" s="2435" t="s">
        <v>32</v>
      </c>
      <c r="D218" s="2435"/>
      <c r="E218" s="2435"/>
      <c r="F218" s="2435" t="s">
        <v>32</v>
      </c>
      <c r="G218" s="2435" t="s">
        <v>32</v>
      </c>
      <c r="H218" s="2435" t="s">
        <v>32</v>
      </c>
      <c r="I218" s="2435" t="s">
        <v>32</v>
      </c>
      <c r="J218" s="2435" t="s">
        <v>32</v>
      </c>
      <c r="K218" s="2435"/>
      <c r="L218" s="2435"/>
      <c r="M218" s="2435" t="s">
        <v>32</v>
      </c>
      <c r="N218" s="2443" t="s">
        <v>32</v>
      </c>
      <c r="O218" s="2443" t="s">
        <v>32</v>
      </c>
      <c r="P218" s="2443" t="s">
        <v>32</v>
      </c>
      <c r="Q218" s="2440" t="s">
        <v>32</v>
      </c>
      <c r="R218" s="2443"/>
      <c r="S218" s="2435"/>
      <c r="T218" s="2701" t="s">
        <v>32</v>
      </c>
      <c r="U218" s="2441" t="s">
        <v>32</v>
      </c>
      <c r="V218" s="2701" t="s">
        <v>32</v>
      </c>
      <c r="W218" s="2701" t="s">
        <v>32</v>
      </c>
      <c r="X218" s="2701" t="s">
        <v>32</v>
      </c>
      <c r="Y218" s="2443"/>
      <c r="Z218" s="2435"/>
      <c r="AA218" s="2435" t="s">
        <v>32</v>
      </c>
      <c r="AB218" s="2435" t="s">
        <v>32</v>
      </c>
      <c r="AC218" s="2435" t="s">
        <v>32</v>
      </c>
      <c r="AD218" s="2443" t="s">
        <v>32</v>
      </c>
      <c r="AE218" s="2443" t="s">
        <v>32</v>
      </c>
      <c r="AF218" s="2443"/>
      <c r="AG218" s="2697"/>
      <c r="AH218" s="181"/>
      <c r="AI218" s="182"/>
    </row>
    <row r="219" spans="1:35" ht="22.35" customHeight="1">
      <c r="A219" s="2702">
        <v>3701</v>
      </c>
      <c r="B219" s="2448" t="s">
        <v>288</v>
      </c>
      <c r="C219" s="2435" t="s">
        <v>32</v>
      </c>
      <c r="D219" s="2435"/>
      <c r="E219" s="2435"/>
      <c r="F219" s="2435" t="s">
        <v>32</v>
      </c>
      <c r="G219" s="2435" t="s">
        <v>32</v>
      </c>
      <c r="H219" s="2435" t="s">
        <v>32</v>
      </c>
      <c r="I219" s="2435" t="s">
        <v>32</v>
      </c>
      <c r="J219" s="2435" t="s">
        <v>32</v>
      </c>
      <c r="K219" s="2435"/>
      <c r="L219" s="2435"/>
      <c r="M219" s="2435" t="s">
        <v>32</v>
      </c>
      <c r="N219" s="2443" t="s">
        <v>32</v>
      </c>
      <c r="O219" s="2443" t="s">
        <v>32</v>
      </c>
      <c r="P219" s="2443" t="s">
        <v>32</v>
      </c>
      <c r="Q219" s="2440" t="s">
        <v>32</v>
      </c>
      <c r="R219" s="2443"/>
      <c r="S219" s="2435"/>
      <c r="T219" s="2703" t="s">
        <v>32</v>
      </c>
      <c r="U219" s="2703" t="s">
        <v>32</v>
      </c>
      <c r="V219" s="2703" t="s">
        <v>32</v>
      </c>
      <c r="W219" s="2703" t="s">
        <v>32</v>
      </c>
      <c r="X219" s="2701" t="s">
        <v>32</v>
      </c>
      <c r="Y219" s="2443"/>
      <c r="Z219" s="2435"/>
      <c r="AA219" s="2435" t="s">
        <v>32</v>
      </c>
      <c r="AB219" s="2701" t="s">
        <v>32</v>
      </c>
      <c r="AC219" s="2435" t="s">
        <v>32</v>
      </c>
      <c r="AD219" s="2443" t="s">
        <v>32</v>
      </c>
      <c r="AE219" s="2443" t="s">
        <v>32</v>
      </c>
      <c r="AF219" s="2443"/>
      <c r="AG219" s="2697"/>
      <c r="AH219" s="181"/>
      <c r="AI219" s="182"/>
    </row>
    <row r="220" spans="1:35" ht="22.35" customHeight="1">
      <c r="A220" s="2698">
        <v>3701</v>
      </c>
      <c r="B220" s="2448" t="s">
        <v>289</v>
      </c>
      <c r="C220" s="2435" t="s">
        <v>32</v>
      </c>
      <c r="D220" s="2435"/>
      <c r="E220" s="2435"/>
      <c r="F220" s="2435" t="s">
        <v>32</v>
      </c>
      <c r="G220" s="2435" t="s">
        <v>32</v>
      </c>
      <c r="H220" s="2435" t="s">
        <v>32</v>
      </c>
      <c r="I220" s="2435" t="s">
        <v>32</v>
      </c>
      <c r="J220" s="2435" t="s">
        <v>32</v>
      </c>
      <c r="K220" s="2435"/>
      <c r="L220" s="2435"/>
      <c r="M220" s="2435" t="s">
        <v>32</v>
      </c>
      <c r="N220" s="2443" t="s">
        <v>32</v>
      </c>
      <c r="O220" s="2443" t="s">
        <v>32</v>
      </c>
      <c r="P220" s="2443" t="s">
        <v>32</v>
      </c>
      <c r="Q220" s="2440" t="s">
        <v>32</v>
      </c>
      <c r="R220" s="2443"/>
      <c r="S220" s="2435"/>
      <c r="T220" s="2441" t="s">
        <v>32</v>
      </c>
      <c r="U220" s="2441" t="s">
        <v>32</v>
      </c>
      <c r="V220" s="2441" t="s">
        <v>32</v>
      </c>
      <c r="W220" s="2441" t="s">
        <v>32</v>
      </c>
      <c r="X220" s="2441" t="s">
        <v>32</v>
      </c>
      <c r="Y220" s="2443"/>
      <c r="Z220" s="2435"/>
      <c r="AA220" s="2435" t="s">
        <v>32</v>
      </c>
      <c r="AB220" s="2435" t="s">
        <v>32</v>
      </c>
      <c r="AC220" s="2435" t="s">
        <v>32</v>
      </c>
      <c r="AD220" s="2443" t="s">
        <v>32</v>
      </c>
      <c r="AE220" s="2443" t="s">
        <v>32</v>
      </c>
      <c r="AF220" s="2443"/>
      <c r="AG220" s="2704"/>
      <c r="AH220" s="181"/>
      <c r="AI220" s="182"/>
    </row>
    <row r="221" spans="1:35" ht="22.35" customHeight="1">
      <c r="A221" s="2698">
        <v>3701</v>
      </c>
      <c r="B221" s="2448" t="s">
        <v>290</v>
      </c>
      <c r="C221" s="2629" t="s">
        <v>32</v>
      </c>
      <c r="D221" s="2629"/>
      <c r="E221" s="2629"/>
      <c r="F221" s="2629" t="s">
        <v>32</v>
      </c>
      <c r="G221" s="2629" t="s">
        <v>32</v>
      </c>
      <c r="H221" s="2629" t="s">
        <v>32</v>
      </c>
      <c r="I221" s="2629" t="s">
        <v>32</v>
      </c>
      <c r="J221" s="2629" t="s">
        <v>32</v>
      </c>
      <c r="K221" s="2629"/>
      <c r="L221" s="2629"/>
      <c r="M221" s="2629" t="s">
        <v>32</v>
      </c>
      <c r="N221" s="2629" t="s">
        <v>32</v>
      </c>
      <c r="O221" s="2629" t="s">
        <v>32</v>
      </c>
      <c r="P221" s="2629" t="s">
        <v>278</v>
      </c>
      <c r="Q221" s="2436" t="s">
        <v>32</v>
      </c>
      <c r="R221" s="2443"/>
      <c r="S221" s="2435"/>
      <c r="T221" s="2696" t="s">
        <v>32</v>
      </c>
      <c r="U221" s="2696" t="s">
        <v>32</v>
      </c>
      <c r="V221" s="2696" t="s">
        <v>32</v>
      </c>
      <c r="W221" s="2696" t="s">
        <v>32</v>
      </c>
      <c r="X221" s="2696" t="s">
        <v>32</v>
      </c>
      <c r="Y221" s="2443"/>
      <c r="Z221" s="2435"/>
      <c r="AA221" s="2441" t="s">
        <v>32</v>
      </c>
      <c r="AB221" s="2441" t="s">
        <v>32</v>
      </c>
      <c r="AC221" s="2441" t="s">
        <v>32</v>
      </c>
      <c r="AD221" s="2441" t="s">
        <v>32</v>
      </c>
      <c r="AE221" s="2441" t="s">
        <v>32</v>
      </c>
      <c r="AF221" s="2443"/>
      <c r="AG221" s="2705"/>
      <c r="AH221" s="181"/>
      <c r="AI221" s="182"/>
    </row>
    <row r="222" spans="1:35" ht="22.35" customHeight="1">
      <c r="A222" s="2698"/>
      <c r="B222" s="2448" t="s">
        <v>291</v>
      </c>
      <c r="C222" s="2435" t="s">
        <v>32</v>
      </c>
      <c r="D222" s="2435"/>
      <c r="E222" s="2435"/>
      <c r="F222" s="2435" t="s">
        <v>32</v>
      </c>
      <c r="G222" s="2435" t="s">
        <v>32</v>
      </c>
      <c r="H222" s="2435" t="s">
        <v>32</v>
      </c>
      <c r="I222" s="2435" t="s">
        <v>32</v>
      </c>
      <c r="J222" s="2435" t="s">
        <v>32</v>
      </c>
      <c r="K222" s="2435"/>
      <c r="L222" s="2435"/>
      <c r="M222" s="2435" t="s">
        <v>32</v>
      </c>
      <c r="N222" s="2443" t="s">
        <v>32</v>
      </c>
      <c r="O222" s="2443" t="s">
        <v>32</v>
      </c>
      <c r="P222" s="2443" t="s">
        <v>32</v>
      </c>
      <c r="Q222" s="2440" t="s">
        <v>32</v>
      </c>
      <c r="R222" s="2443"/>
      <c r="S222" s="2435"/>
      <c r="T222" s="2435" t="s">
        <v>32</v>
      </c>
      <c r="U222" s="2443" t="s">
        <v>32</v>
      </c>
      <c r="V222" s="2443" t="s">
        <v>32</v>
      </c>
      <c r="W222" s="2443" t="s">
        <v>32</v>
      </c>
      <c r="X222" s="2435" t="s">
        <v>32</v>
      </c>
      <c r="Y222" s="2443"/>
      <c r="Z222" s="2435"/>
      <c r="AA222" s="2435" t="s">
        <v>32</v>
      </c>
      <c r="AB222" s="2435" t="s">
        <v>32</v>
      </c>
      <c r="AC222" s="2435" t="s">
        <v>32</v>
      </c>
      <c r="AD222" s="2443" t="s">
        <v>32</v>
      </c>
      <c r="AE222" s="2443" t="s">
        <v>32</v>
      </c>
      <c r="AF222" s="2443"/>
      <c r="AG222" s="2697"/>
      <c r="AH222" s="181"/>
      <c r="AI222" s="182"/>
    </row>
    <row r="223" spans="1:35" ht="22.35" customHeight="1">
      <c r="A223" s="2698"/>
      <c r="B223" s="2448"/>
      <c r="C223" s="2435" t="s">
        <v>32</v>
      </c>
      <c r="D223" s="2435"/>
      <c r="E223" s="2435"/>
      <c r="F223" s="2435" t="s">
        <v>32</v>
      </c>
      <c r="G223" s="2435" t="s">
        <v>32</v>
      </c>
      <c r="H223" s="2435" t="s">
        <v>32</v>
      </c>
      <c r="I223" s="2435" t="s">
        <v>32</v>
      </c>
      <c r="J223" s="2435" t="s">
        <v>32</v>
      </c>
      <c r="K223" s="2435"/>
      <c r="L223" s="2435"/>
      <c r="M223" s="2435" t="s">
        <v>32</v>
      </c>
      <c r="N223" s="2443" t="s">
        <v>32</v>
      </c>
      <c r="O223" s="2443" t="s">
        <v>32</v>
      </c>
      <c r="P223" s="2443" t="s">
        <v>32</v>
      </c>
      <c r="Q223" s="2440" t="s">
        <v>32</v>
      </c>
      <c r="R223" s="2443"/>
      <c r="S223" s="2435"/>
      <c r="T223" s="2435" t="s">
        <v>32</v>
      </c>
      <c r="U223" s="2443" t="s">
        <v>32</v>
      </c>
      <c r="V223" s="2443" t="s">
        <v>32</v>
      </c>
      <c r="W223" s="2443" t="s">
        <v>32</v>
      </c>
      <c r="X223" s="2435" t="s">
        <v>32</v>
      </c>
      <c r="Y223" s="2443"/>
      <c r="Z223" s="2435"/>
      <c r="AA223" s="2435" t="s">
        <v>32</v>
      </c>
      <c r="AB223" s="2435" t="s">
        <v>32</v>
      </c>
      <c r="AC223" s="2435" t="s">
        <v>32</v>
      </c>
      <c r="AD223" s="2435" t="s">
        <v>32</v>
      </c>
      <c r="AE223" s="2447" t="s">
        <v>32</v>
      </c>
      <c r="AF223" s="2435"/>
      <c r="AG223" s="2697"/>
      <c r="AH223" s="181"/>
      <c r="AI223" s="182"/>
    </row>
    <row r="224" spans="1:35" ht="22.35" customHeight="1">
      <c r="A224" s="2698"/>
      <c r="B224" s="2700" t="s">
        <v>293</v>
      </c>
      <c r="C224" s="2435" t="s">
        <v>32</v>
      </c>
      <c r="D224" s="2435"/>
      <c r="E224" s="2435"/>
      <c r="F224" s="2435" t="s">
        <v>32</v>
      </c>
      <c r="G224" s="2435" t="s">
        <v>32</v>
      </c>
      <c r="H224" s="2435" t="s">
        <v>32</v>
      </c>
      <c r="I224" s="2435" t="s">
        <v>32</v>
      </c>
      <c r="J224" s="2435" t="s">
        <v>32</v>
      </c>
      <c r="K224" s="2435"/>
      <c r="L224" s="2435"/>
      <c r="M224" s="2435" t="s">
        <v>32</v>
      </c>
      <c r="N224" s="2443" t="s">
        <v>32</v>
      </c>
      <c r="O224" s="2443" t="s">
        <v>32</v>
      </c>
      <c r="P224" s="2443" t="s">
        <v>32</v>
      </c>
      <c r="Q224" s="2440" t="s">
        <v>32</v>
      </c>
      <c r="R224" s="2443"/>
      <c r="S224" s="2435"/>
      <c r="T224" s="2435" t="s">
        <v>32</v>
      </c>
      <c r="U224" s="2443" t="s">
        <v>32</v>
      </c>
      <c r="V224" s="2443" t="s">
        <v>32</v>
      </c>
      <c r="W224" s="2443" t="s">
        <v>32</v>
      </c>
      <c r="X224" s="2435" t="s">
        <v>32</v>
      </c>
      <c r="Y224" s="2443"/>
      <c r="Z224" s="2435"/>
      <c r="AA224" s="2435" t="s">
        <v>32</v>
      </c>
      <c r="AB224" s="2435" t="s">
        <v>32</v>
      </c>
      <c r="AC224" s="2435" t="s">
        <v>32</v>
      </c>
      <c r="AD224" s="2435" t="s">
        <v>32</v>
      </c>
      <c r="AE224" s="2435" t="s">
        <v>32</v>
      </c>
      <c r="AF224" s="2435"/>
      <c r="AG224" s="2697"/>
      <c r="AH224" s="181"/>
      <c r="AI224" s="182"/>
    </row>
    <row r="225" spans="1:35" ht="22.35" customHeight="1">
      <c r="A225" s="2698"/>
      <c r="B225" s="2448" t="s">
        <v>294</v>
      </c>
      <c r="C225" s="2435" t="s">
        <v>32</v>
      </c>
      <c r="D225" s="2435"/>
      <c r="E225" s="2435"/>
      <c r="F225" s="2435" t="s">
        <v>32</v>
      </c>
      <c r="G225" s="2435" t="s">
        <v>32</v>
      </c>
      <c r="H225" s="2435" t="s">
        <v>32</v>
      </c>
      <c r="I225" s="2435" t="s">
        <v>32</v>
      </c>
      <c r="J225" s="2435" t="s">
        <v>32</v>
      </c>
      <c r="K225" s="2435"/>
      <c r="L225" s="2435"/>
      <c r="M225" s="2435" t="s">
        <v>32</v>
      </c>
      <c r="N225" s="2443" t="s">
        <v>32</v>
      </c>
      <c r="O225" s="2443" t="s">
        <v>32</v>
      </c>
      <c r="P225" s="2443" t="s">
        <v>32</v>
      </c>
      <c r="Q225" s="2440" t="s">
        <v>32</v>
      </c>
      <c r="R225" s="2443"/>
      <c r="S225" s="2435"/>
      <c r="T225" s="2435" t="s">
        <v>32</v>
      </c>
      <c r="U225" s="2443" t="s">
        <v>32</v>
      </c>
      <c r="V225" s="2443" t="s">
        <v>32</v>
      </c>
      <c r="W225" s="2443" t="s">
        <v>32</v>
      </c>
      <c r="X225" s="2435" t="s">
        <v>32</v>
      </c>
      <c r="Y225" s="2443"/>
      <c r="Z225" s="2435"/>
      <c r="AA225" s="2435" t="s">
        <v>32</v>
      </c>
      <c r="AB225" s="2435" t="s">
        <v>32</v>
      </c>
      <c r="AC225" s="2435" t="s">
        <v>32</v>
      </c>
      <c r="AD225" s="2435" t="s">
        <v>32</v>
      </c>
      <c r="AE225" s="2435" t="s">
        <v>32</v>
      </c>
      <c r="AF225" s="2435"/>
      <c r="AG225" s="2697"/>
      <c r="AH225" s="181"/>
      <c r="AI225" s="182"/>
    </row>
    <row r="226" spans="1:35" ht="22.35" customHeight="1">
      <c r="A226" s="2698"/>
      <c r="B226" s="2448" t="s">
        <v>295</v>
      </c>
      <c r="C226" s="2628" t="s">
        <v>32</v>
      </c>
      <c r="D226" s="2628"/>
      <c r="E226" s="2628"/>
      <c r="F226" s="2435" t="s">
        <v>32</v>
      </c>
      <c r="G226" s="2435" t="s">
        <v>32</v>
      </c>
      <c r="H226" s="2435" t="s">
        <v>32</v>
      </c>
      <c r="I226" s="2435" t="s">
        <v>32</v>
      </c>
      <c r="J226" s="2435" t="s">
        <v>32</v>
      </c>
      <c r="K226" s="2435"/>
      <c r="L226" s="2435"/>
      <c r="M226" s="2435" t="s">
        <v>32</v>
      </c>
      <c r="N226" s="2443" t="s">
        <v>32</v>
      </c>
      <c r="O226" s="2443" t="s">
        <v>32</v>
      </c>
      <c r="P226" s="2443" t="s">
        <v>32</v>
      </c>
      <c r="Q226" s="2440" t="s">
        <v>32</v>
      </c>
      <c r="R226" s="2443"/>
      <c r="S226" s="2435"/>
      <c r="T226" s="2435" t="s">
        <v>32</v>
      </c>
      <c r="U226" s="2443" t="s">
        <v>32</v>
      </c>
      <c r="V226" s="2443" t="s">
        <v>32</v>
      </c>
      <c r="W226" s="2443" t="s">
        <v>32</v>
      </c>
      <c r="X226" s="2435" t="s">
        <v>32</v>
      </c>
      <c r="Y226" s="2443"/>
      <c r="Z226" s="2435"/>
      <c r="AA226" s="2629" t="s">
        <v>32</v>
      </c>
      <c r="AB226" s="2629" t="s">
        <v>32</v>
      </c>
      <c r="AC226" s="2629" t="s">
        <v>32</v>
      </c>
      <c r="AD226" s="2629" t="s">
        <v>32</v>
      </c>
      <c r="AE226" s="2629" t="s">
        <v>278</v>
      </c>
      <c r="AF226" s="2443"/>
      <c r="AG226" s="2704"/>
      <c r="AH226" s="181"/>
      <c r="AI226" s="182"/>
    </row>
    <row r="227" spans="1:35" ht="22.35" customHeight="1">
      <c r="A227" s="2698"/>
      <c r="B227" s="2448" t="s">
        <v>296</v>
      </c>
      <c r="C227" s="2435" t="s">
        <v>32</v>
      </c>
      <c r="D227" s="2435"/>
      <c r="E227" s="2435"/>
      <c r="F227" s="2435" t="s">
        <v>32</v>
      </c>
      <c r="G227" s="2629" t="s">
        <v>32</v>
      </c>
      <c r="H227" s="2629" t="s">
        <v>32</v>
      </c>
      <c r="I227" s="2629" t="s">
        <v>32</v>
      </c>
      <c r="J227" s="2629" t="s">
        <v>278</v>
      </c>
      <c r="K227" s="2436"/>
      <c r="L227" s="2436"/>
      <c r="M227" s="2436" t="s">
        <v>32</v>
      </c>
      <c r="N227" s="2436" t="s">
        <v>32</v>
      </c>
      <c r="O227" s="2436" t="s">
        <v>32</v>
      </c>
      <c r="P227" s="2436" t="s">
        <v>32</v>
      </c>
      <c r="Q227" s="2436" t="s">
        <v>32</v>
      </c>
      <c r="R227" s="2443"/>
      <c r="S227" s="2435"/>
      <c r="T227" s="2435" t="s">
        <v>32</v>
      </c>
      <c r="U227" s="2443" t="s">
        <v>32</v>
      </c>
      <c r="V227" s="2443" t="s">
        <v>32</v>
      </c>
      <c r="W227" s="2441" t="s">
        <v>32</v>
      </c>
      <c r="X227" s="2441" t="s">
        <v>32</v>
      </c>
      <c r="Y227" s="2443"/>
      <c r="Z227" s="2435"/>
      <c r="AA227" s="2435" t="s">
        <v>32</v>
      </c>
      <c r="AB227" s="2435" t="s">
        <v>32</v>
      </c>
      <c r="AC227" s="2435" t="s">
        <v>32</v>
      </c>
      <c r="AD227" s="2443" t="s">
        <v>32</v>
      </c>
      <c r="AE227" s="2443" t="s">
        <v>32</v>
      </c>
      <c r="AF227" s="2443"/>
      <c r="AG227" s="2697"/>
      <c r="AH227" s="178"/>
      <c r="AI227" s="107"/>
    </row>
    <row r="228" spans="1:35" ht="22.35" customHeight="1">
      <c r="A228" s="2698"/>
      <c r="B228" s="2448" t="s">
        <v>297</v>
      </c>
      <c r="C228" s="2435" t="s">
        <v>32</v>
      </c>
      <c r="D228" s="2435"/>
      <c r="E228" s="2435"/>
      <c r="F228" s="2435" t="s">
        <v>32</v>
      </c>
      <c r="G228" s="2629" t="s">
        <v>32</v>
      </c>
      <c r="H228" s="2629" t="s">
        <v>32</v>
      </c>
      <c r="I228" s="2629" t="s">
        <v>32</v>
      </c>
      <c r="J228" s="2629" t="s">
        <v>32</v>
      </c>
      <c r="K228" s="2629"/>
      <c r="L228" s="2629"/>
      <c r="M228" s="2629" t="s">
        <v>278</v>
      </c>
      <c r="N228" s="2436" t="s">
        <v>32</v>
      </c>
      <c r="O228" s="2436" t="s">
        <v>32</v>
      </c>
      <c r="P228" s="2436" t="s">
        <v>32</v>
      </c>
      <c r="Q228" s="2440" t="s">
        <v>32</v>
      </c>
      <c r="R228" s="2443"/>
      <c r="S228" s="2435"/>
      <c r="T228" s="2441" t="s">
        <v>32</v>
      </c>
      <c r="U228" s="2441" t="s">
        <v>32</v>
      </c>
      <c r="V228" s="2441" t="s">
        <v>32</v>
      </c>
      <c r="W228" s="2441" t="s">
        <v>32</v>
      </c>
      <c r="X228" s="2441" t="s">
        <v>32</v>
      </c>
      <c r="Y228" s="2443"/>
      <c r="Z228" s="2435"/>
      <c r="AA228" s="2435" t="s">
        <v>32</v>
      </c>
      <c r="AB228" s="2435" t="s">
        <v>32</v>
      </c>
      <c r="AC228" s="2435" t="s">
        <v>32</v>
      </c>
      <c r="AD228" s="2443" t="s">
        <v>32</v>
      </c>
      <c r="AE228" s="2443" t="s">
        <v>32</v>
      </c>
      <c r="AF228" s="2443"/>
      <c r="AG228" s="2697"/>
      <c r="AH228" s="178"/>
      <c r="AI228" s="107"/>
    </row>
    <row r="229" spans="1:35" ht="22.35" customHeight="1">
      <c r="A229" s="2436"/>
      <c r="B229" s="2706" t="s">
        <v>388</v>
      </c>
      <c r="C229" s="2435"/>
      <c r="D229" s="2435"/>
      <c r="E229" s="2435"/>
      <c r="F229" s="2435"/>
      <c r="G229" s="2435"/>
      <c r="H229" s="2435"/>
      <c r="I229" s="2435"/>
      <c r="J229" s="2435"/>
      <c r="K229" s="2435"/>
      <c r="L229" s="2435"/>
      <c r="M229" s="2435"/>
      <c r="N229" s="2435"/>
      <c r="O229" s="2435"/>
      <c r="P229" s="2435"/>
      <c r="Q229" s="2435"/>
      <c r="R229" s="2435"/>
      <c r="S229" s="2435"/>
      <c r="T229" s="2435"/>
      <c r="U229" s="2435"/>
      <c r="V229" s="2435"/>
      <c r="W229" s="2435"/>
      <c r="X229" s="2435"/>
      <c r="Y229" s="2435"/>
      <c r="Z229" s="2435"/>
      <c r="AA229" s="2435"/>
      <c r="AB229" s="2435"/>
      <c r="AC229" s="2435"/>
      <c r="AD229" s="2435"/>
      <c r="AE229" s="2435"/>
      <c r="AF229" s="2435"/>
      <c r="AG229" s="2697"/>
      <c r="AH229" s="178"/>
      <c r="AI229" s="107"/>
    </row>
    <row r="230" spans="1:35" ht="22.35" customHeight="1">
      <c r="A230" s="2436"/>
      <c r="B230" s="2448" t="s">
        <v>389</v>
      </c>
      <c r="C230" s="2707" t="s">
        <v>125</v>
      </c>
      <c r="D230" s="2707"/>
      <c r="E230" s="2707"/>
      <c r="F230" s="2629" t="s">
        <v>278</v>
      </c>
      <c r="G230" s="2707" t="s">
        <v>32</v>
      </c>
      <c r="H230" s="2707" t="s">
        <v>32</v>
      </c>
      <c r="I230" s="2707" t="s">
        <v>32</v>
      </c>
      <c r="J230" s="2707" t="s">
        <v>32</v>
      </c>
      <c r="K230" s="2707"/>
      <c r="L230" s="2707"/>
      <c r="M230" s="2708" t="s">
        <v>32</v>
      </c>
      <c r="N230" s="2708" t="s">
        <v>32</v>
      </c>
      <c r="O230" s="2707" t="s">
        <v>32</v>
      </c>
      <c r="P230" s="2707" t="s">
        <v>32</v>
      </c>
      <c r="Q230" s="2707" t="s">
        <v>32</v>
      </c>
      <c r="R230" s="2707"/>
      <c r="S230" s="2707"/>
      <c r="T230" s="2707" t="s">
        <v>32</v>
      </c>
      <c r="U230" s="2707" t="s">
        <v>32</v>
      </c>
      <c r="V230" s="2707" t="s">
        <v>32</v>
      </c>
      <c r="W230" s="2707" t="s">
        <v>32</v>
      </c>
      <c r="X230" s="2707" t="s">
        <v>32</v>
      </c>
      <c r="Y230" s="2707"/>
      <c r="Z230" s="2707"/>
      <c r="AA230" s="2707" t="s">
        <v>32</v>
      </c>
      <c r="AB230" s="2707" t="s">
        <v>32</v>
      </c>
      <c r="AC230" s="2707" t="s">
        <v>32</v>
      </c>
      <c r="AD230" s="2707" t="s">
        <v>32</v>
      </c>
      <c r="AE230" s="2707" t="s">
        <v>32</v>
      </c>
      <c r="AF230" s="2435"/>
      <c r="AG230" s="2709"/>
      <c r="AH230" s="178"/>
      <c r="AI230" s="107"/>
    </row>
    <row r="231" spans="1:35" ht="22.35" customHeight="1">
      <c r="A231" s="2436"/>
      <c r="B231" s="2436"/>
      <c r="C231" s="2435"/>
      <c r="D231" s="2435"/>
      <c r="E231" s="2435"/>
      <c r="F231" s="2435"/>
      <c r="G231" s="2435"/>
      <c r="H231" s="2435"/>
      <c r="I231" s="2435"/>
      <c r="J231" s="2435"/>
      <c r="K231" s="2435"/>
      <c r="L231" s="2435"/>
      <c r="M231" s="2435"/>
      <c r="N231" s="2435"/>
      <c r="O231" s="2435"/>
      <c r="P231" s="2435"/>
      <c r="Q231" s="2435"/>
      <c r="R231" s="2435"/>
      <c r="S231" s="2435"/>
      <c r="T231" s="2435"/>
      <c r="U231" s="2435"/>
      <c r="V231" s="2435"/>
      <c r="W231" s="2435"/>
      <c r="X231" s="2435"/>
      <c r="Y231" s="2435"/>
      <c r="Z231" s="2435"/>
      <c r="AA231" s="2435"/>
      <c r="AB231" s="2435"/>
      <c r="AC231" s="2435"/>
      <c r="AD231" s="2435"/>
      <c r="AE231" s="2435"/>
      <c r="AF231" s="2435"/>
      <c r="AG231" s="2697"/>
      <c r="AH231" s="178"/>
      <c r="AI231" s="107"/>
    </row>
    <row r="232" spans="1:35" ht="22.35" customHeight="1">
      <c r="A232" s="2436"/>
      <c r="B232" s="2436"/>
      <c r="C232" s="2435"/>
      <c r="D232" s="2435"/>
      <c r="E232" s="2435"/>
      <c r="F232" s="2435"/>
      <c r="G232" s="2435"/>
      <c r="H232" s="2710"/>
      <c r="I232" s="2435"/>
      <c r="J232" s="2435"/>
      <c r="K232" s="2435"/>
      <c r="L232" s="2435"/>
      <c r="M232" s="2435"/>
      <c r="N232" s="2435"/>
      <c r="O232" s="2435"/>
      <c r="P232" s="2435"/>
      <c r="Q232" s="2435"/>
      <c r="R232" s="2435"/>
      <c r="S232" s="2435"/>
      <c r="T232" s="2435"/>
      <c r="U232" s="2435"/>
      <c r="V232" s="2435"/>
      <c r="W232" s="2435"/>
      <c r="X232" s="2435"/>
      <c r="Y232" s="2435"/>
      <c r="Z232" s="2435"/>
      <c r="AA232" s="2435"/>
      <c r="AB232" s="2435"/>
      <c r="AC232" s="2435"/>
      <c r="AD232" s="2435"/>
      <c r="AE232" s="2435"/>
      <c r="AF232" s="2435"/>
      <c r="AG232" s="2709"/>
      <c r="AH232" s="178"/>
      <c r="AI232" s="107"/>
    </row>
    <row r="233" spans="1:35" ht="22.35" customHeight="1">
      <c r="A233" s="2698"/>
      <c r="B233" s="2711"/>
      <c r="C233" s="2435"/>
      <c r="D233" s="2435"/>
      <c r="E233" s="2435"/>
      <c r="F233" s="2435"/>
      <c r="G233" s="2435"/>
      <c r="H233" s="2435"/>
      <c r="I233" s="2435"/>
      <c r="J233" s="2435"/>
      <c r="K233" s="2435"/>
      <c r="L233" s="2435"/>
      <c r="M233" s="2435"/>
      <c r="N233" s="2435"/>
      <c r="O233" s="2435"/>
      <c r="P233" s="2435"/>
      <c r="Q233" s="2435"/>
      <c r="R233" s="2435"/>
      <c r="S233" s="2435"/>
      <c r="T233" s="2435"/>
      <c r="U233" s="2435"/>
      <c r="V233" s="2435"/>
      <c r="W233" s="2435"/>
      <c r="X233" s="2435"/>
      <c r="Y233" s="2435"/>
      <c r="Z233" s="2435"/>
      <c r="AA233" s="2435"/>
      <c r="AB233" s="2435"/>
      <c r="AC233" s="2435"/>
      <c r="AD233" s="2435"/>
      <c r="AE233" s="2435"/>
      <c r="AF233" s="2435"/>
      <c r="AG233" s="2709"/>
      <c r="AH233" s="178"/>
      <c r="AI233" s="107"/>
    </row>
    <row r="234" spans="1:35" ht="22.35" customHeight="1">
      <c r="A234" s="2698"/>
      <c r="B234" s="2712"/>
      <c r="C234" s="2435"/>
      <c r="D234" s="2435"/>
      <c r="E234" s="2435"/>
      <c r="F234" s="2435"/>
      <c r="G234" s="2435"/>
      <c r="H234" s="2435"/>
      <c r="I234" s="2435"/>
      <c r="J234" s="2435"/>
      <c r="K234" s="2435"/>
      <c r="L234" s="2435"/>
      <c r="M234" s="2435"/>
      <c r="N234" s="2435"/>
      <c r="O234" s="2435"/>
      <c r="P234" s="2435"/>
      <c r="Q234" s="2435"/>
      <c r="R234" s="2435"/>
      <c r="S234" s="2435"/>
      <c r="T234" s="2435"/>
      <c r="U234" s="2435"/>
      <c r="V234" s="2435"/>
      <c r="W234" s="2435"/>
      <c r="X234" s="2435"/>
      <c r="Y234" s="2435"/>
      <c r="Z234" s="2435"/>
      <c r="AA234" s="2435"/>
      <c r="AB234" s="2435"/>
      <c r="AC234" s="2435"/>
      <c r="AD234" s="2435"/>
      <c r="AE234" s="2435"/>
      <c r="AF234" s="2435"/>
      <c r="AG234" s="2709"/>
      <c r="AH234" s="178"/>
      <c r="AI234" s="107"/>
    </row>
    <row r="235" spans="1:35" ht="22.35" customHeight="1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>
      <c r="A239" s="161" t="s">
        <v>298</v>
      </c>
    </row>
    <row r="240" spans="1:35" ht="21" customHeight="1">
      <c r="B240" s="396" t="s">
        <v>266</v>
      </c>
      <c r="C240" s="368"/>
      <c r="D240" s="384" t="s">
        <v>94</v>
      </c>
      <c r="E240" s="357"/>
      <c r="F240" s="372"/>
      <c r="G240" s="368"/>
      <c r="H240" s="384" t="s">
        <v>95</v>
      </c>
      <c r="I240" s="357"/>
      <c r="J240" s="372"/>
      <c r="K240" s="368"/>
      <c r="L240" s="384" t="s">
        <v>96</v>
      </c>
      <c r="M240" s="357"/>
      <c r="N240" s="372"/>
      <c r="O240" s="368"/>
      <c r="P240" s="384" t="s">
        <v>97</v>
      </c>
      <c r="Q240" s="357"/>
      <c r="R240" s="372"/>
      <c r="S240" s="368"/>
      <c r="T240" s="384" t="s">
        <v>98</v>
      </c>
      <c r="U240" s="357"/>
      <c r="V240" s="372"/>
      <c r="W240" s="368"/>
      <c r="X240" s="384" t="s">
        <v>99</v>
      </c>
      <c r="Y240" s="357"/>
      <c r="Z240" s="372"/>
      <c r="AA240" s="368"/>
      <c r="AB240" s="384" t="s">
        <v>100</v>
      </c>
      <c r="AC240" s="357"/>
      <c r="AD240" s="357"/>
      <c r="AE240" s="387" t="s">
        <v>101</v>
      </c>
      <c r="AF240" s="357"/>
      <c r="AG240" s="357"/>
      <c r="AH240" s="357"/>
      <c r="AI240" s="358"/>
    </row>
    <row r="241" spans="1:35" ht="21" customHeight="1">
      <c r="B241" s="3"/>
      <c r="C241" s="537" t="s">
        <v>299</v>
      </c>
      <c r="D241" s="117"/>
      <c r="E241" s="533"/>
      <c r="F241" s="534"/>
      <c r="G241" s="537" t="s">
        <v>299</v>
      </c>
      <c r="H241" s="117"/>
      <c r="I241" s="533"/>
      <c r="J241" s="534"/>
      <c r="K241" s="537" t="s">
        <v>299</v>
      </c>
      <c r="L241" s="117"/>
      <c r="M241" s="533"/>
      <c r="N241" s="534"/>
      <c r="O241" s="537" t="s">
        <v>299</v>
      </c>
      <c r="P241" s="532"/>
      <c r="Q241" s="533"/>
      <c r="R241" s="534"/>
      <c r="S241" s="538" t="s">
        <v>300</v>
      </c>
      <c r="T241" s="117"/>
      <c r="U241" s="533"/>
      <c r="V241" s="534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>
      <c r="A242" s="110"/>
      <c r="B242" s="2713"/>
      <c r="C242" s="2635" t="s">
        <v>178</v>
      </c>
      <c r="D242" s="2714"/>
      <c r="E242" s="533"/>
      <c r="F242" s="534"/>
      <c r="G242" s="2635" t="s">
        <v>178</v>
      </c>
      <c r="H242" s="117"/>
      <c r="I242" s="533"/>
      <c r="J242" s="534"/>
      <c r="K242" s="2635" t="s">
        <v>178</v>
      </c>
      <c r="L242" s="117"/>
      <c r="M242" s="533"/>
      <c r="N242" s="534"/>
      <c r="O242" s="2635" t="s">
        <v>178</v>
      </c>
      <c r="P242" s="117"/>
      <c r="Q242" s="533"/>
      <c r="R242" s="534"/>
      <c r="S242" s="537" t="s">
        <v>301</v>
      </c>
      <c r="T242" s="117"/>
      <c r="U242" s="533"/>
      <c r="V242" s="534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>
      <c r="B243" s="2713"/>
      <c r="C243" s="2635" t="s">
        <v>181</v>
      </c>
      <c r="D243" s="2714"/>
      <c r="E243" s="533"/>
      <c r="F243" s="534"/>
      <c r="G243" s="2635" t="s">
        <v>181</v>
      </c>
      <c r="H243" s="117"/>
      <c r="I243" s="533"/>
      <c r="J243" s="534"/>
      <c r="K243" s="2635" t="s">
        <v>181</v>
      </c>
      <c r="L243" s="117"/>
      <c r="M243" s="533"/>
      <c r="N243" s="534"/>
      <c r="O243" s="2635" t="s">
        <v>181</v>
      </c>
      <c r="P243" s="117"/>
      <c r="Q243" s="533"/>
      <c r="R243" s="534"/>
      <c r="S243" s="2635" t="s">
        <v>176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2713"/>
      <c r="C244" s="2513"/>
      <c r="D244" s="2514"/>
      <c r="E244" s="165"/>
      <c r="F244" s="167"/>
      <c r="G244" s="2513"/>
      <c r="H244" s="2514"/>
      <c r="I244" s="165"/>
      <c r="J244" s="167"/>
      <c r="K244" s="2513"/>
      <c r="L244" s="2514"/>
      <c r="M244" s="165"/>
      <c r="N244" s="167"/>
      <c r="O244" s="2513"/>
      <c r="P244" s="2514"/>
      <c r="Q244" s="165"/>
      <c r="R244" s="167"/>
      <c r="S244" s="2513"/>
      <c r="T244" s="2514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2713"/>
      <c r="C245" s="2591"/>
      <c r="D245" s="2514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2713" t="s">
        <v>148</v>
      </c>
      <c r="C246" s="2591" t="s">
        <v>302</v>
      </c>
      <c r="D246" s="2714"/>
      <c r="E246" s="533"/>
      <c r="F246" s="534"/>
      <c r="G246" s="2591" t="s">
        <v>302</v>
      </c>
      <c r="H246" s="2714"/>
      <c r="I246" s="533"/>
      <c r="J246" s="534"/>
      <c r="K246" s="2591" t="s">
        <v>302</v>
      </c>
      <c r="L246" s="2714"/>
      <c r="M246" s="533"/>
      <c r="N246" s="534"/>
      <c r="O246" s="2591" t="s">
        <v>302</v>
      </c>
      <c r="P246" s="2714"/>
      <c r="Q246" s="533"/>
      <c r="R246" s="534"/>
      <c r="S246" s="117" t="s">
        <v>303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2713" t="s">
        <v>152</v>
      </c>
      <c r="C247" s="2591" t="s">
        <v>304</v>
      </c>
      <c r="D247" s="2714"/>
      <c r="E247" s="533"/>
      <c r="F247" s="534"/>
      <c r="G247" s="2591" t="s">
        <v>304</v>
      </c>
      <c r="H247" s="2714"/>
      <c r="I247" s="533"/>
      <c r="J247" s="534"/>
      <c r="K247" s="2591" t="s">
        <v>304</v>
      </c>
      <c r="L247" s="2714"/>
      <c r="M247" s="533"/>
      <c r="N247" s="534"/>
      <c r="O247" s="2591" t="s">
        <v>304</v>
      </c>
      <c r="P247" s="2714"/>
      <c r="Q247" s="533"/>
      <c r="R247" s="534"/>
      <c r="S247" s="117" t="s">
        <v>305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>
      <c r="B248" s="2715" t="s">
        <v>159</v>
      </c>
      <c r="C248" s="2604" t="s">
        <v>306</v>
      </c>
      <c r="D248" s="2716"/>
      <c r="E248" s="535"/>
      <c r="F248" s="536"/>
      <c r="G248" s="2604" t="s">
        <v>306</v>
      </c>
      <c r="H248" s="2716"/>
      <c r="I248" s="535"/>
      <c r="J248" s="536"/>
      <c r="K248" s="2604" t="s">
        <v>306</v>
      </c>
      <c r="L248" s="2716"/>
      <c r="M248" s="535"/>
      <c r="N248" s="536"/>
      <c r="O248" s="2604" t="s">
        <v>306</v>
      </c>
      <c r="P248" s="2716"/>
      <c r="Q248" s="535"/>
      <c r="R248" s="536"/>
      <c r="S248" s="456" t="s">
        <v>307</v>
      </c>
      <c r="T248" s="456"/>
      <c r="U248" s="535"/>
      <c r="V248" s="536"/>
      <c r="W248" s="517"/>
      <c r="X248" s="456"/>
      <c r="Y248" s="518"/>
      <c r="Z248" s="519"/>
      <c r="AA248" s="520"/>
      <c r="AB248" s="456"/>
      <c r="AC248" s="518"/>
      <c r="AD248" s="518"/>
      <c r="AE248" s="521"/>
      <c r="AF248" s="518"/>
      <c r="AG248" s="516"/>
      <c r="AH248" s="516"/>
      <c r="AI248" s="453"/>
    </row>
    <row r="249" spans="1:35" ht="21" customHeight="1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>
      <c r="A250" s="123" t="s">
        <v>308</v>
      </c>
    </row>
    <row r="251" spans="1:35" ht="21" customHeight="1" thickBot="1">
      <c r="A251" s="2562"/>
      <c r="B251" s="2406" t="s">
        <v>29</v>
      </c>
      <c r="C251" s="2407">
        <v>1</v>
      </c>
      <c r="D251" s="2408">
        <v>2</v>
      </c>
      <c r="E251" s="2408">
        <v>3</v>
      </c>
      <c r="F251" s="2407">
        <v>4</v>
      </c>
      <c r="G251" s="2407">
        <v>5</v>
      </c>
      <c r="H251" s="2407">
        <v>6</v>
      </c>
      <c r="I251" s="2407">
        <v>7</v>
      </c>
      <c r="J251" s="2407">
        <v>8</v>
      </c>
      <c r="K251" s="2408">
        <v>9</v>
      </c>
      <c r="L251" s="2408">
        <v>10</v>
      </c>
      <c r="M251" s="2407">
        <v>11</v>
      </c>
      <c r="N251" s="2407">
        <v>12</v>
      </c>
      <c r="O251" s="2407">
        <v>13</v>
      </c>
      <c r="P251" s="2407">
        <v>14</v>
      </c>
      <c r="Q251" s="2407">
        <v>15</v>
      </c>
      <c r="R251" s="2408">
        <v>16</v>
      </c>
      <c r="S251" s="2408">
        <v>17</v>
      </c>
      <c r="T251" s="2407">
        <v>18</v>
      </c>
      <c r="U251" s="2407">
        <v>19</v>
      </c>
      <c r="V251" s="2407">
        <v>20</v>
      </c>
      <c r="W251" s="2407">
        <v>21</v>
      </c>
      <c r="X251" s="2407">
        <v>22</v>
      </c>
      <c r="Y251" s="2408">
        <v>23</v>
      </c>
      <c r="Z251" s="2408">
        <v>24</v>
      </c>
      <c r="AA251" s="2407">
        <v>25</v>
      </c>
      <c r="AB251" s="2407">
        <v>26</v>
      </c>
      <c r="AC251" s="2407">
        <v>27</v>
      </c>
      <c r="AD251" s="2407">
        <v>28</v>
      </c>
      <c r="AE251" s="2407">
        <v>29</v>
      </c>
      <c r="AF251" s="2408">
        <v>30</v>
      </c>
      <c r="AG251" s="2409">
        <v>31</v>
      </c>
      <c r="AH251" s="176"/>
      <c r="AI251" s="177"/>
    </row>
    <row r="252" spans="1:35" ht="21" customHeight="1">
      <c r="A252" s="2717">
        <v>3702</v>
      </c>
      <c r="B252" s="175" t="s">
        <v>309</v>
      </c>
      <c r="C252" s="2435" t="s">
        <v>32</v>
      </c>
      <c r="D252" s="2435"/>
      <c r="E252" s="2435"/>
      <c r="F252" s="2435" t="s">
        <v>32</v>
      </c>
      <c r="G252" s="2435" t="s">
        <v>32</v>
      </c>
      <c r="H252" s="2435" t="s">
        <v>32</v>
      </c>
      <c r="I252" s="2435" t="s">
        <v>32</v>
      </c>
      <c r="J252" s="2435" t="s">
        <v>32</v>
      </c>
      <c r="K252" s="2435"/>
      <c r="L252" s="2435"/>
      <c r="M252" s="2435" t="s">
        <v>32</v>
      </c>
      <c r="N252" s="2443" t="s">
        <v>32</v>
      </c>
      <c r="O252" s="2443" t="s">
        <v>32</v>
      </c>
      <c r="P252" s="2443" t="s">
        <v>32</v>
      </c>
      <c r="Q252" s="2440" t="s">
        <v>32</v>
      </c>
      <c r="R252" s="2443"/>
      <c r="S252" s="2435"/>
      <c r="T252" s="2435" t="s">
        <v>32</v>
      </c>
      <c r="U252" s="2443" t="s">
        <v>32</v>
      </c>
      <c r="V252" s="2443" t="s">
        <v>32</v>
      </c>
      <c r="W252" s="2443" t="s">
        <v>32</v>
      </c>
      <c r="X252" s="2435" t="s">
        <v>32</v>
      </c>
      <c r="Y252" s="2443"/>
      <c r="Z252" s="2435"/>
      <c r="AA252" s="2435" t="s">
        <v>32</v>
      </c>
      <c r="AB252" s="2435" t="s">
        <v>32</v>
      </c>
      <c r="AC252" s="2435" t="s">
        <v>32</v>
      </c>
      <c r="AD252" s="2435" t="s">
        <v>32</v>
      </c>
      <c r="AE252" s="2435" t="s">
        <v>32</v>
      </c>
      <c r="AF252" s="2435"/>
      <c r="AG252" s="362"/>
      <c r="AH252" s="181"/>
      <c r="AI252" s="182"/>
    </row>
    <row r="253" spans="1:35" ht="21" customHeight="1">
      <c r="A253" s="2414"/>
      <c r="B253" s="2579" t="s">
        <v>310</v>
      </c>
      <c r="C253" s="2435" t="s">
        <v>32</v>
      </c>
      <c r="D253" s="2435"/>
      <c r="E253" s="2435"/>
      <c r="F253" s="2435" t="s">
        <v>32</v>
      </c>
      <c r="G253" s="2435" t="s">
        <v>32</v>
      </c>
      <c r="H253" s="2435" t="s">
        <v>32</v>
      </c>
      <c r="I253" s="2435" t="s">
        <v>32</v>
      </c>
      <c r="J253" s="2435" t="s">
        <v>32</v>
      </c>
      <c r="K253" s="2435"/>
      <c r="L253" s="2435"/>
      <c r="M253" s="2435" t="s">
        <v>32</v>
      </c>
      <c r="N253" s="2443" t="s">
        <v>32</v>
      </c>
      <c r="O253" s="2443" t="s">
        <v>32</v>
      </c>
      <c r="P253" s="2443" t="s">
        <v>32</v>
      </c>
      <c r="Q253" s="2440" t="s">
        <v>32</v>
      </c>
      <c r="R253" s="2443"/>
      <c r="S253" s="2435"/>
      <c r="T253" s="2435" t="s">
        <v>32</v>
      </c>
      <c r="U253" s="2443" t="s">
        <v>32</v>
      </c>
      <c r="V253" s="2443" t="s">
        <v>32</v>
      </c>
      <c r="W253" s="2443" t="s">
        <v>32</v>
      </c>
      <c r="X253" s="2435" t="s">
        <v>32</v>
      </c>
      <c r="Y253" s="2443"/>
      <c r="Z253" s="2435"/>
      <c r="AA253" s="2441" t="s">
        <v>32</v>
      </c>
      <c r="AB253" s="2441" t="s">
        <v>32</v>
      </c>
      <c r="AC253" s="2441" t="s">
        <v>32</v>
      </c>
      <c r="AD253" s="2441" t="s">
        <v>32</v>
      </c>
      <c r="AE253" s="2441" t="s">
        <v>32</v>
      </c>
      <c r="AF253" s="2435"/>
      <c r="AG253" s="2492"/>
      <c r="AH253" s="181"/>
      <c r="AI253" s="182"/>
    </row>
    <row r="254" spans="1:35" ht="21" customHeight="1">
      <c r="A254" s="2718"/>
      <c r="B254" s="2579" t="s">
        <v>311</v>
      </c>
      <c r="C254" s="2435" t="s">
        <v>32</v>
      </c>
      <c r="D254" s="2435"/>
      <c r="E254" s="2435"/>
      <c r="F254" s="2435" t="s">
        <v>32</v>
      </c>
      <c r="G254" s="2435" t="s">
        <v>32</v>
      </c>
      <c r="H254" s="2435" t="s">
        <v>32</v>
      </c>
      <c r="I254" s="2435" t="s">
        <v>32</v>
      </c>
      <c r="J254" s="2435" t="s">
        <v>32</v>
      </c>
      <c r="K254" s="2435"/>
      <c r="L254" s="2435"/>
      <c r="M254" s="2435" t="s">
        <v>32</v>
      </c>
      <c r="N254" s="2443" t="s">
        <v>32</v>
      </c>
      <c r="O254" s="2443" t="s">
        <v>32</v>
      </c>
      <c r="P254" s="2443" t="s">
        <v>32</v>
      </c>
      <c r="Q254" s="2440" t="s">
        <v>32</v>
      </c>
      <c r="R254" s="2443"/>
      <c r="S254" s="2435"/>
      <c r="T254" s="2435" t="s">
        <v>32</v>
      </c>
      <c r="U254" s="2443" t="s">
        <v>32</v>
      </c>
      <c r="V254" s="2443" t="s">
        <v>32</v>
      </c>
      <c r="W254" s="2443" t="s">
        <v>32</v>
      </c>
      <c r="X254" s="2435" t="s">
        <v>32</v>
      </c>
      <c r="Y254" s="2443"/>
      <c r="Z254" s="2435"/>
      <c r="AA254" s="2435" t="s">
        <v>32</v>
      </c>
      <c r="AB254" s="2435" t="s">
        <v>32</v>
      </c>
      <c r="AC254" s="2435" t="s">
        <v>32</v>
      </c>
      <c r="AD254" s="2440" t="s">
        <v>32</v>
      </c>
      <c r="AE254" s="2440" t="s">
        <v>32</v>
      </c>
      <c r="AF254" s="2443"/>
      <c r="AG254" s="2492"/>
      <c r="AH254" s="181"/>
      <c r="AI254" s="182"/>
    </row>
    <row r="255" spans="1:35" ht="21" customHeight="1" thickBot="1">
      <c r="A255" s="2719"/>
      <c r="B255" s="2720"/>
      <c r="C255" s="2407"/>
      <c r="D255" s="2407"/>
      <c r="E255" s="2407"/>
      <c r="F255" s="2407"/>
      <c r="G255" s="2407"/>
      <c r="H255" s="2407"/>
      <c r="I255" s="2407"/>
      <c r="J255" s="2407"/>
      <c r="K255" s="2407"/>
      <c r="L255" s="2407"/>
      <c r="M255" s="2407"/>
      <c r="N255" s="2407"/>
      <c r="O255" s="2407"/>
      <c r="P255" s="2407"/>
      <c r="Q255" s="2407"/>
      <c r="R255" s="2407"/>
      <c r="S255" s="2407"/>
      <c r="T255" s="2407"/>
      <c r="U255" s="2407"/>
      <c r="V255" s="2407"/>
      <c r="W255" s="2407"/>
      <c r="X255" s="2407"/>
      <c r="Y255" s="2407"/>
      <c r="Z255" s="2407"/>
      <c r="AA255" s="2407"/>
      <c r="AB255" s="2407"/>
      <c r="AC255" s="2407"/>
      <c r="AD255" s="2407"/>
      <c r="AE255" s="2407"/>
      <c r="AF255" s="2407"/>
      <c r="AG255" s="2453"/>
      <c r="AH255" s="181"/>
      <c r="AI255" s="182"/>
    </row>
    <row r="256" spans="1:35" ht="21" customHeight="1">
      <c r="A256" s="226"/>
      <c r="B256" s="743" t="s">
        <v>312</v>
      </c>
      <c r="C256" s="744"/>
      <c r="D256" s="744"/>
      <c r="E256" s="744"/>
      <c r="F256" s="744"/>
      <c r="G256" s="744"/>
      <c r="H256" s="744"/>
      <c r="I256" s="744"/>
      <c r="J256" s="744"/>
      <c r="K256" s="744"/>
      <c r="L256" s="744"/>
      <c r="M256" s="744"/>
      <c r="N256" s="744"/>
      <c r="O256" s="744"/>
      <c r="P256" s="744"/>
      <c r="Q256" s="744"/>
      <c r="R256" s="744"/>
      <c r="S256" s="744"/>
      <c r="T256" s="744"/>
      <c r="U256" s="744"/>
      <c r="V256" s="744"/>
      <c r="W256" s="744"/>
      <c r="X256" s="744"/>
      <c r="Y256" s="744"/>
      <c r="Z256" s="744"/>
      <c r="AA256" s="744"/>
      <c r="AB256" s="744"/>
      <c r="AC256" s="744"/>
      <c r="AD256" s="744"/>
      <c r="AE256" s="744"/>
      <c r="AF256" s="744"/>
      <c r="AG256" s="745"/>
      <c r="AH256" s="179"/>
      <c r="AI256" s="180"/>
    </row>
    <row r="257" spans="1:35" ht="21" customHeight="1">
      <c r="A257" s="2717">
        <v>3702</v>
      </c>
      <c r="B257" s="2721" t="s">
        <v>313</v>
      </c>
      <c r="C257" s="2490" t="s">
        <v>314</v>
      </c>
      <c r="D257" s="2490"/>
      <c r="E257" s="2490"/>
      <c r="F257" s="2490" t="s">
        <v>314</v>
      </c>
      <c r="G257" s="2490" t="s">
        <v>314</v>
      </c>
      <c r="H257" s="2490" t="s">
        <v>314</v>
      </c>
      <c r="I257" s="2490" t="s">
        <v>314</v>
      </c>
      <c r="J257" s="2490" t="s">
        <v>314</v>
      </c>
      <c r="K257" s="2490"/>
      <c r="L257" s="2490"/>
      <c r="M257" s="2490" t="s">
        <v>314</v>
      </c>
      <c r="N257" s="2490" t="s">
        <v>314</v>
      </c>
      <c r="O257" s="2490" t="s">
        <v>314</v>
      </c>
      <c r="P257" s="2490" t="s">
        <v>314</v>
      </c>
      <c r="Q257" s="2490" t="s">
        <v>314</v>
      </c>
      <c r="R257" s="2490"/>
      <c r="S257" s="2490"/>
      <c r="T257" s="2490" t="s">
        <v>314</v>
      </c>
      <c r="U257" s="2490" t="s">
        <v>314</v>
      </c>
      <c r="V257" s="2490" t="s">
        <v>314</v>
      </c>
      <c r="W257" s="2490" t="s">
        <v>314</v>
      </c>
      <c r="X257" s="2490" t="s">
        <v>314</v>
      </c>
      <c r="Y257" s="2490"/>
      <c r="Z257" s="2490"/>
      <c r="AA257" s="2490" t="s">
        <v>314</v>
      </c>
      <c r="AB257" s="2490" t="s">
        <v>314</v>
      </c>
      <c r="AC257" s="2490" t="s">
        <v>314</v>
      </c>
      <c r="AD257" s="2490" t="s">
        <v>314</v>
      </c>
      <c r="AE257" s="2490" t="s">
        <v>314</v>
      </c>
      <c r="AF257" s="2490"/>
      <c r="AG257" s="2722"/>
      <c r="AH257" s="181"/>
      <c r="AI257" s="182"/>
    </row>
    <row r="258" spans="1:35" ht="21" customHeight="1">
      <c r="A258" s="2717"/>
      <c r="B258" s="2685" t="s">
        <v>316</v>
      </c>
      <c r="C258" s="2430" t="s">
        <v>317</v>
      </c>
      <c r="D258" s="2490"/>
      <c r="E258" s="2490"/>
      <c r="F258" s="2490" t="s">
        <v>317</v>
      </c>
      <c r="G258" s="2490" t="s">
        <v>317</v>
      </c>
      <c r="H258" s="2490" t="s">
        <v>317</v>
      </c>
      <c r="I258" s="2490" t="s">
        <v>317</v>
      </c>
      <c r="J258" s="2490" t="s">
        <v>317</v>
      </c>
      <c r="K258" s="2490"/>
      <c r="L258" s="2490"/>
      <c r="M258" s="2490" t="s">
        <v>317</v>
      </c>
      <c r="N258" s="2490" t="s">
        <v>317</v>
      </c>
      <c r="O258" s="2490" t="s">
        <v>317</v>
      </c>
      <c r="P258" s="2490" t="s">
        <v>317</v>
      </c>
      <c r="Q258" s="2490" t="s">
        <v>317</v>
      </c>
      <c r="R258" s="2490"/>
      <c r="S258" s="2490"/>
      <c r="T258" s="2490" t="s">
        <v>317</v>
      </c>
      <c r="U258" s="2490" t="s">
        <v>317</v>
      </c>
      <c r="V258" s="2490" t="s">
        <v>317</v>
      </c>
      <c r="W258" s="2490" t="s">
        <v>317</v>
      </c>
      <c r="X258" s="2490" t="s">
        <v>317</v>
      </c>
      <c r="Y258" s="2490"/>
      <c r="Z258" s="2490"/>
      <c r="AA258" s="2490" t="s">
        <v>317</v>
      </c>
      <c r="AB258" s="2490" t="s">
        <v>317</v>
      </c>
      <c r="AC258" s="2490" t="s">
        <v>317</v>
      </c>
      <c r="AD258" s="2420" t="s">
        <v>317</v>
      </c>
      <c r="AE258" s="2420" t="s">
        <v>317</v>
      </c>
      <c r="AF258" s="2420"/>
      <c r="AG258" s="2722"/>
      <c r="AH258" s="181"/>
      <c r="AI258" s="182"/>
    </row>
    <row r="259" spans="1:35" ht="21" customHeight="1" thickBot="1">
      <c r="A259" s="2723"/>
      <c r="B259" s="2724" t="s">
        <v>318</v>
      </c>
      <c r="C259" s="2483" t="s">
        <v>319</v>
      </c>
      <c r="D259" s="2483"/>
      <c r="E259" s="2483"/>
      <c r="F259" s="2483" t="s">
        <v>319</v>
      </c>
      <c r="G259" s="2483" t="s">
        <v>319</v>
      </c>
      <c r="H259" s="2483" t="s">
        <v>319</v>
      </c>
      <c r="I259" s="2483" t="s">
        <v>319</v>
      </c>
      <c r="J259" s="2483" t="s">
        <v>319</v>
      </c>
      <c r="K259" s="2483"/>
      <c r="L259" s="2483"/>
      <c r="M259" s="2483" t="s">
        <v>319</v>
      </c>
      <c r="N259" s="2483" t="s">
        <v>319</v>
      </c>
      <c r="O259" s="2483" t="s">
        <v>319</v>
      </c>
      <c r="P259" s="2483" t="s">
        <v>319</v>
      </c>
      <c r="Q259" s="2483" t="s">
        <v>319</v>
      </c>
      <c r="R259" s="2483"/>
      <c r="S259" s="2483"/>
      <c r="T259" s="2483" t="s">
        <v>319</v>
      </c>
      <c r="U259" s="2483" t="s">
        <v>390</v>
      </c>
      <c r="V259" s="2488" t="s">
        <v>319</v>
      </c>
      <c r="W259" s="2488" t="s">
        <v>319</v>
      </c>
      <c r="X259" s="2488" t="s">
        <v>319</v>
      </c>
      <c r="Y259" s="2451"/>
      <c r="Z259" s="2451"/>
      <c r="AA259" s="2451" t="s">
        <v>319</v>
      </c>
      <c r="AB259" s="2451" t="s">
        <v>319</v>
      </c>
      <c r="AC259" s="2725" t="s">
        <v>319</v>
      </c>
      <c r="AD259" s="2452" t="s">
        <v>319</v>
      </c>
      <c r="AE259" s="2452" t="s">
        <v>319</v>
      </c>
      <c r="AF259" s="2452"/>
      <c r="AG259" s="2726"/>
      <c r="AH259" s="181"/>
      <c r="AI259" s="182"/>
    </row>
    <row r="260" spans="1:35" ht="21" customHeight="1"/>
    <row r="261" spans="1:35" ht="24" customHeight="1"/>
    <row r="262" spans="1:35" ht="25.5" customHeight="1" thickBot="1">
      <c r="A262" s="161" t="s">
        <v>320</v>
      </c>
    </row>
    <row r="263" spans="1:35" ht="21" customHeight="1">
      <c r="A263" s="1"/>
      <c r="B263" s="396" t="s">
        <v>266</v>
      </c>
      <c r="C263" s="368"/>
      <c r="D263" s="384" t="s">
        <v>94</v>
      </c>
      <c r="E263" s="357"/>
      <c r="F263" s="372"/>
      <c r="G263" s="368"/>
      <c r="H263" s="384" t="s">
        <v>95</v>
      </c>
      <c r="I263" s="357"/>
      <c r="J263" s="372"/>
      <c r="K263" s="368"/>
      <c r="L263" s="384" t="s">
        <v>96</v>
      </c>
      <c r="M263" s="357"/>
      <c r="N263" s="372"/>
      <c r="O263" s="368"/>
      <c r="P263" s="384" t="s">
        <v>97</v>
      </c>
      <c r="Q263" s="357"/>
      <c r="R263" s="372"/>
      <c r="S263" s="368"/>
      <c r="T263" s="384" t="s">
        <v>98</v>
      </c>
      <c r="U263" s="357"/>
      <c r="V263" s="372"/>
      <c r="W263" s="368"/>
      <c r="X263" s="384" t="s">
        <v>99</v>
      </c>
      <c r="Y263" s="357"/>
      <c r="Z263" s="372"/>
      <c r="AA263" s="368"/>
      <c r="AB263" s="384" t="s">
        <v>100</v>
      </c>
      <c r="AC263" s="357"/>
      <c r="AD263" s="357"/>
      <c r="AE263" s="387" t="s">
        <v>101</v>
      </c>
      <c r="AF263" s="357"/>
      <c r="AG263" s="357"/>
      <c r="AH263" s="357"/>
      <c r="AI263" s="358"/>
    </row>
    <row r="264" spans="1:35" ht="21" customHeight="1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>
      <c r="A265" s="110"/>
      <c r="B265" s="2713"/>
      <c r="C265" s="2513"/>
      <c r="D265" s="2389"/>
      <c r="E265" s="2389"/>
      <c r="F265" s="2593"/>
      <c r="G265" s="2513"/>
      <c r="H265" s="2389"/>
      <c r="I265" s="2389"/>
      <c r="J265" s="2593"/>
      <c r="K265" s="2513"/>
      <c r="L265" s="2389"/>
      <c r="M265" s="2389"/>
      <c r="N265" s="2593"/>
      <c r="O265" s="2513"/>
      <c r="P265" s="2389"/>
      <c r="Q265" s="2389"/>
      <c r="R265" s="2593"/>
      <c r="S265" s="2513"/>
      <c r="T265" s="2389"/>
      <c r="U265" s="2389"/>
      <c r="V265" s="2593"/>
      <c r="W265" s="2513"/>
      <c r="X265" s="2389"/>
      <c r="Y265" s="2389"/>
      <c r="Z265" s="2593"/>
      <c r="AA265" s="2591"/>
      <c r="AB265" s="2389"/>
      <c r="AC265" s="2389"/>
      <c r="AD265" s="2514"/>
      <c r="AE265" s="2727"/>
      <c r="AF265" s="2389"/>
      <c r="AG265" s="2389"/>
      <c r="AH265" s="2514"/>
      <c r="AI265" s="2398"/>
    </row>
    <row r="266" spans="1:35" ht="21" customHeight="1" thickBot="1">
      <c r="A266" s="1"/>
      <c r="B266" s="2603"/>
      <c r="C266" s="2604"/>
      <c r="D266" s="2467"/>
      <c r="E266" s="2467"/>
      <c r="F266" s="2625"/>
      <c r="G266" s="2604"/>
      <c r="H266" s="2467"/>
      <c r="I266" s="2467"/>
      <c r="J266" s="2625"/>
      <c r="K266" s="2604"/>
      <c r="L266" s="2467"/>
      <c r="M266" s="2467"/>
      <c r="N266" s="2625"/>
      <c r="O266" s="2604"/>
      <c r="P266" s="2467"/>
      <c r="Q266" s="2467"/>
      <c r="R266" s="2625"/>
      <c r="S266" s="2604"/>
      <c r="T266" s="2467"/>
      <c r="U266" s="2467"/>
      <c r="V266" s="2625"/>
      <c r="W266" s="2623"/>
      <c r="X266" s="2467"/>
      <c r="Y266" s="2467"/>
      <c r="Z266" s="2625"/>
      <c r="AA266" s="2623"/>
      <c r="AB266" s="2467"/>
      <c r="AC266" s="2467"/>
      <c r="AD266" s="2611"/>
      <c r="AE266" s="2623"/>
      <c r="AF266" s="2467"/>
      <c r="AG266" s="2467"/>
      <c r="AH266" s="2611"/>
      <c r="AI266" s="2474"/>
    </row>
    <row r="267" spans="1:35" ht="21" customHeight="1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>
      <c r="A269" s="2728" t="s">
        <v>28</v>
      </c>
      <c r="B269" s="2729" t="s">
        <v>29</v>
      </c>
      <c r="C269" s="2407">
        <v>1</v>
      </c>
      <c r="D269" s="2408">
        <v>2</v>
      </c>
      <c r="E269" s="2408">
        <v>3</v>
      </c>
      <c r="F269" s="2407">
        <v>4</v>
      </c>
      <c r="G269" s="2407">
        <v>5</v>
      </c>
      <c r="H269" s="2407">
        <v>6</v>
      </c>
      <c r="I269" s="2407">
        <v>7</v>
      </c>
      <c r="J269" s="2407">
        <v>8</v>
      </c>
      <c r="K269" s="2408">
        <v>9</v>
      </c>
      <c r="L269" s="2408">
        <v>10</v>
      </c>
      <c r="M269" s="2407">
        <v>11</v>
      </c>
      <c r="N269" s="2407">
        <v>12</v>
      </c>
      <c r="O269" s="2407">
        <v>13</v>
      </c>
      <c r="P269" s="2407">
        <v>14</v>
      </c>
      <c r="Q269" s="2407">
        <v>15</v>
      </c>
      <c r="R269" s="2408">
        <v>16</v>
      </c>
      <c r="S269" s="2408">
        <v>17</v>
      </c>
      <c r="T269" s="2407">
        <v>18</v>
      </c>
      <c r="U269" s="2407">
        <v>19</v>
      </c>
      <c r="V269" s="2407">
        <v>20</v>
      </c>
      <c r="W269" s="2407">
        <v>21</v>
      </c>
      <c r="X269" s="2407">
        <v>22</v>
      </c>
      <c r="Y269" s="2408">
        <v>23</v>
      </c>
      <c r="Z269" s="2408">
        <v>24</v>
      </c>
      <c r="AA269" s="2407">
        <v>25</v>
      </c>
      <c r="AB269" s="2407">
        <v>26</v>
      </c>
      <c r="AC269" s="2407">
        <v>27</v>
      </c>
      <c r="AD269" s="2407">
        <v>28</v>
      </c>
      <c r="AE269" s="2407">
        <v>29</v>
      </c>
      <c r="AF269" s="2408">
        <v>30</v>
      </c>
      <c r="AG269" s="2409">
        <v>31</v>
      </c>
      <c r="AH269" s="186"/>
      <c r="AI269" s="177"/>
    </row>
    <row r="270" spans="1:35" ht="21" customHeight="1">
      <c r="A270" s="88"/>
      <c r="B270" s="157" t="s">
        <v>322</v>
      </c>
      <c r="C270" s="2441" t="s">
        <v>32</v>
      </c>
      <c r="D270" s="2446"/>
      <c r="E270" s="2446"/>
      <c r="F270" s="2446" t="s">
        <v>32</v>
      </c>
      <c r="G270" s="2435" t="s">
        <v>32</v>
      </c>
      <c r="H270" s="2435" t="s">
        <v>32</v>
      </c>
      <c r="I270" s="2435" t="s">
        <v>32</v>
      </c>
      <c r="J270" s="2435" t="s">
        <v>32</v>
      </c>
      <c r="K270" s="2435"/>
      <c r="L270" s="2435"/>
      <c r="M270" s="2435" t="s">
        <v>32</v>
      </c>
      <c r="N270" s="2443" t="s">
        <v>32</v>
      </c>
      <c r="O270" s="2441" t="s">
        <v>32</v>
      </c>
      <c r="P270" s="2443" t="s">
        <v>32</v>
      </c>
      <c r="Q270" s="2440" t="s">
        <v>32</v>
      </c>
      <c r="R270" s="2443"/>
      <c r="S270" s="2435"/>
      <c r="T270" s="2435" t="s">
        <v>32</v>
      </c>
      <c r="U270" s="2443" t="s">
        <v>32</v>
      </c>
      <c r="V270" s="2441" t="s">
        <v>32</v>
      </c>
      <c r="W270" s="2441" t="s">
        <v>32</v>
      </c>
      <c r="X270" s="2435" t="s">
        <v>32</v>
      </c>
      <c r="Y270" s="2443"/>
      <c r="Z270" s="2435"/>
      <c r="AA270" s="2629" t="s">
        <v>32</v>
      </c>
      <c r="AB270" s="2629" t="s">
        <v>32</v>
      </c>
      <c r="AC270" s="2629" t="s">
        <v>32</v>
      </c>
      <c r="AD270" s="2629" t="s">
        <v>32</v>
      </c>
      <c r="AE270" s="2629" t="s">
        <v>278</v>
      </c>
      <c r="AF270" s="2435"/>
      <c r="AG270" s="2435"/>
      <c r="AH270" s="187"/>
      <c r="AI270" s="184"/>
    </row>
    <row r="271" spans="1:35" ht="21" customHeight="1">
      <c r="A271" s="2730"/>
      <c r="B271" s="2731" t="s">
        <v>323</v>
      </c>
      <c r="C271" s="2435" t="s">
        <v>32</v>
      </c>
      <c r="D271" s="2435"/>
      <c r="E271" s="2435"/>
      <c r="F271" s="2435" t="s">
        <v>32</v>
      </c>
      <c r="G271" s="2435" t="s">
        <v>32</v>
      </c>
      <c r="H271" s="2435" t="s">
        <v>32</v>
      </c>
      <c r="I271" s="2435" t="s">
        <v>32</v>
      </c>
      <c r="J271" s="2435" t="s">
        <v>32</v>
      </c>
      <c r="K271" s="2435"/>
      <c r="L271" s="2435"/>
      <c r="M271" s="2435" t="s">
        <v>32</v>
      </c>
      <c r="N271" s="2443" t="s">
        <v>32</v>
      </c>
      <c r="O271" s="2443" t="s">
        <v>32</v>
      </c>
      <c r="P271" s="2443" t="s">
        <v>32</v>
      </c>
      <c r="Q271" s="2440" t="s">
        <v>32</v>
      </c>
      <c r="R271" s="2443"/>
      <c r="S271" s="2435"/>
      <c r="T271" s="2435" t="s">
        <v>32</v>
      </c>
      <c r="U271" s="2443" t="s">
        <v>32</v>
      </c>
      <c r="V271" s="2441" t="s">
        <v>32</v>
      </c>
      <c r="W271" s="2441" t="s">
        <v>32</v>
      </c>
      <c r="X271" s="2441" t="s">
        <v>32</v>
      </c>
      <c r="Y271" s="2443"/>
      <c r="Z271" s="2435"/>
      <c r="AA271" s="2435" t="s">
        <v>32</v>
      </c>
      <c r="AB271" s="2435" t="s">
        <v>32</v>
      </c>
      <c r="AC271" s="2435" t="s">
        <v>32</v>
      </c>
      <c r="AD271" s="2435" t="s">
        <v>32</v>
      </c>
      <c r="AE271" s="2440" t="s">
        <v>32</v>
      </c>
      <c r="AF271" s="2440"/>
      <c r="AG271" s="2435"/>
      <c r="AH271" s="187"/>
      <c r="AI271" s="184"/>
    </row>
    <row r="272" spans="1:35" ht="21" customHeight="1">
      <c r="A272" s="2717"/>
      <c r="B272" s="2731" t="s">
        <v>324</v>
      </c>
      <c r="C272" s="2435" t="s">
        <v>32</v>
      </c>
      <c r="D272" s="2435"/>
      <c r="E272" s="2435"/>
      <c r="F272" s="2435" t="s">
        <v>32</v>
      </c>
      <c r="G272" s="2435" t="s">
        <v>32</v>
      </c>
      <c r="H272" s="2435" t="s">
        <v>32</v>
      </c>
      <c r="I272" s="2435" t="s">
        <v>32</v>
      </c>
      <c r="J272" s="2435" t="s">
        <v>32</v>
      </c>
      <c r="K272" s="2435"/>
      <c r="L272" s="2435"/>
      <c r="M272" s="2435" t="s">
        <v>32</v>
      </c>
      <c r="N272" s="2435" t="s">
        <v>32</v>
      </c>
      <c r="O272" s="2435" t="s">
        <v>32</v>
      </c>
      <c r="P272" s="2443" t="s">
        <v>32</v>
      </c>
      <c r="Q272" s="2440" t="s">
        <v>32</v>
      </c>
      <c r="R272" s="2443"/>
      <c r="S272" s="2435"/>
      <c r="T272" s="2435" t="s">
        <v>32</v>
      </c>
      <c r="U272" s="2443" t="s">
        <v>32</v>
      </c>
      <c r="V272" s="2435" t="s">
        <v>32</v>
      </c>
      <c r="W272" s="2443" t="s">
        <v>32</v>
      </c>
      <c r="X272" s="2435" t="s">
        <v>32</v>
      </c>
      <c r="Y272" s="2443"/>
      <c r="Z272" s="2435"/>
      <c r="AA272" s="2443" t="s">
        <v>32</v>
      </c>
      <c r="AB272" s="2435" t="s">
        <v>32</v>
      </c>
      <c r="AC272" s="2443" t="s">
        <v>32</v>
      </c>
      <c r="AD272" s="2435" t="s">
        <v>32</v>
      </c>
      <c r="AE272" s="2435" t="s">
        <v>32</v>
      </c>
      <c r="AF272" s="2435"/>
      <c r="AG272" s="2435"/>
      <c r="AH272" s="187"/>
      <c r="AI272" s="184"/>
    </row>
    <row r="273" spans="1:35" ht="21" customHeight="1">
      <c r="A273" s="2717"/>
      <c r="B273" s="2731" t="s">
        <v>325</v>
      </c>
      <c r="C273" s="2435" t="s">
        <v>32</v>
      </c>
      <c r="D273" s="2435"/>
      <c r="E273" s="2435"/>
      <c r="F273" s="2435" t="s">
        <v>32</v>
      </c>
      <c r="G273" s="2435" t="s">
        <v>32</v>
      </c>
      <c r="H273" s="2435" t="s">
        <v>32</v>
      </c>
      <c r="I273" s="2435" t="s">
        <v>32</v>
      </c>
      <c r="J273" s="2435" t="s">
        <v>32</v>
      </c>
      <c r="K273" s="2435"/>
      <c r="L273" s="2435"/>
      <c r="M273" s="2435" t="s">
        <v>32</v>
      </c>
      <c r="N273" s="2435" t="s">
        <v>32</v>
      </c>
      <c r="O273" s="2435" t="s">
        <v>32</v>
      </c>
      <c r="P273" s="2443" t="s">
        <v>32</v>
      </c>
      <c r="Q273" s="2440" t="s">
        <v>32</v>
      </c>
      <c r="R273" s="2443"/>
      <c r="S273" s="2435"/>
      <c r="T273" s="2435" t="s">
        <v>32</v>
      </c>
      <c r="U273" s="2443" t="s">
        <v>32</v>
      </c>
      <c r="V273" s="2703" t="s">
        <v>32</v>
      </c>
      <c r="W273" s="2443" t="s">
        <v>32</v>
      </c>
      <c r="X273" s="2435" t="s">
        <v>32</v>
      </c>
      <c r="Y273" s="2443"/>
      <c r="Z273" s="2435"/>
      <c r="AA273" s="2443" t="s">
        <v>32</v>
      </c>
      <c r="AB273" s="2435" t="s">
        <v>32</v>
      </c>
      <c r="AC273" s="2443" t="s">
        <v>32</v>
      </c>
      <c r="AD273" s="2435" t="s">
        <v>32</v>
      </c>
      <c r="AE273" s="2435" t="s">
        <v>32</v>
      </c>
      <c r="AF273" s="2435"/>
      <c r="AG273" s="2435"/>
      <c r="AH273" s="187"/>
      <c r="AI273" s="184"/>
    </row>
    <row r="274" spans="1:35" ht="21" customHeight="1">
      <c r="A274" s="2717"/>
      <c r="B274" s="2731" t="s">
        <v>326</v>
      </c>
      <c r="C274" s="2435" t="s">
        <v>32</v>
      </c>
      <c r="D274" s="2435"/>
      <c r="E274" s="2435"/>
      <c r="F274" s="2441" t="s">
        <v>32</v>
      </c>
      <c r="G274" s="2701" t="s">
        <v>32</v>
      </c>
      <c r="H274" s="2435" t="s">
        <v>32</v>
      </c>
      <c r="I274" s="2435" t="s">
        <v>32</v>
      </c>
      <c r="J274" s="2435" t="s">
        <v>32</v>
      </c>
      <c r="K274" s="2435"/>
      <c r="L274" s="2435"/>
      <c r="M274" s="2701" t="s">
        <v>32</v>
      </c>
      <c r="N274" s="2435" t="s">
        <v>32</v>
      </c>
      <c r="O274" s="2435" t="s">
        <v>32</v>
      </c>
      <c r="P274" s="2443" t="s">
        <v>32</v>
      </c>
      <c r="Q274" s="2440" t="s">
        <v>32</v>
      </c>
      <c r="R274" s="2443"/>
      <c r="S274" s="2435"/>
      <c r="T274" s="2441" t="s">
        <v>32</v>
      </c>
      <c r="U274" s="2441" t="s">
        <v>32</v>
      </c>
      <c r="V274" s="2441" t="s">
        <v>32</v>
      </c>
      <c r="W274" s="2441" t="s">
        <v>32</v>
      </c>
      <c r="X274" s="2441" t="s">
        <v>32</v>
      </c>
      <c r="Y274" s="2443"/>
      <c r="Z274" s="2435"/>
      <c r="AA274" s="2443" t="s">
        <v>32</v>
      </c>
      <c r="AB274" s="2435" t="s">
        <v>32</v>
      </c>
      <c r="AC274" s="2443" t="s">
        <v>32</v>
      </c>
      <c r="AD274" s="2435" t="s">
        <v>32</v>
      </c>
      <c r="AE274" s="2435" t="s">
        <v>32</v>
      </c>
      <c r="AF274" s="2435"/>
      <c r="AG274" s="2490"/>
      <c r="AH274" s="187"/>
      <c r="AI274" s="184"/>
    </row>
    <row r="275" spans="1:35" ht="21" customHeight="1">
      <c r="A275" s="2717"/>
      <c r="B275" s="2731" t="s">
        <v>327</v>
      </c>
      <c r="C275" s="2435" t="s">
        <v>32</v>
      </c>
      <c r="D275" s="2435"/>
      <c r="E275" s="2435"/>
      <c r="F275" s="2435" t="s">
        <v>32</v>
      </c>
      <c r="G275" s="2435" t="s">
        <v>32</v>
      </c>
      <c r="H275" s="2435" t="s">
        <v>32</v>
      </c>
      <c r="I275" s="2435" t="s">
        <v>32</v>
      </c>
      <c r="J275" s="2435" t="s">
        <v>32</v>
      </c>
      <c r="K275" s="2435"/>
      <c r="L275" s="2435"/>
      <c r="M275" s="2435" t="s">
        <v>32</v>
      </c>
      <c r="N275" s="2435" t="s">
        <v>32</v>
      </c>
      <c r="O275" s="2435" t="s">
        <v>32</v>
      </c>
      <c r="P275" s="2443" t="s">
        <v>32</v>
      </c>
      <c r="Q275" s="2440" t="s">
        <v>32</v>
      </c>
      <c r="R275" s="2443"/>
      <c r="S275" s="2435"/>
      <c r="T275" s="2435" t="s">
        <v>32</v>
      </c>
      <c r="U275" s="2443" t="s">
        <v>32</v>
      </c>
      <c r="V275" s="2435" t="s">
        <v>32</v>
      </c>
      <c r="W275" s="2443" t="s">
        <v>32</v>
      </c>
      <c r="X275" s="2435" t="s">
        <v>32</v>
      </c>
      <c r="Y275" s="2443"/>
      <c r="Z275" s="2435"/>
      <c r="AA275" s="2443" t="s">
        <v>32</v>
      </c>
      <c r="AB275" s="2435" t="s">
        <v>32</v>
      </c>
      <c r="AC275" s="2443" t="s">
        <v>32</v>
      </c>
      <c r="AD275" s="2435" t="s">
        <v>32</v>
      </c>
      <c r="AE275" s="2435" t="s">
        <v>32</v>
      </c>
      <c r="AF275" s="2435"/>
      <c r="AG275" s="2490"/>
      <c r="AH275" s="187"/>
      <c r="AI275" s="184"/>
    </row>
    <row r="276" spans="1:35" ht="21" customHeight="1">
      <c r="A276" s="2717"/>
      <c r="B276" s="2731" t="s">
        <v>328</v>
      </c>
      <c r="C276" s="2435" t="s">
        <v>32</v>
      </c>
      <c r="D276" s="2435"/>
      <c r="E276" s="2435"/>
      <c r="F276" s="2435" t="s">
        <v>32</v>
      </c>
      <c r="G276" s="2435" t="s">
        <v>32</v>
      </c>
      <c r="H276" s="2435" t="s">
        <v>32</v>
      </c>
      <c r="I276" s="2435" t="s">
        <v>32</v>
      </c>
      <c r="J276" s="2435" t="s">
        <v>32</v>
      </c>
      <c r="K276" s="2435"/>
      <c r="L276" s="2435"/>
      <c r="M276" s="2435" t="s">
        <v>32</v>
      </c>
      <c r="N276" s="2435" t="s">
        <v>32</v>
      </c>
      <c r="O276" s="2441" t="s">
        <v>32</v>
      </c>
      <c r="P276" s="2443" t="s">
        <v>32</v>
      </c>
      <c r="Q276" s="2440" t="s">
        <v>32</v>
      </c>
      <c r="R276" s="2443"/>
      <c r="S276" s="2435"/>
      <c r="T276" s="2435" t="s">
        <v>32</v>
      </c>
      <c r="U276" s="2443" t="s">
        <v>32</v>
      </c>
      <c r="V276" s="2435" t="s">
        <v>32</v>
      </c>
      <c r="W276" s="2443" t="s">
        <v>32</v>
      </c>
      <c r="X276" s="2435" t="s">
        <v>32</v>
      </c>
      <c r="Y276" s="2443"/>
      <c r="Z276" s="2435"/>
      <c r="AA276" s="2441" t="s">
        <v>32</v>
      </c>
      <c r="AB276" s="2441" t="s">
        <v>32</v>
      </c>
      <c r="AC276" s="2441" t="s">
        <v>32</v>
      </c>
      <c r="AD276" s="2441" t="s">
        <v>32</v>
      </c>
      <c r="AE276" s="2441" t="s">
        <v>32</v>
      </c>
      <c r="AF276" s="2435"/>
      <c r="AG276" s="2490"/>
      <c r="AH276" s="187"/>
      <c r="AI276" s="184"/>
    </row>
    <row r="277" spans="1:35" ht="21" customHeight="1">
      <c r="A277" s="2717"/>
      <c r="B277" s="2731" t="s">
        <v>329</v>
      </c>
      <c r="C277" s="2435" t="s">
        <v>32</v>
      </c>
      <c r="D277" s="2435"/>
      <c r="E277" s="2435"/>
      <c r="F277" s="2435" t="s">
        <v>32</v>
      </c>
      <c r="G277" s="2435" t="s">
        <v>32</v>
      </c>
      <c r="H277" s="2435" t="s">
        <v>32</v>
      </c>
      <c r="I277" s="2435" t="s">
        <v>32</v>
      </c>
      <c r="J277" s="2435" t="s">
        <v>32</v>
      </c>
      <c r="K277" s="2435"/>
      <c r="L277" s="2435"/>
      <c r="M277" s="2435" t="s">
        <v>32</v>
      </c>
      <c r="N277" s="2435" t="s">
        <v>32</v>
      </c>
      <c r="O277" s="2435" t="s">
        <v>32</v>
      </c>
      <c r="P277" s="2443" t="s">
        <v>32</v>
      </c>
      <c r="Q277" s="2440" t="s">
        <v>32</v>
      </c>
      <c r="R277" s="2443"/>
      <c r="S277" s="2435"/>
      <c r="T277" s="2435" t="s">
        <v>32</v>
      </c>
      <c r="U277" s="2443" t="s">
        <v>32</v>
      </c>
      <c r="V277" s="2435" t="s">
        <v>32</v>
      </c>
      <c r="W277" s="2443" t="s">
        <v>32</v>
      </c>
      <c r="X277" s="2435" t="s">
        <v>32</v>
      </c>
      <c r="Y277" s="2443"/>
      <c r="Z277" s="2435"/>
      <c r="AA277" s="2443" t="s">
        <v>32</v>
      </c>
      <c r="AB277" s="2435" t="s">
        <v>32</v>
      </c>
      <c r="AC277" s="2443" t="s">
        <v>32</v>
      </c>
      <c r="AD277" s="2435" t="s">
        <v>32</v>
      </c>
      <c r="AE277" s="2435" t="s">
        <v>32</v>
      </c>
      <c r="AF277" s="2435"/>
      <c r="AG277" s="2490"/>
      <c r="AH277" s="187"/>
      <c r="AI277" s="184"/>
    </row>
    <row r="278" spans="1:35" ht="21" customHeight="1">
      <c r="A278" s="2717"/>
      <c r="B278" s="2732" t="s">
        <v>330</v>
      </c>
      <c r="C278" s="2629" t="s">
        <v>32</v>
      </c>
      <c r="D278" s="2629"/>
      <c r="E278" s="2629"/>
      <c r="F278" s="2629" t="s">
        <v>32</v>
      </c>
      <c r="G278" s="2537" t="s">
        <v>32</v>
      </c>
      <c r="H278" s="2537" t="s">
        <v>32</v>
      </c>
      <c r="I278" s="2629" t="s">
        <v>278</v>
      </c>
      <c r="J278" s="2436" t="s">
        <v>32</v>
      </c>
      <c r="K278" s="2435"/>
      <c r="L278" s="2435"/>
      <c r="M278" s="2435" t="s">
        <v>32</v>
      </c>
      <c r="N278" s="2435" t="s">
        <v>32</v>
      </c>
      <c r="O278" s="2435" t="s">
        <v>32</v>
      </c>
      <c r="P278" s="2443" t="s">
        <v>32</v>
      </c>
      <c r="Q278" s="2440" t="s">
        <v>32</v>
      </c>
      <c r="R278" s="2443"/>
      <c r="S278" s="2435"/>
      <c r="T278" s="2435" t="s">
        <v>32</v>
      </c>
      <c r="U278" s="2443" t="s">
        <v>32</v>
      </c>
      <c r="V278" s="2435" t="s">
        <v>32</v>
      </c>
      <c r="W278" s="2443" t="s">
        <v>32</v>
      </c>
      <c r="X278" s="2435" t="s">
        <v>32</v>
      </c>
      <c r="Y278" s="2443"/>
      <c r="Z278" s="2435"/>
      <c r="AA278" s="2443" t="s">
        <v>32</v>
      </c>
      <c r="AB278" s="2435" t="s">
        <v>32</v>
      </c>
      <c r="AC278" s="2443" t="s">
        <v>32</v>
      </c>
      <c r="AD278" s="2435" t="s">
        <v>32</v>
      </c>
      <c r="AE278" s="2435" t="s">
        <v>32</v>
      </c>
      <c r="AF278" s="2435"/>
      <c r="AG278" s="2490"/>
      <c r="AH278" s="187"/>
      <c r="AI278" s="184"/>
    </row>
    <row r="279" spans="1:35" ht="21" customHeight="1">
      <c r="A279" s="2717"/>
      <c r="B279" s="2733" t="s">
        <v>331</v>
      </c>
      <c r="C279" s="2435" t="s">
        <v>32</v>
      </c>
      <c r="D279" s="2435"/>
      <c r="E279" s="2435"/>
      <c r="F279" s="2435" t="s">
        <v>32</v>
      </c>
      <c r="G279" s="2435" t="s">
        <v>32</v>
      </c>
      <c r="H279" s="2435" t="s">
        <v>32</v>
      </c>
      <c r="I279" s="2435" t="s">
        <v>32</v>
      </c>
      <c r="J279" s="2435" t="s">
        <v>32</v>
      </c>
      <c r="K279" s="2435"/>
      <c r="L279" s="2435"/>
      <c r="M279" s="2435" t="s">
        <v>32</v>
      </c>
      <c r="N279" s="2435" t="s">
        <v>32</v>
      </c>
      <c r="O279" s="2435" t="s">
        <v>32</v>
      </c>
      <c r="P279" s="2443" t="s">
        <v>32</v>
      </c>
      <c r="Q279" s="2440" t="s">
        <v>32</v>
      </c>
      <c r="R279" s="2443"/>
      <c r="S279" s="2435"/>
      <c r="T279" s="2435" t="s">
        <v>32</v>
      </c>
      <c r="U279" s="2443" t="s">
        <v>32</v>
      </c>
      <c r="V279" s="2435" t="s">
        <v>32</v>
      </c>
      <c r="W279" s="2443" t="s">
        <v>32</v>
      </c>
      <c r="X279" s="2435" t="s">
        <v>32</v>
      </c>
      <c r="Y279" s="2734"/>
      <c r="Z279" s="2435"/>
      <c r="AA279" s="2443" t="s">
        <v>32</v>
      </c>
      <c r="AB279" s="2435" t="s">
        <v>32</v>
      </c>
      <c r="AC279" s="2734" t="s">
        <v>32</v>
      </c>
      <c r="AD279" s="2435" t="s">
        <v>32</v>
      </c>
      <c r="AE279" s="2443" t="s">
        <v>32</v>
      </c>
      <c r="AF279" s="2443"/>
      <c r="AG279" s="2490"/>
      <c r="AH279" s="187"/>
      <c r="AI279" s="184"/>
    </row>
    <row r="280" spans="1:35" ht="21" customHeight="1">
      <c r="A280" s="2717"/>
      <c r="B280" s="2448" t="s">
        <v>332</v>
      </c>
      <c r="C280" s="2435" t="s">
        <v>32</v>
      </c>
      <c r="D280" s="2435"/>
      <c r="E280" s="2435"/>
      <c r="F280" s="2435" t="s">
        <v>32</v>
      </c>
      <c r="G280" s="2435" t="s">
        <v>32</v>
      </c>
      <c r="H280" s="2435" t="s">
        <v>32</v>
      </c>
      <c r="I280" s="2735" t="s">
        <v>32</v>
      </c>
      <c r="J280" s="2435" t="s">
        <v>32</v>
      </c>
      <c r="K280" s="2435"/>
      <c r="L280" s="2435"/>
      <c r="M280" s="2435" t="s">
        <v>32</v>
      </c>
      <c r="N280" s="2435" t="s">
        <v>32</v>
      </c>
      <c r="O280" s="2435" t="s">
        <v>32</v>
      </c>
      <c r="P280" s="2443" t="s">
        <v>32</v>
      </c>
      <c r="Q280" s="2440" t="s">
        <v>32</v>
      </c>
      <c r="R280" s="2443"/>
      <c r="S280" s="2435"/>
      <c r="T280" s="2435" t="s">
        <v>32</v>
      </c>
      <c r="U280" s="2441" t="s">
        <v>32</v>
      </c>
      <c r="V280" s="2441" t="s">
        <v>32</v>
      </c>
      <c r="W280" s="2441" t="s">
        <v>32</v>
      </c>
      <c r="X280" s="2441" t="s">
        <v>32</v>
      </c>
      <c r="Y280" s="2443"/>
      <c r="Z280" s="2435"/>
      <c r="AA280" s="2443" t="s">
        <v>32</v>
      </c>
      <c r="AB280" s="2435" t="s">
        <v>32</v>
      </c>
      <c r="AC280" s="2537" t="s">
        <v>32</v>
      </c>
      <c r="AD280" s="2629" t="s">
        <v>32</v>
      </c>
      <c r="AE280" s="2629" t="s">
        <v>278</v>
      </c>
      <c r="AF280" s="2435"/>
      <c r="AG280" s="2490"/>
      <c r="AH280" s="187"/>
      <c r="AI280" s="184"/>
    </row>
    <row r="281" spans="1:35" ht="21" customHeight="1">
      <c r="A281" s="2717"/>
      <c r="B281" s="2733"/>
      <c r="C281" s="2435"/>
      <c r="D281" s="2736"/>
      <c r="E281" s="2435"/>
      <c r="F281" s="2435"/>
      <c r="G281" s="2435"/>
      <c r="H281" s="2435"/>
      <c r="I281" s="2435"/>
      <c r="J281" s="2435"/>
      <c r="K281" s="2435"/>
      <c r="L281" s="2435"/>
      <c r="M281" s="2435"/>
      <c r="N281" s="2435"/>
      <c r="O281" s="2435"/>
      <c r="P281" s="2435"/>
      <c r="Q281" s="2435"/>
      <c r="R281" s="2435"/>
      <c r="S281" s="2435"/>
      <c r="T281" s="2435"/>
      <c r="U281" s="2435"/>
      <c r="V281" s="2435"/>
      <c r="W281" s="2435"/>
      <c r="X281" s="2435"/>
      <c r="Y281" s="2435"/>
      <c r="Z281" s="2435"/>
      <c r="AA281" s="2435"/>
      <c r="AB281" s="2435"/>
      <c r="AC281" s="2435"/>
      <c r="AD281" s="2435"/>
      <c r="AE281" s="2435"/>
      <c r="AF281" s="2435"/>
      <c r="AG281" s="2490"/>
      <c r="AH281" s="187"/>
      <c r="AI281" s="184"/>
    </row>
    <row r="282" spans="1:35" ht="21" customHeight="1">
      <c r="A282" s="2507"/>
      <c r="B282" s="2733"/>
      <c r="C282" s="2490"/>
      <c r="D282" s="2490"/>
      <c r="E282" s="2490"/>
      <c r="F282" s="2490"/>
      <c r="G282" s="2490"/>
      <c r="H282" s="2490"/>
      <c r="I282" s="2490"/>
      <c r="J282" s="2490"/>
      <c r="K282" s="2490"/>
      <c r="L282" s="2490"/>
      <c r="M282" s="2490"/>
      <c r="N282" s="2419"/>
      <c r="O282" s="2419"/>
      <c r="P282" s="2490"/>
      <c r="Q282" s="2490"/>
      <c r="R282" s="2490"/>
      <c r="S282" s="2490"/>
      <c r="T282" s="2490"/>
      <c r="U282" s="2490"/>
      <c r="V282" s="2490"/>
      <c r="W282" s="2490"/>
      <c r="X282" s="2490"/>
      <c r="Y282" s="2490"/>
      <c r="Z282" s="2490"/>
      <c r="AA282" s="2490"/>
      <c r="AB282" s="2419"/>
      <c r="AC282" s="2419"/>
      <c r="AD282" s="2490"/>
      <c r="AE282" s="2490"/>
      <c r="AF282" s="2490"/>
      <c r="AG282" s="2490"/>
      <c r="AH282" s="187"/>
      <c r="AI282" s="185"/>
    </row>
    <row r="283" spans="1:35" ht="21" customHeight="1" thickBot="1">
      <c r="A283" s="1126"/>
      <c r="B283" s="1188"/>
      <c r="C283" s="2737"/>
      <c r="D283" s="2738"/>
      <c r="E283" s="2738"/>
      <c r="F283" s="2738"/>
      <c r="G283" s="2738"/>
      <c r="H283" s="2738"/>
      <c r="I283" s="2738"/>
      <c r="J283" s="2738"/>
      <c r="K283" s="2738"/>
      <c r="L283" s="2738"/>
      <c r="M283" s="2738"/>
      <c r="N283" s="2739"/>
      <c r="O283" s="2739"/>
      <c r="P283" s="2738"/>
      <c r="Q283" s="2738"/>
      <c r="R283" s="2738"/>
      <c r="S283" s="2738"/>
      <c r="T283" s="2738"/>
      <c r="U283" s="2738"/>
      <c r="V283" s="2738"/>
      <c r="W283" s="2738"/>
      <c r="X283" s="2738"/>
      <c r="Y283" s="2738"/>
      <c r="Z283" s="2738"/>
      <c r="AA283" s="2738"/>
      <c r="AB283" s="2739"/>
      <c r="AC283" s="2739"/>
      <c r="AD283" s="2738"/>
      <c r="AE283" s="2738"/>
      <c r="AF283" s="2738"/>
      <c r="AG283" s="2738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81BA-1033-45A8-9CFD-3C6CE0375840}">
  <sheetPr codeName="Ark80"/>
  <dimension ref="A1:AN286"/>
  <sheetViews>
    <sheetView zoomScale="90" zoomScaleNormal="90" workbookViewId="0">
      <pane xSplit="2" ySplit="3" topLeftCell="C58" activePane="bottomRight" state="frozen"/>
      <selection pane="topRight" activeCell="AK86" sqref="AK86"/>
      <selection pane="bottomLeft" activeCell="AK86" sqref="AK86"/>
      <selection pane="bottomRight" activeCell="AL57" sqref="AL57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2740" t="s">
        <v>2</v>
      </c>
      <c r="C2" s="2741" t="s">
        <v>3</v>
      </c>
      <c r="D2" s="2742"/>
      <c r="E2" s="2743" t="s">
        <v>4</v>
      </c>
      <c r="F2" s="2744"/>
      <c r="G2" s="2745"/>
      <c r="H2" s="2745"/>
      <c r="I2" s="2745"/>
      <c r="J2" s="2745"/>
      <c r="K2" s="2746"/>
      <c r="L2" s="2747" t="s">
        <v>5</v>
      </c>
      <c r="M2" s="2748"/>
      <c r="N2" s="2749"/>
      <c r="O2" s="2750" t="s">
        <v>6</v>
      </c>
      <c r="P2" s="2751"/>
      <c r="Q2" s="2752"/>
      <c r="R2" s="2753"/>
      <c r="S2" s="2754" t="s">
        <v>7</v>
      </c>
      <c r="T2" s="2755"/>
      <c r="U2" s="2756"/>
      <c r="V2" s="2755"/>
      <c r="W2" s="2757" t="s">
        <v>8</v>
      </c>
      <c r="X2" s="2758"/>
      <c r="Y2" s="2759"/>
      <c r="Z2" s="163" t="s">
        <v>9</v>
      </c>
      <c r="AA2" s="2760"/>
      <c r="AB2" s="2761"/>
      <c r="AC2" s="2762"/>
      <c r="AD2" s="2763" t="s">
        <v>10</v>
      </c>
      <c r="AE2" s="2764"/>
      <c r="AF2" s="2764"/>
      <c r="AG2" s="2765"/>
    </row>
    <row r="3" spans="1:38" ht="13.35" customHeight="1">
      <c r="A3" s="1"/>
      <c r="B3" s="2766" t="s">
        <v>11</v>
      </c>
      <c r="C3" s="2767" t="s">
        <v>12</v>
      </c>
      <c r="D3" s="2768"/>
      <c r="E3" s="91"/>
      <c r="F3" s="92"/>
      <c r="G3" s="92"/>
      <c r="H3" s="164" t="s">
        <v>13</v>
      </c>
      <c r="I3" s="93"/>
      <c r="J3" s="93"/>
      <c r="K3" s="94"/>
      <c r="L3" s="2769" t="s">
        <v>14</v>
      </c>
      <c r="M3" s="2770"/>
      <c r="N3" s="2771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770"/>
      <c r="AA3" s="2770"/>
      <c r="AB3" s="2772"/>
      <c r="AC3" s="2773"/>
      <c r="AD3" s="2774" t="s">
        <v>17</v>
      </c>
      <c r="AE3" s="2775"/>
      <c r="AF3" s="2775"/>
      <c r="AG3" s="2776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2777" t="s">
        <v>20</v>
      </c>
      <c r="B6" s="2770"/>
      <c r="C6" s="2778"/>
      <c r="D6" s="2777" t="s">
        <v>21</v>
      </c>
      <c r="E6" s="2770"/>
      <c r="F6" s="2770"/>
      <c r="G6" s="2770"/>
      <c r="H6" s="2779"/>
      <c r="I6" s="2770"/>
      <c r="J6" s="2770"/>
      <c r="K6" s="2770"/>
      <c r="L6" s="2780" t="s">
        <v>22</v>
      </c>
      <c r="M6" s="2770"/>
      <c r="N6" s="2770"/>
      <c r="O6" s="2770"/>
      <c r="P6" s="2770"/>
      <c r="Q6" s="2770"/>
      <c r="R6" s="2770"/>
      <c r="S6" s="2778"/>
      <c r="T6" s="2781"/>
      <c r="U6" s="2770"/>
      <c r="V6" s="2770"/>
      <c r="W6" s="2770"/>
      <c r="X6" s="2770"/>
      <c r="Y6" s="2770"/>
      <c r="Z6" s="2770"/>
      <c r="AA6" s="2778"/>
      <c r="AB6" s="2782"/>
      <c r="AC6" s="2783"/>
      <c r="AD6" s="2783"/>
      <c r="AE6" s="2783"/>
      <c r="AF6" s="2783"/>
      <c r="AG6" s="2784"/>
    </row>
    <row r="7" spans="1:38" ht="22.35" customHeight="1">
      <c r="A7" s="2777" t="s">
        <v>23</v>
      </c>
      <c r="B7" s="2770"/>
      <c r="C7" s="2770"/>
      <c r="D7" s="2770"/>
      <c r="E7" s="2770"/>
      <c r="F7" s="2770"/>
      <c r="G7" s="2770"/>
      <c r="H7" s="2770"/>
      <c r="I7" s="2770"/>
      <c r="J7" s="2770"/>
      <c r="K7" s="2778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770"/>
      <c r="V7" s="2770"/>
      <c r="W7" s="2770"/>
      <c r="X7" s="2770"/>
      <c r="Y7" s="2770"/>
      <c r="Z7" s="2770"/>
      <c r="AA7" s="2770"/>
      <c r="AB7" s="2785"/>
      <c r="AC7" s="2770"/>
      <c r="AD7" s="2770"/>
      <c r="AE7" s="2770"/>
      <c r="AF7" s="2770"/>
      <c r="AG7" s="2778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2786" t="s">
        <v>28</v>
      </c>
      <c r="B11" s="2787" t="s">
        <v>29</v>
      </c>
      <c r="C11" s="2788">
        <v>1</v>
      </c>
      <c r="D11" s="2788">
        <v>2</v>
      </c>
      <c r="E11" s="2788">
        <v>3</v>
      </c>
      <c r="F11" s="2788">
        <v>4</v>
      </c>
      <c r="G11" s="2789">
        <v>5</v>
      </c>
      <c r="H11" s="2789">
        <v>6</v>
      </c>
      <c r="I11" s="2788">
        <v>7</v>
      </c>
      <c r="J11" s="2788">
        <v>8</v>
      </c>
      <c r="K11" s="2788">
        <v>9</v>
      </c>
      <c r="L11" s="2788">
        <v>10</v>
      </c>
      <c r="M11" s="2788">
        <v>11</v>
      </c>
      <c r="N11" s="2789">
        <v>12</v>
      </c>
      <c r="O11" s="2789">
        <v>13</v>
      </c>
      <c r="P11" s="2788">
        <v>14</v>
      </c>
      <c r="Q11" s="2788">
        <v>15</v>
      </c>
      <c r="R11" s="2788">
        <v>16</v>
      </c>
      <c r="S11" s="2788">
        <v>17</v>
      </c>
      <c r="T11" s="2788">
        <v>18</v>
      </c>
      <c r="U11" s="2789">
        <v>19</v>
      </c>
      <c r="V11" s="2789">
        <v>20</v>
      </c>
      <c r="W11" s="2788">
        <v>21</v>
      </c>
      <c r="X11" s="2788">
        <v>22</v>
      </c>
      <c r="Y11" s="2788">
        <v>23</v>
      </c>
      <c r="Z11" s="2788">
        <v>24</v>
      </c>
      <c r="AA11" s="2788">
        <v>25</v>
      </c>
      <c r="AB11" s="2789">
        <v>26</v>
      </c>
      <c r="AC11" s="2789">
        <v>27</v>
      </c>
      <c r="AD11" s="2788">
        <v>28</v>
      </c>
      <c r="AE11" s="2788">
        <v>29</v>
      </c>
      <c r="AF11" s="2788">
        <v>30</v>
      </c>
      <c r="AG11" s="2790">
        <v>31</v>
      </c>
      <c r="AH11" s="176"/>
      <c r="AI11" s="177"/>
      <c r="AJ11" s="2791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574" t="s">
        <v>32</v>
      </c>
      <c r="E12" s="349" t="s">
        <v>32</v>
      </c>
      <c r="F12" s="349" t="s">
        <v>32</v>
      </c>
      <c r="G12" s="349"/>
      <c r="H12" s="349"/>
      <c r="I12" s="349" t="s">
        <v>32</v>
      </c>
      <c r="J12" s="349" t="s">
        <v>32</v>
      </c>
      <c r="K12" s="349" t="s">
        <v>32</v>
      </c>
      <c r="L12" s="539" t="s">
        <v>32</v>
      </c>
      <c r="M12" s="539" t="s">
        <v>32</v>
      </c>
      <c r="N12" s="349"/>
      <c r="O12" s="349"/>
      <c r="P12" s="349" t="s">
        <v>32</v>
      </c>
      <c r="Q12" s="349">
        <v>1</v>
      </c>
      <c r="R12" s="349">
        <v>1</v>
      </c>
      <c r="S12" s="2792" t="s">
        <v>32</v>
      </c>
      <c r="T12" s="539" t="s">
        <v>32</v>
      </c>
      <c r="U12" s="349"/>
      <c r="V12" s="349"/>
      <c r="W12" s="539" t="s">
        <v>32</v>
      </c>
      <c r="X12" s="400" t="s">
        <v>32</v>
      </c>
      <c r="Y12" s="400" t="s">
        <v>346</v>
      </c>
      <c r="Z12" s="539" t="s">
        <v>32</v>
      </c>
      <c r="AA12" s="541" t="s">
        <v>32</v>
      </c>
      <c r="AB12" s="349"/>
      <c r="AC12" s="349"/>
      <c r="AD12" s="539" t="s">
        <v>32</v>
      </c>
      <c r="AE12" s="539" t="s">
        <v>32</v>
      </c>
      <c r="AF12" s="539" t="s">
        <v>32</v>
      </c>
      <c r="AG12" s="626" t="s">
        <v>32</v>
      </c>
      <c r="AH12" s="182"/>
      <c r="AI12" s="182"/>
      <c r="AJ12" s="2791">
        <v>160.33000000000001</v>
      </c>
    </row>
    <row r="13" spans="1:38" ht="22.35" customHeight="1">
      <c r="A13" s="2793" t="s">
        <v>33</v>
      </c>
      <c r="B13" s="2794"/>
      <c r="C13" s="2794"/>
      <c r="D13" s="2794"/>
      <c r="E13" s="2794"/>
      <c r="F13" s="2794"/>
      <c r="G13" s="2794"/>
      <c r="H13" s="2794"/>
      <c r="I13" s="2794"/>
      <c r="J13" s="2794"/>
      <c r="K13" s="2794"/>
      <c r="L13" s="2794"/>
      <c r="M13" s="2794"/>
      <c r="N13" s="2794"/>
      <c r="O13" s="2794"/>
      <c r="P13" s="2794"/>
      <c r="Q13" s="2794"/>
      <c r="R13" s="2794"/>
      <c r="S13" s="2794"/>
      <c r="T13" s="2794"/>
      <c r="U13" s="2794"/>
      <c r="V13" s="2794"/>
      <c r="W13" s="2794"/>
      <c r="X13" s="2794"/>
      <c r="Y13" s="2794"/>
      <c r="Z13" s="2794"/>
      <c r="AA13" s="2794"/>
      <c r="AB13" s="2794"/>
      <c r="AC13" s="2794"/>
      <c r="AD13" s="2794"/>
      <c r="AE13" s="2794"/>
      <c r="AF13" s="2794"/>
      <c r="AG13" s="2795"/>
      <c r="AH13" s="180"/>
      <c r="AI13" s="180"/>
    </row>
    <row r="14" spans="1:38" ht="22.35" customHeight="1" thickBot="1">
      <c r="A14" s="2796">
        <v>8546</v>
      </c>
      <c r="B14" s="2797" t="s">
        <v>51</v>
      </c>
      <c r="C14" s="2798">
        <v>1</v>
      </c>
      <c r="D14" s="2798">
        <v>1</v>
      </c>
      <c r="E14" s="2798">
        <v>1</v>
      </c>
      <c r="F14" s="2798">
        <v>1</v>
      </c>
      <c r="G14" s="2798"/>
      <c r="H14" s="2799"/>
      <c r="I14" s="2800">
        <v>2</v>
      </c>
      <c r="J14" s="2801">
        <v>2</v>
      </c>
      <c r="K14" s="2801">
        <v>2</v>
      </c>
      <c r="L14" s="2801">
        <v>2</v>
      </c>
      <c r="M14" s="2801">
        <v>2</v>
      </c>
      <c r="N14" s="2801" t="s">
        <v>35</v>
      </c>
      <c r="O14" s="2801" t="s">
        <v>35</v>
      </c>
      <c r="P14" s="2802" t="s">
        <v>36</v>
      </c>
      <c r="Q14" s="2799" t="s">
        <v>36</v>
      </c>
      <c r="R14" s="2799" t="s">
        <v>36</v>
      </c>
      <c r="S14" s="2803" t="s">
        <v>36</v>
      </c>
      <c r="T14" s="2802" t="s">
        <v>36</v>
      </c>
      <c r="U14" s="2802"/>
      <c r="V14" s="2799"/>
      <c r="W14" s="2799">
        <v>4</v>
      </c>
      <c r="X14" s="2799">
        <v>4</v>
      </c>
      <c r="Y14" s="2799">
        <v>4</v>
      </c>
      <c r="Z14" s="2799">
        <v>4</v>
      </c>
      <c r="AA14" s="2799">
        <v>4</v>
      </c>
      <c r="AB14" s="2799" t="s">
        <v>37</v>
      </c>
      <c r="AC14" s="2799" t="s">
        <v>37</v>
      </c>
      <c r="AD14" s="2802" t="s">
        <v>36</v>
      </c>
      <c r="AE14" s="2799" t="s">
        <v>36</v>
      </c>
      <c r="AF14" s="2799" t="s">
        <v>36</v>
      </c>
      <c r="AG14" s="2804" t="s">
        <v>36</v>
      </c>
      <c r="AH14" s="182"/>
      <c r="AI14" s="182"/>
    </row>
    <row r="15" spans="1:38" ht="22.35" customHeight="1">
      <c r="A15" s="2796">
        <v>8546</v>
      </c>
      <c r="B15" s="2805" t="s">
        <v>38</v>
      </c>
      <c r="C15" s="2806" t="s">
        <v>36</v>
      </c>
      <c r="D15" s="2806" t="s">
        <v>36</v>
      </c>
      <c r="E15" s="2806" t="s">
        <v>36</v>
      </c>
      <c r="F15" s="2802" t="s">
        <v>36</v>
      </c>
      <c r="G15" s="2802"/>
      <c r="H15" s="2802"/>
      <c r="I15" s="2799">
        <v>1</v>
      </c>
      <c r="J15" s="2807">
        <v>1</v>
      </c>
      <c r="K15" s="2802">
        <v>1</v>
      </c>
      <c r="L15" s="2799">
        <v>1</v>
      </c>
      <c r="M15" s="2799">
        <v>1</v>
      </c>
      <c r="N15" s="2799"/>
      <c r="O15" s="2799"/>
      <c r="P15" s="2799">
        <v>2</v>
      </c>
      <c r="Q15" s="2799">
        <v>2</v>
      </c>
      <c r="R15" s="724" t="s">
        <v>32</v>
      </c>
      <c r="S15" s="2799">
        <v>2</v>
      </c>
      <c r="T15" s="2799">
        <v>2</v>
      </c>
      <c r="U15" s="2799" t="s">
        <v>35</v>
      </c>
      <c r="V15" s="2799" t="s">
        <v>35</v>
      </c>
      <c r="W15" s="2799" t="s">
        <v>36</v>
      </c>
      <c r="X15" s="2799" t="s">
        <v>36</v>
      </c>
      <c r="Y15" s="2799" t="s">
        <v>36</v>
      </c>
      <c r="Z15" s="2799" t="s">
        <v>36</v>
      </c>
      <c r="AA15" s="2799" t="s">
        <v>36</v>
      </c>
      <c r="AB15" s="2799"/>
      <c r="AC15" s="2799"/>
      <c r="AD15" s="2799">
        <v>4</v>
      </c>
      <c r="AE15" s="2799">
        <v>4</v>
      </c>
      <c r="AF15" s="2799">
        <v>4</v>
      </c>
      <c r="AG15" s="2804">
        <v>4</v>
      </c>
      <c r="AH15" s="182"/>
      <c r="AI15" s="182"/>
      <c r="AL15" t="s">
        <v>0</v>
      </c>
    </row>
    <row r="16" spans="1:38" ht="22.35" customHeight="1" thickBot="1">
      <c r="A16" s="2796">
        <v>8546</v>
      </c>
      <c r="B16" s="2808" t="s">
        <v>39</v>
      </c>
      <c r="C16" s="2802" t="s">
        <v>36</v>
      </c>
      <c r="D16" s="2799" t="s">
        <v>36</v>
      </c>
      <c r="E16" s="2799" t="s">
        <v>36</v>
      </c>
      <c r="F16" s="2799" t="s">
        <v>36</v>
      </c>
      <c r="G16" s="2799"/>
      <c r="H16" s="2799"/>
      <c r="I16" s="2799">
        <v>4</v>
      </c>
      <c r="J16" s="2799">
        <v>4</v>
      </c>
      <c r="K16" s="2799">
        <v>4</v>
      </c>
      <c r="L16" s="2799">
        <v>4</v>
      </c>
      <c r="M16" s="2799">
        <v>4</v>
      </c>
      <c r="N16" s="2802" t="s">
        <v>37</v>
      </c>
      <c r="O16" s="2802" t="s">
        <v>37</v>
      </c>
      <c r="P16" s="2802" t="s">
        <v>36</v>
      </c>
      <c r="Q16" s="2802" t="s">
        <v>36</v>
      </c>
      <c r="R16" s="2802" t="s">
        <v>36</v>
      </c>
      <c r="S16" s="2799" t="s">
        <v>36</v>
      </c>
      <c r="T16" s="2799" t="s">
        <v>36</v>
      </c>
      <c r="U16" s="2799"/>
      <c r="V16" s="2799"/>
      <c r="W16" s="2807">
        <v>1</v>
      </c>
      <c r="X16" s="2799">
        <v>1</v>
      </c>
      <c r="Y16" s="2792">
        <v>1</v>
      </c>
      <c r="Z16" s="2792">
        <v>1</v>
      </c>
      <c r="AA16" s="2792">
        <v>1</v>
      </c>
      <c r="AB16" s="2802"/>
      <c r="AC16" s="2802"/>
      <c r="AD16" s="2799">
        <v>2</v>
      </c>
      <c r="AE16" s="2799">
        <v>2</v>
      </c>
      <c r="AF16" s="2799">
        <v>2</v>
      </c>
      <c r="AG16" s="2804">
        <v>2</v>
      </c>
      <c r="AH16" s="182"/>
      <c r="AI16" s="182"/>
    </row>
    <row r="17" spans="1:40" ht="22.35" customHeight="1">
      <c r="A17" s="2796">
        <v>8546</v>
      </c>
      <c r="B17" s="2805" t="s">
        <v>40</v>
      </c>
      <c r="C17" s="2799">
        <v>2</v>
      </c>
      <c r="D17" s="2807">
        <v>2</v>
      </c>
      <c r="E17" s="2799">
        <v>2</v>
      </c>
      <c r="F17" s="2802">
        <v>2</v>
      </c>
      <c r="G17" s="2799" t="s">
        <v>35</v>
      </c>
      <c r="H17" s="2799" t="s">
        <v>35</v>
      </c>
      <c r="I17" s="2809">
        <v>2</v>
      </c>
      <c r="J17" s="2810">
        <v>2</v>
      </c>
      <c r="K17" s="2799" t="s">
        <v>36</v>
      </c>
      <c r="L17" s="2799" t="s">
        <v>36</v>
      </c>
      <c r="M17" s="2798" t="s">
        <v>36</v>
      </c>
      <c r="N17" s="2798"/>
      <c r="O17" s="2798"/>
      <c r="P17" s="2798">
        <v>4</v>
      </c>
      <c r="Q17" s="2798" t="s">
        <v>32</v>
      </c>
      <c r="R17" s="724" t="s">
        <v>32</v>
      </c>
      <c r="S17" s="2798">
        <v>4</v>
      </c>
      <c r="T17" s="2799">
        <v>4</v>
      </c>
      <c r="U17" s="2799" t="s">
        <v>37</v>
      </c>
      <c r="V17" s="2799" t="s">
        <v>37</v>
      </c>
      <c r="W17" s="2799" t="s">
        <v>36</v>
      </c>
      <c r="X17" s="2807" t="s">
        <v>36</v>
      </c>
      <c r="Y17" s="2799" t="s">
        <v>36</v>
      </c>
      <c r="Z17" s="2809" t="s">
        <v>36</v>
      </c>
      <c r="AA17" s="2811" t="s">
        <v>36</v>
      </c>
      <c r="AB17" s="2811"/>
      <c r="AC17" s="2811"/>
      <c r="AD17" s="2811">
        <v>1</v>
      </c>
      <c r="AE17" s="2811">
        <v>1</v>
      </c>
      <c r="AF17" s="2811">
        <v>1</v>
      </c>
      <c r="AG17" s="2804">
        <v>1</v>
      </c>
      <c r="AH17" s="182"/>
      <c r="AI17" s="182"/>
    </row>
    <row r="18" spans="1:40" ht="22.35" customHeight="1">
      <c r="A18" s="2796">
        <v>8546</v>
      </c>
      <c r="B18" s="2808" t="s">
        <v>41</v>
      </c>
      <c r="C18" s="2799">
        <v>4</v>
      </c>
      <c r="D18" s="2807">
        <v>4</v>
      </c>
      <c r="E18" s="2799">
        <v>4</v>
      </c>
      <c r="F18" s="2799">
        <v>4</v>
      </c>
      <c r="G18" s="2799" t="s">
        <v>37</v>
      </c>
      <c r="H18" s="2799" t="s">
        <v>37</v>
      </c>
      <c r="I18" s="2799" t="s">
        <v>36</v>
      </c>
      <c r="J18" s="2802" t="s">
        <v>36</v>
      </c>
      <c r="K18" s="2802" t="s">
        <v>36</v>
      </c>
      <c r="L18" s="2799" t="s">
        <v>36</v>
      </c>
      <c r="M18" s="2802" t="s">
        <v>36</v>
      </c>
      <c r="N18" s="2802"/>
      <c r="O18" s="2799"/>
      <c r="P18" s="2801">
        <v>1</v>
      </c>
      <c r="Q18" s="2801">
        <v>1</v>
      </c>
      <c r="R18" s="2801">
        <v>1</v>
      </c>
      <c r="S18" s="2801">
        <v>1</v>
      </c>
      <c r="T18" s="2801">
        <v>1</v>
      </c>
      <c r="U18" s="2801"/>
      <c r="V18" s="2801"/>
      <c r="W18" s="2799">
        <v>2</v>
      </c>
      <c r="X18" s="2799">
        <v>2</v>
      </c>
      <c r="Y18" s="2799">
        <v>2</v>
      </c>
      <c r="Z18" s="2799">
        <v>2</v>
      </c>
      <c r="AA18" s="2799">
        <v>2</v>
      </c>
      <c r="AB18" s="2799" t="s">
        <v>35</v>
      </c>
      <c r="AC18" s="2812" t="s">
        <v>35</v>
      </c>
      <c r="AD18" s="2799" t="s">
        <v>36</v>
      </c>
      <c r="AE18" s="2799" t="s">
        <v>36</v>
      </c>
      <c r="AF18" s="2799" t="s">
        <v>36</v>
      </c>
      <c r="AG18" s="2804" t="s">
        <v>36</v>
      </c>
      <c r="AH18" s="182"/>
      <c r="AI18" s="182"/>
    </row>
    <row r="19" spans="1:40" ht="22.35" customHeight="1" thickBot="1">
      <c r="A19" s="2813" t="s">
        <v>42</v>
      </c>
      <c r="B19" s="2814"/>
      <c r="C19" s="2815"/>
      <c r="D19" s="2815"/>
      <c r="E19" s="2815"/>
      <c r="F19" s="2815"/>
      <c r="G19" s="2815"/>
      <c r="H19" s="2815"/>
      <c r="I19" s="2815"/>
      <c r="J19" s="2815"/>
      <c r="K19" s="2815"/>
      <c r="L19" s="2815"/>
      <c r="M19" s="2815"/>
      <c r="N19" s="2815"/>
      <c r="O19" s="2815"/>
      <c r="P19" s="2815"/>
      <c r="Q19" s="2815"/>
      <c r="R19" s="2815"/>
      <c r="S19" s="2815"/>
      <c r="T19" s="2815"/>
      <c r="U19" s="2815"/>
      <c r="V19" s="2815"/>
      <c r="W19" s="2815"/>
      <c r="X19" s="2815"/>
      <c r="Y19" s="2815"/>
      <c r="Z19" s="2815"/>
      <c r="AA19" s="2815"/>
      <c r="AB19" s="2815"/>
      <c r="AC19" s="2815"/>
      <c r="AD19" s="2815"/>
      <c r="AE19" s="2815"/>
      <c r="AF19" s="2815"/>
      <c r="AG19" s="2816"/>
      <c r="AH19" s="180"/>
      <c r="AI19" s="180"/>
      <c r="AJ19" s="2791" t="s">
        <v>30</v>
      </c>
      <c r="AK19" s="2791" t="s">
        <v>43</v>
      </c>
      <c r="AL19" s="2791" t="s">
        <v>44</v>
      </c>
      <c r="AM19" s="2791" t="s">
        <v>45</v>
      </c>
      <c r="AN19" s="2791" t="s">
        <v>46</v>
      </c>
    </row>
    <row r="20" spans="1:40" ht="22.35" customHeight="1" thickBot="1">
      <c r="A20" s="353">
        <v>8500</v>
      </c>
      <c r="B20" s="354" t="s">
        <v>48</v>
      </c>
      <c r="C20" s="349" t="s">
        <v>32</v>
      </c>
      <c r="D20" s="349" t="s">
        <v>32</v>
      </c>
      <c r="E20" s="349" t="s">
        <v>32</v>
      </c>
      <c r="F20" s="349" t="s">
        <v>32</v>
      </c>
      <c r="G20" s="349"/>
      <c r="H20" s="349"/>
      <c r="I20" s="349" t="s">
        <v>32</v>
      </c>
      <c r="J20" s="349" t="s">
        <v>32</v>
      </c>
      <c r="K20" s="574" t="s">
        <v>32</v>
      </c>
      <c r="L20" s="349" t="s">
        <v>32</v>
      </c>
      <c r="M20" s="349" t="s">
        <v>32</v>
      </c>
      <c r="N20" s="349" t="s">
        <v>0</v>
      </c>
      <c r="O20" s="349" t="s">
        <v>0</v>
      </c>
      <c r="P20" s="349" t="s">
        <v>32</v>
      </c>
      <c r="Q20" s="546" t="s">
        <v>32</v>
      </c>
      <c r="R20" s="724" t="s">
        <v>32</v>
      </c>
      <c r="S20" s="350">
        <v>1</v>
      </c>
      <c r="T20" s="350" t="s">
        <v>32</v>
      </c>
      <c r="U20" s="349"/>
      <c r="V20" s="349"/>
      <c r="W20" s="350" t="s">
        <v>32</v>
      </c>
      <c r="X20" s="350" t="s">
        <v>32</v>
      </c>
      <c r="Y20" s="350">
        <v>1</v>
      </c>
      <c r="Z20" s="350" t="s">
        <v>32</v>
      </c>
      <c r="AA20" s="570" t="s">
        <v>32</v>
      </c>
      <c r="AB20" s="2817"/>
      <c r="AC20" s="349"/>
      <c r="AD20" s="350" t="s">
        <v>32</v>
      </c>
      <c r="AE20" s="350" t="s">
        <v>32</v>
      </c>
      <c r="AF20" s="350" t="s">
        <v>32</v>
      </c>
      <c r="AG20" s="352" t="s">
        <v>32</v>
      </c>
      <c r="AH20" s="182"/>
      <c r="AI20" s="182"/>
      <c r="AJ20" s="2696"/>
      <c r="AK20" s="2696"/>
      <c r="AL20" s="2696" t="str">
        <f>IF(AJ20="","",SUM(AJ20:AK20))</f>
        <v/>
      </c>
      <c r="AM20" s="2818" t="str">
        <f>IF(AJ20="","",AL20-NormTid)</f>
        <v/>
      </c>
      <c r="AN20" s="2818" t="str">
        <f>IF(AM20="","",AM20+'Februar 2022'!AN20)</f>
        <v/>
      </c>
    </row>
    <row r="21" spans="1:40" ht="22.35" customHeight="1" thickBot="1">
      <c r="A21" s="2819">
        <v>8500</v>
      </c>
      <c r="B21" s="2797" t="s">
        <v>49</v>
      </c>
      <c r="C21" s="2820" t="s">
        <v>36</v>
      </c>
      <c r="D21" s="349" t="s">
        <v>32</v>
      </c>
      <c r="E21" s="2817" t="s">
        <v>36</v>
      </c>
      <c r="F21" s="349" t="s">
        <v>32</v>
      </c>
      <c r="G21" s="2820"/>
      <c r="H21" s="2820" t="s">
        <v>111</v>
      </c>
      <c r="I21" s="2821">
        <v>2</v>
      </c>
      <c r="J21" s="2821">
        <v>2</v>
      </c>
      <c r="K21" s="720" t="s">
        <v>32</v>
      </c>
      <c r="L21" s="720" t="s">
        <v>278</v>
      </c>
      <c r="M21" s="574" t="s">
        <v>32</v>
      </c>
      <c r="N21" s="2820" t="s">
        <v>35</v>
      </c>
      <c r="O21" s="2820" t="s">
        <v>35</v>
      </c>
      <c r="P21" s="2802" t="s">
        <v>32</v>
      </c>
      <c r="Q21" s="571" t="s">
        <v>32</v>
      </c>
      <c r="R21" s="349" t="s">
        <v>36</v>
      </c>
      <c r="S21" s="2803" t="s">
        <v>32</v>
      </c>
      <c r="T21" s="2802" t="s">
        <v>36</v>
      </c>
      <c r="U21" s="2820"/>
      <c r="V21" s="2820"/>
      <c r="W21" s="2820" t="s">
        <v>32</v>
      </c>
      <c r="X21" s="349" t="s">
        <v>32</v>
      </c>
      <c r="Y21" s="2822" t="s">
        <v>32</v>
      </c>
      <c r="Z21" s="2822" t="s">
        <v>32</v>
      </c>
      <c r="AA21" s="2820" t="s">
        <v>32</v>
      </c>
      <c r="AB21" s="2820"/>
      <c r="AC21" s="2820"/>
      <c r="AD21" s="2820" t="s">
        <v>32</v>
      </c>
      <c r="AE21" s="2820" t="s">
        <v>32</v>
      </c>
      <c r="AF21" s="2820" t="s">
        <v>32</v>
      </c>
      <c r="AG21" s="2823" t="s">
        <v>32</v>
      </c>
      <c r="AH21" s="182"/>
      <c r="AI21" s="182"/>
      <c r="AJ21" s="2696">
        <v>159.25</v>
      </c>
      <c r="AK21" s="2696"/>
      <c r="AL21" s="2696">
        <f t="shared" ref="AL21:AL23" si="0">IF(AJ21="","",SUM(AJ21:AK21))</f>
        <v>159.25</v>
      </c>
      <c r="AM21" s="2818">
        <f>IF(AJ21="","",AL21-NormTid)</f>
        <v>-1.0800000000000125</v>
      </c>
      <c r="AN21" s="2818">
        <f>IF(AM21="","",AM21+'Februar 2022'!AN21)</f>
        <v>8.9099999999999682</v>
      </c>
    </row>
    <row r="22" spans="1:40" ht="22.35" customHeight="1">
      <c r="A22" s="2819">
        <v>8500</v>
      </c>
      <c r="B22" s="2824" t="s">
        <v>75</v>
      </c>
      <c r="C22" s="2820" t="s">
        <v>36</v>
      </c>
      <c r="D22" s="2820">
        <v>3</v>
      </c>
      <c r="E22" s="2817" t="s">
        <v>36</v>
      </c>
      <c r="F22" s="2820" t="s">
        <v>36</v>
      </c>
      <c r="G22" s="2820"/>
      <c r="H22" s="2820"/>
      <c r="I22" s="2696">
        <v>5</v>
      </c>
      <c r="J22" s="2696">
        <v>5</v>
      </c>
      <c r="K22" s="2820">
        <v>2</v>
      </c>
      <c r="L22" s="2825">
        <v>2</v>
      </c>
      <c r="M22" s="2820">
        <v>2</v>
      </c>
      <c r="N22" s="2696"/>
      <c r="O22" s="2696"/>
      <c r="P22" s="2826">
        <v>1</v>
      </c>
      <c r="Q22" s="724" t="s">
        <v>32</v>
      </c>
      <c r="R22" s="2827">
        <v>2</v>
      </c>
      <c r="S22" s="2820" t="s">
        <v>36</v>
      </c>
      <c r="T22" s="2820">
        <v>1</v>
      </c>
      <c r="U22" s="2826"/>
      <c r="V22" s="2826"/>
      <c r="W22" s="2826" t="s">
        <v>141</v>
      </c>
      <c r="X22" s="2820" t="s">
        <v>32</v>
      </c>
      <c r="Y22" s="2628">
        <v>89</v>
      </c>
      <c r="Z22" s="2822">
        <v>1</v>
      </c>
      <c r="AA22" s="2820">
        <v>1</v>
      </c>
      <c r="AB22" s="2820"/>
      <c r="AC22" s="2820"/>
      <c r="AD22" s="2820">
        <v>1</v>
      </c>
      <c r="AE22" s="2820">
        <v>3</v>
      </c>
      <c r="AF22" s="2820" t="s">
        <v>32</v>
      </c>
      <c r="AG22" s="2823">
        <v>1</v>
      </c>
      <c r="AH22" s="182"/>
      <c r="AI22" s="182"/>
      <c r="AJ22" s="2696">
        <v>147.5</v>
      </c>
      <c r="AK22" s="2696"/>
      <c r="AL22" s="2696">
        <f t="shared" si="0"/>
        <v>147.5</v>
      </c>
      <c r="AM22" s="2818">
        <f>IF(AJ22="","",AL22-NormTid)</f>
        <v>-12.830000000000013</v>
      </c>
      <c r="AN22" s="2818">
        <f>IF(AM22="","",AM22+'Februar 2022'!AN22)</f>
        <v>0.40999999999996817</v>
      </c>
    </row>
    <row r="23" spans="1:40" ht="22.35" customHeight="1">
      <c r="A23" s="2819"/>
      <c r="B23" s="2828"/>
      <c r="C23" s="2820"/>
      <c r="D23" s="2825"/>
      <c r="E23" s="2820"/>
      <c r="F23" s="2820"/>
      <c r="G23" s="2820"/>
      <c r="H23" s="2820"/>
      <c r="I23" s="2820"/>
      <c r="J23" s="2820"/>
      <c r="K23" s="2820"/>
      <c r="L23" s="2820"/>
      <c r="M23" s="2820"/>
      <c r="N23" s="2820"/>
      <c r="O23" s="2829"/>
      <c r="P23" s="2820"/>
      <c r="Q23" s="2820"/>
      <c r="R23" s="2830"/>
      <c r="S23" s="2830"/>
      <c r="T23" s="2820"/>
      <c r="U23" s="2820"/>
      <c r="V23" s="2820"/>
      <c r="W23" s="2820"/>
      <c r="X23" s="2820"/>
      <c r="Y23" s="2820"/>
      <c r="Z23" s="2820"/>
      <c r="AA23" s="2820"/>
      <c r="AB23" s="2820"/>
      <c r="AC23" s="2826"/>
      <c r="AD23" s="2826"/>
      <c r="AE23" s="2826"/>
      <c r="AF23" s="2826"/>
      <c r="AG23" s="2823"/>
      <c r="AJ23" s="2696"/>
      <c r="AK23" s="2696"/>
      <c r="AL23" s="2696" t="str">
        <f t="shared" si="0"/>
        <v/>
      </c>
      <c r="AM23" s="2818" t="str">
        <f>IF(AJ23="","",AL23-NormTid)</f>
        <v/>
      </c>
      <c r="AN23" s="2818" t="str">
        <f>IF(AM23="","",AM23+'Februar 2022'!AN23)</f>
        <v/>
      </c>
    </row>
    <row r="24" spans="1:40" ht="22.35" customHeight="1" thickBot="1">
      <c r="A24" s="1283"/>
      <c r="B24" s="2824" t="s">
        <v>54</v>
      </c>
      <c r="C24" s="2820" t="s">
        <v>32</v>
      </c>
      <c r="D24" s="2820" t="s">
        <v>32</v>
      </c>
      <c r="E24" s="2820" t="s">
        <v>32</v>
      </c>
      <c r="F24" s="2820" t="s">
        <v>32</v>
      </c>
      <c r="G24" s="2820"/>
      <c r="H24" s="2820"/>
      <c r="I24" s="2820" t="s">
        <v>32</v>
      </c>
      <c r="J24" s="2820" t="s">
        <v>32</v>
      </c>
      <c r="K24" s="2820" t="s">
        <v>32</v>
      </c>
      <c r="L24" s="2820" t="s">
        <v>32</v>
      </c>
      <c r="M24" s="2820" t="s">
        <v>32</v>
      </c>
      <c r="N24" s="2826"/>
      <c r="O24" s="2826"/>
      <c r="P24" s="2831" t="s">
        <v>32</v>
      </c>
      <c r="Q24" s="2831" t="s">
        <v>32</v>
      </c>
      <c r="R24" s="2831" t="s">
        <v>32</v>
      </c>
      <c r="S24" s="2831" t="s">
        <v>32</v>
      </c>
      <c r="T24" s="2831" t="s">
        <v>32</v>
      </c>
      <c r="U24" s="2831"/>
      <c r="V24" s="2831"/>
      <c r="W24" s="2831" t="s">
        <v>32</v>
      </c>
      <c r="X24" s="2831" t="s">
        <v>32</v>
      </c>
      <c r="Y24" s="2831" t="s">
        <v>32</v>
      </c>
      <c r="Z24" s="2831" t="s">
        <v>32</v>
      </c>
      <c r="AA24" s="2831" t="s">
        <v>32</v>
      </c>
      <c r="AB24" s="2831"/>
      <c r="AC24" s="2831"/>
      <c r="AD24" s="2820" t="s">
        <v>32</v>
      </c>
      <c r="AE24" s="2820" t="s">
        <v>32</v>
      </c>
      <c r="AF24" s="2820" t="s">
        <v>32</v>
      </c>
      <c r="AG24" s="2823" t="s">
        <v>32</v>
      </c>
    </row>
    <row r="25" spans="1:40" ht="22.35" customHeight="1" thickBot="1">
      <c r="A25" s="102"/>
      <c r="C25" s="2669" t="s">
        <v>32</v>
      </c>
      <c r="D25" s="2669" t="s">
        <v>32</v>
      </c>
      <c r="E25" s="2669" t="s">
        <v>32</v>
      </c>
      <c r="I25" s="2669" t="s">
        <v>32</v>
      </c>
      <c r="J25" s="2669" t="s">
        <v>32</v>
      </c>
      <c r="K25" s="2669" t="s">
        <v>32</v>
      </c>
      <c r="L25" s="2669" t="s">
        <v>32</v>
      </c>
      <c r="M25" s="2669" t="s">
        <v>32</v>
      </c>
      <c r="Q25" t="s">
        <v>0</v>
      </c>
      <c r="R25" t="s">
        <v>0</v>
      </c>
      <c r="U25" s="2669" t="s">
        <v>0</v>
      </c>
      <c r="V25" s="2669" t="s">
        <v>0</v>
      </c>
      <c r="W25" t="s">
        <v>0</v>
      </c>
      <c r="Y25" t="s">
        <v>0</v>
      </c>
      <c r="AD25" s="2832" t="s">
        <v>0</v>
      </c>
      <c r="AE25" s="2833" t="s">
        <v>0</v>
      </c>
      <c r="AF25" s="2833" t="s">
        <v>368</v>
      </c>
      <c r="AG25" s="2834" t="s">
        <v>0</v>
      </c>
    </row>
    <row r="26" spans="1:40" ht="22.35" customHeight="1">
      <c r="A26" s="102"/>
      <c r="D26" t="s">
        <v>0</v>
      </c>
      <c r="E26">
        <v>4</v>
      </c>
      <c r="J26" t="s">
        <v>0</v>
      </c>
      <c r="K26" t="s">
        <v>0</v>
      </c>
      <c r="AD26" s="2835" t="s">
        <v>0</v>
      </c>
      <c r="AE26" s="2835"/>
      <c r="AF26" s="2835"/>
      <c r="AG26" s="2823" t="s">
        <v>183</v>
      </c>
    </row>
    <row r="27" spans="1:40" ht="22.35" customHeight="1">
      <c r="A27" s="102"/>
      <c r="I27" t="s">
        <v>385</v>
      </c>
      <c r="J27" t="s">
        <v>0</v>
      </c>
      <c r="K27" t="s">
        <v>0</v>
      </c>
      <c r="L27" t="s">
        <v>0</v>
      </c>
      <c r="M27" t="s">
        <v>0</v>
      </c>
      <c r="V27" s="192" t="s">
        <v>0</v>
      </c>
    </row>
    <row r="28" spans="1:40" ht="22.35" customHeight="1">
      <c r="A28" s="102"/>
    </row>
    <row r="29" spans="1:40" ht="22.35" customHeight="1">
      <c r="A29" s="102"/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2836" t="s">
        <v>61</v>
      </c>
      <c r="B32" s="2783"/>
      <c r="C32" s="2783"/>
      <c r="D32" s="2837" t="s">
        <v>62</v>
      </c>
      <c r="E32" s="2838"/>
      <c r="F32" s="2770"/>
      <c r="G32" s="2770"/>
      <c r="H32" s="2770"/>
      <c r="I32" s="2770"/>
      <c r="J32" s="2770"/>
      <c r="K32" s="2770"/>
      <c r="L32" s="2778"/>
      <c r="M32" s="2839" t="s">
        <v>63</v>
      </c>
      <c r="N32" s="2783"/>
      <c r="O32" s="2840"/>
      <c r="P32" s="2783"/>
      <c r="Q32" s="2783"/>
      <c r="R32" s="2783"/>
      <c r="S32" s="2841"/>
      <c r="T32" s="2837" t="s">
        <v>64</v>
      </c>
      <c r="U32" s="2770"/>
      <c r="V32" s="2838"/>
      <c r="W32" s="2770"/>
      <c r="X32" s="2770"/>
      <c r="Y32" s="2770"/>
      <c r="Z32" s="2778"/>
      <c r="AA32" s="162" t="s">
        <v>65</v>
      </c>
      <c r="AD32" s="100"/>
      <c r="AG32" s="103"/>
      <c r="AK32" s="1"/>
    </row>
    <row r="33" spans="1:38" ht="22.35" customHeight="1">
      <c r="A33" s="2842" t="s">
        <v>66</v>
      </c>
      <c r="B33" s="2770"/>
      <c r="C33" s="2770"/>
      <c r="D33" s="2843"/>
      <c r="E33" s="2770"/>
      <c r="F33" s="2770"/>
      <c r="G33" s="2778"/>
      <c r="H33" s="2785" t="s">
        <v>67</v>
      </c>
      <c r="I33" s="2770"/>
      <c r="J33" s="2770"/>
      <c r="K33" s="2770"/>
      <c r="L33" s="2770"/>
      <c r="M33" s="2844"/>
      <c r="N33" s="2770"/>
      <c r="O33" s="2770"/>
      <c r="P33" s="2770"/>
      <c r="Q33" s="2770"/>
      <c r="R33" s="2770"/>
      <c r="S33" s="2770"/>
      <c r="T33" s="2843"/>
      <c r="U33" s="161" t="s">
        <v>68</v>
      </c>
      <c r="AA33" s="2840"/>
      <c r="AB33" s="2783"/>
      <c r="AC33" s="2783"/>
      <c r="AD33" s="2783"/>
      <c r="AE33" s="2783"/>
      <c r="AF33" s="2783"/>
      <c r="AG33" s="2845"/>
      <c r="AK33" s="64"/>
    </row>
    <row r="34" spans="1:38" ht="22.35" customHeight="1" thickBot="1">
      <c r="A34" s="2846" t="s">
        <v>69</v>
      </c>
      <c r="B34" s="2847"/>
      <c r="C34" s="2847"/>
      <c r="D34" s="2848"/>
      <c r="E34" s="2847"/>
      <c r="F34" s="2847"/>
      <c r="G34" s="2849"/>
      <c r="H34" s="2850" t="s">
        <v>70</v>
      </c>
      <c r="I34" s="2849"/>
      <c r="J34" s="2847"/>
      <c r="K34" s="2847"/>
      <c r="L34" s="2847"/>
      <c r="M34" s="2851"/>
      <c r="N34" s="2847"/>
      <c r="O34" s="2847"/>
      <c r="P34" s="2847"/>
      <c r="Q34" s="2852"/>
      <c r="R34" s="2852"/>
      <c r="S34" s="2852"/>
      <c r="T34" s="2848"/>
      <c r="U34" s="2853" t="s">
        <v>71</v>
      </c>
      <c r="V34" s="2847"/>
      <c r="W34" s="2847"/>
      <c r="X34" s="2847"/>
      <c r="Y34" s="2847"/>
      <c r="Z34" s="2847"/>
      <c r="AA34" s="2847"/>
      <c r="AB34" s="2847"/>
      <c r="AC34" s="2847"/>
      <c r="AD34" s="2847"/>
      <c r="AE34" s="2847"/>
      <c r="AF34" s="2847"/>
      <c r="AG34" s="2854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2855" t="s">
        <v>28</v>
      </c>
      <c r="B36" s="2856" t="s">
        <v>29</v>
      </c>
      <c r="C36" s="2788">
        <v>1</v>
      </c>
      <c r="D36" s="2788">
        <v>2</v>
      </c>
      <c r="E36" s="2788">
        <v>3</v>
      </c>
      <c r="F36" s="2788">
        <v>4</v>
      </c>
      <c r="G36" s="2789">
        <v>5</v>
      </c>
      <c r="H36" s="2789">
        <v>6</v>
      </c>
      <c r="I36" s="2788">
        <v>7</v>
      </c>
      <c r="J36" s="2788">
        <v>8</v>
      </c>
      <c r="K36" s="2788">
        <v>9</v>
      </c>
      <c r="L36" s="2788">
        <v>10</v>
      </c>
      <c r="M36" s="2788">
        <v>11</v>
      </c>
      <c r="N36" s="2789">
        <v>12</v>
      </c>
      <c r="O36" s="2789">
        <v>13</v>
      </c>
      <c r="P36" s="2788">
        <v>14</v>
      </c>
      <c r="Q36" s="2788">
        <v>15</v>
      </c>
      <c r="R36" s="2788">
        <v>16</v>
      </c>
      <c r="S36" s="2788">
        <v>17</v>
      </c>
      <c r="T36" s="2788">
        <v>18</v>
      </c>
      <c r="U36" s="2789">
        <v>19</v>
      </c>
      <c r="V36" s="2789">
        <v>20</v>
      </c>
      <c r="W36" s="2788">
        <v>21</v>
      </c>
      <c r="X36" s="2788">
        <v>22</v>
      </c>
      <c r="Y36" s="2788">
        <v>23</v>
      </c>
      <c r="Z36" s="2788">
        <v>24</v>
      </c>
      <c r="AA36" s="2788">
        <v>25</v>
      </c>
      <c r="AB36" s="2789">
        <v>26</v>
      </c>
      <c r="AC36" s="2789">
        <v>27</v>
      </c>
      <c r="AD36" s="2788">
        <v>28</v>
      </c>
      <c r="AE36" s="2788">
        <v>29</v>
      </c>
      <c r="AF36" s="2788">
        <v>30</v>
      </c>
      <c r="AG36" s="2790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602" t="s">
        <v>36</v>
      </c>
      <c r="D37" s="602" t="s">
        <v>36</v>
      </c>
      <c r="E37" s="602" t="s">
        <v>36</v>
      </c>
      <c r="F37" s="602" t="s">
        <v>36</v>
      </c>
      <c r="G37" s="361" t="s">
        <v>80</v>
      </c>
      <c r="H37" s="361" t="s">
        <v>80</v>
      </c>
      <c r="I37" s="361">
        <v>7</v>
      </c>
      <c r="J37" s="349">
        <v>7</v>
      </c>
      <c r="K37" s="361">
        <v>7</v>
      </c>
      <c r="L37" s="361">
        <v>7</v>
      </c>
      <c r="M37" s="361">
        <v>7</v>
      </c>
      <c r="N37" s="361"/>
      <c r="O37" s="349"/>
      <c r="P37" s="361">
        <v>4</v>
      </c>
      <c r="Q37" s="350">
        <v>4</v>
      </c>
      <c r="R37" s="349">
        <v>4</v>
      </c>
      <c r="S37" s="361">
        <v>4</v>
      </c>
      <c r="T37" s="361">
        <v>4</v>
      </c>
      <c r="U37" s="361"/>
      <c r="V37" s="361"/>
      <c r="W37" s="361">
        <v>3</v>
      </c>
      <c r="X37" s="350">
        <v>3</v>
      </c>
      <c r="Y37" s="350">
        <v>3</v>
      </c>
      <c r="Z37" s="361">
        <v>3</v>
      </c>
      <c r="AA37" s="361">
        <v>3</v>
      </c>
      <c r="AB37" s="350"/>
      <c r="AC37" s="350"/>
      <c r="AD37" s="350">
        <v>11</v>
      </c>
      <c r="AE37" s="361">
        <v>11</v>
      </c>
      <c r="AF37" s="361">
        <v>11</v>
      </c>
      <c r="AG37" s="362">
        <v>11</v>
      </c>
      <c r="AH37" s="181"/>
      <c r="AI37" s="182"/>
    </row>
    <row r="38" spans="1:38" ht="22.35" customHeight="1">
      <c r="A38" s="2857">
        <v>6</v>
      </c>
      <c r="B38" s="2797" t="s">
        <v>130</v>
      </c>
      <c r="C38" s="2858" t="s">
        <v>36</v>
      </c>
      <c r="D38" s="2858" t="s">
        <v>36</v>
      </c>
      <c r="E38" s="2678" t="s">
        <v>36</v>
      </c>
      <c r="F38" s="2859" t="s">
        <v>36</v>
      </c>
      <c r="G38" s="2859" t="s">
        <v>74</v>
      </c>
      <c r="H38" s="2859" t="s">
        <v>74</v>
      </c>
      <c r="I38" s="2859">
        <v>8</v>
      </c>
      <c r="J38" s="2859">
        <v>8</v>
      </c>
      <c r="K38" s="2859" t="s">
        <v>379</v>
      </c>
      <c r="L38" s="2860">
        <v>8</v>
      </c>
      <c r="M38" s="2860">
        <v>8</v>
      </c>
      <c r="N38" s="2798"/>
      <c r="O38" s="2798"/>
      <c r="P38" s="2798" t="s">
        <v>36</v>
      </c>
      <c r="Q38" s="2798" t="s">
        <v>36</v>
      </c>
      <c r="R38" s="2798" t="s">
        <v>36</v>
      </c>
      <c r="S38" s="2798" t="s">
        <v>36</v>
      </c>
      <c r="T38" s="2798" t="s">
        <v>36</v>
      </c>
      <c r="U38" s="2858" t="s">
        <v>0</v>
      </c>
      <c r="V38" s="2858" t="s">
        <v>0</v>
      </c>
      <c r="W38" s="2858">
        <v>1</v>
      </c>
      <c r="X38" s="2858">
        <v>1</v>
      </c>
      <c r="Y38" s="2858">
        <v>1</v>
      </c>
      <c r="Z38" s="2858">
        <v>1</v>
      </c>
      <c r="AA38" s="2858">
        <v>1</v>
      </c>
      <c r="AB38" s="2798"/>
      <c r="AC38" s="2798"/>
      <c r="AD38" s="2798">
        <v>9</v>
      </c>
      <c r="AE38" s="2798">
        <v>9</v>
      </c>
      <c r="AF38" s="2798">
        <v>9</v>
      </c>
      <c r="AG38" s="2861">
        <v>9</v>
      </c>
      <c r="AH38" s="181"/>
      <c r="AI38" s="182"/>
    </row>
    <row r="39" spans="1:38" ht="22.35" customHeight="1" thickBot="1">
      <c r="A39" s="2862">
        <v>11</v>
      </c>
      <c r="B39" s="2863" t="s">
        <v>79</v>
      </c>
      <c r="C39" s="2676">
        <v>3</v>
      </c>
      <c r="D39" s="2680" t="s">
        <v>32</v>
      </c>
      <c r="E39" s="2676">
        <v>3</v>
      </c>
      <c r="F39" s="2676">
        <v>3</v>
      </c>
      <c r="G39" s="2833" t="s">
        <v>0</v>
      </c>
      <c r="H39" s="2833" t="s">
        <v>0</v>
      </c>
      <c r="I39" s="2676">
        <v>4</v>
      </c>
      <c r="J39" s="2676">
        <v>4</v>
      </c>
      <c r="K39" s="2680" t="s">
        <v>32</v>
      </c>
      <c r="L39" s="2676">
        <v>4</v>
      </c>
      <c r="M39" s="2676">
        <v>4</v>
      </c>
      <c r="N39" s="2864"/>
      <c r="O39" s="2864"/>
      <c r="P39" s="2676">
        <v>1</v>
      </c>
      <c r="Q39" s="2676">
        <v>1</v>
      </c>
      <c r="R39" s="2680" t="s">
        <v>32</v>
      </c>
      <c r="S39" s="2676">
        <v>1</v>
      </c>
      <c r="T39" s="2676">
        <v>1</v>
      </c>
      <c r="U39" s="2865"/>
      <c r="V39" s="2865"/>
      <c r="W39" s="2866">
        <v>89</v>
      </c>
      <c r="X39" s="2669" t="s">
        <v>391</v>
      </c>
      <c r="Y39" s="2680" t="s">
        <v>349</v>
      </c>
      <c r="Z39" s="2680" t="s">
        <v>391</v>
      </c>
      <c r="AA39" s="2680" t="s">
        <v>391</v>
      </c>
      <c r="AB39" s="2867"/>
      <c r="AC39" s="2867"/>
      <c r="AD39" s="2867">
        <v>3</v>
      </c>
      <c r="AE39" s="2868" t="s">
        <v>368</v>
      </c>
      <c r="AF39" s="2868" t="s">
        <v>368</v>
      </c>
      <c r="AG39" s="2869" t="s">
        <v>368</v>
      </c>
      <c r="AH39" s="181"/>
      <c r="AI39" s="182"/>
    </row>
    <row r="40" spans="1:38" ht="22.35" customHeight="1" thickBot="1">
      <c r="A40" s="359">
        <v>2</v>
      </c>
      <c r="B40" s="175" t="s">
        <v>81</v>
      </c>
      <c r="C40" s="349">
        <v>7</v>
      </c>
      <c r="D40" s="349">
        <v>7</v>
      </c>
      <c r="E40" s="349">
        <v>7</v>
      </c>
      <c r="F40" s="349">
        <v>7</v>
      </c>
      <c r="G40" s="349"/>
      <c r="H40" s="361"/>
      <c r="I40" s="620">
        <v>4</v>
      </c>
      <c r="J40" s="546">
        <v>4</v>
      </c>
      <c r="K40" s="546">
        <v>4</v>
      </c>
      <c r="L40" s="620">
        <v>4</v>
      </c>
      <c r="M40" s="620">
        <v>4</v>
      </c>
      <c r="N40" s="620"/>
      <c r="O40" s="621"/>
      <c r="P40" s="620">
        <v>3</v>
      </c>
      <c r="Q40" s="621">
        <v>3</v>
      </c>
      <c r="R40" s="530">
        <v>3</v>
      </c>
      <c r="S40" s="530">
        <v>3</v>
      </c>
      <c r="T40" s="530">
        <v>3</v>
      </c>
      <c r="U40" s="530"/>
      <c r="V40" s="530"/>
      <c r="W40" s="350">
        <v>11</v>
      </c>
      <c r="X40" s="350">
        <v>11</v>
      </c>
      <c r="Y40" s="361">
        <v>11</v>
      </c>
      <c r="Z40" s="361">
        <v>11</v>
      </c>
      <c r="AA40" s="361">
        <v>11</v>
      </c>
      <c r="AB40" s="361" t="s">
        <v>73</v>
      </c>
      <c r="AC40" s="350" t="s">
        <v>73</v>
      </c>
      <c r="AD40" s="350" t="s">
        <v>36</v>
      </c>
      <c r="AE40" s="361" t="s">
        <v>36</v>
      </c>
      <c r="AF40" s="361" t="s">
        <v>36</v>
      </c>
      <c r="AG40" s="362" t="s">
        <v>36</v>
      </c>
      <c r="AH40" s="181"/>
      <c r="AI40" s="182"/>
    </row>
    <row r="41" spans="1:38" ht="22.35" customHeight="1">
      <c r="A41" s="2857">
        <v>7</v>
      </c>
      <c r="B41" s="2805" t="s">
        <v>82</v>
      </c>
      <c r="C41" s="2802">
        <v>8</v>
      </c>
      <c r="D41" s="2802">
        <v>8</v>
      </c>
      <c r="E41" s="2802">
        <v>8</v>
      </c>
      <c r="F41" s="2802">
        <v>8</v>
      </c>
      <c r="G41" s="2870"/>
      <c r="H41" s="2870"/>
      <c r="I41" s="2871" t="s">
        <v>36</v>
      </c>
      <c r="J41" s="2871" t="s">
        <v>36</v>
      </c>
      <c r="K41" s="2871" t="s">
        <v>36</v>
      </c>
      <c r="L41" s="2871" t="s">
        <v>36</v>
      </c>
      <c r="M41" s="2871" t="s">
        <v>36</v>
      </c>
      <c r="N41" s="2871"/>
      <c r="O41" s="2871"/>
      <c r="P41" s="2802" t="s">
        <v>32</v>
      </c>
      <c r="Q41" s="2802" t="s">
        <v>32</v>
      </c>
      <c r="R41" s="724" t="s">
        <v>32</v>
      </c>
      <c r="S41" s="2802" t="s">
        <v>32</v>
      </c>
      <c r="T41" s="2802" t="s">
        <v>32</v>
      </c>
      <c r="U41" s="2872"/>
      <c r="V41" s="2872"/>
      <c r="W41" s="2872">
        <v>9</v>
      </c>
      <c r="X41" s="2870">
        <v>9</v>
      </c>
      <c r="Y41" s="2870">
        <v>9</v>
      </c>
      <c r="Z41" s="2870">
        <v>9</v>
      </c>
      <c r="AA41" s="2870">
        <v>9</v>
      </c>
      <c r="AB41" s="2870" t="s">
        <v>76</v>
      </c>
      <c r="AC41" s="2870" t="s">
        <v>77</v>
      </c>
      <c r="AD41" s="2870" t="s">
        <v>36</v>
      </c>
      <c r="AE41" s="2870" t="s">
        <v>36</v>
      </c>
      <c r="AF41" s="2870" t="s">
        <v>36</v>
      </c>
      <c r="AG41" s="2873" t="s">
        <v>36</v>
      </c>
      <c r="AH41" s="181"/>
      <c r="AI41" s="182"/>
    </row>
    <row r="42" spans="1:38" ht="22.35" customHeight="1" thickBot="1">
      <c r="A42" s="2862">
        <v>12</v>
      </c>
      <c r="B42" s="2874" t="s">
        <v>110</v>
      </c>
      <c r="C42" s="2864">
        <v>6</v>
      </c>
      <c r="D42" s="2864">
        <v>6</v>
      </c>
      <c r="E42" s="2864">
        <v>6</v>
      </c>
      <c r="F42" s="2864">
        <v>6</v>
      </c>
      <c r="G42" s="2864"/>
      <c r="H42" s="2864"/>
      <c r="I42" s="2833" t="s">
        <v>36</v>
      </c>
      <c r="J42" s="2833" t="s">
        <v>36</v>
      </c>
      <c r="K42" s="2788" t="s">
        <v>36</v>
      </c>
      <c r="L42" s="2833" t="s">
        <v>36</v>
      </c>
      <c r="M42" s="2833" t="s">
        <v>36</v>
      </c>
      <c r="N42" s="2833"/>
      <c r="O42" s="2833"/>
      <c r="P42" s="2833">
        <v>5</v>
      </c>
      <c r="Q42" s="2833">
        <v>5</v>
      </c>
      <c r="R42" s="2833">
        <v>5</v>
      </c>
      <c r="S42" s="2833">
        <v>5</v>
      </c>
      <c r="T42" s="2833">
        <v>5</v>
      </c>
      <c r="U42" s="2832"/>
      <c r="V42" s="2832"/>
      <c r="W42" s="2832">
        <v>10</v>
      </c>
      <c r="X42" s="2833">
        <v>10</v>
      </c>
      <c r="Y42" s="2833">
        <v>10</v>
      </c>
      <c r="Z42" s="2833">
        <v>10</v>
      </c>
      <c r="AA42" s="2833">
        <v>10</v>
      </c>
      <c r="AB42" s="2833" t="s">
        <v>77</v>
      </c>
      <c r="AC42" s="2788" t="s">
        <v>77</v>
      </c>
      <c r="AD42" s="2788" t="s">
        <v>36</v>
      </c>
      <c r="AE42" s="2788" t="s">
        <v>36</v>
      </c>
      <c r="AF42" s="2788" t="s">
        <v>36</v>
      </c>
      <c r="AG42" s="2790" t="s">
        <v>36</v>
      </c>
      <c r="AH42" s="181"/>
      <c r="AI42" s="182"/>
    </row>
    <row r="43" spans="1:38" ht="22.35" customHeight="1">
      <c r="A43" s="359">
        <v>3</v>
      </c>
      <c r="B43" s="363" t="s">
        <v>84</v>
      </c>
      <c r="C43" s="720">
        <v>4</v>
      </c>
      <c r="D43" s="702">
        <v>4</v>
      </c>
      <c r="E43" s="720">
        <v>4</v>
      </c>
      <c r="F43" s="702" t="s">
        <v>334</v>
      </c>
      <c r="G43" s="400"/>
      <c r="H43" s="400"/>
      <c r="I43" s="400">
        <v>3</v>
      </c>
      <c r="J43" s="400">
        <v>3</v>
      </c>
      <c r="K43" s="400">
        <v>3</v>
      </c>
      <c r="L43" s="400">
        <v>3</v>
      </c>
      <c r="M43" s="400">
        <v>3</v>
      </c>
      <c r="N43" s="350"/>
      <c r="O43" s="350"/>
      <c r="P43" s="350">
        <v>11</v>
      </c>
      <c r="Q43" s="350">
        <v>11</v>
      </c>
      <c r="R43" s="361">
        <v>11</v>
      </c>
      <c r="S43" s="361">
        <v>11</v>
      </c>
      <c r="T43" s="361">
        <v>11</v>
      </c>
      <c r="U43" s="361" t="s">
        <v>73</v>
      </c>
      <c r="V43" s="350" t="s">
        <v>73</v>
      </c>
      <c r="W43" s="350" t="s">
        <v>36</v>
      </c>
      <c r="X43" s="349" t="s">
        <v>36</v>
      </c>
      <c r="Y43" s="361" t="s">
        <v>36</v>
      </c>
      <c r="Z43" s="361" t="s">
        <v>36</v>
      </c>
      <c r="AA43" s="361" t="s">
        <v>36</v>
      </c>
      <c r="AB43" s="361" t="s">
        <v>74</v>
      </c>
      <c r="AC43" s="364" t="s">
        <v>74</v>
      </c>
      <c r="AD43" s="568">
        <v>8</v>
      </c>
      <c r="AE43" s="568" t="s">
        <v>379</v>
      </c>
      <c r="AF43" s="361">
        <v>8</v>
      </c>
      <c r="AG43" s="362">
        <v>8</v>
      </c>
      <c r="AH43" s="181"/>
      <c r="AI43" s="182"/>
    </row>
    <row r="44" spans="1:38" ht="22.35" customHeight="1">
      <c r="A44" s="2857">
        <v>8</v>
      </c>
      <c r="B44" s="2805" t="s">
        <v>85</v>
      </c>
      <c r="C44" s="2803" t="s">
        <v>36</v>
      </c>
      <c r="D44" s="2803" t="s">
        <v>36</v>
      </c>
      <c r="E44" s="2803" t="s">
        <v>36</v>
      </c>
      <c r="F44" s="2803" t="s">
        <v>36</v>
      </c>
      <c r="G44" s="2802"/>
      <c r="H44" s="2802"/>
      <c r="I44" s="2870">
        <v>1</v>
      </c>
      <c r="J44" s="2875">
        <v>1</v>
      </c>
      <c r="K44" s="2798">
        <v>1</v>
      </c>
      <c r="L44" s="2798">
        <v>1</v>
      </c>
      <c r="M44" s="2798">
        <v>1</v>
      </c>
      <c r="N44" s="2802"/>
      <c r="O44" s="2870"/>
      <c r="P44" s="2870">
        <v>9</v>
      </c>
      <c r="Q44" s="2870">
        <v>9</v>
      </c>
      <c r="R44" s="2870">
        <v>9</v>
      </c>
      <c r="S44" s="2870">
        <v>9</v>
      </c>
      <c r="T44" s="2870">
        <v>9</v>
      </c>
      <c r="U44" s="2870" t="s">
        <v>76</v>
      </c>
      <c r="V44" s="2870" t="s">
        <v>77</v>
      </c>
      <c r="W44" s="2870" t="s">
        <v>36</v>
      </c>
      <c r="X44" s="2875" t="s">
        <v>36</v>
      </c>
      <c r="Y44" s="2870" t="s">
        <v>36</v>
      </c>
      <c r="Z44" s="2870" t="s">
        <v>36</v>
      </c>
      <c r="AA44" s="2870" t="s">
        <v>36</v>
      </c>
      <c r="AB44" s="2870" t="s">
        <v>78</v>
      </c>
      <c r="AC44" s="2870" t="s">
        <v>74</v>
      </c>
      <c r="AD44" s="2876">
        <v>6</v>
      </c>
      <c r="AE44" s="2876">
        <v>6</v>
      </c>
      <c r="AF44" s="2877" t="s">
        <v>357</v>
      </c>
      <c r="AG44" s="2873">
        <v>6</v>
      </c>
      <c r="AH44" s="181"/>
      <c r="AI44" s="182"/>
    </row>
    <row r="45" spans="1:38" ht="22.35" customHeight="1" thickBot="1">
      <c r="A45" s="2862">
        <v>13</v>
      </c>
      <c r="B45" s="2863" t="s">
        <v>86</v>
      </c>
      <c r="C45" s="2788" t="s">
        <v>36</v>
      </c>
      <c r="D45" s="2788" t="s">
        <v>36</v>
      </c>
      <c r="E45" s="2833" t="s">
        <v>36</v>
      </c>
      <c r="F45" s="2833" t="s">
        <v>36</v>
      </c>
      <c r="G45" s="2833"/>
      <c r="H45" s="2833"/>
      <c r="I45" s="2878">
        <v>5</v>
      </c>
      <c r="J45" s="2879">
        <v>5</v>
      </c>
      <c r="K45" s="2878">
        <v>5</v>
      </c>
      <c r="L45" s="2725">
        <v>5</v>
      </c>
      <c r="M45" s="2725">
        <v>5</v>
      </c>
      <c r="N45" s="2832"/>
      <c r="O45" s="2832"/>
      <c r="P45" s="2832">
        <v>10</v>
      </c>
      <c r="Q45" s="2833">
        <v>10</v>
      </c>
      <c r="R45" s="2833">
        <v>10</v>
      </c>
      <c r="S45" s="2833">
        <v>10</v>
      </c>
      <c r="T45" s="2833">
        <v>10</v>
      </c>
      <c r="U45" s="2833" t="s">
        <v>77</v>
      </c>
      <c r="V45" s="2833" t="s">
        <v>77</v>
      </c>
      <c r="W45" s="2833" t="s">
        <v>36</v>
      </c>
      <c r="X45" s="2833" t="s">
        <v>36</v>
      </c>
      <c r="Y45" s="2788" t="s">
        <v>36</v>
      </c>
      <c r="Z45" s="2833" t="s">
        <v>36</v>
      </c>
      <c r="AA45" s="2833" t="s">
        <v>36</v>
      </c>
      <c r="AB45" s="2833" t="s">
        <v>80</v>
      </c>
      <c r="AC45" s="2833" t="s">
        <v>80</v>
      </c>
      <c r="AD45" s="2833">
        <v>7</v>
      </c>
      <c r="AE45" s="2788">
        <v>7</v>
      </c>
      <c r="AF45" s="2833">
        <v>7</v>
      </c>
      <c r="AG45" s="2834">
        <v>7</v>
      </c>
      <c r="AH45" s="181"/>
      <c r="AI45" s="182"/>
    </row>
    <row r="46" spans="1:38" ht="22.35" customHeight="1">
      <c r="A46" s="359">
        <v>4</v>
      </c>
      <c r="B46" s="2880" t="s">
        <v>392</v>
      </c>
      <c r="C46" s="620" t="s">
        <v>368</v>
      </c>
      <c r="D46" s="621">
        <v>3</v>
      </c>
      <c r="E46" s="620">
        <v>3</v>
      </c>
      <c r="F46" s="546">
        <v>3</v>
      </c>
      <c r="G46" s="349"/>
      <c r="H46" s="349"/>
      <c r="I46" s="349">
        <v>11</v>
      </c>
      <c r="J46" s="349">
        <v>11</v>
      </c>
      <c r="K46" s="349">
        <v>11</v>
      </c>
      <c r="L46" s="349">
        <v>11</v>
      </c>
      <c r="M46" s="349">
        <v>11</v>
      </c>
      <c r="N46" s="349" t="s">
        <v>73</v>
      </c>
      <c r="O46" s="349" t="s">
        <v>73</v>
      </c>
      <c r="P46" s="349" t="s">
        <v>36</v>
      </c>
      <c r="Q46" s="349" t="s">
        <v>36</v>
      </c>
      <c r="R46" s="349" t="s">
        <v>36</v>
      </c>
      <c r="S46" s="349" t="s">
        <v>36</v>
      </c>
      <c r="T46" s="361" t="s">
        <v>36</v>
      </c>
      <c r="U46" s="361" t="s">
        <v>74</v>
      </c>
      <c r="V46" s="364" t="s">
        <v>74</v>
      </c>
      <c r="W46" s="361">
        <v>8</v>
      </c>
      <c r="X46" s="361">
        <v>8</v>
      </c>
      <c r="Y46" s="349">
        <v>8</v>
      </c>
      <c r="Z46" s="361">
        <v>8</v>
      </c>
      <c r="AA46" s="361">
        <v>8</v>
      </c>
      <c r="AB46" s="361"/>
      <c r="AC46" s="361"/>
      <c r="AD46" s="361" t="s">
        <v>36</v>
      </c>
      <c r="AE46" s="350" t="s">
        <v>36</v>
      </c>
      <c r="AF46" s="361" t="s">
        <v>36</v>
      </c>
      <c r="AG46" s="362" t="s">
        <v>36</v>
      </c>
      <c r="AH46" s="181"/>
      <c r="AI46" s="182"/>
    </row>
    <row r="47" spans="1:38" ht="22.35" customHeight="1">
      <c r="A47" s="2857">
        <v>9</v>
      </c>
      <c r="B47" s="2805" t="s">
        <v>88</v>
      </c>
      <c r="C47" s="2881">
        <v>1</v>
      </c>
      <c r="D47" s="2881">
        <v>1</v>
      </c>
      <c r="E47" s="2881">
        <v>1</v>
      </c>
      <c r="F47" s="2881">
        <v>1</v>
      </c>
      <c r="G47" s="2870"/>
      <c r="H47" s="2870"/>
      <c r="I47" s="2870">
        <v>9</v>
      </c>
      <c r="J47" s="2870">
        <v>9</v>
      </c>
      <c r="K47" s="2870">
        <v>9</v>
      </c>
      <c r="L47" s="2870">
        <v>9</v>
      </c>
      <c r="M47" s="2870">
        <v>9</v>
      </c>
      <c r="N47" s="2870" t="s">
        <v>76</v>
      </c>
      <c r="O47" s="2870" t="s">
        <v>77</v>
      </c>
      <c r="P47" s="2870" t="s">
        <v>36</v>
      </c>
      <c r="Q47" s="2875" t="s">
        <v>36</v>
      </c>
      <c r="R47" s="2870" t="s">
        <v>36</v>
      </c>
      <c r="S47" s="2870" t="s">
        <v>36</v>
      </c>
      <c r="T47" s="2870" t="s">
        <v>36</v>
      </c>
      <c r="U47" s="2870" t="s">
        <v>78</v>
      </c>
      <c r="V47" s="2870" t="s">
        <v>74</v>
      </c>
      <c r="W47" s="2870">
        <v>6</v>
      </c>
      <c r="X47" s="2870">
        <v>6</v>
      </c>
      <c r="Y47" s="2870">
        <v>6</v>
      </c>
      <c r="Z47" s="2870">
        <v>6</v>
      </c>
      <c r="AA47" s="2870">
        <v>6</v>
      </c>
      <c r="AB47" s="2870"/>
      <c r="AC47" s="2870"/>
      <c r="AD47" s="2870" t="s">
        <v>36</v>
      </c>
      <c r="AE47" s="2870" t="s">
        <v>36</v>
      </c>
      <c r="AF47" s="2870" t="s">
        <v>36</v>
      </c>
      <c r="AG47" s="2873" t="s">
        <v>36</v>
      </c>
      <c r="AH47" s="181"/>
      <c r="AI47" s="182"/>
      <c r="AK47" s="192"/>
    </row>
    <row r="48" spans="1:38" ht="22.35" customHeight="1" thickBot="1">
      <c r="A48" s="2862">
        <v>14</v>
      </c>
      <c r="B48" s="2863" t="s">
        <v>89</v>
      </c>
      <c r="C48" s="2882">
        <v>5</v>
      </c>
      <c r="D48" s="2882" t="s">
        <v>393</v>
      </c>
      <c r="E48" s="2883">
        <v>5</v>
      </c>
      <c r="F48" s="2883">
        <v>5</v>
      </c>
      <c r="G48" s="2832"/>
      <c r="H48" s="2832"/>
      <c r="I48" s="2832">
        <v>10</v>
      </c>
      <c r="J48" s="2833">
        <v>10</v>
      </c>
      <c r="K48" s="2833">
        <v>10</v>
      </c>
      <c r="L48" s="2833">
        <v>10</v>
      </c>
      <c r="M48" s="2833">
        <v>10</v>
      </c>
      <c r="N48" s="2833" t="s">
        <v>77</v>
      </c>
      <c r="O48" s="2788" t="s">
        <v>77</v>
      </c>
      <c r="P48" s="2833" t="s">
        <v>36</v>
      </c>
      <c r="Q48" s="2833" t="s">
        <v>36</v>
      </c>
      <c r="R48" s="2788" t="s">
        <v>36</v>
      </c>
      <c r="S48" s="2833" t="s">
        <v>36</v>
      </c>
      <c r="T48" s="2833" t="s">
        <v>36</v>
      </c>
      <c r="U48" s="2833" t="s">
        <v>80</v>
      </c>
      <c r="V48" s="2833" t="s">
        <v>80</v>
      </c>
      <c r="W48" s="2883">
        <v>7</v>
      </c>
      <c r="X48" s="2883">
        <v>7</v>
      </c>
      <c r="Y48" s="2883">
        <v>7</v>
      </c>
      <c r="Z48" s="2884">
        <v>7</v>
      </c>
      <c r="AA48" s="2884">
        <v>7</v>
      </c>
      <c r="AB48" s="2883"/>
      <c r="AC48" s="2883"/>
      <c r="AD48" s="2725">
        <v>4</v>
      </c>
      <c r="AE48" s="2725">
        <v>4</v>
      </c>
      <c r="AF48" s="2725">
        <v>4</v>
      </c>
      <c r="AG48" s="2885">
        <v>4</v>
      </c>
      <c r="AH48" s="181"/>
      <c r="AI48" s="182"/>
    </row>
    <row r="49" spans="1:40" ht="22.35" customHeight="1">
      <c r="A49" s="359">
        <v>5</v>
      </c>
      <c r="B49" s="2805" t="s">
        <v>90</v>
      </c>
      <c r="C49" s="350">
        <v>11</v>
      </c>
      <c r="D49" s="361">
        <v>11</v>
      </c>
      <c r="E49" s="361">
        <v>11</v>
      </c>
      <c r="F49" s="350">
        <v>11</v>
      </c>
      <c r="G49" s="350" t="s">
        <v>73</v>
      </c>
      <c r="H49" s="350" t="s">
        <v>73</v>
      </c>
      <c r="I49" s="350" t="s">
        <v>36</v>
      </c>
      <c r="J49" s="350" t="s">
        <v>36</v>
      </c>
      <c r="K49" s="361" t="s">
        <v>36</v>
      </c>
      <c r="L49" s="361" t="s">
        <v>36</v>
      </c>
      <c r="M49" s="361" t="s">
        <v>36</v>
      </c>
      <c r="N49" s="528" t="s">
        <v>74</v>
      </c>
      <c r="O49" s="349" t="s">
        <v>74</v>
      </c>
      <c r="P49" s="361">
        <v>8</v>
      </c>
      <c r="Q49" s="361">
        <v>8</v>
      </c>
      <c r="R49" s="349">
        <v>8</v>
      </c>
      <c r="S49" s="361">
        <v>8</v>
      </c>
      <c r="T49" s="361">
        <v>8</v>
      </c>
      <c r="U49" s="350"/>
      <c r="V49" s="350"/>
      <c r="W49" s="350" t="s">
        <v>36</v>
      </c>
      <c r="X49" s="350" t="s">
        <v>36</v>
      </c>
      <c r="Y49" s="351" t="s">
        <v>36</v>
      </c>
      <c r="Z49" s="350" t="s">
        <v>36</v>
      </c>
      <c r="AA49" s="350" t="s">
        <v>36</v>
      </c>
      <c r="AB49" s="350"/>
      <c r="AC49" s="350"/>
      <c r="AD49" s="568">
        <v>1</v>
      </c>
      <c r="AE49" s="568">
        <v>1</v>
      </c>
      <c r="AF49" s="583">
        <v>1</v>
      </c>
      <c r="AG49" s="692">
        <v>1</v>
      </c>
      <c r="AH49" s="181"/>
      <c r="AI49" s="182"/>
    </row>
    <row r="50" spans="1:40" ht="22.35" customHeight="1">
      <c r="A50" s="2857">
        <v>10</v>
      </c>
      <c r="B50" s="2805" t="s">
        <v>91</v>
      </c>
      <c r="C50" s="2870">
        <v>9</v>
      </c>
      <c r="D50" s="2886">
        <v>9</v>
      </c>
      <c r="E50" s="2886">
        <v>9</v>
      </c>
      <c r="F50" s="2887">
        <v>9</v>
      </c>
      <c r="G50" s="2888" t="s">
        <v>76</v>
      </c>
      <c r="H50" s="2888" t="s">
        <v>77</v>
      </c>
      <c r="I50" s="2888" t="s">
        <v>36</v>
      </c>
      <c r="J50" s="2888" t="s">
        <v>36</v>
      </c>
      <c r="K50" s="2888" t="s">
        <v>363</v>
      </c>
      <c r="L50" s="2798" t="s">
        <v>36</v>
      </c>
      <c r="M50" s="2798" t="s">
        <v>36</v>
      </c>
      <c r="N50" s="2798" t="s">
        <v>78</v>
      </c>
      <c r="O50" s="2798" t="s">
        <v>74</v>
      </c>
      <c r="P50" s="2798">
        <v>6</v>
      </c>
      <c r="Q50" s="2798">
        <v>6</v>
      </c>
      <c r="R50" s="2798">
        <v>6</v>
      </c>
      <c r="S50" s="2798">
        <v>6</v>
      </c>
      <c r="T50" s="2798">
        <v>6</v>
      </c>
      <c r="U50" s="2798"/>
      <c r="V50" s="2798"/>
      <c r="W50" s="2802" t="s">
        <v>36</v>
      </c>
      <c r="X50" s="2870" t="s">
        <v>36</v>
      </c>
      <c r="Y50" s="2875" t="s">
        <v>36</v>
      </c>
      <c r="Z50" s="2870" t="s">
        <v>36</v>
      </c>
      <c r="AA50" s="2870" t="s">
        <v>36</v>
      </c>
      <c r="AB50" s="2870"/>
      <c r="AC50" s="2870"/>
      <c r="AD50" s="2870">
        <v>5</v>
      </c>
      <c r="AE50" s="2870">
        <v>5</v>
      </c>
      <c r="AF50" s="2870">
        <v>5</v>
      </c>
      <c r="AG50" s="2873">
        <v>5</v>
      </c>
      <c r="AH50" s="181"/>
      <c r="AI50" s="182"/>
    </row>
    <row r="51" spans="1:40" ht="22.35" customHeight="1" thickBot="1">
      <c r="A51" s="2862">
        <v>15</v>
      </c>
      <c r="B51" s="2863" t="s">
        <v>92</v>
      </c>
      <c r="C51" s="2833">
        <v>10</v>
      </c>
      <c r="D51" s="2833">
        <v>10</v>
      </c>
      <c r="E51" s="2833">
        <v>10</v>
      </c>
      <c r="F51" s="2832">
        <v>10</v>
      </c>
      <c r="G51" s="2832" t="s">
        <v>77</v>
      </c>
      <c r="H51" s="2832" t="s">
        <v>77</v>
      </c>
      <c r="I51" s="2832" t="s">
        <v>36</v>
      </c>
      <c r="J51" s="2832" t="s">
        <v>36</v>
      </c>
      <c r="K51" s="2788" t="s">
        <v>36</v>
      </c>
      <c r="L51" s="2833" t="s">
        <v>36</v>
      </c>
      <c r="M51" s="2833" t="s">
        <v>36</v>
      </c>
      <c r="N51" s="2833" t="s">
        <v>80</v>
      </c>
      <c r="O51" s="2833" t="s">
        <v>80</v>
      </c>
      <c r="P51" s="2833">
        <v>7</v>
      </c>
      <c r="Q51" s="2788">
        <v>7</v>
      </c>
      <c r="R51" s="2833">
        <v>7</v>
      </c>
      <c r="S51" s="2833">
        <v>7</v>
      </c>
      <c r="T51" s="2833">
        <v>7</v>
      </c>
      <c r="U51" s="2833"/>
      <c r="V51" s="2833"/>
      <c r="W51" s="2833">
        <v>4</v>
      </c>
      <c r="X51" s="2833">
        <v>4</v>
      </c>
      <c r="Y51" s="2889">
        <v>4</v>
      </c>
      <c r="Z51" s="2889">
        <v>4</v>
      </c>
      <c r="AA51" s="2833">
        <v>4</v>
      </c>
      <c r="AB51" s="2833"/>
      <c r="AC51" s="2833"/>
      <c r="AD51" s="2725">
        <v>3</v>
      </c>
      <c r="AE51" s="2725">
        <v>3</v>
      </c>
      <c r="AF51" s="2725">
        <v>3</v>
      </c>
      <c r="AG51" s="2885">
        <v>3</v>
      </c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2890" t="s">
        <v>28</v>
      </c>
      <c r="B54" s="2890"/>
      <c r="C54" s="2860"/>
      <c r="D54" s="2890" t="s">
        <v>94</v>
      </c>
      <c r="E54" s="2891"/>
      <c r="F54" s="2860"/>
      <c r="G54" s="2890" t="s">
        <v>95</v>
      </c>
      <c r="H54" s="2891"/>
      <c r="I54" s="2860"/>
      <c r="J54" s="2890" t="s">
        <v>96</v>
      </c>
      <c r="K54" s="2891"/>
      <c r="L54" s="2860"/>
      <c r="M54" s="2890" t="s">
        <v>97</v>
      </c>
      <c r="N54" s="2891"/>
      <c r="O54" s="2860"/>
      <c r="P54" s="2890" t="s">
        <v>98</v>
      </c>
      <c r="Q54" s="2891"/>
      <c r="R54" s="2892"/>
      <c r="S54" s="2893" t="s">
        <v>99</v>
      </c>
      <c r="T54" s="2891"/>
      <c r="U54" s="2860"/>
      <c r="V54" s="2890" t="s">
        <v>100</v>
      </c>
      <c r="W54" s="2891"/>
      <c r="X54" s="2894" t="s">
        <v>101</v>
      </c>
      <c r="Y54" s="2891"/>
      <c r="Z54" s="2891"/>
      <c r="AA54" s="2895"/>
      <c r="AB54" s="2772"/>
      <c r="AC54" s="2772"/>
      <c r="AD54" s="2772"/>
      <c r="AE54" s="2772"/>
      <c r="AF54" s="2772"/>
      <c r="AG54" s="2773"/>
      <c r="AH54" s="1"/>
    </row>
    <row r="55" spans="1:40" ht="22.35" customHeight="1">
      <c r="A55" s="2896">
        <v>8517</v>
      </c>
      <c r="B55" s="2897" t="s">
        <v>381</v>
      </c>
      <c r="C55" s="2898" t="s">
        <v>394</v>
      </c>
      <c r="D55" s="2899"/>
      <c r="E55" s="2771"/>
      <c r="F55" s="2898" t="s">
        <v>394</v>
      </c>
      <c r="G55" s="2899"/>
      <c r="H55" s="2771"/>
      <c r="I55" s="2898" t="s">
        <v>394</v>
      </c>
      <c r="J55" s="2899"/>
      <c r="K55" s="2771"/>
      <c r="L55" s="2898" t="s">
        <v>394</v>
      </c>
      <c r="M55" s="2899"/>
      <c r="N55" s="2771"/>
      <c r="O55" s="2898" t="s">
        <v>395</v>
      </c>
      <c r="P55" s="2899"/>
      <c r="Q55" s="2771"/>
      <c r="R55" s="2898"/>
      <c r="S55" s="2899"/>
      <c r="T55" s="2771"/>
      <c r="U55" s="2898" t="s">
        <v>383</v>
      </c>
      <c r="V55" s="2899"/>
      <c r="W55" s="2771"/>
      <c r="X55" s="2769"/>
      <c r="Y55" s="2772"/>
      <c r="Z55" s="2772"/>
      <c r="AA55" s="2772"/>
      <c r="AB55" s="2772"/>
      <c r="AC55" s="2772"/>
      <c r="AD55" s="2772"/>
      <c r="AE55" s="2772"/>
      <c r="AF55" s="2772"/>
      <c r="AG55" s="2773"/>
      <c r="AH55" s="1"/>
    </row>
    <row r="56" spans="1:40" ht="22.35" customHeight="1">
      <c r="B56" s="2796" t="s">
        <v>102</v>
      </c>
      <c r="C56" s="2900" t="s">
        <v>103</v>
      </c>
      <c r="D56" s="2901"/>
      <c r="E56" s="2902"/>
      <c r="F56" s="2900" t="s">
        <v>103</v>
      </c>
      <c r="G56" s="2903"/>
      <c r="H56" s="2902"/>
      <c r="I56" s="2898" t="s">
        <v>103</v>
      </c>
      <c r="J56" s="2899"/>
      <c r="K56" s="2904"/>
      <c r="L56" s="2898" t="s">
        <v>103</v>
      </c>
      <c r="M56" s="2899"/>
      <c r="N56" s="2904"/>
      <c r="O56" s="2898" t="s">
        <v>104</v>
      </c>
      <c r="P56" s="2899"/>
      <c r="Q56" s="2771"/>
      <c r="R56" s="2905" t="s">
        <v>0</v>
      </c>
      <c r="S56" s="2899"/>
      <c r="T56" s="2904"/>
      <c r="U56" s="2899" t="s">
        <v>0</v>
      </c>
      <c r="V56" s="2899"/>
      <c r="W56" s="2771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  <c r="AL56" s="192"/>
    </row>
    <row r="57" spans="1:40" ht="22.35" customHeight="1">
      <c r="A57" s="2906"/>
      <c r="B57" s="2897" t="s">
        <v>105</v>
      </c>
      <c r="C57" s="2898" t="s">
        <v>396</v>
      </c>
      <c r="D57" s="2899"/>
      <c r="E57" s="2771"/>
      <c r="F57" s="2898" t="s">
        <v>396</v>
      </c>
      <c r="G57" s="2899"/>
      <c r="H57" s="2771"/>
      <c r="I57" s="2898" t="s">
        <v>396</v>
      </c>
      <c r="J57" s="2899"/>
      <c r="K57" s="2771"/>
      <c r="L57" s="2898" t="s">
        <v>396</v>
      </c>
      <c r="M57" s="2899"/>
      <c r="N57" s="2771"/>
      <c r="O57" s="2898" t="s">
        <v>397</v>
      </c>
      <c r="P57" s="2899"/>
      <c r="Q57" s="2771"/>
      <c r="R57" s="112"/>
      <c r="S57" s="113"/>
      <c r="T57" s="2904"/>
      <c r="U57" s="2899"/>
      <c r="V57" s="2899"/>
      <c r="W57" s="2771"/>
      <c r="X57" s="2769"/>
      <c r="Y57" s="2772"/>
      <c r="Z57" s="2772"/>
      <c r="AA57" s="2772"/>
      <c r="AB57" s="2772"/>
      <c r="AC57" s="2772"/>
      <c r="AD57" s="2772"/>
      <c r="AE57" s="2772"/>
      <c r="AF57" s="2772"/>
      <c r="AG57" s="2773"/>
      <c r="AH57" s="1"/>
    </row>
    <row r="58" spans="1:40" ht="22.35" customHeight="1">
      <c r="A58" s="2890"/>
      <c r="B58" s="2796"/>
      <c r="C58" s="2907"/>
      <c r="D58" s="2907"/>
      <c r="E58" s="2908"/>
      <c r="F58" s="2907"/>
      <c r="G58" s="2907"/>
      <c r="H58" s="2908"/>
      <c r="I58" s="2907"/>
      <c r="J58" s="2907"/>
      <c r="K58" s="2908"/>
      <c r="L58" s="2907"/>
      <c r="M58" s="2907"/>
      <c r="N58" s="2908"/>
      <c r="O58" s="2907"/>
      <c r="P58" s="2907"/>
      <c r="Q58" s="2908"/>
      <c r="R58" s="2907"/>
      <c r="S58" s="2907"/>
      <c r="T58" s="2908"/>
      <c r="U58" s="2907"/>
      <c r="V58" s="2907"/>
      <c r="W58" s="2908"/>
      <c r="X58" s="2769"/>
      <c r="Y58" s="2772"/>
      <c r="Z58" s="2772"/>
      <c r="AA58" s="2772"/>
      <c r="AB58" s="2772"/>
      <c r="AC58" s="2772"/>
      <c r="AD58" s="2772"/>
      <c r="AE58" s="2772"/>
      <c r="AF58" s="2772"/>
      <c r="AG58" s="2773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2909"/>
      <c r="B60" s="2787" t="s">
        <v>29</v>
      </c>
      <c r="C60" s="2788">
        <v>1</v>
      </c>
      <c r="D60" s="2788">
        <v>2</v>
      </c>
      <c r="E60" s="2788">
        <v>3</v>
      </c>
      <c r="F60" s="2788">
        <v>4</v>
      </c>
      <c r="G60" s="2789">
        <v>5</v>
      </c>
      <c r="H60" s="2789">
        <v>6</v>
      </c>
      <c r="I60" s="2788">
        <v>7</v>
      </c>
      <c r="J60" s="2788">
        <v>8</v>
      </c>
      <c r="K60" s="2788">
        <v>9</v>
      </c>
      <c r="L60" s="2788">
        <v>10</v>
      </c>
      <c r="M60" s="2788">
        <v>11</v>
      </c>
      <c r="N60" s="2789">
        <v>12</v>
      </c>
      <c r="O60" s="2789">
        <v>13</v>
      </c>
      <c r="P60" s="2788">
        <v>14</v>
      </c>
      <c r="Q60" s="2788">
        <v>15</v>
      </c>
      <c r="R60" s="2788">
        <v>16</v>
      </c>
      <c r="S60" s="2788">
        <v>17</v>
      </c>
      <c r="T60" s="2788">
        <v>18</v>
      </c>
      <c r="U60" s="2789">
        <v>19</v>
      </c>
      <c r="V60" s="2789">
        <v>20</v>
      </c>
      <c r="W60" s="2788">
        <v>21</v>
      </c>
      <c r="X60" s="2788">
        <v>22</v>
      </c>
      <c r="Y60" s="2788">
        <v>23</v>
      </c>
      <c r="Z60" s="2788">
        <v>24</v>
      </c>
      <c r="AA60" s="2788">
        <v>25</v>
      </c>
      <c r="AB60" s="2789">
        <v>26</v>
      </c>
      <c r="AC60" s="2789">
        <v>27</v>
      </c>
      <c r="AD60" s="2788">
        <v>28</v>
      </c>
      <c r="AE60" s="2788">
        <v>29</v>
      </c>
      <c r="AF60" s="2788">
        <v>30</v>
      </c>
      <c r="AG60" s="2790">
        <v>31</v>
      </c>
      <c r="AH60" s="1"/>
      <c r="AJ60" s="2791" t="s">
        <v>30</v>
      </c>
      <c r="AK60" s="2791" t="s">
        <v>43</v>
      </c>
      <c r="AL60" s="2791" t="s">
        <v>44</v>
      </c>
      <c r="AM60" s="2791" t="s">
        <v>45</v>
      </c>
      <c r="AN60" s="2791" t="s">
        <v>46</v>
      </c>
    </row>
    <row r="61" spans="1:40" ht="22.35" customHeight="1">
      <c r="A61" s="303"/>
      <c r="B61" s="304" t="s">
        <v>107</v>
      </c>
      <c r="C61" s="349">
        <v>25</v>
      </c>
      <c r="D61" s="349">
        <v>25</v>
      </c>
      <c r="E61" s="349">
        <v>25</v>
      </c>
      <c r="F61" s="349">
        <v>25</v>
      </c>
      <c r="G61" s="349" t="s">
        <v>109</v>
      </c>
      <c r="H61" s="349" t="s">
        <v>109</v>
      </c>
      <c r="I61" s="305" t="s">
        <v>36</v>
      </c>
      <c r="J61" s="305" t="s">
        <v>36</v>
      </c>
      <c r="K61" s="305">
        <v>8</v>
      </c>
      <c r="L61" s="305">
        <v>25</v>
      </c>
      <c r="M61" s="726">
        <v>8</v>
      </c>
      <c r="N61" s="507"/>
      <c r="O61" s="192" t="s">
        <v>0</v>
      </c>
      <c r="P61" s="2910" t="s">
        <v>32</v>
      </c>
      <c r="Q61" s="2910" t="s">
        <v>32</v>
      </c>
      <c r="R61" s="2676">
        <v>1</v>
      </c>
      <c r="S61" s="2669" t="s">
        <v>52</v>
      </c>
      <c r="T61" s="2676">
        <v>25</v>
      </c>
      <c r="U61" s="307"/>
      <c r="V61" s="305"/>
      <c r="W61" s="507">
        <v>5</v>
      </c>
      <c r="X61" s="507">
        <v>5</v>
      </c>
      <c r="Y61" s="507">
        <v>5</v>
      </c>
      <c r="Z61" s="507">
        <v>5</v>
      </c>
      <c r="AA61" s="507">
        <v>5</v>
      </c>
      <c r="AB61" s="305"/>
      <c r="AC61" s="305"/>
      <c r="AD61" s="349" t="s">
        <v>108</v>
      </c>
      <c r="AE61" s="349" t="s">
        <v>108</v>
      </c>
      <c r="AF61" s="574" t="s">
        <v>108</v>
      </c>
      <c r="AG61" s="352" t="s">
        <v>108</v>
      </c>
      <c r="AH61" s="1"/>
      <c r="AJ61" s="2696">
        <v>200.75</v>
      </c>
      <c r="AK61" s="2696"/>
      <c r="AL61" s="2696">
        <f t="shared" ref="AL61:AL78" si="1">IF(AJ61="","",SUM(AJ61:AK61))</f>
        <v>200.75</v>
      </c>
      <c r="AM61" s="2818">
        <f t="shared" ref="AM61" si="2">IF(AJ61="","",AL61-NormTid)</f>
        <v>40.419999999999987</v>
      </c>
      <c r="AN61" s="2818">
        <f>IF(AM61="","",AM61+'Februar 2022'!AN62)</f>
        <v>56.759999999999962</v>
      </c>
    </row>
    <row r="62" spans="1:40" ht="22.35" customHeight="1" thickBot="1">
      <c r="A62" s="2911"/>
      <c r="B62" s="2911" t="s">
        <v>112</v>
      </c>
      <c r="C62" s="2912" t="s">
        <v>36</v>
      </c>
      <c r="D62" s="2912" t="s">
        <v>135</v>
      </c>
      <c r="E62" s="2913" t="s">
        <v>36</v>
      </c>
      <c r="F62" s="2912" t="s">
        <v>36</v>
      </c>
      <c r="G62" s="2912"/>
      <c r="H62" s="2913" t="s">
        <v>74</v>
      </c>
      <c r="I62" s="2914">
        <v>26</v>
      </c>
      <c r="J62" s="2914">
        <v>26</v>
      </c>
      <c r="K62" s="2914">
        <v>26</v>
      </c>
      <c r="L62" s="2914">
        <v>26</v>
      </c>
      <c r="M62" s="2914" t="s">
        <v>36</v>
      </c>
      <c r="N62" s="2915"/>
      <c r="O62" s="2914">
        <v>26</v>
      </c>
      <c r="P62" s="2820">
        <v>25</v>
      </c>
      <c r="Q62" s="2820">
        <v>25</v>
      </c>
      <c r="R62" s="2820">
        <v>25</v>
      </c>
      <c r="S62" s="2820">
        <v>25</v>
      </c>
      <c r="T62" s="2916">
        <v>26</v>
      </c>
      <c r="U62" s="2916"/>
      <c r="V62" s="2916"/>
      <c r="W62" s="2914" t="s">
        <v>36</v>
      </c>
      <c r="X62" s="2914">
        <v>26</v>
      </c>
      <c r="Y62" s="2917">
        <v>26</v>
      </c>
      <c r="Z62" s="2917">
        <v>26</v>
      </c>
      <c r="AA62" s="2917">
        <v>26</v>
      </c>
      <c r="AB62" s="2835"/>
      <c r="AC62" s="2835">
        <v>26</v>
      </c>
      <c r="AD62" s="2918" t="s">
        <v>36</v>
      </c>
      <c r="AE62" s="2918" t="s">
        <v>36</v>
      </c>
      <c r="AF62" s="2918" t="s">
        <v>36</v>
      </c>
      <c r="AG62" s="2835" t="s">
        <v>36</v>
      </c>
      <c r="AH62" s="1"/>
      <c r="AJ62" s="2696">
        <v>133.25</v>
      </c>
      <c r="AK62" s="2696"/>
      <c r="AL62" s="2696">
        <f t="shared" si="1"/>
        <v>133.25</v>
      </c>
      <c r="AM62" s="2818">
        <f t="shared" ref="AM62:AM78" si="3">IF(AJ62="","",AL62-NormTid)</f>
        <v>-27.080000000000013</v>
      </c>
      <c r="AN62" s="2818">
        <f>IF(AM62="","",AM62+'Februar 2022'!AN63)</f>
        <v>-52.740000000000038</v>
      </c>
    </row>
    <row r="63" spans="1:40" ht="22.35" customHeight="1" thickBot="1">
      <c r="A63" s="2911"/>
      <c r="B63" s="2911" t="s">
        <v>117</v>
      </c>
      <c r="C63" s="2918" t="s">
        <v>36</v>
      </c>
      <c r="D63" s="2918" t="s">
        <v>36</v>
      </c>
      <c r="E63" s="2918" t="s">
        <v>32</v>
      </c>
      <c r="F63" s="2669" t="s">
        <v>36</v>
      </c>
      <c r="G63" s="2833" t="s">
        <v>78</v>
      </c>
      <c r="H63" s="2833" t="s">
        <v>74</v>
      </c>
      <c r="I63" s="2915">
        <v>25</v>
      </c>
      <c r="J63" s="2915">
        <v>25</v>
      </c>
      <c r="K63" s="2915">
        <v>25</v>
      </c>
      <c r="L63" s="2915">
        <v>99</v>
      </c>
      <c r="M63" s="2915">
        <v>25</v>
      </c>
      <c r="N63" s="2919" t="s">
        <v>0</v>
      </c>
      <c r="O63" s="2669" t="s">
        <v>0</v>
      </c>
      <c r="P63" s="305" t="s">
        <v>36</v>
      </c>
      <c r="Q63" s="305" t="s">
        <v>36</v>
      </c>
      <c r="R63" s="305" t="s">
        <v>36</v>
      </c>
      <c r="S63" s="305" t="s">
        <v>36</v>
      </c>
      <c r="T63" s="305" t="s">
        <v>36</v>
      </c>
      <c r="U63" s="2920"/>
      <c r="V63" s="2920"/>
      <c r="W63" s="2920" t="s">
        <v>50</v>
      </c>
      <c r="X63" s="2920" t="s">
        <v>50</v>
      </c>
      <c r="Y63" s="2920" t="s">
        <v>50</v>
      </c>
      <c r="Z63" s="2920" t="s">
        <v>50</v>
      </c>
      <c r="AA63" s="2920" t="s">
        <v>50</v>
      </c>
      <c r="AB63" s="2788" t="s">
        <v>109</v>
      </c>
      <c r="AC63" s="2788" t="s">
        <v>109</v>
      </c>
      <c r="AD63" s="2918" t="s">
        <v>36</v>
      </c>
      <c r="AE63" s="2918" t="s">
        <v>36</v>
      </c>
      <c r="AF63" s="2918" t="s">
        <v>36</v>
      </c>
      <c r="AG63" s="2918" t="s">
        <v>36</v>
      </c>
      <c r="AH63" s="1"/>
      <c r="AJ63" s="2696">
        <v>134.25</v>
      </c>
      <c r="AK63" s="2696"/>
      <c r="AL63" s="2696">
        <f t="shared" si="1"/>
        <v>134.25</v>
      </c>
      <c r="AM63" s="2818">
        <f t="shared" si="3"/>
        <v>-26.080000000000013</v>
      </c>
      <c r="AN63" s="2818">
        <f>IF(AM63="","",AM63+'Februar 2022'!AN64)</f>
        <v>-43.490000000000038</v>
      </c>
    </row>
    <row r="64" spans="1:40" ht="22.35" customHeight="1" thickBot="1">
      <c r="A64" s="2911"/>
      <c r="B64" s="2911" t="s">
        <v>120</v>
      </c>
      <c r="C64" s="2914">
        <v>26</v>
      </c>
      <c r="D64" s="2914">
        <v>26</v>
      </c>
      <c r="E64" s="2914">
        <v>26</v>
      </c>
      <c r="F64" s="2914">
        <v>26</v>
      </c>
      <c r="G64" s="2914"/>
      <c r="H64" s="2914">
        <v>26</v>
      </c>
      <c r="I64" s="2921" t="s">
        <v>32</v>
      </c>
      <c r="J64" s="2921" t="s">
        <v>32</v>
      </c>
      <c r="K64" s="2921" t="s">
        <v>32</v>
      </c>
      <c r="L64" s="2921" t="s">
        <v>32</v>
      </c>
      <c r="M64" s="2921" t="s">
        <v>32</v>
      </c>
      <c r="N64" s="2920"/>
      <c r="O64" s="2920"/>
      <c r="P64" s="2788" t="s">
        <v>246</v>
      </c>
      <c r="Q64" s="2788" t="s">
        <v>246</v>
      </c>
      <c r="R64" s="305" t="s">
        <v>36</v>
      </c>
      <c r="S64" s="305" t="s">
        <v>36</v>
      </c>
      <c r="T64" s="305" t="s">
        <v>36</v>
      </c>
      <c r="U64" s="2920"/>
      <c r="V64" s="192" t="s">
        <v>32</v>
      </c>
      <c r="W64" s="2820" t="s">
        <v>108</v>
      </c>
      <c r="X64" s="2820" t="s">
        <v>108</v>
      </c>
      <c r="Y64" s="2817" t="s">
        <v>108</v>
      </c>
      <c r="Z64" s="2817" t="s">
        <v>108</v>
      </c>
      <c r="AA64" s="2817" t="s">
        <v>108</v>
      </c>
      <c r="AB64" s="2835"/>
      <c r="AC64" s="2913"/>
      <c r="AD64" s="2835">
        <v>26</v>
      </c>
      <c r="AE64" s="2835">
        <v>26</v>
      </c>
      <c r="AF64" s="2913">
        <v>26</v>
      </c>
      <c r="AG64" s="2835">
        <v>26</v>
      </c>
      <c r="AH64" s="1"/>
      <c r="AJ64" s="2696">
        <v>170</v>
      </c>
      <c r="AK64" s="2696"/>
      <c r="AL64" s="2696">
        <f t="shared" si="1"/>
        <v>170</v>
      </c>
      <c r="AM64" s="2818">
        <f t="shared" si="3"/>
        <v>9.6699999999999875</v>
      </c>
      <c r="AN64" s="2818">
        <f>IF(AM64="","",AM64+'Februar 2022'!AN66)</f>
        <v>62.259999999999962</v>
      </c>
    </row>
    <row r="65" spans="1:40" ht="22.35" customHeight="1" thickBot="1">
      <c r="A65" s="2880"/>
      <c r="B65" s="2922" t="s">
        <v>123</v>
      </c>
      <c r="C65" s="2923" t="s">
        <v>32</v>
      </c>
      <c r="D65" s="2924" t="s">
        <v>36</v>
      </c>
      <c r="E65" s="2669" t="s">
        <v>36</v>
      </c>
      <c r="F65" s="2669" t="s">
        <v>32</v>
      </c>
      <c r="G65" s="2669" t="s">
        <v>74</v>
      </c>
      <c r="H65" s="2669" t="s">
        <v>32</v>
      </c>
      <c r="I65" s="2913" t="s">
        <v>36</v>
      </c>
      <c r="J65" s="2835" t="s">
        <v>36</v>
      </c>
      <c r="K65" s="2913">
        <v>4</v>
      </c>
      <c r="L65" s="2835" t="s">
        <v>36</v>
      </c>
      <c r="M65" s="2918">
        <v>26</v>
      </c>
      <c r="N65" s="2913"/>
      <c r="O65" s="192" t="s">
        <v>32</v>
      </c>
      <c r="P65" s="2914">
        <v>26</v>
      </c>
      <c r="Q65" s="2914">
        <v>26</v>
      </c>
      <c r="R65" s="2914">
        <v>26</v>
      </c>
      <c r="S65" s="2914">
        <v>26</v>
      </c>
      <c r="T65" s="2914" t="s">
        <v>36</v>
      </c>
      <c r="U65" s="2925"/>
      <c r="V65" s="2917">
        <v>26</v>
      </c>
      <c r="W65" s="2835" t="s">
        <v>32</v>
      </c>
      <c r="X65" s="2835" t="s">
        <v>36</v>
      </c>
      <c r="Y65" s="2858" t="s">
        <v>36</v>
      </c>
      <c r="Z65" s="2858" t="s">
        <v>36</v>
      </c>
      <c r="AA65" s="2835" t="s">
        <v>36</v>
      </c>
      <c r="AB65" s="2913"/>
      <c r="AC65" s="2913"/>
      <c r="AD65" s="2798" t="s">
        <v>32</v>
      </c>
      <c r="AE65" s="2798" t="s">
        <v>32</v>
      </c>
      <c r="AF65" s="2858" t="s">
        <v>32</v>
      </c>
      <c r="AG65" s="2858" t="s">
        <v>32</v>
      </c>
      <c r="AH65" s="1"/>
      <c r="AJ65" s="2696">
        <v>139.25</v>
      </c>
      <c r="AK65" s="2696"/>
      <c r="AL65" s="2696">
        <f t="shared" si="1"/>
        <v>139.25</v>
      </c>
      <c r="AM65" s="2818">
        <f t="shared" si="3"/>
        <v>-21.080000000000013</v>
      </c>
      <c r="AN65" s="2818">
        <f>IF(AM65="","",AM65+'Februar 2022'!AN67)</f>
        <v>-81.240000000000038</v>
      </c>
    </row>
    <row r="66" spans="1:40" ht="22.35" customHeight="1">
      <c r="A66" s="2911"/>
      <c r="B66" s="2911" t="s">
        <v>128</v>
      </c>
      <c r="C66" s="2912" t="s">
        <v>135</v>
      </c>
      <c r="D66" s="2926" t="s">
        <v>135</v>
      </c>
      <c r="E66" s="2912" t="s">
        <v>135</v>
      </c>
      <c r="F66" s="2912" t="s">
        <v>135</v>
      </c>
      <c r="G66" s="2835"/>
      <c r="H66" s="2835"/>
      <c r="I66" s="2912" t="s">
        <v>135</v>
      </c>
      <c r="J66" s="2912" t="s">
        <v>135</v>
      </c>
      <c r="K66" s="2926" t="s">
        <v>135</v>
      </c>
      <c r="L66" s="2912" t="s">
        <v>135</v>
      </c>
      <c r="M66" s="2912" t="s">
        <v>135</v>
      </c>
      <c r="N66" s="2920"/>
      <c r="O66" s="2920"/>
      <c r="P66" s="2912" t="s">
        <v>135</v>
      </c>
      <c r="Q66" s="2912" t="s">
        <v>135</v>
      </c>
      <c r="R66" s="2912" t="s">
        <v>135</v>
      </c>
      <c r="S66" s="2912" t="s">
        <v>135</v>
      </c>
      <c r="T66" s="2912" t="s">
        <v>135</v>
      </c>
      <c r="U66" s="2920"/>
      <c r="V66" s="2920"/>
      <c r="W66" s="2927" t="s">
        <v>135</v>
      </c>
      <c r="X66" s="2912" t="s">
        <v>135</v>
      </c>
      <c r="Y66" s="2912" t="s">
        <v>135</v>
      </c>
      <c r="Z66" s="2912" t="s">
        <v>135</v>
      </c>
      <c r="AA66" s="2912" t="s">
        <v>135</v>
      </c>
      <c r="AB66" s="2835"/>
      <c r="AC66" s="2835"/>
      <c r="AD66" s="2912" t="s">
        <v>135</v>
      </c>
      <c r="AE66" s="2912" t="s">
        <v>135</v>
      </c>
      <c r="AF66" s="2912" t="s">
        <v>135</v>
      </c>
      <c r="AG66" s="2912" t="s">
        <v>135</v>
      </c>
      <c r="AH66" s="1"/>
      <c r="AJ66" s="2696">
        <v>172.75</v>
      </c>
      <c r="AK66" s="2696"/>
      <c r="AL66" s="2696">
        <f t="shared" si="1"/>
        <v>172.75</v>
      </c>
      <c r="AM66" s="2818">
        <f t="shared" si="3"/>
        <v>12.419999999999987</v>
      </c>
      <c r="AN66" s="2818">
        <f>IF(AM66="","",AM66+'Februar 2022'!AN68)</f>
        <v>-3.2400000000000375</v>
      </c>
    </row>
    <row r="67" spans="1:40" ht="22.35" customHeight="1">
      <c r="A67" s="2911"/>
      <c r="B67" s="2911" t="s">
        <v>131</v>
      </c>
      <c r="C67" s="2835" t="s">
        <v>122</v>
      </c>
      <c r="D67" s="2835" t="s">
        <v>122</v>
      </c>
      <c r="E67" s="2835" t="s">
        <v>122</v>
      </c>
      <c r="F67" s="2835" t="s">
        <v>122</v>
      </c>
      <c r="G67" s="2835"/>
      <c r="H67" s="2835"/>
      <c r="I67" s="2835" t="s">
        <v>122</v>
      </c>
      <c r="J67" s="2835" t="s">
        <v>122</v>
      </c>
      <c r="K67" s="2835" t="s">
        <v>122</v>
      </c>
      <c r="L67" s="2835" t="s">
        <v>122</v>
      </c>
      <c r="M67" s="2835" t="s">
        <v>122</v>
      </c>
      <c r="N67" s="2835"/>
      <c r="O67" s="2835"/>
      <c r="P67" s="2835" t="s">
        <v>122</v>
      </c>
      <c r="Q67" s="2835" t="s">
        <v>122</v>
      </c>
      <c r="R67" s="2835" t="s">
        <v>122</v>
      </c>
      <c r="S67" s="2835" t="s">
        <v>122</v>
      </c>
      <c r="T67" s="2835" t="s">
        <v>122</v>
      </c>
      <c r="U67" s="2835"/>
      <c r="V67" s="2835"/>
      <c r="W67" s="2835" t="s">
        <v>122</v>
      </c>
      <c r="X67" s="2835" t="s">
        <v>122</v>
      </c>
      <c r="Y67" s="2835" t="s">
        <v>122</v>
      </c>
      <c r="Z67" s="2835" t="s">
        <v>122</v>
      </c>
      <c r="AA67" s="2835" t="s">
        <v>122</v>
      </c>
      <c r="AB67" s="2835" t="s">
        <v>111</v>
      </c>
      <c r="AC67" s="2835" t="s">
        <v>111</v>
      </c>
      <c r="AD67" s="2835" t="s">
        <v>122</v>
      </c>
      <c r="AE67" s="2835" t="s">
        <v>122</v>
      </c>
      <c r="AF67" s="2835" t="s">
        <v>122</v>
      </c>
      <c r="AG67" s="2835" t="s">
        <v>122</v>
      </c>
      <c r="AH67" s="1"/>
      <c r="AJ67" s="2696">
        <v>172.75</v>
      </c>
      <c r="AK67" s="2696"/>
      <c r="AL67" s="2696">
        <f t="shared" si="1"/>
        <v>172.75</v>
      </c>
      <c r="AM67" s="2818">
        <f t="shared" si="3"/>
        <v>12.419999999999987</v>
      </c>
      <c r="AN67" s="2818">
        <f>IF(AM67="","",AM67+'Februar 2022'!AN69)</f>
        <v>-4.7400000000000375</v>
      </c>
    </row>
    <row r="68" spans="1:40" ht="22.35" customHeight="1">
      <c r="A68" s="2911"/>
      <c r="B68" s="2928" t="s">
        <v>139</v>
      </c>
      <c r="C68" s="2835" t="s">
        <v>36</v>
      </c>
      <c r="D68" s="2835" t="s">
        <v>36</v>
      </c>
      <c r="E68" s="2817" t="s">
        <v>32</v>
      </c>
      <c r="F68" s="2835">
        <v>4</v>
      </c>
      <c r="G68" s="2835"/>
      <c r="H68" s="192" t="s">
        <v>32</v>
      </c>
      <c r="I68" s="2835" t="s">
        <v>36</v>
      </c>
      <c r="J68" s="2913" t="s">
        <v>36</v>
      </c>
      <c r="K68" s="2915">
        <v>6</v>
      </c>
      <c r="L68" s="2915">
        <v>6</v>
      </c>
      <c r="M68" s="2915">
        <v>6</v>
      </c>
      <c r="N68" s="2835" t="s">
        <v>74</v>
      </c>
      <c r="O68" s="2835"/>
      <c r="P68" s="2676">
        <v>79</v>
      </c>
      <c r="Q68" s="2676">
        <v>79</v>
      </c>
      <c r="R68" s="2676">
        <v>79</v>
      </c>
      <c r="S68" s="2676">
        <v>79</v>
      </c>
      <c r="T68" s="2676">
        <v>79</v>
      </c>
      <c r="U68" s="2835"/>
      <c r="V68" s="2835"/>
      <c r="W68" s="2916">
        <v>89</v>
      </c>
      <c r="X68" s="2916">
        <v>89</v>
      </c>
      <c r="Y68" s="2916" t="s">
        <v>32</v>
      </c>
      <c r="Z68" s="2916">
        <v>89</v>
      </c>
      <c r="AA68" s="2916">
        <v>89</v>
      </c>
      <c r="AB68" s="2916"/>
      <c r="AC68" s="2913">
        <v>22</v>
      </c>
      <c r="AD68" s="2676">
        <v>10</v>
      </c>
      <c r="AE68" s="2676">
        <v>10</v>
      </c>
      <c r="AF68" s="2676">
        <v>10</v>
      </c>
      <c r="AG68" s="2676">
        <v>10</v>
      </c>
      <c r="AH68" s="1"/>
      <c r="AJ68" s="2696">
        <v>162</v>
      </c>
      <c r="AK68" s="2696"/>
      <c r="AL68" s="2696">
        <f t="shared" si="1"/>
        <v>162</v>
      </c>
      <c r="AM68" s="2818">
        <f t="shared" si="3"/>
        <v>1.6699999999999875</v>
      </c>
      <c r="AN68" s="2818">
        <f>IF(AM68="","",AM68+'Februar 2022'!AN70)</f>
        <v>9.0099999999999625</v>
      </c>
    </row>
    <row r="69" spans="1:40" ht="22.35" customHeight="1">
      <c r="A69" s="2911"/>
      <c r="B69" s="2928" t="s">
        <v>140</v>
      </c>
      <c r="C69" s="2835" t="s">
        <v>108</v>
      </c>
      <c r="D69" s="2835" t="s">
        <v>108</v>
      </c>
      <c r="E69" s="2835" t="s">
        <v>108</v>
      </c>
      <c r="F69" s="2835" t="s">
        <v>108</v>
      </c>
      <c r="G69" s="2835"/>
      <c r="H69" s="2835"/>
      <c r="I69" s="2915">
        <v>6</v>
      </c>
      <c r="J69" s="2915">
        <v>6</v>
      </c>
      <c r="K69" s="2915">
        <v>5</v>
      </c>
      <c r="L69" s="2915">
        <v>5</v>
      </c>
      <c r="M69" s="2915">
        <v>5</v>
      </c>
      <c r="N69" s="2835"/>
      <c r="O69" s="2835"/>
      <c r="P69" s="2920">
        <v>3</v>
      </c>
      <c r="Q69" s="2920">
        <v>3</v>
      </c>
      <c r="R69" s="2920">
        <v>3</v>
      </c>
      <c r="S69" s="2920">
        <v>3</v>
      </c>
      <c r="T69" s="2920">
        <v>3</v>
      </c>
      <c r="U69" s="2858" t="s">
        <v>0</v>
      </c>
      <c r="V69" s="2858" t="s">
        <v>0</v>
      </c>
      <c r="W69" s="2918">
        <v>26</v>
      </c>
      <c r="X69" s="2858" t="s">
        <v>36</v>
      </c>
      <c r="Y69" s="2858" t="s">
        <v>36</v>
      </c>
      <c r="Z69" s="2858" t="s">
        <v>36</v>
      </c>
      <c r="AA69" s="2929" t="s">
        <v>36</v>
      </c>
      <c r="AB69" s="2680" t="s">
        <v>0</v>
      </c>
      <c r="AC69" s="2680" t="s">
        <v>315</v>
      </c>
      <c r="AD69" s="2798" t="s">
        <v>32</v>
      </c>
      <c r="AE69" s="2798" t="s">
        <v>32</v>
      </c>
      <c r="AF69" s="2798" t="s">
        <v>32</v>
      </c>
      <c r="AG69" s="2798" t="s">
        <v>32</v>
      </c>
      <c r="AH69" s="1"/>
      <c r="AJ69" s="2915">
        <v>164.75</v>
      </c>
      <c r="AK69" s="2915"/>
      <c r="AL69" s="2915">
        <f t="shared" si="1"/>
        <v>164.75</v>
      </c>
      <c r="AM69" s="2930">
        <f t="shared" si="3"/>
        <v>4.4199999999999875</v>
      </c>
      <c r="AN69" s="2930">
        <f>IF(AM69="","",AM69+'Februar 2022'!AN71)</f>
        <v>-0.24000000000003752</v>
      </c>
    </row>
    <row r="70" spans="1:40" ht="22.35" customHeight="1">
      <c r="A70" s="2931"/>
      <c r="B70" s="2928" t="s">
        <v>398</v>
      </c>
      <c r="C70" s="2932" t="s">
        <v>32</v>
      </c>
      <c r="D70" s="2932" t="s">
        <v>32</v>
      </c>
      <c r="E70" s="2932" t="s">
        <v>32</v>
      </c>
      <c r="F70" s="2932" t="s">
        <v>32</v>
      </c>
      <c r="G70" s="2933"/>
      <c r="H70" s="2933"/>
      <c r="I70" s="2932" t="s">
        <v>32</v>
      </c>
      <c r="J70" s="2932" t="s">
        <v>32</v>
      </c>
      <c r="K70" s="2932" t="s">
        <v>32</v>
      </c>
      <c r="L70" s="2932" t="s">
        <v>32</v>
      </c>
      <c r="M70" s="2934" t="s">
        <v>32</v>
      </c>
      <c r="N70" s="2933"/>
      <c r="O70" s="2933"/>
      <c r="P70" s="2932" t="s">
        <v>32</v>
      </c>
      <c r="Q70" s="2932" t="s">
        <v>32</v>
      </c>
      <c r="R70" s="2932" t="s">
        <v>32</v>
      </c>
      <c r="S70" s="2932" t="s">
        <v>32</v>
      </c>
      <c r="T70" s="2932" t="s">
        <v>32</v>
      </c>
      <c r="U70" s="2933"/>
      <c r="V70" s="2933"/>
      <c r="W70" s="2932" t="s">
        <v>32</v>
      </c>
      <c r="X70" s="2932" t="s">
        <v>32</v>
      </c>
      <c r="Y70" s="2932" t="s">
        <v>32</v>
      </c>
      <c r="Z70" s="2932" t="s">
        <v>32</v>
      </c>
      <c r="AA70" s="2935" t="s">
        <v>32</v>
      </c>
      <c r="AB70" s="2936">
        <v>22</v>
      </c>
      <c r="AC70" s="2933"/>
      <c r="AD70" s="2932" t="s">
        <v>348</v>
      </c>
      <c r="AE70" s="2932" t="s">
        <v>348</v>
      </c>
      <c r="AF70" s="2932" t="s">
        <v>348</v>
      </c>
      <c r="AG70" s="2937" t="s">
        <v>348</v>
      </c>
      <c r="AH70" s="1"/>
      <c r="AJ70" s="2915">
        <v>178.5</v>
      </c>
      <c r="AK70" s="2915"/>
      <c r="AL70" s="2915">
        <f t="shared" si="1"/>
        <v>178.5</v>
      </c>
      <c r="AM70" s="2930">
        <f t="shared" si="3"/>
        <v>18.169999999999987</v>
      </c>
      <c r="AN70" s="2930">
        <f>IF(AM70="","",AM70+'Februar 2022'!AN72)</f>
        <v>31.009999999999962</v>
      </c>
    </row>
    <row r="71" spans="1:40" ht="22.35" customHeight="1">
      <c r="A71" s="2797"/>
      <c r="B71" s="2874" t="s">
        <v>399</v>
      </c>
      <c r="C71" s="2938">
        <v>9</v>
      </c>
      <c r="D71" s="2939">
        <v>9</v>
      </c>
      <c r="E71" s="2939">
        <v>9</v>
      </c>
      <c r="F71" s="2825">
        <v>9</v>
      </c>
      <c r="G71" s="2829" t="s">
        <v>76</v>
      </c>
      <c r="H71" s="2829" t="s">
        <v>77</v>
      </c>
      <c r="I71" s="2820" t="s">
        <v>36</v>
      </c>
      <c r="J71" s="2820" t="s">
        <v>36</v>
      </c>
      <c r="K71" s="2820" t="s">
        <v>36</v>
      </c>
      <c r="L71" s="2820" t="s">
        <v>36</v>
      </c>
      <c r="M71" s="2822" t="s">
        <v>32</v>
      </c>
      <c r="N71" s="2820"/>
      <c r="O71" s="2820"/>
      <c r="P71" s="2940">
        <v>6</v>
      </c>
      <c r="Q71" s="2940">
        <v>6</v>
      </c>
      <c r="R71" s="2629">
        <v>6</v>
      </c>
      <c r="S71" s="2629">
        <v>6</v>
      </c>
      <c r="T71" s="2629">
        <v>6</v>
      </c>
      <c r="U71" s="2629" t="s">
        <v>315</v>
      </c>
      <c r="V71" s="2707" t="s">
        <v>32</v>
      </c>
      <c r="W71" s="2826">
        <v>25</v>
      </c>
      <c r="X71" s="2826">
        <v>25</v>
      </c>
      <c r="Y71" s="2826">
        <v>25</v>
      </c>
      <c r="Z71" s="2826">
        <v>25</v>
      </c>
      <c r="AA71" s="2826">
        <v>25</v>
      </c>
      <c r="AB71" s="2820"/>
      <c r="AC71" s="2820">
        <v>1</v>
      </c>
      <c r="AD71" s="2820">
        <v>4</v>
      </c>
      <c r="AE71" s="2820">
        <v>4</v>
      </c>
      <c r="AF71" s="2820">
        <v>4</v>
      </c>
      <c r="AG71" s="2820">
        <v>4</v>
      </c>
      <c r="AH71" s="1"/>
      <c r="AJ71" s="2915">
        <v>183.5</v>
      </c>
      <c r="AK71" s="2915"/>
      <c r="AL71" s="2915">
        <f t="shared" si="1"/>
        <v>183.5</v>
      </c>
      <c r="AM71" s="2930">
        <f t="shared" si="3"/>
        <v>23.169999999999987</v>
      </c>
      <c r="AN71" s="2930">
        <f>IF(AM71="","",AM71+'Februar 2022'!AN73)</f>
        <v>72.759999999999962</v>
      </c>
    </row>
    <row r="72" spans="1:40" ht="22.35" customHeight="1">
      <c r="A72" s="2797"/>
      <c r="B72" s="2941" t="s">
        <v>400</v>
      </c>
      <c r="C72" s="2820"/>
      <c r="D72" s="2820"/>
      <c r="E72" s="2820"/>
      <c r="F72" s="2820"/>
      <c r="G72" s="2820"/>
      <c r="H72" s="2820"/>
      <c r="I72" s="2820"/>
      <c r="J72" s="2820"/>
      <c r="K72" s="2820"/>
      <c r="L72" s="2820"/>
      <c r="M72" s="2820"/>
      <c r="N72" s="2820"/>
      <c r="O72" s="2820"/>
      <c r="P72" s="2940" t="s">
        <v>32</v>
      </c>
      <c r="Q72" s="2940" t="s">
        <v>183</v>
      </c>
      <c r="R72" s="2940" t="s">
        <v>183</v>
      </c>
      <c r="S72" s="2940">
        <v>89</v>
      </c>
      <c r="T72" s="2940">
        <v>89</v>
      </c>
      <c r="U72" s="2820"/>
      <c r="V72" s="2820"/>
      <c r="W72" s="2940">
        <v>6</v>
      </c>
      <c r="X72" s="2940">
        <v>6</v>
      </c>
      <c r="Y72" s="2940">
        <v>6</v>
      </c>
      <c r="Z72" s="2940">
        <v>6</v>
      </c>
      <c r="AA72" s="2940">
        <v>6</v>
      </c>
      <c r="AB72" s="2820"/>
      <c r="AC72" s="2820"/>
      <c r="AD72" s="2820">
        <v>6</v>
      </c>
      <c r="AE72" s="2820">
        <v>6</v>
      </c>
      <c r="AF72" s="2820">
        <v>6</v>
      </c>
      <c r="AG72" s="2820" t="s">
        <v>343</v>
      </c>
      <c r="AH72" s="1"/>
      <c r="AJ72" s="2915">
        <v>102</v>
      </c>
      <c r="AK72" s="2915"/>
      <c r="AL72" s="2915">
        <f>IF(AJ72="","",SUM(AJ72:AK72))</f>
        <v>102</v>
      </c>
      <c r="AM72" s="2930">
        <f>IF(AJ72="","",AL72-NormTid)</f>
        <v>-58.330000000000013</v>
      </c>
      <c r="AN72" s="2930">
        <f>IF(AM72="","",AM72)</f>
        <v>-58.330000000000013</v>
      </c>
    </row>
    <row r="73" spans="1:40" ht="22.35" customHeight="1">
      <c r="A73" s="2797"/>
      <c r="B73" s="2874" t="s">
        <v>0</v>
      </c>
      <c r="C73" s="2820"/>
      <c r="D73" s="2820"/>
      <c r="E73" s="2820"/>
      <c r="F73" s="2820"/>
      <c r="G73" s="2820"/>
      <c r="H73" s="2820"/>
      <c r="I73" s="2820"/>
      <c r="J73" s="2820"/>
      <c r="K73" s="2820"/>
      <c r="L73" s="2820"/>
      <c r="M73" s="2820"/>
      <c r="N73" s="2820"/>
      <c r="O73" s="2820"/>
      <c r="P73" s="2820"/>
      <c r="Q73" s="2820"/>
      <c r="R73" s="2820"/>
      <c r="S73" s="2820"/>
      <c r="T73" s="2820"/>
      <c r="U73" s="2820"/>
      <c r="V73" s="2820"/>
      <c r="W73" s="2820"/>
      <c r="X73" s="2820"/>
      <c r="Y73" s="2820"/>
      <c r="Z73" s="2820"/>
      <c r="AA73" s="2820"/>
      <c r="AB73" s="2820"/>
      <c r="AC73" s="2820"/>
      <c r="AD73" s="2820"/>
      <c r="AE73" s="2820"/>
      <c r="AF73" s="2820"/>
      <c r="AG73" s="2820"/>
      <c r="AH73" s="1"/>
      <c r="AJ73" s="2915"/>
      <c r="AK73" s="2915"/>
      <c r="AL73" s="2915"/>
      <c r="AM73" s="2930"/>
      <c r="AN73" s="2930"/>
    </row>
    <row r="74" spans="1:40" ht="22.35" customHeight="1">
      <c r="A74" s="2797"/>
      <c r="B74" s="2874"/>
      <c r="C74" s="2820"/>
      <c r="D74" s="2820"/>
      <c r="E74" s="2820"/>
      <c r="F74" s="2820"/>
      <c r="G74" s="2820"/>
      <c r="H74" s="2820"/>
      <c r="I74" s="2820"/>
      <c r="J74" s="2820"/>
      <c r="K74" s="2820"/>
      <c r="L74" s="2820"/>
      <c r="M74" s="2820"/>
      <c r="N74" s="2820"/>
      <c r="O74" s="2820"/>
      <c r="P74" s="2820"/>
      <c r="Q74" s="2820"/>
      <c r="R74" s="2820"/>
      <c r="S74" s="2820"/>
      <c r="T74" s="2820"/>
      <c r="U74" s="2820"/>
      <c r="V74" s="2820"/>
      <c r="W74" s="2820"/>
      <c r="X74" s="2820"/>
      <c r="Y74" s="2820"/>
      <c r="Z74" s="2820"/>
      <c r="AA74" s="2820"/>
      <c r="AB74" s="2820"/>
      <c r="AC74" s="2820"/>
      <c r="AD74" s="2820"/>
      <c r="AE74" s="2820"/>
      <c r="AF74" s="2820"/>
      <c r="AG74" s="2820"/>
      <c r="AH74" s="1"/>
      <c r="AJ74" s="2915"/>
      <c r="AK74" s="2915"/>
      <c r="AL74" s="2915"/>
      <c r="AM74" s="2930"/>
      <c r="AN74" s="2930"/>
    </row>
    <row r="75" spans="1:40" ht="22.35" customHeight="1">
      <c r="A75" s="727"/>
      <c r="B75" s="728" t="s">
        <v>134</v>
      </c>
      <c r="C75" s="729" t="s">
        <v>368</v>
      </c>
      <c r="D75" s="730">
        <v>3</v>
      </c>
      <c r="E75" s="729">
        <v>3</v>
      </c>
      <c r="F75" s="731">
        <v>3</v>
      </c>
      <c r="G75" s="732"/>
      <c r="H75" s="732"/>
      <c r="I75" s="732">
        <v>11</v>
      </c>
      <c r="J75" s="732">
        <v>11</v>
      </c>
      <c r="K75" s="732">
        <v>11</v>
      </c>
      <c r="L75" s="732">
        <v>11</v>
      </c>
      <c r="M75" s="732">
        <v>11</v>
      </c>
      <c r="N75" s="732" t="s">
        <v>73</v>
      </c>
      <c r="O75" s="732" t="s">
        <v>73</v>
      </c>
      <c r="P75" s="732" t="s">
        <v>36</v>
      </c>
      <c r="Q75" s="732" t="s">
        <v>36</v>
      </c>
      <c r="R75" s="732" t="s">
        <v>36</v>
      </c>
      <c r="S75" s="732" t="s">
        <v>36</v>
      </c>
      <c r="T75" s="656" t="s">
        <v>36</v>
      </c>
      <c r="U75" s="656" t="s">
        <v>74</v>
      </c>
      <c r="V75" s="733" t="s">
        <v>74</v>
      </c>
      <c r="W75" s="656">
        <v>8</v>
      </c>
      <c r="X75" s="656">
        <v>8</v>
      </c>
      <c r="Y75" s="736">
        <v>8</v>
      </c>
      <c r="Z75" s="656">
        <v>8</v>
      </c>
      <c r="AA75" s="656">
        <v>8</v>
      </c>
      <c r="AB75" s="2913"/>
      <c r="AC75" s="2858"/>
      <c r="AD75" s="2858" t="s">
        <v>36</v>
      </c>
      <c r="AE75" s="2858" t="s">
        <v>36</v>
      </c>
      <c r="AF75" s="2858" t="s">
        <v>36</v>
      </c>
      <c r="AG75" s="2858" t="s">
        <v>36</v>
      </c>
      <c r="AH75" s="1"/>
      <c r="AJ75" s="2696"/>
      <c r="AK75" s="2696"/>
      <c r="AL75" s="2696" t="str">
        <f t="shared" si="1"/>
        <v/>
      </c>
      <c r="AM75" s="2818" t="str">
        <f t="shared" si="3"/>
        <v/>
      </c>
      <c r="AN75" s="2818" t="str">
        <f>IF(AM75="","",AM75+'Februar 2022'!AN74)</f>
        <v/>
      </c>
    </row>
    <row r="76" spans="1:40" ht="22.35" customHeight="1">
      <c r="A76" s="2911"/>
      <c r="B76" s="2911" t="s">
        <v>340</v>
      </c>
      <c r="C76" s="2875" t="s">
        <v>212</v>
      </c>
      <c r="D76" s="2875" t="s">
        <v>212</v>
      </c>
      <c r="E76" s="2875" t="s">
        <v>212</v>
      </c>
      <c r="F76" s="2875" t="s">
        <v>212</v>
      </c>
      <c r="G76" s="2875" t="s">
        <v>212</v>
      </c>
      <c r="H76" s="2875"/>
      <c r="I76" s="2875" t="s">
        <v>213</v>
      </c>
      <c r="J76" s="2875" t="s">
        <v>213</v>
      </c>
      <c r="K76" s="2875" t="s">
        <v>213</v>
      </c>
      <c r="L76" s="2875" t="s">
        <v>213</v>
      </c>
      <c r="M76" s="2871" t="s">
        <v>36</v>
      </c>
      <c r="N76" s="2871"/>
      <c r="O76" s="2871"/>
      <c r="P76" s="2871" t="s">
        <v>211</v>
      </c>
      <c r="Q76" s="2871" t="s">
        <v>211</v>
      </c>
      <c r="R76" s="2871" t="s">
        <v>211</v>
      </c>
      <c r="S76" s="2861" t="s">
        <v>211</v>
      </c>
      <c r="T76" s="2875" t="s">
        <v>211</v>
      </c>
      <c r="U76" s="2875"/>
      <c r="V76" s="2875"/>
      <c r="W76" s="2875" t="s">
        <v>212</v>
      </c>
      <c r="X76" s="2875" t="s">
        <v>212</v>
      </c>
      <c r="Y76" s="2875" t="s">
        <v>212</v>
      </c>
      <c r="Z76" s="2861" t="s">
        <v>212</v>
      </c>
      <c r="AA76" s="2871" t="s">
        <v>212</v>
      </c>
      <c r="AB76" s="2871" t="s">
        <v>212</v>
      </c>
      <c r="AC76" s="2871"/>
      <c r="AD76" s="2871" t="s">
        <v>213</v>
      </c>
      <c r="AE76" s="2871" t="s">
        <v>213</v>
      </c>
      <c r="AF76" s="2871" t="s">
        <v>213</v>
      </c>
      <c r="AG76" s="2861" t="s">
        <v>213</v>
      </c>
      <c r="AH76" s="1"/>
      <c r="AJ76" s="2696"/>
      <c r="AK76" s="2696"/>
      <c r="AL76" s="2696" t="str">
        <f t="shared" si="1"/>
        <v/>
      </c>
      <c r="AM76" s="2818" t="str">
        <f t="shared" si="3"/>
        <v/>
      </c>
      <c r="AN76" s="2818" t="str">
        <f>IF(AM76="","",AM76+'Februar 2022'!AN75)</f>
        <v/>
      </c>
    </row>
    <row r="77" spans="1:40" ht="22.35" customHeight="1">
      <c r="AJ77" s="2696"/>
      <c r="AK77" s="2696"/>
      <c r="AL77" s="2696" t="str">
        <f t="shared" si="1"/>
        <v/>
      </c>
      <c r="AM77" s="2818" t="str">
        <f t="shared" si="3"/>
        <v/>
      </c>
      <c r="AN77" s="2818" t="str">
        <f>IF(AM77="","",AM77+'Februar 2022'!AN76)</f>
        <v/>
      </c>
    </row>
    <row r="78" spans="1:40" ht="22.35" customHeight="1">
      <c r="AJ78" s="2696"/>
      <c r="AK78" s="2696"/>
      <c r="AL78" s="2696" t="str">
        <f t="shared" si="1"/>
        <v/>
      </c>
      <c r="AM78" s="2818" t="str">
        <f t="shared" si="3"/>
        <v/>
      </c>
      <c r="AN78" s="2818" t="str">
        <f>IF(AM78="","",AM78+'Februar 2022'!AN77)</f>
        <v/>
      </c>
    </row>
    <row r="79" spans="1:40" ht="22.35" customHeight="1" thickBot="1">
      <c r="A79" s="2928"/>
      <c r="B79" s="2942" t="s">
        <v>138</v>
      </c>
      <c r="C79" s="2943">
        <v>1</v>
      </c>
      <c r="D79" s="2943">
        <v>2</v>
      </c>
      <c r="E79" s="2943">
        <v>3</v>
      </c>
      <c r="F79" s="2943">
        <v>4</v>
      </c>
      <c r="G79" s="2944">
        <v>5</v>
      </c>
      <c r="H79" s="2944">
        <v>6</v>
      </c>
      <c r="I79" s="2943">
        <v>7</v>
      </c>
      <c r="J79" s="2943">
        <v>8</v>
      </c>
      <c r="K79" s="2943">
        <v>9</v>
      </c>
      <c r="L79" s="2943">
        <v>10</v>
      </c>
      <c r="M79" s="2943">
        <v>11</v>
      </c>
      <c r="N79" s="2944">
        <v>12</v>
      </c>
      <c r="O79" s="2944">
        <v>13</v>
      </c>
      <c r="P79" s="2943">
        <v>14</v>
      </c>
      <c r="Q79" s="2943">
        <v>15</v>
      </c>
      <c r="R79" s="2943">
        <v>16</v>
      </c>
      <c r="S79" s="2943">
        <v>17</v>
      </c>
      <c r="T79" s="2943">
        <v>18</v>
      </c>
      <c r="U79" s="2944">
        <v>19</v>
      </c>
      <c r="V79" s="2944">
        <v>20</v>
      </c>
      <c r="W79" s="2943">
        <v>21</v>
      </c>
      <c r="X79" s="2943">
        <v>22</v>
      </c>
      <c r="Y79" s="2943">
        <v>23</v>
      </c>
      <c r="Z79" s="2943">
        <v>24</v>
      </c>
      <c r="AA79" s="2943">
        <v>25</v>
      </c>
      <c r="AB79" s="2944">
        <v>26</v>
      </c>
      <c r="AC79" s="2944">
        <v>27</v>
      </c>
      <c r="AD79" s="2943">
        <v>28</v>
      </c>
      <c r="AE79" s="2943">
        <v>29</v>
      </c>
      <c r="AF79" s="2943">
        <v>30</v>
      </c>
      <c r="AG79" s="2945">
        <v>31</v>
      </c>
      <c r="AH79" s="1"/>
    </row>
    <row r="80" spans="1:40" ht="22.35" customHeight="1" thickBot="1">
      <c r="A80" s="308"/>
      <c r="B80" s="508" t="s">
        <v>352</v>
      </c>
      <c r="C80" s="2676">
        <v>23</v>
      </c>
      <c r="D80" s="2676">
        <v>23</v>
      </c>
      <c r="E80" s="2676">
        <v>23</v>
      </c>
      <c r="F80" s="2676">
        <v>23</v>
      </c>
      <c r="G80" s="2676">
        <v>23</v>
      </c>
      <c r="H80" s="2676">
        <v>23</v>
      </c>
      <c r="I80" s="305" t="s">
        <v>36</v>
      </c>
      <c r="J80" s="305" t="s">
        <v>36</v>
      </c>
      <c r="K80" s="305" t="s">
        <v>36</v>
      </c>
      <c r="L80" s="305" t="s">
        <v>36</v>
      </c>
      <c r="M80" s="305" t="s">
        <v>36</v>
      </c>
      <c r="N80" s="2826"/>
      <c r="O80" s="2826"/>
      <c r="P80" s="2820">
        <v>21</v>
      </c>
      <c r="Q80" s="2820">
        <v>21</v>
      </c>
      <c r="R80" s="2830">
        <v>21</v>
      </c>
      <c r="S80" s="2830">
        <v>21</v>
      </c>
      <c r="T80" s="2820">
        <v>21</v>
      </c>
      <c r="U80" s="2825">
        <v>21</v>
      </c>
      <c r="V80" s="2825">
        <v>21</v>
      </c>
      <c r="W80" s="2939" t="s">
        <v>36</v>
      </c>
      <c r="X80" s="2820" t="s">
        <v>36</v>
      </c>
      <c r="Y80" s="2820" t="s">
        <v>36</v>
      </c>
      <c r="Z80" s="2939" t="s">
        <v>36</v>
      </c>
      <c r="AA80" s="2820" t="s">
        <v>36</v>
      </c>
      <c r="AB80" s="2820"/>
      <c r="AC80" s="2820"/>
      <c r="AD80" s="2820">
        <v>22</v>
      </c>
      <c r="AE80" s="2820">
        <v>22</v>
      </c>
      <c r="AF80" s="2820">
        <v>22</v>
      </c>
      <c r="AG80" s="2823">
        <v>22</v>
      </c>
      <c r="AH80" s="1"/>
    </row>
    <row r="81" spans="1:34" ht="22.35" customHeight="1">
      <c r="A81" s="2922"/>
      <c r="B81" s="2922" t="s">
        <v>0</v>
      </c>
      <c r="C81" s="2820"/>
      <c r="D81" s="2820"/>
      <c r="E81" s="2820"/>
      <c r="F81" s="2820"/>
      <c r="G81" s="2820"/>
      <c r="H81" s="2820"/>
      <c r="I81" s="2820"/>
      <c r="J81" s="2820"/>
      <c r="K81" s="2820"/>
      <c r="L81" s="2820"/>
      <c r="M81" s="2820"/>
      <c r="N81" s="2820"/>
      <c r="O81" s="2820"/>
      <c r="P81" s="2820"/>
      <c r="Q81" s="2820"/>
      <c r="R81" s="2820"/>
      <c r="S81" s="2820"/>
      <c r="T81" s="2820"/>
      <c r="U81" s="2820"/>
      <c r="V81" s="2820"/>
      <c r="W81" s="2820"/>
      <c r="X81" s="2820"/>
      <c r="Y81" s="2820"/>
      <c r="Z81" s="2820"/>
      <c r="AA81" s="2820"/>
      <c r="AB81" s="2820"/>
      <c r="AC81" s="2820"/>
      <c r="AD81" s="2820"/>
      <c r="AE81" s="2820"/>
      <c r="AF81" s="2820"/>
      <c r="AG81" s="2820"/>
      <c r="AH81" s="1"/>
    </row>
    <row r="82" spans="1:34" ht="22.35" customHeight="1">
      <c r="A82" s="2946"/>
      <c r="B82" s="2922" t="s">
        <v>401</v>
      </c>
      <c r="C82" s="2820"/>
      <c r="D82" s="2820"/>
      <c r="E82" s="2820"/>
      <c r="F82" s="2820"/>
      <c r="G82" s="2820"/>
      <c r="H82" s="2820"/>
      <c r="I82" s="2820"/>
      <c r="J82" s="2820"/>
      <c r="K82" s="2820"/>
      <c r="L82" s="2820"/>
      <c r="M82" s="2820"/>
      <c r="N82" s="2820"/>
      <c r="O82" s="2820"/>
      <c r="P82" s="2940">
        <v>3</v>
      </c>
      <c r="Q82" s="2940">
        <v>69</v>
      </c>
      <c r="R82" s="2940">
        <v>8</v>
      </c>
      <c r="S82" s="2940" t="s">
        <v>213</v>
      </c>
      <c r="T82" s="2940">
        <v>25</v>
      </c>
      <c r="U82" s="2820"/>
      <c r="V82" s="2820"/>
      <c r="W82" s="2820"/>
      <c r="X82" s="2820"/>
      <c r="Y82" s="2820"/>
      <c r="Z82" s="2820"/>
      <c r="AA82" s="2820"/>
      <c r="AB82" s="2820"/>
      <c r="AC82" s="2820"/>
      <c r="AD82" s="2820"/>
      <c r="AE82" s="2820"/>
      <c r="AF82" s="2820"/>
      <c r="AG82" s="2947"/>
      <c r="AH82" s="1"/>
    </row>
    <row r="83" spans="1:34" ht="22.35" customHeight="1" thickBot="1">
      <c r="A83" s="2948"/>
      <c r="B83" s="2949"/>
      <c r="C83" s="2950"/>
      <c r="D83" s="2951"/>
      <c r="E83" s="2951"/>
      <c r="F83" s="2951"/>
      <c r="G83" s="2951"/>
      <c r="H83" s="2951"/>
      <c r="I83" s="2950"/>
      <c r="J83" s="2950"/>
      <c r="K83" s="2951"/>
      <c r="L83" s="2951"/>
      <c r="M83" s="2951"/>
      <c r="N83" s="2951"/>
      <c r="O83" s="2951"/>
      <c r="P83" s="2952"/>
      <c r="Q83" s="2952"/>
      <c r="R83" s="2950"/>
      <c r="S83" s="2952"/>
      <c r="T83" s="2952"/>
      <c r="U83" s="2952"/>
      <c r="V83" s="2952"/>
      <c r="W83" s="2952"/>
      <c r="X83" s="2950"/>
      <c r="Y83" s="2952"/>
      <c r="Z83" s="2952"/>
      <c r="AA83" s="2952"/>
      <c r="AB83" s="2952"/>
      <c r="AC83" s="2950"/>
      <c r="AD83" s="2952"/>
      <c r="AE83" s="2952"/>
      <c r="AF83" s="2950"/>
      <c r="AG83" s="2953"/>
      <c r="AH83" s="1"/>
    </row>
    <row r="84" spans="1:34" ht="22.35" customHeight="1" thickBot="1">
      <c r="A84" s="205"/>
      <c r="B84" s="206" t="s">
        <v>142</v>
      </c>
      <c r="C84" s="203"/>
      <c r="D84" s="207"/>
      <c r="E84" s="207"/>
      <c r="F84" s="207"/>
      <c r="G84" s="207"/>
      <c r="H84" s="207"/>
      <c r="I84" s="203"/>
      <c r="J84" s="203"/>
      <c r="K84" s="207"/>
      <c r="L84" s="207"/>
      <c r="M84" s="207"/>
      <c r="N84" s="207"/>
      <c r="O84" s="207"/>
      <c r="P84" s="203"/>
      <c r="Q84" s="203"/>
      <c r="R84" s="203"/>
      <c r="S84" s="208"/>
      <c r="T84" s="208"/>
      <c r="U84" s="208"/>
      <c r="V84" s="203"/>
      <c r="W84" s="203"/>
      <c r="X84" s="203"/>
      <c r="Y84" s="203"/>
      <c r="Z84" s="203"/>
      <c r="AA84" s="203"/>
      <c r="AB84" s="203"/>
      <c r="AC84" s="203"/>
      <c r="AD84" s="203"/>
      <c r="AE84" s="203"/>
      <c r="AF84" s="203"/>
      <c r="AG84" s="225"/>
      <c r="AH84" s="1"/>
    </row>
    <row r="85" spans="1:34" ht="22.35" customHeight="1" thickBot="1">
      <c r="A85" s="204"/>
      <c r="B85" s="508"/>
      <c r="C85" s="203" t="s">
        <v>32</v>
      </c>
      <c r="D85" s="203" t="s">
        <v>32</v>
      </c>
      <c r="E85" s="203" t="s">
        <v>32</v>
      </c>
      <c r="F85" s="203" t="s">
        <v>32</v>
      </c>
      <c r="G85" s="203"/>
      <c r="H85" s="203"/>
      <c r="I85" s="203" t="s">
        <v>32</v>
      </c>
      <c r="J85" s="203" t="s">
        <v>32</v>
      </c>
      <c r="K85" s="203" t="s">
        <v>32</v>
      </c>
      <c r="L85" s="203" t="s">
        <v>32</v>
      </c>
      <c r="M85" s="203" t="s">
        <v>32</v>
      </c>
      <c r="N85" s="509"/>
      <c r="O85" s="509"/>
      <c r="P85" s="509" t="s">
        <v>32</v>
      </c>
      <c r="Q85" s="510" t="s">
        <v>32</v>
      </c>
      <c r="R85" s="509" t="s">
        <v>32</v>
      </c>
      <c r="S85" s="203" t="s">
        <v>32</v>
      </c>
      <c r="T85" s="203" t="s">
        <v>32</v>
      </c>
      <c r="U85" s="509"/>
      <c r="V85" s="509"/>
      <c r="W85" s="509" t="s">
        <v>32</v>
      </c>
      <c r="X85" s="203" t="s">
        <v>32</v>
      </c>
      <c r="Y85" s="509" t="s">
        <v>32</v>
      </c>
      <c r="Z85" s="509" t="s">
        <v>32</v>
      </c>
      <c r="AA85" s="509" t="s">
        <v>32</v>
      </c>
      <c r="AB85" s="203"/>
      <c r="AC85" s="203"/>
      <c r="AD85" s="203" t="s">
        <v>32</v>
      </c>
      <c r="AE85" s="203" t="s">
        <v>32</v>
      </c>
      <c r="AF85" s="203" t="s">
        <v>32</v>
      </c>
      <c r="AG85" s="225" t="s">
        <v>32</v>
      </c>
      <c r="AH85" s="1"/>
    </row>
    <row r="86" spans="1:34" ht="22.35" customHeight="1">
      <c r="A86" s="64"/>
      <c r="AH86" s="1"/>
    </row>
    <row r="87" spans="1:34" ht="22.35" customHeight="1" thickBot="1">
      <c r="B87" s="2856" t="s">
        <v>29</v>
      </c>
      <c r="C87" s="2788">
        <v>1</v>
      </c>
      <c r="D87" s="2788">
        <v>2</v>
      </c>
      <c r="E87" s="2788">
        <v>3</v>
      </c>
      <c r="F87" s="2788">
        <v>4</v>
      </c>
      <c r="G87" s="2789">
        <v>5</v>
      </c>
      <c r="H87" s="2789">
        <v>6</v>
      </c>
      <c r="I87" s="2788">
        <v>7</v>
      </c>
      <c r="J87" s="2788">
        <v>8</v>
      </c>
      <c r="K87" s="2788">
        <v>9</v>
      </c>
      <c r="L87" s="2788">
        <v>10</v>
      </c>
      <c r="M87" s="2788">
        <v>11</v>
      </c>
      <c r="N87" s="2789">
        <v>12</v>
      </c>
      <c r="O87" s="2789">
        <v>13</v>
      </c>
      <c r="P87" s="2788">
        <v>14</v>
      </c>
      <c r="Q87" s="2788">
        <v>15</v>
      </c>
      <c r="R87" s="2788">
        <v>16</v>
      </c>
      <c r="S87" s="2788">
        <v>17</v>
      </c>
      <c r="T87" s="2788">
        <v>18</v>
      </c>
      <c r="U87" s="2789">
        <v>19</v>
      </c>
      <c r="V87" s="2789">
        <v>20</v>
      </c>
      <c r="W87" s="2788">
        <v>21</v>
      </c>
      <c r="X87" s="2788">
        <v>22</v>
      </c>
      <c r="Y87" s="2788">
        <v>23</v>
      </c>
      <c r="Z87" s="2788">
        <v>24</v>
      </c>
      <c r="AA87" s="2788">
        <v>25</v>
      </c>
      <c r="AB87" s="2789">
        <v>26</v>
      </c>
      <c r="AC87" s="2789">
        <v>27</v>
      </c>
      <c r="AD87" s="2788">
        <v>28</v>
      </c>
      <c r="AE87" s="2788">
        <v>29</v>
      </c>
      <c r="AF87" s="2788">
        <v>30</v>
      </c>
      <c r="AG87" s="2790">
        <v>31</v>
      </c>
      <c r="AH87" s="1"/>
    </row>
    <row r="88" spans="1:34" ht="22.35" customHeight="1">
      <c r="B88" s="366" t="s">
        <v>144</v>
      </c>
      <c r="C88" s="349"/>
      <c r="D88" s="364"/>
      <c r="E88" s="349"/>
      <c r="F88" s="349"/>
      <c r="G88" s="349"/>
      <c r="H88" s="349"/>
      <c r="I88" s="349"/>
      <c r="J88" s="349"/>
      <c r="K88" s="349"/>
      <c r="L88" s="349"/>
      <c r="M88" s="349"/>
      <c r="N88" s="349"/>
      <c r="O88" s="349"/>
      <c r="P88" s="349"/>
      <c r="Q88" s="349"/>
      <c r="R88" s="349"/>
      <c r="S88" s="349"/>
      <c r="T88" s="349"/>
      <c r="U88" s="349"/>
      <c r="V88" s="349"/>
      <c r="W88" s="349"/>
      <c r="X88" s="349"/>
      <c r="Y88" s="349"/>
      <c r="Z88" s="349"/>
      <c r="AA88" s="349"/>
      <c r="AB88" s="349"/>
      <c r="AC88" s="349"/>
      <c r="AD88" s="349"/>
      <c r="AE88" s="349"/>
      <c r="AF88" s="349"/>
      <c r="AG88" s="352"/>
      <c r="AH88" s="1"/>
    </row>
    <row r="89" spans="1:34" ht="22.35" customHeight="1" thickBot="1">
      <c r="A89" s="2954"/>
      <c r="B89" s="2805"/>
      <c r="C89" s="2875"/>
      <c r="D89" s="2875"/>
      <c r="E89" s="2875"/>
      <c r="F89" s="2798"/>
      <c r="G89" s="2798"/>
      <c r="H89" s="2798"/>
      <c r="I89" s="2798"/>
      <c r="J89" s="2798"/>
      <c r="K89" s="2798"/>
      <c r="L89" s="2798"/>
      <c r="M89" s="2798"/>
      <c r="N89" s="2798"/>
      <c r="O89" s="2798"/>
      <c r="P89" s="2798"/>
      <c r="Q89" s="2798"/>
      <c r="R89" s="2955"/>
      <c r="S89" s="2955"/>
      <c r="T89" s="2955"/>
      <c r="U89" s="2955"/>
      <c r="V89" s="2955"/>
      <c r="W89" s="2875"/>
      <c r="X89" s="2875"/>
      <c r="Y89" s="2955"/>
      <c r="Z89" s="2955"/>
      <c r="AA89" s="2955"/>
      <c r="AB89" s="2955"/>
      <c r="AC89" s="2955"/>
      <c r="AD89" s="2875"/>
      <c r="AE89" s="2875"/>
      <c r="AF89" s="2955"/>
      <c r="AG89" s="2956"/>
      <c r="AH89" s="1"/>
    </row>
    <row r="90" spans="1:34" ht="22.35" customHeight="1">
      <c r="A90" s="365"/>
    </row>
    <row r="91" spans="1:34" ht="22.35" customHeight="1">
      <c r="A91" s="2957">
        <v>2</v>
      </c>
    </row>
    <row r="92" spans="1:34" ht="22.35" customHeight="1">
      <c r="A92" s="2957">
        <v>3</v>
      </c>
      <c r="B92" s="2805"/>
      <c r="C92" s="2875"/>
      <c r="D92" s="2875"/>
      <c r="E92" s="2875"/>
      <c r="F92" s="2875"/>
      <c r="G92" s="2875"/>
      <c r="H92" s="2875"/>
      <c r="I92" s="2875"/>
      <c r="J92" s="2875"/>
      <c r="K92" s="2875"/>
      <c r="L92" s="2875"/>
      <c r="M92" s="2875"/>
      <c r="N92" s="2875"/>
      <c r="O92" s="2875"/>
      <c r="P92" s="2875"/>
      <c r="Q92" s="2875"/>
      <c r="R92" s="2875"/>
      <c r="S92" s="2875"/>
      <c r="T92" s="2875"/>
      <c r="U92" s="2875"/>
      <c r="V92" s="2875"/>
      <c r="W92" s="2875"/>
      <c r="X92" s="2875"/>
      <c r="Y92" s="2875"/>
      <c r="Z92" s="2875"/>
      <c r="AA92" s="2875"/>
      <c r="AB92" s="2875"/>
      <c r="AC92" s="2875"/>
      <c r="AD92" s="2875"/>
      <c r="AE92" s="2875"/>
      <c r="AF92" s="2875"/>
      <c r="AG92" s="2861"/>
      <c r="AH92" s="1"/>
    </row>
    <row r="93" spans="1:34" ht="22.35" customHeight="1" thickBot="1">
      <c r="A93" s="2909">
        <v>4</v>
      </c>
      <c r="B93" s="2863"/>
      <c r="C93" s="2958"/>
      <c r="D93" s="2958"/>
      <c r="E93" s="2958"/>
      <c r="F93" s="2958"/>
      <c r="G93" s="2958"/>
      <c r="H93" s="2958"/>
      <c r="I93" s="2958"/>
      <c r="J93" s="2958"/>
      <c r="K93" s="2958"/>
      <c r="L93" s="2958"/>
      <c r="M93" s="2958"/>
      <c r="N93" s="2958"/>
      <c r="O93" s="2958"/>
      <c r="P93" s="2958"/>
      <c r="Q93" s="2958"/>
      <c r="R93" s="2958"/>
      <c r="S93" s="2958"/>
      <c r="T93" s="2958"/>
      <c r="U93" s="2958"/>
      <c r="V93" s="2958"/>
      <c r="W93" s="2958"/>
      <c r="X93" s="2958"/>
      <c r="Y93" s="2958"/>
      <c r="Z93" s="2958"/>
      <c r="AA93" s="2958"/>
      <c r="AB93" s="2958"/>
      <c r="AC93" s="2958"/>
      <c r="AD93" s="2958"/>
      <c r="AE93" s="2958"/>
      <c r="AF93" s="2958"/>
      <c r="AG93" s="2790"/>
      <c r="AH93" s="1"/>
    </row>
    <row r="94" spans="1:34" ht="22.35" customHeight="1">
      <c r="A94" s="209"/>
      <c r="B94" s="21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1"/>
    </row>
    <row r="95" spans="1:34" ht="22.35" customHeight="1">
      <c r="A95" s="209"/>
      <c r="B95" s="210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F95" s="211"/>
      <c r="AG95" s="211"/>
      <c r="AH95" s="1"/>
    </row>
    <row r="96" spans="1:34" ht="22.35" customHeight="1" thickBot="1">
      <c r="A96" t="s">
        <v>145</v>
      </c>
    </row>
    <row r="97" spans="1:35" ht="22.35" customHeight="1" thickBot="1">
      <c r="A97" s="2954"/>
      <c r="B97" s="323" t="s">
        <v>146</v>
      </c>
      <c r="C97" s="252"/>
      <c r="D97" s="314" t="s">
        <v>94</v>
      </c>
      <c r="E97" s="314"/>
      <c r="F97" s="279"/>
      <c r="G97" s="252"/>
      <c r="H97" s="314" t="s">
        <v>95</v>
      </c>
      <c r="I97" s="314"/>
      <c r="J97" s="279"/>
      <c r="K97" s="252"/>
      <c r="L97" s="314" t="s">
        <v>96</v>
      </c>
      <c r="M97" s="314"/>
      <c r="N97" s="279"/>
      <c r="O97" s="252"/>
      <c r="P97" s="314" t="s">
        <v>97</v>
      </c>
      <c r="Q97" s="314"/>
      <c r="R97" s="279"/>
      <c r="S97" s="252"/>
      <c r="T97" s="314" t="s">
        <v>98</v>
      </c>
      <c r="U97" s="314"/>
      <c r="V97" s="279"/>
      <c r="W97" s="252"/>
      <c r="X97" s="314" t="s">
        <v>99</v>
      </c>
      <c r="Y97" s="314"/>
      <c r="Z97" s="279"/>
      <c r="AA97" s="252"/>
      <c r="AB97" s="314" t="s">
        <v>100</v>
      </c>
      <c r="AC97" s="314"/>
      <c r="AD97" s="314"/>
      <c r="AE97" s="314" t="s">
        <v>147</v>
      </c>
      <c r="AF97" s="314"/>
      <c r="AG97" s="314"/>
      <c r="AH97" s="314"/>
      <c r="AI97" s="267"/>
    </row>
    <row r="98" spans="1:35" ht="22.35" customHeight="1">
      <c r="B98" s="441" t="s">
        <v>148</v>
      </c>
      <c r="C98" s="368" t="s">
        <v>149</v>
      </c>
      <c r="D98" s="314"/>
      <c r="E98" s="357"/>
      <c r="F98" s="372"/>
      <c r="G98" s="368" t="s">
        <v>149</v>
      </c>
      <c r="H98" s="357"/>
      <c r="I98" s="357"/>
      <c r="J98" s="372"/>
      <c r="K98" s="252" t="s">
        <v>149</v>
      </c>
      <c r="L98" s="314"/>
      <c r="M98" s="314"/>
      <c r="N98" s="279"/>
      <c r="O98" s="252" t="s">
        <v>150</v>
      </c>
      <c r="P98" s="314"/>
      <c r="Q98" s="357"/>
      <c r="R98" s="372"/>
      <c r="S98" s="368" t="s">
        <v>151</v>
      </c>
      <c r="T98" s="357"/>
      <c r="U98" s="357"/>
      <c r="V98" s="357"/>
      <c r="W98" s="523"/>
      <c r="X98" s="524"/>
      <c r="Y98" s="524"/>
      <c r="Z98" s="525"/>
      <c r="AA98" s="357"/>
      <c r="AB98" s="357"/>
      <c r="AC98" s="357"/>
      <c r="AD98" s="357"/>
      <c r="AE98" s="368">
        <v>37</v>
      </c>
      <c r="AF98" s="314"/>
      <c r="AG98" s="357"/>
      <c r="AH98" s="357"/>
      <c r="AI98" s="358"/>
    </row>
    <row r="99" spans="1:35" ht="22.35" customHeight="1">
      <c r="B99" s="2959" t="s">
        <v>152</v>
      </c>
      <c r="C99" s="2960" t="s">
        <v>153</v>
      </c>
      <c r="D99" s="2770"/>
      <c r="E99" s="2770"/>
      <c r="F99" s="2778"/>
      <c r="G99" s="2960" t="s">
        <v>154</v>
      </c>
      <c r="H99" s="2770"/>
      <c r="I99" s="2770"/>
      <c r="J99" s="2778"/>
      <c r="K99" s="2960" t="s">
        <v>155</v>
      </c>
      <c r="L99" s="2770" t="s">
        <v>156</v>
      </c>
      <c r="M99" s="2770"/>
      <c r="N99" s="2778"/>
      <c r="O99" s="2960" t="s">
        <v>155</v>
      </c>
      <c r="P99" s="2770" t="s">
        <v>156</v>
      </c>
      <c r="Q99" s="2770"/>
      <c r="R99" s="2778"/>
      <c r="S99" s="2960" t="s">
        <v>154</v>
      </c>
      <c r="T99" s="2770" t="s">
        <v>157</v>
      </c>
      <c r="U99" s="2770"/>
      <c r="V99" s="2778"/>
      <c r="W99" s="8" t="s">
        <v>109</v>
      </c>
      <c r="X99" s="14" t="s">
        <v>158</v>
      </c>
      <c r="Y99" s="14"/>
      <c r="Z99" s="14"/>
      <c r="AA99" s="2960" t="s">
        <v>109</v>
      </c>
      <c r="AB99" s="2770" t="s">
        <v>158</v>
      </c>
      <c r="AC99" s="2960"/>
      <c r="AD99" s="2960"/>
      <c r="AE99" s="2960">
        <v>68</v>
      </c>
      <c r="AF99" s="2770"/>
      <c r="AG99" s="2770"/>
      <c r="AH99" s="2770"/>
      <c r="AI99" s="2779"/>
    </row>
    <row r="100" spans="1:35" ht="22.35" customHeight="1">
      <c r="B100" s="2959" t="s">
        <v>159</v>
      </c>
      <c r="C100" s="2961" t="s">
        <v>160</v>
      </c>
      <c r="D100" s="2770"/>
      <c r="E100" s="2770"/>
      <c r="F100" s="2778"/>
      <c r="G100" s="2770" t="s">
        <v>160</v>
      </c>
      <c r="H100" s="2770"/>
      <c r="I100" s="2770"/>
      <c r="J100" s="2778"/>
      <c r="K100" s="2770" t="s">
        <v>160</v>
      </c>
      <c r="L100" s="2770"/>
      <c r="M100" s="2770"/>
      <c r="N100" s="2778"/>
      <c r="O100" s="2770" t="s">
        <v>160</v>
      </c>
      <c r="P100" s="2770"/>
      <c r="Q100" s="2770"/>
      <c r="R100" s="2778"/>
      <c r="S100" s="2770" t="s">
        <v>160</v>
      </c>
      <c r="T100" s="2770"/>
      <c r="U100" s="2770"/>
      <c r="V100" s="2778"/>
      <c r="W100" s="2960"/>
      <c r="X100" s="2770"/>
      <c r="Y100" s="2770"/>
      <c r="Z100" s="2778"/>
      <c r="AA100" s="2960"/>
      <c r="AB100" s="2770"/>
      <c r="AC100" s="2770"/>
      <c r="AD100" s="2770"/>
      <c r="AE100" s="2960">
        <v>0</v>
      </c>
      <c r="AF100" s="2770"/>
      <c r="AG100" s="2770"/>
      <c r="AH100" s="2770"/>
      <c r="AI100" s="2779"/>
    </row>
    <row r="101" spans="1:35" ht="22.35" customHeight="1" thickBot="1">
      <c r="B101" s="2962" t="s">
        <v>161</v>
      </c>
      <c r="C101" s="2963" t="s">
        <v>149</v>
      </c>
      <c r="D101" s="516"/>
      <c r="E101" s="2847"/>
      <c r="F101" s="2849"/>
      <c r="G101" s="2963" t="s">
        <v>149</v>
      </c>
      <c r="H101" s="516"/>
      <c r="I101" s="2847"/>
      <c r="J101" s="2849"/>
      <c r="K101" s="2963" t="s">
        <v>149</v>
      </c>
      <c r="L101" s="516"/>
      <c r="M101" s="2847"/>
      <c r="N101" s="2849"/>
      <c r="O101" s="2963" t="s">
        <v>150</v>
      </c>
      <c r="P101" s="2847"/>
      <c r="Q101" s="2847"/>
      <c r="R101" s="2849"/>
      <c r="S101" s="2963" t="s">
        <v>151</v>
      </c>
      <c r="T101" s="2847"/>
      <c r="U101" s="2847"/>
      <c r="V101" s="2847"/>
      <c r="W101" s="2964"/>
      <c r="X101" s="2847"/>
      <c r="Y101" s="2847"/>
      <c r="Z101" s="2965"/>
      <c r="AA101" s="2847"/>
      <c r="AB101" s="2847"/>
      <c r="AC101" s="2847"/>
      <c r="AD101" s="2847"/>
      <c r="AE101" s="2963">
        <v>37</v>
      </c>
      <c r="AF101" s="2847"/>
      <c r="AG101" s="2847"/>
      <c r="AH101" s="2847"/>
      <c r="AI101" s="2854"/>
    </row>
    <row r="102" spans="1:35" ht="22.35" customHeight="1">
      <c r="D102" s="14"/>
    </row>
    <row r="103" spans="1:35" ht="22.35" customHeight="1" thickBot="1">
      <c r="A103" s="2892"/>
      <c r="B103" s="2892" t="s">
        <v>29</v>
      </c>
      <c r="C103" s="2788">
        <v>1</v>
      </c>
      <c r="D103" s="2788">
        <v>2</v>
      </c>
      <c r="E103" s="2788">
        <v>3</v>
      </c>
      <c r="F103" s="2788">
        <v>4</v>
      </c>
      <c r="G103" s="2789">
        <v>5</v>
      </c>
      <c r="H103" s="2789">
        <v>6</v>
      </c>
      <c r="I103" s="2788">
        <v>7</v>
      </c>
      <c r="J103" s="2788">
        <v>8</v>
      </c>
      <c r="K103" s="2788">
        <v>9</v>
      </c>
      <c r="L103" s="2788">
        <v>10</v>
      </c>
      <c r="M103" s="2788">
        <v>11</v>
      </c>
      <c r="N103" s="2789">
        <v>12</v>
      </c>
      <c r="O103" s="2789">
        <v>13</v>
      </c>
      <c r="P103" s="2788">
        <v>14</v>
      </c>
      <c r="Q103" s="2788">
        <v>15</v>
      </c>
      <c r="R103" s="2788">
        <v>16</v>
      </c>
      <c r="S103" s="2788">
        <v>17</v>
      </c>
      <c r="T103" s="2788">
        <v>18</v>
      </c>
      <c r="U103" s="2789">
        <v>19</v>
      </c>
      <c r="V103" s="2789">
        <v>20</v>
      </c>
      <c r="W103" s="2788">
        <v>21</v>
      </c>
      <c r="X103" s="2788">
        <v>22</v>
      </c>
      <c r="Y103" s="2788">
        <v>23</v>
      </c>
      <c r="Z103" s="2788">
        <v>24</v>
      </c>
      <c r="AA103" s="2788">
        <v>25</v>
      </c>
      <c r="AB103" s="2789">
        <v>26</v>
      </c>
      <c r="AC103" s="2789">
        <v>27</v>
      </c>
      <c r="AD103" s="2788">
        <v>28</v>
      </c>
      <c r="AE103" s="2788">
        <v>29</v>
      </c>
      <c r="AF103" s="2788">
        <v>30</v>
      </c>
      <c r="AG103" s="2790">
        <v>31</v>
      </c>
      <c r="AH103" s="176"/>
      <c r="AI103" s="177"/>
    </row>
    <row r="104" spans="1:35" ht="22.35" customHeight="1">
      <c r="A104" s="367">
        <v>1</v>
      </c>
      <c r="B104" s="526" t="s">
        <v>162</v>
      </c>
      <c r="C104" s="349" t="s">
        <v>108</v>
      </c>
      <c r="D104" s="349" t="s">
        <v>108</v>
      </c>
      <c r="E104" s="349" t="s">
        <v>108</v>
      </c>
      <c r="F104" s="349" t="s">
        <v>108</v>
      </c>
      <c r="G104" s="349" t="s">
        <v>109</v>
      </c>
      <c r="H104" s="349" t="s">
        <v>109</v>
      </c>
      <c r="I104" s="349" t="s">
        <v>36</v>
      </c>
      <c r="J104" s="349" t="s">
        <v>36</v>
      </c>
      <c r="K104" s="349" t="s">
        <v>36</v>
      </c>
      <c r="L104" s="349" t="s">
        <v>36</v>
      </c>
      <c r="M104" s="349" t="s">
        <v>36</v>
      </c>
      <c r="N104" s="349"/>
      <c r="O104" s="349"/>
      <c r="P104" s="511" t="s">
        <v>163</v>
      </c>
      <c r="Q104" s="349" t="s">
        <v>163</v>
      </c>
      <c r="R104" s="349" t="s">
        <v>163</v>
      </c>
      <c r="S104" s="349" t="s">
        <v>163</v>
      </c>
      <c r="T104" s="349" t="s">
        <v>163</v>
      </c>
      <c r="U104" s="349"/>
      <c r="V104" s="349"/>
      <c r="W104" s="349" t="s">
        <v>163</v>
      </c>
      <c r="X104" s="512" t="s">
        <v>163</v>
      </c>
      <c r="Y104" s="512" t="s">
        <v>163</v>
      </c>
      <c r="Z104" s="512" t="s">
        <v>163</v>
      </c>
      <c r="AA104" s="512" t="s">
        <v>163</v>
      </c>
      <c r="AB104" s="349"/>
      <c r="AC104" s="349"/>
      <c r="AD104" s="349" t="s">
        <v>108</v>
      </c>
      <c r="AE104" s="349" t="s">
        <v>108</v>
      </c>
      <c r="AF104" s="349" t="s">
        <v>108</v>
      </c>
      <c r="AG104" s="352" t="s">
        <v>108</v>
      </c>
      <c r="AH104" s="181"/>
      <c r="AI104" s="182"/>
    </row>
    <row r="105" spans="1:35" ht="22.35" customHeight="1">
      <c r="A105" s="2966">
        <v>2</v>
      </c>
      <c r="B105" s="2967" t="s">
        <v>164</v>
      </c>
      <c r="C105" s="2968" t="s">
        <v>242</v>
      </c>
      <c r="D105" s="2968" t="s">
        <v>242</v>
      </c>
      <c r="E105" s="2968" t="s">
        <v>242</v>
      </c>
      <c r="F105" s="2968" t="s">
        <v>242</v>
      </c>
      <c r="G105" s="2968"/>
      <c r="H105" s="2968"/>
      <c r="I105" s="2820" t="s">
        <v>108</v>
      </c>
      <c r="J105" s="2820" t="s">
        <v>108</v>
      </c>
      <c r="K105" s="2820" t="s">
        <v>108</v>
      </c>
      <c r="L105" s="2820" t="s">
        <v>108</v>
      </c>
      <c r="M105" s="2820" t="s">
        <v>108</v>
      </c>
      <c r="N105" s="2875" t="s">
        <v>109</v>
      </c>
      <c r="O105" s="2875" t="s">
        <v>109</v>
      </c>
      <c r="P105" s="2875" t="s">
        <v>36</v>
      </c>
      <c r="Q105" s="2875" t="s">
        <v>36</v>
      </c>
      <c r="R105" s="2875" t="s">
        <v>36</v>
      </c>
      <c r="S105" s="2875" t="s">
        <v>36</v>
      </c>
      <c r="T105" s="2875" t="s">
        <v>36</v>
      </c>
      <c r="U105" s="2875"/>
      <c r="V105" s="2875"/>
      <c r="W105" s="2939" t="s">
        <v>246</v>
      </c>
      <c r="X105" s="2939" t="s">
        <v>246</v>
      </c>
      <c r="Y105" s="2939" t="s">
        <v>246</v>
      </c>
      <c r="Z105" s="2939" t="s">
        <v>246</v>
      </c>
      <c r="AA105" s="2939" t="s">
        <v>246</v>
      </c>
      <c r="AB105" s="2875"/>
      <c r="AC105" s="2875"/>
      <c r="AD105" s="2969">
        <v>3</v>
      </c>
      <c r="AE105" s="2969" t="s">
        <v>118</v>
      </c>
      <c r="AF105" s="2875" t="s">
        <v>118</v>
      </c>
      <c r="AG105" s="2970">
        <v>3</v>
      </c>
      <c r="AH105" s="181"/>
      <c r="AI105" s="182"/>
    </row>
    <row r="106" spans="1:35" ht="22.35" customHeight="1">
      <c r="A106" s="2966">
        <v>3</v>
      </c>
      <c r="B106" s="2967" t="s">
        <v>165</v>
      </c>
      <c r="C106" s="2875">
        <v>1</v>
      </c>
      <c r="D106" s="2971">
        <v>1</v>
      </c>
      <c r="E106" s="2803">
        <v>1</v>
      </c>
      <c r="F106" s="2872">
        <v>1</v>
      </c>
      <c r="G106" s="2872"/>
      <c r="H106" s="2872"/>
      <c r="I106" s="2972">
        <v>99</v>
      </c>
      <c r="J106" s="2972">
        <v>99</v>
      </c>
      <c r="K106" s="2972" t="s">
        <v>135</v>
      </c>
      <c r="L106" s="2972" t="s">
        <v>141</v>
      </c>
      <c r="M106" s="2968" t="s">
        <v>132</v>
      </c>
      <c r="N106" s="2875"/>
      <c r="O106" s="2875"/>
      <c r="P106" s="2875" t="s">
        <v>108</v>
      </c>
      <c r="Q106" s="2875" t="s">
        <v>108</v>
      </c>
      <c r="R106" s="2875" t="s">
        <v>108</v>
      </c>
      <c r="S106" s="2875" t="s">
        <v>108</v>
      </c>
      <c r="T106" s="2875" t="s">
        <v>108</v>
      </c>
      <c r="U106" s="2875" t="s">
        <v>109</v>
      </c>
      <c r="V106" s="2875" t="s">
        <v>109</v>
      </c>
      <c r="W106" s="2810" t="s">
        <v>36</v>
      </c>
      <c r="X106" s="2875" t="s">
        <v>36</v>
      </c>
      <c r="Y106" s="2969" t="s">
        <v>36</v>
      </c>
      <c r="Z106" s="2810" t="s">
        <v>36</v>
      </c>
      <c r="AA106" s="2810" t="s">
        <v>36</v>
      </c>
      <c r="AB106" s="2875"/>
      <c r="AC106" s="2875"/>
      <c r="AD106" s="2861" t="s">
        <v>183</v>
      </c>
      <c r="AE106" s="2861">
        <v>1</v>
      </c>
      <c r="AF106" s="2861">
        <v>1</v>
      </c>
      <c r="AG106" s="2861" t="s">
        <v>141</v>
      </c>
      <c r="AH106" s="181"/>
      <c r="AI106" s="182"/>
    </row>
    <row r="107" spans="1:35" ht="22.35" customHeight="1" thickBot="1">
      <c r="A107" s="2973">
        <v>4</v>
      </c>
      <c r="B107" s="2974" t="s">
        <v>162</v>
      </c>
      <c r="C107" s="2923" t="s">
        <v>36</v>
      </c>
      <c r="D107" s="2923" t="s">
        <v>36</v>
      </c>
      <c r="E107" s="2923" t="s">
        <v>36</v>
      </c>
      <c r="F107" s="2923" t="s">
        <v>36</v>
      </c>
      <c r="G107" s="2923"/>
      <c r="H107" s="2923"/>
      <c r="I107" s="2923" t="s">
        <v>163</v>
      </c>
      <c r="J107" s="2923" t="s">
        <v>163</v>
      </c>
      <c r="K107" s="2923" t="s">
        <v>163</v>
      </c>
      <c r="L107" s="2923" t="s">
        <v>163</v>
      </c>
      <c r="M107" s="2923" t="s">
        <v>163</v>
      </c>
      <c r="N107" s="2923"/>
      <c r="O107" s="2923"/>
      <c r="P107" s="2923" t="s">
        <v>163</v>
      </c>
      <c r="Q107" s="2923" t="s">
        <v>163</v>
      </c>
      <c r="R107" s="2923" t="s">
        <v>163</v>
      </c>
      <c r="S107" s="2923" t="s">
        <v>163</v>
      </c>
      <c r="T107" s="2923" t="s">
        <v>163</v>
      </c>
      <c r="U107" s="2923" t="s">
        <v>0</v>
      </c>
      <c r="V107" s="2923" t="s">
        <v>0</v>
      </c>
      <c r="W107" s="2923" t="s">
        <v>108</v>
      </c>
      <c r="X107" s="2923" t="s">
        <v>108</v>
      </c>
      <c r="Y107" s="2923" t="s">
        <v>108</v>
      </c>
      <c r="Z107" s="2923" t="s">
        <v>108</v>
      </c>
      <c r="AA107" s="2923" t="s">
        <v>108</v>
      </c>
      <c r="AB107" s="2788" t="s">
        <v>109</v>
      </c>
      <c r="AC107" s="2788" t="s">
        <v>109</v>
      </c>
      <c r="AD107" s="2788" t="s">
        <v>36</v>
      </c>
      <c r="AE107" s="2788" t="s">
        <v>36</v>
      </c>
      <c r="AF107" s="2923" t="s">
        <v>36</v>
      </c>
      <c r="AG107" s="2790" t="s">
        <v>36</v>
      </c>
      <c r="AH107" s="181"/>
      <c r="AI107" s="182"/>
    </row>
    <row r="108" spans="1:35" ht="22.35" customHeight="1" thickBot="1">
      <c r="A108" s="212"/>
      <c r="B108" s="200"/>
      <c r="C108" s="213"/>
      <c r="D108" s="213"/>
      <c r="E108" s="213"/>
      <c r="F108" s="213"/>
      <c r="G108" s="213"/>
      <c r="H108" s="213"/>
      <c r="I108" s="213"/>
      <c r="J108" s="213"/>
      <c r="K108" s="213"/>
      <c r="L108" s="213"/>
      <c r="M108" s="213"/>
      <c r="N108" s="213"/>
      <c r="O108" s="213"/>
      <c r="P108" s="213"/>
      <c r="Q108" s="213"/>
      <c r="R108" s="213"/>
      <c r="S108" s="213"/>
      <c r="T108" s="213"/>
      <c r="U108" s="21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13"/>
      <c r="AF108" s="213"/>
      <c r="AG108" s="214"/>
      <c r="AH108" s="215"/>
      <c r="AI108" s="182"/>
    </row>
    <row r="109" spans="1:35" ht="22.35" customHeight="1">
      <c r="A109" s="72"/>
      <c r="B109" s="248" t="s">
        <v>167</v>
      </c>
      <c r="C109" s="368"/>
      <c r="D109" s="369" t="s">
        <v>94</v>
      </c>
      <c r="E109" s="370"/>
      <c r="F109" s="368"/>
      <c r="G109" s="371" t="s">
        <v>95</v>
      </c>
      <c r="H109" s="372"/>
      <c r="I109" s="373"/>
      <c r="J109" s="371" t="s">
        <v>96</v>
      </c>
      <c r="K109" s="374"/>
      <c r="L109" s="373"/>
      <c r="M109" s="375" t="s">
        <v>97</v>
      </c>
      <c r="N109" s="374"/>
      <c r="O109" s="373"/>
      <c r="P109" s="371" t="s">
        <v>98</v>
      </c>
      <c r="Q109" s="376"/>
      <c r="R109" s="373"/>
      <c r="S109" s="371" t="s">
        <v>99</v>
      </c>
      <c r="T109" s="377"/>
      <c r="U109" s="373"/>
      <c r="V109" s="371" t="s">
        <v>100</v>
      </c>
      <c r="W109" s="376"/>
      <c r="X109" s="378" t="s">
        <v>147</v>
      </c>
      <c r="Y109" s="379"/>
      <c r="Z109" s="379"/>
      <c r="AA109" s="380"/>
      <c r="AB109" s="235" t="s">
        <v>101</v>
      </c>
      <c r="AC109" s="236"/>
      <c r="AD109" s="236"/>
      <c r="AE109" s="237"/>
      <c r="AF109" s="237"/>
      <c r="AG109" s="238"/>
      <c r="AH109" s="215"/>
      <c r="AI109" s="182"/>
    </row>
    <row r="110" spans="1:35" ht="22.35" customHeight="1">
      <c r="A110" s="72"/>
      <c r="B110" s="2975" t="s">
        <v>169</v>
      </c>
      <c r="C110" s="2976" t="s">
        <v>170</v>
      </c>
      <c r="D110" s="2772"/>
      <c r="E110" s="2773"/>
      <c r="F110" s="2976" t="s">
        <v>170</v>
      </c>
      <c r="G110" s="2772"/>
      <c r="H110" s="2773"/>
      <c r="I110" s="2976" t="s">
        <v>170</v>
      </c>
      <c r="J110" s="2772"/>
      <c r="K110" s="2773"/>
      <c r="L110" s="2976" t="s">
        <v>170</v>
      </c>
      <c r="M110" s="2772"/>
      <c r="N110" s="2773"/>
      <c r="O110" s="2976" t="s">
        <v>171</v>
      </c>
      <c r="P110" s="2772"/>
      <c r="Q110" s="2773"/>
      <c r="R110" s="2976"/>
      <c r="S110" s="2772"/>
      <c r="T110" s="2773"/>
      <c r="U110" s="2976"/>
      <c r="V110" s="2772"/>
      <c r="W110" s="2773"/>
      <c r="X110" s="2976"/>
      <c r="Y110" s="2977"/>
      <c r="Z110" s="2977"/>
      <c r="AA110" s="2977"/>
      <c r="AB110" s="2769"/>
      <c r="AC110" s="2977"/>
      <c r="AD110" s="2977"/>
      <c r="AE110" s="2977"/>
      <c r="AF110" s="2977"/>
      <c r="AG110" s="2978"/>
      <c r="AH110" s="215"/>
      <c r="AI110" s="182"/>
    </row>
    <row r="111" spans="1:35" ht="22.35" customHeight="1">
      <c r="A111" s="72"/>
      <c r="B111" s="17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215"/>
      <c r="AI111" s="182"/>
    </row>
    <row r="112" spans="1:35" ht="22.35" customHeight="1" thickBot="1">
      <c r="A112" s="2954" t="s">
        <v>28</v>
      </c>
      <c r="B112" s="2856" t="s">
        <v>29</v>
      </c>
      <c r="C112" s="2788">
        <v>1</v>
      </c>
      <c r="D112" s="2788">
        <v>2</v>
      </c>
      <c r="E112" s="2788">
        <v>3</v>
      </c>
      <c r="F112" s="2788">
        <v>4</v>
      </c>
      <c r="G112" s="2789">
        <v>5</v>
      </c>
      <c r="H112" s="2789">
        <v>6</v>
      </c>
      <c r="I112" s="2788">
        <v>7</v>
      </c>
      <c r="J112" s="2788">
        <v>8</v>
      </c>
      <c r="K112" s="2788">
        <v>9</v>
      </c>
      <c r="L112" s="2788">
        <v>10</v>
      </c>
      <c r="M112" s="2788">
        <v>11</v>
      </c>
      <c r="N112" s="2789">
        <v>12</v>
      </c>
      <c r="O112" s="2789">
        <v>13</v>
      </c>
      <c r="P112" s="2788">
        <v>14</v>
      </c>
      <c r="Q112" s="2788">
        <v>15</v>
      </c>
      <c r="R112" s="2788">
        <v>16</v>
      </c>
      <c r="S112" s="2788">
        <v>17</v>
      </c>
      <c r="T112" s="2788">
        <v>18</v>
      </c>
      <c r="U112" s="2789">
        <v>19</v>
      </c>
      <c r="V112" s="2789">
        <v>20</v>
      </c>
      <c r="W112" s="2788">
        <v>21</v>
      </c>
      <c r="X112" s="2788">
        <v>22</v>
      </c>
      <c r="Y112" s="2788">
        <v>23</v>
      </c>
      <c r="Z112" s="2788">
        <v>24</v>
      </c>
      <c r="AA112" s="2788">
        <v>25</v>
      </c>
      <c r="AB112" s="2789">
        <v>26</v>
      </c>
      <c r="AC112" s="2789">
        <v>27</v>
      </c>
      <c r="AD112" s="2788">
        <v>28</v>
      </c>
      <c r="AE112" s="2788">
        <v>29</v>
      </c>
      <c r="AF112" s="2788">
        <v>30</v>
      </c>
      <c r="AG112" s="2790">
        <v>31</v>
      </c>
      <c r="AH112" s="215"/>
      <c r="AI112" s="182"/>
    </row>
    <row r="113" spans="1:35" ht="22.35" customHeight="1">
      <c r="A113" s="381">
        <v>8520</v>
      </c>
      <c r="B113" s="382" t="s">
        <v>172</v>
      </c>
      <c r="C113" s="720" t="s">
        <v>173</v>
      </c>
      <c r="D113" s="720" t="s">
        <v>173</v>
      </c>
      <c r="E113" s="720" t="s">
        <v>173</v>
      </c>
      <c r="F113" s="720" t="s">
        <v>402</v>
      </c>
      <c r="G113" s="349"/>
      <c r="H113" s="349"/>
      <c r="I113" s="349" t="s">
        <v>173</v>
      </c>
      <c r="J113" s="349" t="s">
        <v>173</v>
      </c>
      <c r="K113" s="349" t="s">
        <v>173</v>
      </c>
      <c r="L113" s="349" t="s">
        <v>173</v>
      </c>
      <c r="M113" s="349" t="s">
        <v>173</v>
      </c>
      <c r="N113" s="349"/>
      <c r="O113" s="349"/>
      <c r="P113" s="349" t="s">
        <v>173</v>
      </c>
      <c r="Q113" s="349" t="s">
        <v>173</v>
      </c>
      <c r="R113" s="349" t="s">
        <v>173</v>
      </c>
      <c r="S113" s="349" t="s">
        <v>173</v>
      </c>
      <c r="T113" s="349" t="s">
        <v>173</v>
      </c>
      <c r="U113" s="349"/>
      <c r="V113" s="349"/>
      <c r="W113" s="349" t="s">
        <v>173</v>
      </c>
      <c r="X113" s="349" t="s">
        <v>173</v>
      </c>
      <c r="Y113" s="349" t="s">
        <v>173</v>
      </c>
      <c r="Z113" s="574" t="s">
        <v>173</v>
      </c>
      <c r="AA113" s="349" t="s">
        <v>173</v>
      </c>
      <c r="AB113" s="349"/>
      <c r="AC113" s="349"/>
      <c r="AD113" s="664" t="s">
        <v>173</v>
      </c>
      <c r="AE113" s="664" t="s">
        <v>173</v>
      </c>
      <c r="AF113" s="664" t="s">
        <v>173</v>
      </c>
      <c r="AG113" s="725" t="s">
        <v>173</v>
      </c>
      <c r="AH113" s="215"/>
      <c r="AI113" s="182"/>
    </row>
    <row r="114" spans="1:35" ht="22.35" customHeight="1">
      <c r="A114" s="221"/>
      <c r="B114" s="220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5"/>
      <c r="AI114" s="182"/>
    </row>
    <row r="115" spans="1:35" ht="22.35" customHeight="1">
      <c r="AH115" s="107"/>
      <c r="AI115" s="107"/>
    </row>
    <row r="116" spans="1:35" ht="22.35" customHeight="1" thickBot="1">
      <c r="A116" s="172" t="s">
        <v>174</v>
      </c>
      <c r="B116" s="173"/>
      <c r="C116" s="173"/>
      <c r="D116" s="174"/>
      <c r="E116" s="174"/>
      <c r="F116" s="174"/>
      <c r="G116" s="105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3"/>
      <c r="AI116" s="173"/>
    </row>
    <row r="117" spans="1:35" ht="22.35" customHeight="1">
      <c r="A117" s="172"/>
      <c r="B117" s="248" t="s">
        <v>175</v>
      </c>
      <c r="C117" s="383"/>
      <c r="D117" s="384" t="s">
        <v>94</v>
      </c>
      <c r="E117" s="385"/>
      <c r="F117" s="386"/>
      <c r="G117" s="383"/>
      <c r="H117" s="384" t="s">
        <v>95</v>
      </c>
      <c r="I117" s="385"/>
      <c r="J117" s="386"/>
      <c r="K117" s="383"/>
      <c r="L117" s="384" t="s">
        <v>96</v>
      </c>
      <c r="M117" s="385"/>
      <c r="N117" s="386"/>
      <c r="O117" s="383"/>
      <c r="P117" s="384" t="s">
        <v>97</v>
      </c>
      <c r="Q117" s="385"/>
      <c r="R117" s="386"/>
      <c r="S117" s="383"/>
      <c r="T117" s="384" t="s">
        <v>98</v>
      </c>
      <c r="U117" s="385"/>
      <c r="V117" s="386"/>
      <c r="W117" s="383"/>
      <c r="X117" s="384" t="s">
        <v>99</v>
      </c>
      <c r="Y117" s="385"/>
      <c r="Z117" s="386"/>
      <c r="AA117" s="383"/>
      <c r="AB117" s="384" t="s">
        <v>100</v>
      </c>
      <c r="AC117" s="385"/>
      <c r="AD117" s="385"/>
      <c r="AE117" s="387" t="s">
        <v>101</v>
      </c>
      <c r="AF117" s="385"/>
      <c r="AG117" s="385"/>
      <c r="AH117" s="385"/>
      <c r="AI117" s="388"/>
    </row>
    <row r="118" spans="1:35" ht="22.35" customHeight="1">
      <c r="A118" s="172"/>
      <c r="B118" s="2979" t="s">
        <v>148</v>
      </c>
      <c r="C118" s="2980">
        <v>69</v>
      </c>
      <c r="D118" s="2981" t="s">
        <v>176</v>
      </c>
      <c r="E118" s="2981"/>
      <c r="F118" s="2982"/>
      <c r="G118" s="2980">
        <v>69</v>
      </c>
      <c r="H118" s="2981" t="s">
        <v>176</v>
      </c>
      <c r="I118" s="2981"/>
      <c r="J118" s="2982"/>
      <c r="K118" s="2980">
        <v>69</v>
      </c>
      <c r="L118" s="2981" t="s">
        <v>176</v>
      </c>
      <c r="M118" s="2981"/>
      <c r="N118" s="2982"/>
      <c r="O118" s="2980">
        <v>69</v>
      </c>
      <c r="P118" s="2981" t="s">
        <v>176</v>
      </c>
      <c r="Q118" s="2981"/>
      <c r="R118" s="2982"/>
      <c r="S118" s="2980">
        <v>69</v>
      </c>
      <c r="T118" s="2981" t="s">
        <v>176</v>
      </c>
      <c r="U118" s="2981"/>
      <c r="V118" s="2982"/>
      <c r="W118" s="2980"/>
      <c r="X118" s="2983"/>
      <c r="Y118" s="2983"/>
      <c r="Z118" s="2984"/>
      <c r="AA118" s="2980"/>
      <c r="AB118" s="2981"/>
      <c r="AC118" s="2981"/>
      <c r="AD118" s="2899"/>
      <c r="AE118" s="2985">
        <v>35</v>
      </c>
      <c r="AF118" s="2981"/>
      <c r="AG118" s="2981"/>
      <c r="AH118" s="2899"/>
      <c r="AI118" s="2986"/>
    </row>
    <row r="119" spans="1:35" ht="22.35" customHeight="1">
      <c r="A119" s="172"/>
      <c r="B119" s="2979" t="s">
        <v>152</v>
      </c>
      <c r="C119" s="2980">
        <v>79</v>
      </c>
      <c r="D119" s="2981" t="s">
        <v>177</v>
      </c>
      <c r="E119" s="2981"/>
      <c r="F119" s="2982"/>
      <c r="G119" s="2980">
        <v>79</v>
      </c>
      <c r="H119" s="2981" t="s">
        <v>177</v>
      </c>
      <c r="I119" s="2981"/>
      <c r="J119" s="2982"/>
      <c r="K119" s="2980">
        <v>79</v>
      </c>
      <c r="L119" s="2981" t="s">
        <v>177</v>
      </c>
      <c r="M119" s="2981"/>
      <c r="N119" s="2982"/>
      <c r="O119" s="2980">
        <v>79</v>
      </c>
      <c r="P119" s="2981" t="s">
        <v>177</v>
      </c>
      <c r="Q119" s="2981"/>
      <c r="R119" s="2982"/>
      <c r="S119" s="2980">
        <v>79</v>
      </c>
      <c r="T119" s="2981" t="s">
        <v>177</v>
      </c>
      <c r="U119" s="2981"/>
      <c r="V119" s="2982"/>
      <c r="W119" s="2980"/>
      <c r="X119" s="2981"/>
      <c r="Y119" s="2981"/>
      <c r="Z119" s="2982"/>
      <c r="AA119" s="2981"/>
      <c r="AB119" s="2981"/>
      <c r="AC119" s="2981"/>
      <c r="AD119" s="2899"/>
      <c r="AE119" s="2985">
        <v>40</v>
      </c>
      <c r="AF119" s="2981"/>
      <c r="AG119" s="2981"/>
      <c r="AH119" s="2899"/>
      <c r="AI119" s="2986"/>
    </row>
    <row r="120" spans="1:35" ht="22.35" customHeight="1">
      <c r="A120" s="172"/>
      <c r="B120" s="2979" t="s">
        <v>159</v>
      </c>
      <c r="C120" s="2980">
        <v>89</v>
      </c>
      <c r="D120" s="2981" t="s">
        <v>178</v>
      </c>
      <c r="E120" s="2981"/>
      <c r="F120" s="2982"/>
      <c r="G120" s="2980">
        <v>89</v>
      </c>
      <c r="H120" s="2981" t="s">
        <v>178</v>
      </c>
      <c r="I120" s="2981"/>
      <c r="J120" s="2982"/>
      <c r="K120" s="2980">
        <v>89</v>
      </c>
      <c r="L120" s="2981" t="s">
        <v>178</v>
      </c>
      <c r="M120" s="2981"/>
      <c r="N120" s="2982"/>
      <c r="O120" s="2980">
        <v>89</v>
      </c>
      <c r="P120" s="2981" t="s">
        <v>178</v>
      </c>
      <c r="Q120" s="2981"/>
      <c r="R120" s="2982"/>
      <c r="S120" s="2980">
        <v>89</v>
      </c>
      <c r="T120" s="2981" t="s">
        <v>178</v>
      </c>
      <c r="U120" s="2981"/>
      <c r="V120" s="2982"/>
      <c r="W120" s="2987"/>
      <c r="X120" s="2988" t="s">
        <v>180</v>
      </c>
      <c r="Y120" s="2988"/>
      <c r="Z120" s="2989"/>
      <c r="AA120" s="2987"/>
      <c r="AB120" s="2988"/>
      <c r="AC120" s="2988"/>
      <c r="AD120" s="2901"/>
      <c r="AE120" s="2985">
        <v>44</v>
      </c>
      <c r="AF120" s="2981"/>
      <c r="AG120" s="2981"/>
      <c r="AH120" s="2899"/>
      <c r="AI120" s="2986"/>
    </row>
    <row r="121" spans="1:35" ht="22.35" customHeight="1">
      <c r="A121" s="172"/>
      <c r="B121" s="38" t="s">
        <v>161</v>
      </c>
      <c r="C121" s="2987">
        <v>99</v>
      </c>
      <c r="D121" s="2988" t="s">
        <v>181</v>
      </c>
      <c r="E121" s="2988"/>
      <c r="F121" s="2989"/>
      <c r="G121" s="2987">
        <v>99</v>
      </c>
      <c r="H121" s="2988" t="s">
        <v>181</v>
      </c>
      <c r="I121" s="2988"/>
      <c r="J121" s="2989"/>
      <c r="K121" s="2987">
        <v>99</v>
      </c>
      <c r="L121" s="2988" t="s">
        <v>181</v>
      </c>
      <c r="M121" s="2988"/>
      <c r="N121" s="2989"/>
      <c r="O121" s="2987">
        <v>99</v>
      </c>
      <c r="P121" s="2988" t="s">
        <v>181</v>
      </c>
      <c r="Q121" s="2988"/>
      <c r="R121" s="2989"/>
      <c r="S121" s="2987">
        <v>99</v>
      </c>
      <c r="T121" s="2988" t="s">
        <v>160</v>
      </c>
      <c r="U121" s="2988"/>
      <c r="V121" s="2901"/>
      <c r="W121" s="2900"/>
      <c r="X121" s="2901"/>
      <c r="Y121" s="2988"/>
      <c r="Z121" s="2989"/>
      <c r="AA121" s="2900"/>
      <c r="AB121" s="2901"/>
      <c r="AC121" s="2988"/>
      <c r="AD121" s="2989"/>
      <c r="AE121" s="2990">
        <v>28</v>
      </c>
      <c r="AF121" s="2988"/>
      <c r="AG121" s="2988"/>
      <c r="AH121" s="2901"/>
      <c r="AI121" s="2991"/>
    </row>
    <row r="122" spans="1:35" ht="22.35" customHeight="1" thickBot="1">
      <c r="A122" s="172"/>
      <c r="B122" s="2992" t="s">
        <v>182</v>
      </c>
      <c r="C122" s="2993" t="s">
        <v>183</v>
      </c>
      <c r="D122" s="2994" t="s">
        <v>184</v>
      </c>
      <c r="E122" s="2995"/>
      <c r="F122" s="2849"/>
      <c r="G122" s="2993" t="s">
        <v>183</v>
      </c>
      <c r="H122" s="2994" t="s">
        <v>184</v>
      </c>
      <c r="I122" s="2847"/>
      <c r="J122" s="2995"/>
      <c r="K122" s="2993" t="s">
        <v>183</v>
      </c>
      <c r="L122" s="2994" t="s">
        <v>184</v>
      </c>
      <c r="M122" s="2995"/>
      <c r="N122" s="2996"/>
      <c r="O122" s="2993" t="s">
        <v>183</v>
      </c>
      <c r="P122" s="2994" t="s">
        <v>184</v>
      </c>
      <c r="Q122" s="2995"/>
      <c r="R122" s="2994"/>
      <c r="S122" s="2993" t="s">
        <v>183</v>
      </c>
      <c r="T122" s="2851" t="s">
        <v>185</v>
      </c>
      <c r="U122" s="2994"/>
      <c r="V122" s="2996"/>
      <c r="W122" s="2995"/>
      <c r="X122" s="2994"/>
      <c r="Y122" s="2994"/>
      <c r="Z122" s="2994"/>
      <c r="AA122" s="2997"/>
      <c r="AB122" s="2998"/>
      <c r="AC122" s="2994"/>
      <c r="AD122" s="2999"/>
      <c r="AE122" s="2994"/>
      <c r="AF122" s="2994"/>
      <c r="AG122" s="2994"/>
      <c r="AH122" s="3000"/>
      <c r="AI122" s="3001"/>
    </row>
    <row r="123" spans="1:35" ht="22.35" customHeight="1">
      <c r="A123" s="108"/>
      <c r="B123" s="172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3"/>
      <c r="AI123" s="173"/>
    </row>
    <row r="124" spans="1:35" ht="22.35" customHeight="1" thickBot="1">
      <c r="A124" s="2954"/>
      <c r="B124" s="2856" t="s">
        <v>29</v>
      </c>
      <c r="C124" s="2788">
        <v>1</v>
      </c>
      <c r="D124" s="2788">
        <v>2</v>
      </c>
      <c r="E124" s="2788">
        <v>3</v>
      </c>
      <c r="F124" s="2788">
        <v>4</v>
      </c>
      <c r="G124" s="2789">
        <v>5</v>
      </c>
      <c r="H124" s="2789">
        <v>6</v>
      </c>
      <c r="I124" s="2788">
        <v>7</v>
      </c>
      <c r="J124" s="2788">
        <v>8</v>
      </c>
      <c r="K124" s="2788">
        <v>9</v>
      </c>
      <c r="L124" s="2788">
        <v>10</v>
      </c>
      <c r="M124" s="2788">
        <v>11</v>
      </c>
      <c r="N124" s="2789">
        <v>12</v>
      </c>
      <c r="O124" s="2789">
        <v>13</v>
      </c>
      <c r="P124" s="2788">
        <v>14</v>
      </c>
      <c r="Q124" s="2788">
        <v>15</v>
      </c>
      <c r="R124" s="2788">
        <v>16</v>
      </c>
      <c r="S124" s="2788">
        <v>17</v>
      </c>
      <c r="T124" s="2788">
        <v>18</v>
      </c>
      <c r="U124" s="2789">
        <v>19</v>
      </c>
      <c r="V124" s="2789">
        <v>20</v>
      </c>
      <c r="W124" s="2788">
        <v>21</v>
      </c>
      <c r="X124" s="2788">
        <v>22</v>
      </c>
      <c r="Y124" s="2788">
        <v>23</v>
      </c>
      <c r="Z124" s="2788">
        <v>24</v>
      </c>
      <c r="AA124" s="2788">
        <v>25</v>
      </c>
      <c r="AB124" s="2789">
        <v>26</v>
      </c>
      <c r="AC124" s="2789">
        <v>27</v>
      </c>
      <c r="AD124" s="2788">
        <v>28</v>
      </c>
      <c r="AE124" s="2788">
        <v>29</v>
      </c>
      <c r="AF124" s="2788">
        <v>30</v>
      </c>
      <c r="AG124" s="2790">
        <v>31</v>
      </c>
      <c r="AH124" s="176"/>
      <c r="AI124" s="177"/>
    </row>
    <row r="125" spans="1:35" ht="22.35" customHeight="1" thickBot="1">
      <c r="A125" s="367">
        <v>1</v>
      </c>
      <c r="B125" s="389" t="s">
        <v>186</v>
      </c>
      <c r="C125" s="361">
        <v>69</v>
      </c>
      <c r="D125" s="361">
        <v>69</v>
      </c>
      <c r="E125" s="349">
        <v>69</v>
      </c>
      <c r="F125" s="349">
        <v>69</v>
      </c>
      <c r="G125" s="350"/>
      <c r="H125" s="361"/>
      <c r="I125" s="350">
        <v>79</v>
      </c>
      <c r="J125" s="350">
        <v>79</v>
      </c>
      <c r="K125" s="361">
        <v>79</v>
      </c>
      <c r="L125" s="350">
        <v>79</v>
      </c>
      <c r="M125" s="349">
        <v>79</v>
      </c>
      <c r="N125" s="361"/>
      <c r="O125" s="361"/>
      <c r="P125" s="361">
        <v>89</v>
      </c>
      <c r="Q125" s="361">
        <v>89</v>
      </c>
      <c r="R125" s="361">
        <v>89</v>
      </c>
      <c r="S125" s="349">
        <v>89</v>
      </c>
      <c r="T125" s="349">
        <v>89</v>
      </c>
      <c r="U125" s="361">
        <v>89</v>
      </c>
      <c r="V125" s="361"/>
      <c r="W125" s="361">
        <v>99</v>
      </c>
      <c r="X125" s="361">
        <v>99</v>
      </c>
      <c r="Y125" s="361">
        <v>99</v>
      </c>
      <c r="Z125" s="574">
        <v>99</v>
      </c>
      <c r="AA125" s="350" t="s">
        <v>36</v>
      </c>
      <c r="AB125" s="361"/>
      <c r="AC125" s="361"/>
      <c r="AD125" s="361" t="s">
        <v>183</v>
      </c>
      <c r="AE125" s="361" t="s">
        <v>183</v>
      </c>
      <c r="AF125" s="361" t="s">
        <v>183</v>
      </c>
      <c r="AG125" s="361" t="s">
        <v>183</v>
      </c>
      <c r="AH125" s="201"/>
      <c r="AI125" s="107"/>
    </row>
    <row r="126" spans="1:35" ht="22.35" customHeight="1" thickBot="1">
      <c r="A126" s="2966">
        <v>2</v>
      </c>
      <c r="B126" s="3002" t="s">
        <v>188</v>
      </c>
      <c r="C126" s="2802">
        <v>79</v>
      </c>
      <c r="D126" s="2870">
        <v>79</v>
      </c>
      <c r="E126" s="2810">
        <v>79</v>
      </c>
      <c r="F126" s="2875">
        <v>79</v>
      </c>
      <c r="G126" s="2870"/>
      <c r="H126" s="2870"/>
      <c r="I126" s="2870">
        <v>89</v>
      </c>
      <c r="J126" s="2810">
        <v>89</v>
      </c>
      <c r="K126" s="706">
        <v>89</v>
      </c>
      <c r="L126" s="2875">
        <v>89</v>
      </c>
      <c r="M126" s="2860">
        <v>89</v>
      </c>
      <c r="N126" s="2870">
        <v>89</v>
      </c>
      <c r="O126" s="2870"/>
      <c r="P126" s="2870">
        <v>99</v>
      </c>
      <c r="Q126" s="2870">
        <v>99</v>
      </c>
      <c r="R126" s="2802">
        <v>99</v>
      </c>
      <c r="S126" s="2870">
        <v>99</v>
      </c>
      <c r="T126" s="2875" t="s">
        <v>36</v>
      </c>
      <c r="U126" s="2870"/>
      <c r="V126" s="2870"/>
      <c r="W126" s="2870" t="s">
        <v>183</v>
      </c>
      <c r="X126" s="2870" t="s">
        <v>183</v>
      </c>
      <c r="Y126" s="2870" t="s">
        <v>183</v>
      </c>
      <c r="Z126" s="2810" t="s">
        <v>183</v>
      </c>
      <c r="AA126" s="2875" t="s">
        <v>183</v>
      </c>
      <c r="AB126" s="2802"/>
      <c r="AC126" s="2870"/>
      <c r="AD126" s="2802">
        <v>69</v>
      </c>
      <c r="AE126" s="2871">
        <v>69</v>
      </c>
      <c r="AF126" s="2871">
        <v>69</v>
      </c>
      <c r="AG126" s="3003">
        <v>69</v>
      </c>
      <c r="AH126" s="202"/>
      <c r="AI126" s="171"/>
    </row>
    <row r="127" spans="1:35" ht="22.35" customHeight="1">
      <c r="A127" s="2966">
        <v>3</v>
      </c>
      <c r="B127" s="3002" t="s">
        <v>353</v>
      </c>
      <c r="C127" s="2972">
        <v>89</v>
      </c>
      <c r="D127" s="2972">
        <v>89</v>
      </c>
      <c r="E127" s="2810">
        <v>89</v>
      </c>
      <c r="F127" s="2972">
        <v>89</v>
      </c>
      <c r="G127" s="2972">
        <v>89</v>
      </c>
      <c r="H127" s="2972"/>
      <c r="I127" s="3004" t="s">
        <v>403</v>
      </c>
      <c r="J127" s="2810" t="s">
        <v>403</v>
      </c>
      <c r="K127" s="706">
        <v>99</v>
      </c>
      <c r="L127" s="3004" t="s">
        <v>403</v>
      </c>
      <c r="M127" s="2810" t="s">
        <v>36</v>
      </c>
      <c r="N127" s="2669" t="s">
        <v>32</v>
      </c>
      <c r="O127" s="2669" t="s">
        <v>32</v>
      </c>
      <c r="P127" s="2972" t="s">
        <v>183</v>
      </c>
      <c r="Q127" s="2972" t="s">
        <v>183</v>
      </c>
      <c r="R127" s="2972" t="s">
        <v>183</v>
      </c>
      <c r="S127" s="2972" t="s">
        <v>183</v>
      </c>
      <c r="T127" s="3005" t="s">
        <v>183</v>
      </c>
      <c r="U127" s="2669" t="s">
        <v>32</v>
      </c>
      <c r="V127" s="2669" t="s">
        <v>32</v>
      </c>
      <c r="W127" s="2972">
        <v>69</v>
      </c>
      <c r="X127" s="2972">
        <v>69</v>
      </c>
      <c r="Y127" s="2810">
        <v>69</v>
      </c>
      <c r="Z127" s="2810">
        <v>69</v>
      </c>
      <c r="AA127" s="2972">
        <v>69</v>
      </c>
      <c r="AB127" s="2810"/>
      <c r="AC127" s="2972"/>
      <c r="AD127" s="2972">
        <v>79</v>
      </c>
      <c r="AE127" s="2972">
        <v>79</v>
      </c>
      <c r="AF127" s="2972">
        <v>79</v>
      </c>
      <c r="AG127" s="3006">
        <v>79</v>
      </c>
      <c r="AH127" s="201"/>
      <c r="AI127" s="107"/>
    </row>
    <row r="128" spans="1:35" ht="22.35" customHeight="1" thickBot="1">
      <c r="A128" s="2966">
        <v>4</v>
      </c>
      <c r="B128" s="2928" t="s">
        <v>359</v>
      </c>
      <c r="C128" s="2875">
        <v>99</v>
      </c>
      <c r="D128" s="2875">
        <v>99</v>
      </c>
      <c r="E128" s="2875">
        <v>99</v>
      </c>
      <c r="F128" s="2875" t="s">
        <v>36</v>
      </c>
      <c r="G128" s="2875"/>
      <c r="H128" s="2875"/>
      <c r="I128" s="2875" t="s">
        <v>183</v>
      </c>
      <c r="J128" s="2810" t="s">
        <v>183</v>
      </c>
      <c r="K128" s="2875" t="s">
        <v>183</v>
      </c>
      <c r="L128" s="2875" t="s">
        <v>343</v>
      </c>
      <c r="M128" s="2860" t="s">
        <v>343</v>
      </c>
      <c r="N128" s="2875"/>
      <c r="O128" s="2875"/>
      <c r="P128" s="2875">
        <v>69</v>
      </c>
      <c r="Q128" s="2955">
        <v>69</v>
      </c>
      <c r="R128" s="2955">
        <v>69</v>
      </c>
      <c r="S128" s="2875">
        <v>69</v>
      </c>
      <c r="T128" s="2875">
        <v>69</v>
      </c>
      <c r="U128" s="2875"/>
      <c r="V128" s="2875"/>
      <c r="W128" s="2875">
        <v>79</v>
      </c>
      <c r="X128" s="2875">
        <v>79</v>
      </c>
      <c r="Y128" s="2810">
        <v>79</v>
      </c>
      <c r="Z128" s="2810">
        <v>79</v>
      </c>
      <c r="AA128" s="2875">
        <v>79</v>
      </c>
      <c r="AB128" s="2969"/>
      <c r="AC128" s="2875"/>
      <c r="AD128" s="2875">
        <v>89</v>
      </c>
      <c r="AE128" s="2875">
        <v>89</v>
      </c>
      <c r="AF128" s="2955">
        <v>89</v>
      </c>
      <c r="AG128" s="3007">
        <v>89</v>
      </c>
      <c r="AH128" s="201"/>
      <c r="AI128" s="107"/>
    </row>
    <row r="129" spans="1:35" ht="22.35" customHeight="1" thickBot="1">
      <c r="A129" s="2973">
        <v>5</v>
      </c>
      <c r="B129" s="3008" t="s">
        <v>190</v>
      </c>
      <c r="C129" s="2958" t="s">
        <v>183</v>
      </c>
      <c r="D129" s="2958" t="s">
        <v>183</v>
      </c>
      <c r="E129" s="2958" t="s">
        <v>183</v>
      </c>
      <c r="F129" s="2788" t="s">
        <v>183</v>
      </c>
      <c r="G129" s="2833"/>
      <c r="H129" s="2833"/>
      <c r="I129" s="2833">
        <v>69</v>
      </c>
      <c r="J129" s="2889">
        <v>69</v>
      </c>
      <c r="K129" s="706">
        <v>69</v>
      </c>
      <c r="L129" s="2788">
        <v>69</v>
      </c>
      <c r="M129" s="2889">
        <v>69</v>
      </c>
      <c r="N129" s="2958"/>
      <c r="O129" s="2958"/>
      <c r="P129" s="3004" t="s">
        <v>403</v>
      </c>
      <c r="Q129" s="3004" t="s">
        <v>403</v>
      </c>
      <c r="R129" s="3004" t="s">
        <v>403</v>
      </c>
      <c r="S129" s="3004" t="s">
        <v>403</v>
      </c>
      <c r="T129" s="3009">
        <v>79</v>
      </c>
      <c r="U129" s="2958"/>
      <c r="V129" s="2958"/>
      <c r="W129" s="3010">
        <v>89</v>
      </c>
      <c r="X129" s="3010">
        <v>89</v>
      </c>
      <c r="Y129" s="3010">
        <v>89</v>
      </c>
      <c r="Z129" s="2864">
        <v>89</v>
      </c>
      <c r="AA129" s="2864">
        <v>89</v>
      </c>
      <c r="AB129" s="2958">
        <v>89</v>
      </c>
      <c r="AC129" s="2958"/>
      <c r="AD129" s="2958">
        <v>99</v>
      </c>
      <c r="AE129" s="2958">
        <v>99</v>
      </c>
      <c r="AF129" s="2958">
        <v>99</v>
      </c>
      <c r="AG129" s="3011">
        <v>99</v>
      </c>
      <c r="AH129" s="201"/>
      <c r="AI129" s="107"/>
    </row>
    <row r="130" spans="1:35" ht="22.35" customHeight="1">
      <c r="A130" s="212"/>
      <c r="B130" s="229"/>
      <c r="C130" s="230"/>
      <c r="D130" s="230"/>
      <c r="E130" s="230"/>
      <c r="F130" s="211"/>
      <c r="G130" s="228"/>
      <c r="H130" s="228"/>
      <c r="I130" s="228"/>
      <c r="J130" s="228"/>
      <c r="K130" s="228"/>
      <c r="L130" s="211"/>
      <c r="M130" s="211"/>
      <c r="N130" s="230"/>
      <c r="O130" s="230"/>
      <c r="P130" s="230"/>
      <c r="Q130" s="230"/>
      <c r="R130" s="230"/>
      <c r="S130" s="211"/>
      <c r="T130" s="231"/>
      <c r="U130" s="230"/>
      <c r="V130" s="230"/>
      <c r="W130" s="230"/>
      <c r="X130" s="230"/>
      <c r="Y130" s="230"/>
      <c r="Z130" s="232"/>
      <c r="AA130" s="232"/>
      <c r="AB130" s="230"/>
      <c r="AC130" s="230"/>
      <c r="AD130" s="230"/>
      <c r="AE130" s="230"/>
      <c r="AF130" s="230"/>
      <c r="AG130" s="232"/>
      <c r="AH130" s="201"/>
      <c r="AI130" s="107"/>
    </row>
    <row r="131" spans="1:35" ht="22.35" customHeight="1">
      <c r="A131" s="109"/>
      <c r="B131" s="110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7"/>
      <c r="AI131" s="107"/>
    </row>
    <row r="132" spans="1:35" ht="22.35" customHeight="1" thickBot="1">
      <c r="A132" s="172" t="s">
        <v>191</v>
      </c>
      <c r="B132" s="173"/>
      <c r="C132" s="173"/>
      <c r="D132" s="174"/>
      <c r="E132" s="174"/>
      <c r="F132" s="174"/>
      <c r="G132" s="105"/>
      <c r="H132" s="174"/>
      <c r="I132" s="174"/>
      <c r="J132" s="174"/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174"/>
      <c r="AH132" s="173"/>
      <c r="AI132" s="173"/>
    </row>
    <row r="133" spans="1:35" ht="22.35" customHeight="1">
      <c r="A133" s="172"/>
      <c r="B133" s="248" t="s">
        <v>175</v>
      </c>
      <c r="C133" s="383"/>
      <c r="D133" s="384" t="s">
        <v>94</v>
      </c>
      <c r="E133" s="385"/>
      <c r="F133" s="386"/>
      <c r="G133" s="383"/>
      <c r="H133" s="384" t="s">
        <v>95</v>
      </c>
      <c r="I133" s="385"/>
      <c r="J133" s="386"/>
      <c r="K133" s="383"/>
      <c r="L133" s="384" t="s">
        <v>96</v>
      </c>
      <c r="M133" s="385"/>
      <c r="N133" s="386"/>
      <c r="O133" s="383"/>
      <c r="P133" s="384" t="s">
        <v>97</v>
      </c>
      <c r="Q133" s="385"/>
      <c r="R133" s="386"/>
      <c r="S133" s="383"/>
      <c r="T133" s="384" t="s">
        <v>98</v>
      </c>
      <c r="U133" s="385"/>
      <c r="V133" s="386"/>
      <c r="W133" s="383"/>
      <c r="X133" s="384" t="s">
        <v>99</v>
      </c>
      <c r="Y133" s="385"/>
      <c r="Z133" s="386"/>
      <c r="AA133" s="383"/>
      <c r="AB133" s="384" t="s">
        <v>100</v>
      </c>
      <c r="AC133" s="385"/>
      <c r="AD133" s="385"/>
      <c r="AE133" s="387" t="s">
        <v>101</v>
      </c>
      <c r="AF133" s="385"/>
      <c r="AG133" s="385"/>
      <c r="AH133" s="385"/>
      <c r="AI133" s="388"/>
    </row>
    <row r="134" spans="1:35" ht="22.35" customHeight="1">
      <c r="A134" s="172"/>
      <c r="B134" s="2979" t="s">
        <v>192</v>
      </c>
      <c r="C134" s="2898" t="s">
        <v>193</v>
      </c>
      <c r="D134" s="2981"/>
      <c r="E134" s="2981"/>
      <c r="F134" s="2982"/>
      <c r="G134" s="2898" t="s">
        <v>193</v>
      </c>
      <c r="H134" s="2981"/>
      <c r="I134" s="2981"/>
      <c r="J134" s="2982"/>
      <c r="K134" s="2898" t="s">
        <v>193</v>
      </c>
      <c r="L134" s="2981"/>
      <c r="M134" s="2981"/>
      <c r="N134" s="2982"/>
      <c r="O134" s="2898" t="s">
        <v>193</v>
      </c>
      <c r="P134" s="2981"/>
      <c r="Q134" s="2981"/>
      <c r="R134" s="2982"/>
      <c r="S134" s="2898" t="s">
        <v>193</v>
      </c>
      <c r="T134" s="2981"/>
      <c r="U134" s="2981"/>
      <c r="V134" s="2982"/>
      <c r="W134" s="2898" t="s">
        <v>194</v>
      </c>
      <c r="X134" s="2983"/>
      <c r="Y134" s="2983"/>
      <c r="Z134" s="2984"/>
      <c r="AA134" s="2898" t="s">
        <v>194</v>
      </c>
      <c r="AB134" s="2981"/>
      <c r="AC134" s="2981"/>
      <c r="AD134" s="2899"/>
      <c r="AE134" s="2985">
        <v>69</v>
      </c>
      <c r="AF134" s="194"/>
      <c r="AG134" s="194"/>
      <c r="AH134" s="194"/>
      <c r="AI134" s="195"/>
    </row>
    <row r="135" spans="1:35" ht="22.35" customHeight="1">
      <c r="A135" s="172"/>
      <c r="B135" s="2979" t="s">
        <v>152</v>
      </c>
      <c r="C135" s="2898" t="s">
        <v>160</v>
      </c>
      <c r="D135" s="2981"/>
      <c r="E135" s="2981"/>
      <c r="F135" s="2982"/>
      <c r="G135" s="2898" t="s">
        <v>160</v>
      </c>
      <c r="H135" s="2981"/>
      <c r="I135" s="2981"/>
      <c r="J135" s="2982"/>
      <c r="K135" s="2898" t="s">
        <v>160</v>
      </c>
      <c r="L135" s="2981"/>
      <c r="M135" s="2981"/>
      <c r="N135" s="2982"/>
      <c r="O135" s="2898" t="s">
        <v>160</v>
      </c>
      <c r="P135" s="2981"/>
      <c r="Q135" s="2981"/>
      <c r="R135" s="2982"/>
      <c r="S135" s="2898" t="s">
        <v>160</v>
      </c>
      <c r="T135" s="2981"/>
      <c r="U135" s="2981"/>
      <c r="V135" s="2982"/>
      <c r="W135" s="2898" t="s">
        <v>160</v>
      </c>
      <c r="X135" s="2981"/>
      <c r="Y135" s="2981"/>
      <c r="Z135" s="2982"/>
      <c r="AA135" s="2981" t="s">
        <v>160</v>
      </c>
      <c r="AB135" s="2981"/>
      <c r="AC135" s="2981"/>
      <c r="AD135" s="2899"/>
      <c r="AE135" s="2985">
        <v>0</v>
      </c>
      <c r="AF135" s="194"/>
      <c r="AG135" s="194"/>
      <c r="AH135" s="194"/>
      <c r="AI135" s="195"/>
    </row>
    <row r="136" spans="1:35" ht="22.35" customHeight="1">
      <c r="A136" s="172"/>
      <c r="B136" s="2979" t="s">
        <v>195</v>
      </c>
      <c r="C136" s="2898" t="s">
        <v>193</v>
      </c>
      <c r="D136" s="2981"/>
      <c r="E136" s="2981"/>
      <c r="F136" s="2982"/>
      <c r="G136" s="2898" t="s">
        <v>193</v>
      </c>
      <c r="H136" s="2981"/>
      <c r="I136" s="2981"/>
      <c r="J136" s="2982"/>
      <c r="K136" s="2898" t="s">
        <v>193</v>
      </c>
      <c r="L136" s="2981"/>
      <c r="M136" s="2981"/>
      <c r="N136" s="2982"/>
      <c r="O136" s="2898" t="s">
        <v>193</v>
      </c>
      <c r="P136" s="2981"/>
      <c r="Q136" s="2981"/>
      <c r="R136" s="2982"/>
      <c r="S136" s="2898" t="s">
        <v>193</v>
      </c>
      <c r="T136" s="2981"/>
      <c r="U136" s="2981"/>
      <c r="V136" s="2982"/>
      <c r="W136" s="2898" t="s">
        <v>194</v>
      </c>
      <c r="X136" s="2983"/>
      <c r="Y136" s="2983"/>
      <c r="Z136" s="2984"/>
      <c r="AA136" s="2898" t="s">
        <v>194</v>
      </c>
      <c r="AB136" s="2981"/>
      <c r="AC136" s="2981"/>
      <c r="AD136" s="2899"/>
      <c r="AE136" s="2985">
        <v>69</v>
      </c>
      <c r="AF136" s="2981"/>
      <c r="AG136" s="2981" t="s">
        <v>0</v>
      </c>
      <c r="AH136" s="2899"/>
      <c r="AI136" s="2986"/>
    </row>
    <row r="137" spans="1:35" ht="22.35" customHeight="1">
      <c r="A137" s="172"/>
      <c r="B137" s="2979" t="s">
        <v>161</v>
      </c>
      <c r="C137" s="2898" t="s">
        <v>160</v>
      </c>
      <c r="D137" s="2981"/>
      <c r="E137" s="2981"/>
      <c r="F137" s="2982"/>
      <c r="G137" s="2898" t="s">
        <v>160</v>
      </c>
      <c r="H137" s="2981"/>
      <c r="I137" s="2981"/>
      <c r="J137" s="2982"/>
      <c r="K137" s="2898" t="s">
        <v>160</v>
      </c>
      <c r="L137" s="2981"/>
      <c r="M137" s="2981"/>
      <c r="N137" s="2982"/>
      <c r="O137" s="2898" t="s">
        <v>160</v>
      </c>
      <c r="P137" s="2981"/>
      <c r="Q137" s="2981"/>
      <c r="R137" s="2982"/>
      <c r="S137" s="2898" t="s">
        <v>160</v>
      </c>
      <c r="T137" s="2981"/>
      <c r="U137" s="2981"/>
      <c r="V137" s="2982"/>
      <c r="W137" s="2898" t="s">
        <v>160</v>
      </c>
      <c r="X137" s="2981"/>
      <c r="Y137" s="2981"/>
      <c r="Z137" s="2982"/>
      <c r="AA137" s="2981" t="s">
        <v>160</v>
      </c>
      <c r="AB137" s="2981"/>
      <c r="AC137" s="2981"/>
      <c r="AD137" s="2899"/>
      <c r="AE137" s="2985">
        <v>0</v>
      </c>
      <c r="AF137" s="2981"/>
      <c r="AG137" s="2981"/>
      <c r="AH137" s="2899"/>
      <c r="AI137" s="2986"/>
    </row>
    <row r="138" spans="1:35" ht="22.35" customHeight="1">
      <c r="A138" s="172"/>
      <c r="B138" s="2979" t="s">
        <v>196</v>
      </c>
      <c r="C138" s="2898" t="s">
        <v>193</v>
      </c>
      <c r="D138" s="2981"/>
      <c r="E138" s="2981"/>
      <c r="F138" s="2982"/>
      <c r="G138" s="2898" t="s">
        <v>193</v>
      </c>
      <c r="H138" s="2981"/>
      <c r="I138" s="2981"/>
      <c r="J138" s="2982"/>
      <c r="K138" s="2898" t="s">
        <v>193</v>
      </c>
      <c r="L138" s="2981"/>
      <c r="M138" s="2981"/>
      <c r="N138" s="2982"/>
      <c r="O138" s="2898" t="s">
        <v>193</v>
      </c>
      <c r="P138" s="2981"/>
      <c r="Q138" s="2981"/>
      <c r="R138" s="2982"/>
      <c r="S138" s="2898" t="s">
        <v>193</v>
      </c>
      <c r="T138" s="2981"/>
      <c r="U138" s="2981"/>
      <c r="V138" s="2982"/>
      <c r="W138" s="2898" t="s">
        <v>197</v>
      </c>
      <c r="X138" s="2988"/>
      <c r="Y138" s="2988"/>
      <c r="Z138" s="2989"/>
      <c r="AA138" s="2898" t="s">
        <v>197</v>
      </c>
      <c r="AB138" s="2988"/>
      <c r="AC138" s="2988"/>
      <c r="AD138" s="2901"/>
      <c r="AE138" s="2985">
        <v>66</v>
      </c>
      <c r="AF138" s="2981"/>
      <c r="AG138" s="2981"/>
      <c r="AH138" s="2899"/>
      <c r="AI138" s="2986"/>
    </row>
    <row r="139" spans="1:35" ht="22.35" customHeight="1" thickBot="1">
      <c r="A139" s="172"/>
      <c r="B139" s="2979" t="s">
        <v>198</v>
      </c>
      <c r="C139" s="3012" t="s">
        <v>160</v>
      </c>
      <c r="D139" s="3013"/>
      <c r="E139" s="3013"/>
      <c r="F139" s="3014"/>
      <c r="G139" s="3012" t="s">
        <v>160</v>
      </c>
      <c r="H139" s="3013"/>
      <c r="I139" s="3013"/>
      <c r="J139" s="3014"/>
      <c r="K139" s="3012" t="s">
        <v>160</v>
      </c>
      <c r="L139" s="3013"/>
      <c r="M139" s="3013"/>
      <c r="N139" s="3014"/>
      <c r="O139" s="3012" t="s">
        <v>160</v>
      </c>
      <c r="P139" s="3013"/>
      <c r="Q139" s="3013"/>
      <c r="R139" s="3014"/>
      <c r="S139" s="3012" t="s">
        <v>160</v>
      </c>
      <c r="T139" s="3013"/>
      <c r="U139" s="3013"/>
      <c r="V139" s="3000"/>
      <c r="W139" s="3012" t="s">
        <v>160</v>
      </c>
      <c r="X139" s="3000"/>
      <c r="Y139" s="3013"/>
      <c r="Z139" s="3014"/>
      <c r="AA139" s="3012" t="s">
        <v>160</v>
      </c>
      <c r="AB139" s="3000"/>
      <c r="AC139" s="3013"/>
      <c r="AD139" s="3014"/>
      <c r="AE139" s="3015" t="s">
        <v>168</v>
      </c>
      <c r="AF139" s="3013"/>
      <c r="AG139" s="3013"/>
      <c r="AH139" s="3000"/>
      <c r="AI139" s="3001"/>
    </row>
    <row r="140" spans="1:35" ht="22.35" customHeight="1">
      <c r="A140" s="108"/>
      <c r="B140" s="172"/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V140" s="174"/>
      <c r="W140" s="174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3"/>
      <c r="AI140" s="173"/>
    </row>
    <row r="141" spans="1:35" ht="22.35" customHeight="1" thickBot="1">
      <c r="A141" s="2954"/>
      <c r="B141" s="2787" t="s">
        <v>29</v>
      </c>
      <c r="C141" s="2788">
        <v>1</v>
      </c>
      <c r="D141" s="2788">
        <v>2</v>
      </c>
      <c r="E141" s="2788">
        <v>3</v>
      </c>
      <c r="F141" s="2788">
        <v>4</v>
      </c>
      <c r="G141" s="2789">
        <v>5</v>
      </c>
      <c r="H141" s="2789">
        <v>6</v>
      </c>
      <c r="I141" s="2788">
        <v>7</v>
      </c>
      <c r="J141" s="2788">
        <v>8</v>
      </c>
      <c r="K141" s="2788">
        <v>9</v>
      </c>
      <c r="L141" s="2788">
        <v>10</v>
      </c>
      <c r="M141" s="2788">
        <v>11</v>
      </c>
      <c r="N141" s="2789">
        <v>12</v>
      </c>
      <c r="O141" s="2789">
        <v>13</v>
      </c>
      <c r="P141" s="2788">
        <v>14</v>
      </c>
      <c r="Q141" s="2788">
        <v>15</v>
      </c>
      <c r="R141" s="2788">
        <v>16</v>
      </c>
      <c r="S141" s="2788">
        <v>17</v>
      </c>
      <c r="T141" s="2788">
        <v>18</v>
      </c>
      <c r="U141" s="2789">
        <v>19</v>
      </c>
      <c r="V141" s="2789">
        <v>20</v>
      </c>
      <c r="W141" s="2788">
        <v>21</v>
      </c>
      <c r="X141" s="2788">
        <v>22</v>
      </c>
      <c r="Y141" s="2788">
        <v>23</v>
      </c>
      <c r="Z141" s="2788">
        <v>24</v>
      </c>
      <c r="AA141" s="2788">
        <v>25</v>
      </c>
      <c r="AB141" s="2789">
        <v>26</v>
      </c>
      <c r="AC141" s="2789">
        <v>27</v>
      </c>
      <c r="AD141" s="2788">
        <v>28</v>
      </c>
      <c r="AE141" s="2788">
        <v>29</v>
      </c>
      <c r="AF141" s="2788">
        <v>30</v>
      </c>
      <c r="AG141" s="2790">
        <v>31</v>
      </c>
      <c r="AH141" s="176"/>
      <c r="AI141" s="177"/>
    </row>
    <row r="142" spans="1:35" ht="22.35" customHeight="1">
      <c r="A142" s="317">
        <v>1</v>
      </c>
      <c r="B142" s="227" t="s">
        <v>199</v>
      </c>
      <c r="C142" s="309">
        <v>21</v>
      </c>
      <c r="D142" s="309">
        <v>21</v>
      </c>
      <c r="E142" s="309">
        <v>21</v>
      </c>
      <c r="F142" s="309">
        <v>21</v>
      </c>
      <c r="G142" s="312">
        <v>21</v>
      </c>
      <c r="H142" s="309">
        <v>21</v>
      </c>
      <c r="I142" s="310" t="s">
        <v>36</v>
      </c>
      <c r="J142" s="312" t="s">
        <v>36</v>
      </c>
      <c r="K142" s="309" t="s">
        <v>36</v>
      </c>
      <c r="L142" s="310" t="s">
        <v>36</v>
      </c>
      <c r="M142" s="312" t="s">
        <v>36</v>
      </c>
      <c r="N142" s="312"/>
      <c r="O142" s="309"/>
      <c r="P142" s="309">
        <v>22</v>
      </c>
      <c r="Q142" s="309">
        <v>22</v>
      </c>
      <c r="R142" s="309">
        <v>22</v>
      </c>
      <c r="S142" s="309">
        <v>22</v>
      </c>
      <c r="T142" s="309">
        <v>22</v>
      </c>
      <c r="U142" s="309">
        <v>22</v>
      </c>
      <c r="V142" s="309">
        <v>22</v>
      </c>
      <c r="W142" s="310" t="s">
        <v>36</v>
      </c>
      <c r="X142" s="309" t="s">
        <v>36</v>
      </c>
      <c r="Y142" s="309" t="s">
        <v>36</v>
      </c>
      <c r="Z142" s="310" t="s">
        <v>36</v>
      </c>
      <c r="AA142" s="309" t="s">
        <v>36</v>
      </c>
      <c r="AB142" s="309"/>
      <c r="AC142" s="309"/>
      <c r="AD142" s="309">
        <v>23</v>
      </c>
      <c r="AE142" s="309">
        <v>23</v>
      </c>
      <c r="AF142" s="309">
        <v>23</v>
      </c>
      <c r="AG142" s="311">
        <v>23</v>
      </c>
      <c r="AH142" s="107"/>
      <c r="AI142" s="107"/>
    </row>
    <row r="143" spans="1:35" ht="22.35" customHeight="1">
      <c r="A143" s="2627">
        <v>2</v>
      </c>
      <c r="B143" s="2797" t="s">
        <v>200</v>
      </c>
      <c r="C143" s="2820">
        <v>22</v>
      </c>
      <c r="D143" s="2820">
        <v>22</v>
      </c>
      <c r="E143" s="2820">
        <v>22</v>
      </c>
      <c r="F143" s="2820">
        <v>22</v>
      </c>
      <c r="G143" s="2820">
        <v>22</v>
      </c>
      <c r="H143" s="2820">
        <v>22</v>
      </c>
      <c r="I143" s="2939" t="s">
        <v>36</v>
      </c>
      <c r="J143" s="2820" t="s">
        <v>36</v>
      </c>
      <c r="K143" s="2820" t="s">
        <v>36</v>
      </c>
      <c r="L143" s="2939" t="s">
        <v>36</v>
      </c>
      <c r="M143" s="2825" t="s">
        <v>36</v>
      </c>
      <c r="N143" s="2825"/>
      <c r="O143" s="2825"/>
      <c r="P143" s="2825">
        <v>23</v>
      </c>
      <c r="Q143" s="2825">
        <v>23</v>
      </c>
      <c r="R143" s="2825">
        <v>23</v>
      </c>
      <c r="S143" s="2825">
        <v>23</v>
      </c>
      <c r="T143" s="2825">
        <v>23</v>
      </c>
      <c r="U143" s="2825">
        <v>23</v>
      </c>
      <c r="V143" s="2825">
        <v>23</v>
      </c>
      <c r="W143" s="2939" t="s">
        <v>36</v>
      </c>
      <c r="X143" s="2820" t="s">
        <v>36</v>
      </c>
      <c r="Y143" s="2820" t="s">
        <v>36</v>
      </c>
      <c r="Z143" s="2939" t="s">
        <v>36</v>
      </c>
      <c r="AA143" s="2825" t="s">
        <v>36</v>
      </c>
      <c r="AB143" s="2825"/>
      <c r="AC143" s="2825"/>
      <c r="AD143" s="2825">
        <v>21</v>
      </c>
      <c r="AE143" s="2825">
        <v>21</v>
      </c>
      <c r="AF143" s="2825">
        <v>21</v>
      </c>
      <c r="AG143" s="2823">
        <v>21</v>
      </c>
      <c r="AH143" s="107"/>
      <c r="AI143" s="107"/>
    </row>
    <row r="144" spans="1:35" ht="22.35" customHeight="1">
      <c r="A144" s="2627">
        <v>3</v>
      </c>
      <c r="B144" s="2797" t="s">
        <v>0</v>
      </c>
      <c r="C144" s="2820">
        <v>23</v>
      </c>
      <c r="D144" s="2820">
        <v>23</v>
      </c>
      <c r="E144" s="2820">
        <v>23</v>
      </c>
      <c r="F144" s="2820">
        <v>23</v>
      </c>
      <c r="G144" s="2825">
        <v>23</v>
      </c>
      <c r="H144" s="2825">
        <v>23</v>
      </c>
      <c r="I144" s="2826" t="s">
        <v>36</v>
      </c>
      <c r="J144" s="2826" t="s">
        <v>36</v>
      </c>
      <c r="K144" s="2826" t="s">
        <v>36</v>
      </c>
      <c r="L144" s="2826" t="s">
        <v>36</v>
      </c>
      <c r="M144" s="2826" t="s">
        <v>36</v>
      </c>
      <c r="N144" s="2826"/>
      <c r="O144" s="2826"/>
      <c r="P144" s="2820">
        <v>21</v>
      </c>
      <c r="Q144" s="2820">
        <v>21</v>
      </c>
      <c r="R144" s="2830">
        <v>21</v>
      </c>
      <c r="S144" s="2830">
        <v>21</v>
      </c>
      <c r="T144" s="2820">
        <v>21</v>
      </c>
      <c r="U144" s="2825">
        <v>21</v>
      </c>
      <c r="V144" s="2825">
        <v>21</v>
      </c>
      <c r="W144" s="2939" t="s">
        <v>36</v>
      </c>
      <c r="X144" s="2820" t="s">
        <v>36</v>
      </c>
      <c r="Y144" s="2820" t="s">
        <v>36</v>
      </c>
      <c r="Z144" s="2939" t="s">
        <v>36</v>
      </c>
      <c r="AA144" s="2820" t="s">
        <v>36</v>
      </c>
      <c r="AB144" s="2820"/>
      <c r="AC144" s="2820"/>
      <c r="AD144" s="2820">
        <v>22</v>
      </c>
      <c r="AE144" s="2820">
        <v>22</v>
      </c>
      <c r="AF144" s="2820">
        <v>22</v>
      </c>
      <c r="AG144" s="2823">
        <v>22</v>
      </c>
      <c r="AH144" s="107"/>
      <c r="AI144" s="107"/>
    </row>
    <row r="145" spans="1:35" ht="22.35" customHeight="1">
      <c r="A145" s="2627">
        <v>4</v>
      </c>
      <c r="B145" s="2797" t="s">
        <v>202</v>
      </c>
      <c r="C145" s="2820" t="s">
        <v>36</v>
      </c>
      <c r="D145" s="2820" t="s">
        <v>36</v>
      </c>
      <c r="E145" s="2939" t="s">
        <v>36</v>
      </c>
      <c r="F145" s="2820" t="s">
        <v>36</v>
      </c>
      <c r="G145" s="2820"/>
      <c r="H145" s="2820"/>
      <c r="I145" s="2820">
        <v>21</v>
      </c>
      <c r="J145" s="2820">
        <v>21</v>
      </c>
      <c r="K145" s="2820">
        <v>21</v>
      </c>
      <c r="L145" s="2820">
        <v>21</v>
      </c>
      <c r="M145" s="2820">
        <v>21</v>
      </c>
      <c r="N145" s="2820">
        <v>21</v>
      </c>
      <c r="O145" s="2631">
        <v>21</v>
      </c>
      <c r="P145" s="2826" t="s">
        <v>36</v>
      </c>
      <c r="Q145" s="2826" t="s">
        <v>36</v>
      </c>
      <c r="R145" s="2826" t="s">
        <v>36</v>
      </c>
      <c r="S145" s="2826" t="s">
        <v>36</v>
      </c>
      <c r="T145" s="2826" t="s">
        <v>36</v>
      </c>
      <c r="U145" s="2826"/>
      <c r="V145" s="2826"/>
      <c r="W145" s="2820">
        <v>22</v>
      </c>
      <c r="X145" s="2820">
        <v>22</v>
      </c>
      <c r="Y145" s="2629">
        <v>22</v>
      </c>
      <c r="Z145" s="2629">
        <v>22</v>
      </c>
      <c r="AA145" s="2629">
        <v>22</v>
      </c>
      <c r="AB145" s="2629">
        <v>22</v>
      </c>
      <c r="AC145" s="2629" t="s">
        <v>361</v>
      </c>
      <c r="AD145" s="2939" t="s">
        <v>36</v>
      </c>
      <c r="AE145" s="2820" t="s">
        <v>36</v>
      </c>
      <c r="AF145" s="2820" t="s">
        <v>36</v>
      </c>
      <c r="AG145" s="2947" t="s">
        <v>36</v>
      </c>
      <c r="AH145" s="107"/>
      <c r="AI145" s="107"/>
    </row>
    <row r="146" spans="1:35" ht="22.35" customHeight="1">
      <c r="A146" s="2627">
        <v>5</v>
      </c>
      <c r="B146" s="2797" t="s">
        <v>203</v>
      </c>
      <c r="C146" s="2820" t="s">
        <v>36</v>
      </c>
      <c r="D146" s="2820" t="s">
        <v>36</v>
      </c>
      <c r="E146" s="2939" t="s">
        <v>36</v>
      </c>
      <c r="F146" s="2825" t="s">
        <v>36</v>
      </c>
      <c r="G146" s="2820"/>
      <c r="H146" s="2820"/>
      <c r="I146" s="2820">
        <v>22</v>
      </c>
      <c r="J146" s="2820">
        <v>22</v>
      </c>
      <c r="K146" s="2820">
        <v>22</v>
      </c>
      <c r="L146" s="2820">
        <v>22</v>
      </c>
      <c r="M146" s="2820">
        <v>22</v>
      </c>
      <c r="N146" s="2820">
        <v>22</v>
      </c>
      <c r="O146" s="2820">
        <v>22</v>
      </c>
      <c r="P146" s="2939" t="s">
        <v>36</v>
      </c>
      <c r="Q146" s="2820" t="s">
        <v>36</v>
      </c>
      <c r="R146" s="2820" t="s">
        <v>36</v>
      </c>
      <c r="S146" s="2939" t="s">
        <v>36</v>
      </c>
      <c r="T146" s="2820" t="s">
        <v>36</v>
      </c>
      <c r="U146" s="2820"/>
      <c r="V146" s="2820"/>
      <c r="W146" s="2820">
        <v>23</v>
      </c>
      <c r="X146" s="2820">
        <v>23</v>
      </c>
      <c r="Y146" s="2820">
        <v>23</v>
      </c>
      <c r="Z146" s="2820">
        <v>23</v>
      </c>
      <c r="AA146" s="2820">
        <v>23</v>
      </c>
      <c r="AB146" s="2820">
        <v>23</v>
      </c>
      <c r="AC146" s="2825">
        <v>23</v>
      </c>
      <c r="AD146" s="2825" t="s">
        <v>36</v>
      </c>
      <c r="AE146" s="2825" t="s">
        <v>36</v>
      </c>
      <c r="AF146" s="2820" t="s">
        <v>36</v>
      </c>
      <c r="AG146" s="2947" t="s">
        <v>36</v>
      </c>
      <c r="AH146" s="107"/>
      <c r="AI146" s="107"/>
    </row>
    <row r="147" spans="1:35" ht="22.35" customHeight="1" thickBot="1">
      <c r="A147" s="1068">
        <v>6</v>
      </c>
      <c r="B147" s="1069" t="s">
        <v>204</v>
      </c>
      <c r="C147" s="2950" t="s">
        <v>36</v>
      </c>
      <c r="D147" s="2950" t="s">
        <v>36</v>
      </c>
      <c r="E147" s="2952" t="s">
        <v>36</v>
      </c>
      <c r="F147" s="2950" t="s">
        <v>36</v>
      </c>
      <c r="G147" s="2950"/>
      <c r="H147" s="1070"/>
      <c r="I147" s="1070">
        <v>23</v>
      </c>
      <c r="J147" s="1070">
        <v>23</v>
      </c>
      <c r="K147" s="1070">
        <v>23</v>
      </c>
      <c r="L147" s="1070">
        <v>23</v>
      </c>
      <c r="M147" s="1070">
        <v>23</v>
      </c>
      <c r="N147" s="1072">
        <v>23</v>
      </c>
      <c r="O147" s="1072">
        <v>23</v>
      </c>
      <c r="P147" s="2952" t="s">
        <v>36</v>
      </c>
      <c r="Q147" s="2950" t="s">
        <v>36</v>
      </c>
      <c r="R147" s="2950" t="s">
        <v>36</v>
      </c>
      <c r="S147" s="2952" t="s">
        <v>36</v>
      </c>
      <c r="T147" s="2950" t="s">
        <v>36</v>
      </c>
      <c r="U147" s="2950"/>
      <c r="V147" s="2950"/>
      <c r="W147" s="2950">
        <v>21</v>
      </c>
      <c r="X147" s="2950">
        <v>21</v>
      </c>
      <c r="Y147" s="2950">
        <v>21</v>
      </c>
      <c r="Z147" s="2950">
        <v>21</v>
      </c>
      <c r="AA147" s="2950">
        <v>21</v>
      </c>
      <c r="AB147" s="1072">
        <v>21</v>
      </c>
      <c r="AC147" s="1072">
        <v>21</v>
      </c>
      <c r="AD147" s="2952" t="s">
        <v>36</v>
      </c>
      <c r="AE147" s="2950" t="s">
        <v>36</v>
      </c>
      <c r="AF147" s="2950" t="s">
        <v>36</v>
      </c>
      <c r="AG147" s="1074" t="s">
        <v>36</v>
      </c>
      <c r="AH147" s="107"/>
      <c r="AI147" s="107"/>
    </row>
    <row r="148" spans="1:35" ht="22.35" customHeight="1">
      <c r="A148" s="212"/>
      <c r="B148" s="210"/>
      <c r="C148" s="211"/>
      <c r="D148" s="211"/>
      <c r="E148" s="228"/>
      <c r="F148" s="211"/>
      <c r="G148" s="211"/>
      <c r="H148" s="233"/>
      <c r="I148" s="233"/>
      <c r="J148" s="233"/>
      <c r="K148" s="233"/>
      <c r="L148" s="233"/>
      <c r="M148" s="233"/>
      <c r="N148" s="202"/>
      <c r="O148" s="202"/>
      <c r="P148" s="228"/>
      <c r="Q148" s="211"/>
      <c r="R148" s="211"/>
      <c r="S148" s="228"/>
      <c r="T148" s="211"/>
      <c r="U148" s="211"/>
      <c r="V148" s="211"/>
      <c r="W148" s="211"/>
      <c r="X148" s="211"/>
      <c r="Y148" s="211"/>
      <c r="Z148" s="211"/>
      <c r="AA148" s="211"/>
      <c r="AB148" s="202"/>
      <c r="AC148" s="202"/>
      <c r="AD148" s="228"/>
      <c r="AE148" s="211"/>
      <c r="AF148" s="211"/>
      <c r="AG148" s="228"/>
      <c r="AH148" s="107"/>
      <c r="AI148" s="107"/>
    </row>
    <row r="149" spans="1:35" ht="22.35" customHeight="1">
      <c r="A149" s="109"/>
      <c r="B149" s="110"/>
      <c r="C149" s="192"/>
      <c r="D149" s="192"/>
      <c r="E149" s="171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71"/>
      <c r="Q149" s="192"/>
      <c r="R149" s="192"/>
      <c r="S149" s="171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3"/>
      <c r="AD149" s="193"/>
      <c r="AE149" s="193"/>
      <c r="AF149" s="192"/>
      <c r="AG149" s="171"/>
      <c r="AH149" s="107"/>
      <c r="AI149" s="107"/>
    </row>
    <row r="150" spans="1:35" ht="22.35" customHeight="1" thickBot="1">
      <c r="A150" s="161" t="s">
        <v>205</v>
      </c>
      <c r="D150" s="72"/>
      <c r="E150" s="72"/>
      <c r="F150" s="72"/>
      <c r="G150" s="105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</row>
    <row r="151" spans="1:35" ht="22.35" customHeight="1">
      <c r="A151" s="1"/>
      <c r="B151" s="248" t="s">
        <v>175</v>
      </c>
      <c r="C151" s="368"/>
      <c r="D151" s="384" t="s">
        <v>94</v>
      </c>
      <c r="E151" s="357"/>
      <c r="F151" s="372"/>
      <c r="G151" s="368"/>
      <c r="H151" s="384" t="s">
        <v>95</v>
      </c>
      <c r="I151" s="357"/>
      <c r="J151" s="372"/>
      <c r="K151" s="368"/>
      <c r="L151" s="384" t="s">
        <v>96</v>
      </c>
      <c r="M151" s="357"/>
      <c r="N151" s="372"/>
      <c r="O151" s="368"/>
      <c r="P151" s="384" t="s">
        <v>97</v>
      </c>
      <c r="Q151" s="357"/>
      <c r="R151" s="372"/>
      <c r="S151" s="368"/>
      <c r="T151" s="384" t="s">
        <v>98</v>
      </c>
      <c r="U151" s="357"/>
      <c r="V151" s="372"/>
      <c r="W151" s="368"/>
      <c r="X151" s="384" t="s">
        <v>99</v>
      </c>
      <c r="Y151" s="357"/>
      <c r="Z151" s="372"/>
      <c r="AA151" s="368"/>
      <c r="AB151" s="384" t="s">
        <v>100</v>
      </c>
      <c r="AC151" s="357"/>
      <c r="AD151" s="357"/>
      <c r="AE151" s="387" t="s">
        <v>101</v>
      </c>
      <c r="AF151" s="357"/>
      <c r="AG151" s="357"/>
      <c r="AH151" s="357"/>
      <c r="AI151" s="358"/>
    </row>
    <row r="152" spans="1:35" ht="22.35" customHeight="1">
      <c r="A152" s="1"/>
      <c r="B152" s="2979" t="s">
        <v>148</v>
      </c>
      <c r="C152" s="2898" t="s">
        <v>176</v>
      </c>
      <c r="D152" s="2770"/>
      <c r="E152" s="2770"/>
      <c r="F152" s="2982"/>
      <c r="G152" s="2898" t="s">
        <v>176</v>
      </c>
      <c r="H152" s="2770"/>
      <c r="I152" s="2770"/>
      <c r="J152" s="2982"/>
      <c r="K152" s="2898" t="s">
        <v>176</v>
      </c>
      <c r="L152" s="2770"/>
      <c r="M152" s="2770"/>
      <c r="N152" s="2982"/>
      <c r="O152" s="2898" t="s">
        <v>206</v>
      </c>
      <c r="P152" s="2770"/>
      <c r="Q152" s="2770"/>
      <c r="R152" s="2982"/>
      <c r="S152" s="2898" t="s">
        <v>160</v>
      </c>
      <c r="T152" s="2770"/>
      <c r="U152" s="2770"/>
      <c r="V152" s="2982"/>
      <c r="W152" s="3016"/>
      <c r="X152" s="3017"/>
      <c r="Y152" s="3017"/>
      <c r="Z152" s="2984"/>
      <c r="AA152" s="2980"/>
      <c r="AB152" s="2770"/>
      <c r="AC152" s="2770"/>
      <c r="AD152" s="2899"/>
      <c r="AE152" s="2985">
        <v>27</v>
      </c>
      <c r="AF152" s="2770"/>
      <c r="AG152" s="2770"/>
      <c r="AH152" s="2899"/>
      <c r="AI152" s="2779"/>
    </row>
    <row r="153" spans="1:35" ht="22.35" customHeight="1">
      <c r="A153" s="1"/>
      <c r="B153" s="2979" t="s">
        <v>152</v>
      </c>
      <c r="C153" s="2898" t="s">
        <v>207</v>
      </c>
      <c r="D153" s="2770"/>
      <c r="E153" s="2770"/>
      <c r="F153" s="2982"/>
      <c r="G153" s="2898" t="s">
        <v>207</v>
      </c>
      <c r="H153" s="2770"/>
      <c r="I153" s="2770"/>
      <c r="J153" s="2982"/>
      <c r="K153" s="2898" t="s">
        <v>207</v>
      </c>
      <c r="L153" s="2770"/>
      <c r="M153" s="2770"/>
      <c r="N153" s="2982"/>
      <c r="O153" s="2898" t="s">
        <v>207</v>
      </c>
      <c r="P153" s="2770"/>
      <c r="Q153" s="2770"/>
      <c r="R153" s="2982"/>
      <c r="S153" s="2898" t="s">
        <v>176</v>
      </c>
      <c r="T153" s="2770"/>
      <c r="U153" s="2770"/>
      <c r="V153" s="2982"/>
      <c r="W153" s="2898"/>
      <c r="X153" s="2770"/>
      <c r="Y153" s="2770"/>
      <c r="Z153" s="2982"/>
      <c r="AA153" s="2770"/>
      <c r="AB153" s="2770"/>
      <c r="AC153" s="2770"/>
      <c r="AD153" s="2899"/>
      <c r="AE153" s="2985">
        <v>39</v>
      </c>
      <c r="AF153" s="2770"/>
      <c r="AG153" s="2770"/>
      <c r="AH153" s="2899"/>
      <c r="AI153" s="2779"/>
    </row>
    <row r="154" spans="1:35" ht="22.35" customHeight="1">
      <c r="A154" s="1"/>
      <c r="B154" s="2979" t="s">
        <v>159</v>
      </c>
      <c r="C154" s="2898" t="s">
        <v>207</v>
      </c>
      <c r="D154" s="2770"/>
      <c r="E154" s="2770"/>
      <c r="F154" s="2982"/>
      <c r="G154" s="2898" t="s">
        <v>207</v>
      </c>
      <c r="H154" s="2770"/>
      <c r="I154" s="2770"/>
      <c r="J154" s="2982"/>
      <c r="K154" s="2898" t="s">
        <v>207</v>
      </c>
      <c r="L154" s="2770"/>
      <c r="M154" s="2770"/>
      <c r="N154" s="2982"/>
      <c r="O154" s="2898" t="s">
        <v>207</v>
      </c>
      <c r="P154" s="2770"/>
      <c r="Q154" s="2770"/>
      <c r="R154" s="2982"/>
      <c r="S154" s="2898" t="s">
        <v>207</v>
      </c>
      <c r="T154" s="2770"/>
      <c r="U154" s="2770"/>
      <c r="V154" s="2982"/>
      <c r="W154" s="2900" t="s">
        <v>208</v>
      </c>
      <c r="X154" s="2783"/>
      <c r="Y154" s="2783"/>
      <c r="Z154" s="2989"/>
      <c r="AA154" s="2987"/>
      <c r="AB154" s="2783"/>
      <c r="AC154" s="2783"/>
      <c r="AD154" s="2901"/>
      <c r="AE154" s="2985">
        <v>45</v>
      </c>
      <c r="AF154" s="2770"/>
      <c r="AG154" s="2770"/>
      <c r="AH154" s="2899"/>
      <c r="AI154" s="2779"/>
    </row>
    <row r="155" spans="1:35" ht="22.35" customHeight="1" thickBot="1">
      <c r="A155" s="1"/>
      <c r="B155" s="454" t="s">
        <v>161</v>
      </c>
      <c r="C155" s="3012"/>
      <c r="D155" s="2847"/>
      <c r="E155" s="2847"/>
      <c r="F155" s="3014"/>
      <c r="G155" s="3012"/>
      <c r="H155" s="2847"/>
      <c r="I155" s="2847"/>
      <c r="J155" s="3014"/>
      <c r="K155" s="3012"/>
      <c r="L155" s="2847"/>
      <c r="M155" s="2847"/>
      <c r="N155" s="3014"/>
      <c r="O155" s="3012"/>
      <c r="P155" s="2847"/>
      <c r="Q155" s="2847"/>
      <c r="R155" s="3014"/>
      <c r="S155" s="3012"/>
      <c r="T155" s="2847"/>
      <c r="U155" s="2847"/>
      <c r="V155" s="3000"/>
      <c r="W155" s="3012"/>
      <c r="X155" s="3000"/>
      <c r="Y155" s="2847"/>
      <c r="Z155" s="3014"/>
      <c r="AA155" s="3012"/>
      <c r="AB155" s="3000"/>
      <c r="AC155" s="2847"/>
      <c r="AD155" s="3014"/>
      <c r="AE155" s="3018"/>
      <c r="AF155" s="2847"/>
      <c r="AG155" s="2847"/>
      <c r="AH155" s="3000"/>
      <c r="AI155" s="2854"/>
    </row>
    <row r="156" spans="1:35" ht="22.35" customHeight="1">
      <c r="A156" s="108"/>
      <c r="B156" s="1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</row>
    <row r="157" spans="1:35" ht="22.35" customHeight="1" thickBot="1">
      <c r="A157" s="2954"/>
      <c r="B157" s="2856" t="s">
        <v>29</v>
      </c>
      <c r="C157" s="2788">
        <v>1</v>
      </c>
      <c r="D157" s="2788">
        <v>2</v>
      </c>
      <c r="E157" s="2788">
        <v>3</v>
      </c>
      <c r="F157" s="2788">
        <v>4</v>
      </c>
      <c r="G157" s="2789">
        <v>5</v>
      </c>
      <c r="H157" s="2789">
        <v>6</v>
      </c>
      <c r="I157" s="2788">
        <v>7</v>
      </c>
      <c r="J157" s="2788">
        <v>8</v>
      </c>
      <c r="K157" s="2788">
        <v>9</v>
      </c>
      <c r="L157" s="2788">
        <v>10</v>
      </c>
      <c r="M157" s="2788">
        <v>11</v>
      </c>
      <c r="N157" s="2789">
        <v>12</v>
      </c>
      <c r="O157" s="2789">
        <v>13</v>
      </c>
      <c r="P157" s="2788">
        <v>14</v>
      </c>
      <c r="Q157" s="2788">
        <v>15</v>
      </c>
      <c r="R157" s="2788">
        <v>16</v>
      </c>
      <c r="S157" s="2788">
        <v>17</v>
      </c>
      <c r="T157" s="2788">
        <v>18</v>
      </c>
      <c r="U157" s="2789">
        <v>19</v>
      </c>
      <c r="V157" s="2789">
        <v>20</v>
      </c>
      <c r="W157" s="2788">
        <v>21</v>
      </c>
      <c r="X157" s="2788">
        <v>22</v>
      </c>
      <c r="Y157" s="2788">
        <v>23</v>
      </c>
      <c r="Z157" s="2788">
        <v>24</v>
      </c>
      <c r="AA157" s="2788">
        <v>25</v>
      </c>
      <c r="AB157" s="2789">
        <v>26</v>
      </c>
      <c r="AC157" s="2789">
        <v>27</v>
      </c>
      <c r="AD157" s="2788">
        <v>28</v>
      </c>
      <c r="AE157" s="2788">
        <v>29</v>
      </c>
      <c r="AF157" s="2788">
        <v>30</v>
      </c>
      <c r="AG157" s="2790">
        <v>31</v>
      </c>
      <c r="AH157" s="176"/>
      <c r="AI157" s="177"/>
    </row>
    <row r="158" spans="1:35" ht="22.35" customHeight="1" thickBot="1">
      <c r="A158" s="367">
        <v>1</v>
      </c>
      <c r="B158" s="390" t="s">
        <v>209</v>
      </c>
      <c r="C158" s="350" t="s">
        <v>32</v>
      </c>
      <c r="D158" s="349" t="s">
        <v>32</v>
      </c>
      <c r="E158" s="571" t="s">
        <v>32</v>
      </c>
      <c r="F158" s="349" t="s">
        <v>32</v>
      </c>
      <c r="G158" s="349"/>
      <c r="H158" s="349"/>
      <c r="I158" s="349" t="s">
        <v>32</v>
      </c>
      <c r="J158" s="574" t="s">
        <v>32</v>
      </c>
      <c r="K158" s="349" t="s">
        <v>32</v>
      </c>
      <c r="L158" s="349" t="s">
        <v>32</v>
      </c>
      <c r="M158" s="349" t="s">
        <v>32</v>
      </c>
      <c r="N158" s="349"/>
      <c r="O158" s="349"/>
      <c r="P158" s="349" t="s">
        <v>32</v>
      </c>
      <c r="Q158" s="349" t="s">
        <v>32</v>
      </c>
      <c r="R158" s="539" t="s">
        <v>32</v>
      </c>
      <c r="S158" s="541" t="s">
        <v>32</v>
      </c>
      <c r="T158" s="530" t="s">
        <v>32</v>
      </c>
      <c r="U158" s="349"/>
      <c r="V158" s="349"/>
      <c r="W158" s="350" t="s">
        <v>32</v>
      </c>
      <c r="X158" s="350" t="s">
        <v>32</v>
      </c>
      <c r="Y158" s="574" t="s">
        <v>32</v>
      </c>
      <c r="Z158" s="400" t="s">
        <v>32</v>
      </c>
      <c r="AA158" s="737" t="s">
        <v>32</v>
      </c>
      <c r="AB158" s="569"/>
      <c r="AC158" s="583"/>
      <c r="AD158" s="737" t="s">
        <v>32</v>
      </c>
      <c r="AE158" s="737" t="s">
        <v>32</v>
      </c>
      <c r="AF158" s="552" t="s">
        <v>32</v>
      </c>
      <c r="AG158" s="648" t="s">
        <v>32</v>
      </c>
      <c r="AH158" s="215"/>
      <c r="AI158" s="182"/>
    </row>
    <row r="159" spans="1:35" ht="22.35" customHeight="1">
      <c r="A159" s="2966">
        <v>2</v>
      </c>
      <c r="B159" s="3019" t="s">
        <v>210</v>
      </c>
      <c r="C159" s="2875" t="s">
        <v>211</v>
      </c>
      <c r="D159" s="706" t="s">
        <v>211</v>
      </c>
      <c r="E159" s="2875" t="s">
        <v>211</v>
      </c>
      <c r="F159" s="2875" t="s">
        <v>211</v>
      </c>
      <c r="G159" s="2875"/>
      <c r="H159" s="2875"/>
      <c r="I159" s="2875" t="s">
        <v>212</v>
      </c>
      <c r="J159" s="2875" t="s">
        <v>212</v>
      </c>
      <c r="K159" s="2875" t="s">
        <v>212</v>
      </c>
      <c r="L159" s="2875" t="s">
        <v>212</v>
      </c>
      <c r="M159" s="2875" t="s">
        <v>212</v>
      </c>
      <c r="N159" s="2875" t="s">
        <v>212</v>
      </c>
      <c r="O159" s="2875"/>
      <c r="P159" s="2875" t="s">
        <v>213</v>
      </c>
      <c r="Q159" s="2875" t="s">
        <v>213</v>
      </c>
      <c r="R159" s="2875" t="s">
        <v>213</v>
      </c>
      <c r="S159" s="2875" t="s">
        <v>213</v>
      </c>
      <c r="T159" s="2871" t="s">
        <v>36</v>
      </c>
      <c r="U159" s="2871"/>
      <c r="V159" s="2871"/>
      <c r="W159" s="2871" t="s">
        <v>211</v>
      </c>
      <c r="X159" s="2871" t="s">
        <v>211</v>
      </c>
      <c r="Y159" s="2871" t="s">
        <v>211</v>
      </c>
      <c r="Z159" s="2861" t="s">
        <v>211</v>
      </c>
      <c r="AA159" s="2875" t="s">
        <v>211</v>
      </c>
      <c r="AB159" s="2875"/>
      <c r="AC159" s="2875"/>
      <c r="AD159" s="2875" t="s">
        <v>212</v>
      </c>
      <c r="AE159" s="2875" t="s">
        <v>212</v>
      </c>
      <c r="AF159" s="2875" t="s">
        <v>212</v>
      </c>
      <c r="AG159" s="2861" t="s">
        <v>212</v>
      </c>
      <c r="AH159" s="215"/>
      <c r="AI159" s="182"/>
    </row>
    <row r="160" spans="1:35" ht="22.35" customHeight="1">
      <c r="A160" s="2966">
        <v>3</v>
      </c>
      <c r="B160" s="3020" t="s">
        <v>404</v>
      </c>
      <c r="C160" s="2875" t="s">
        <v>212</v>
      </c>
      <c r="D160" s="2875" t="s">
        <v>212</v>
      </c>
      <c r="E160" s="2875" t="s">
        <v>212</v>
      </c>
      <c r="F160" s="2875" t="s">
        <v>212</v>
      </c>
      <c r="G160" s="2875" t="s">
        <v>212</v>
      </c>
      <c r="H160" s="2875"/>
      <c r="I160" s="2875" t="s">
        <v>213</v>
      </c>
      <c r="J160" s="2875" t="s">
        <v>213</v>
      </c>
      <c r="K160" s="2875" t="s">
        <v>213</v>
      </c>
      <c r="L160" s="2875" t="s">
        <v>213</v>
      </c>
      <c r="M160" s="2871" t="s">
        <v>36</v>
      </c>
      <c r="N160" s="2871"/>
      <c r="O160" s="2871"/>
      <c r="P160" s="2871" t="s">
        <v>211</v>
      </c>
      <c r="Q160" s="2871" t="s">
        <v>211</v>
      </c>
      <c r="R160" s="2871" t="s">
        <v>211</v>
      </c>
      <c r="S160" s="2861" t="s">
        <v>211</v>
      </c>
      <c r="T160" s="2875" t="s">
        <v>211</v>
      </c>
      <c r="U160" s="2875"/>
      <c r="V160" s="2875"/>
      <c r="W160" s="2875" t="s">
        <v>212</v>
      </c>
      <c r="X160" s="2875" t="s">
        <v>212</v>
      </c>
      <c r="Y160" s="2875" t="s">
        <v>212</v>
      </c>
      <c r="Z160" s="2861" t="s">
        <v>212</v>
      </c>
      <c r="AA160" s="2871" t="s">
        <v>212</v>
      </c>
      <c r="AB160" s="2871" t="s">
        <v>212</v>
      </c>
      <c r="AC160" s="2871"/>
      <c r="AD160" s="2871" t="s">
        <v>213</v>
      </c>
      <c r="AE160" s="2871" t="s">
        <v>213</v>
      </c>
      <c r="AF160" s="2871" t="s">
        <v>213</v>
      </c>
      <c r="AG160" s="2861" t="s">
        <v>213</v>
      </c>
      <c r="AH160" s="215"/>
      <c r="AI160" s="182"/>
    </row>
    <row r="161" spans="1:36" ht="22.35" customHeight="1">
      <c r="A161" s="2966">
        <v>4</v>
      </c>
      <c r="B161" s="3020" t="s">
        <v>215</v>
      </c>
      <c r="C161" s="2875" t="s">
        <v>125</v>
      </c>
      <c r="D161" s="2875" t="s">
        <v>32</v>
      </c>
      <c r="E161" s="2875"/>
      <c r="F161" s="2859" t="s">
        <v>125</v>
      </c>
      <c r="G161" s="2859"/>
      <c r="H161" s="2859"/>
      <c r="I161" s="2859" t="s">
        <v>315</v>
      </c>
      <c r="J161" s="2860" t="s">
        <v>125</v>
      </c>
      <c r="K161" s="2860" t="s">
        <v>32</v>
      </c>
      <c r="L161" s="2860"/>
      <c r="M161" s="2860" t="s">
        <v>32</v>
      </c>
      <c r="N161" s="2875"/>
      <c r="O161" s="2875"/>
      <c r="P161" s="2875"/>
      <c r="Q161" s="2798" t="s">
        <v>125</v>
      </c>
      <c r="R161" s="2798"/>
      <c r="S161" s="2798"/>
      <c r="T161" s="2798" t="s">
        <v>32</v>
      </c>
      <c r="U161" s="2875" t="s">
        <v>212</v>
      </c>
      <c r="V161" s="2875"/>
      <c r="W161" s="2875"/>
      <c r="X161" s="2875" t="s">
        <v>125</v>
      </c>
      <c r="Y161" s="2875" t="s">
        <v>32</v>
      </c>
      <c r="Z161" s="2875"/>
      <c r="AA161" s="2875" t="s">
        <v>32</v>
      </c>
      <c r="AB161" s="2875"/>
      <c r="AC161" s="2875"/>
      <c r="AD161" s="2875"/>
      <c r="AE161" s="2875" t="s">
        <v>125</v>
      </c>
      <c r="AF161" s="2875" t="s">
        <v>32</v>
      </c>
      <c r="AG161" s="2861"/>
      <c r="AH161" s="215"/>
      <c r="AI161" s="182"/>
    </row>
    <row r="162" spans="1:36" ht="22.35" customHeight="1" thickBot="1">
      <c r="A162" s="2966">
        <v>5</v>
      </c>
      <c r="B162" s="3020" t="s">
        <v>216</v>
      </c>
      <c r="C162" s="2875"/>
      <c r="D162" s="2875"/>
      <c r="E162" s="2875" t="s">
        <v>32</v>
      </c>
      <c r="F162" s="2875"/>
      <c r="G162" s="2875"/>
      <c r="H162" s="2875"/>
      <c r="I162" s="2875" t="s">
        <v>125</v>
      </c>
      <c r="J162" s="2875"/>
      <c r="K162" s="2875"/>
      <c r="L162" s="2875" t="s">
        <v>32</v>
      </c>
      <c r="M162" s="2875"/>
      <c r="N162" s="2875"/>
      <c r="O162" s="2875"/>
      <c r="P162" s="2875" t="s">
        <v>125</v>
      </c>
      <c r="Q162" s="2875"/>
      <c r="R162" s="2875"/>
      <c r="S162" s="2875" t="s">
        <v>32</v>
      </c>
      <c r="T162" s="2875"/>
      <c r="U162" s="2875"/>
      <c r="V162" s="2875"/>
      <c r="W162" s="2875" t="s">
        <v>125</v>
      </c>
      <c r="X162" s="2875"/>
      <c r="Y162" s="2875"/>
      <c r="Z162" s="2875" t="s">
        <v>32</v>
      </c>
      <c r="AA162" s="2875"/>
      <c r="AB162" s="2875"/>
      <c r="AC162" s="2875"/>
      <c r="AD162" s="2875" t="s">
        <v>125</v>
      </c>
      <c r="AE162" s="2875"/>
      <c r="AF162" s="2875"/>
      <c r="AG162" s="2861" t="s">
        <v>32</v>
      </c>
      <c r="AH162" s="215"/>
      <c r="AI162" s="182"/>
    </row>
    <row r="163" spans="1:36" ht="22.35" customHeight="1">
      <c r="A163" s="2966">
        <v>6</v>
      </c>
      <c r="B163" s="2805" t="s">
        <v>217</v>
      </c>
      <c r="C163" s="2875" t="s">
        <v>32</v>
      </c>
      <c r="D163" s="2875" t="s">
        <v>32</v>
      </c>
      <c r="E163" s="571" t="s">
        <v>32</v>
      </c>
      <c r="F163" s="3021" t="s">
        <v>32</v>
      </c>
      <c r="G163" s="2875"/>
      <c r="H163" s="2875"/>
      <c r="I163" s="2875" t="s">
        <v>32</v>
      </c>
      <c r="J163" s="2802" t="s">
        <v>32</v>
      </c>
      <c r="K163" s="2875" t="s">
        <v>32</v>
      </c>
      <c r="L163" s="2875" t="s">
        <v>32</v>
      </c>
      <c r="M163" s="2875" t="s">
        <v>32</v>
      </c>
      <c r="N163" s="2875"/>
      <c r="O163" s="2875"/>
      <c r="P163" s="2875" t="s">
        <v>32</v>
      </c>
      <c r="Q163" s="2875" t="s">
        <v>32</v>
      </c>
      <c r="R163" s="2875" t="s">
        <v>32</v>
      </c>
      <c r="S163" s="2875" t="s">
        <v>32</v>
      </c>
      <c r="T163" s="2798" t="s">
        <v>32</v>
      </c>
      <c r="U163" s="2798"/>
      <c r="V163" s="2798"/>
      <c r="W163" s="2798" t="s">
        <v>32</v>
      </c>
      <c r="X163" s="2798" t="s">
        <v>32</v>
      </c>
      <c r="Y163" s="3022" t="s">
        <v>32</v>
      </c>
      <c r="Z163" s="3023" t="s">
        <v>32</v>
      </c>
      <c r="AA163" s="3022" t="s">
        <v>278</v>
      </c>
      <c r="AB163" s="2875"/>
      <c r="AC163" s="2875"/>
      <c r="AD163" s="2875" t="s">
        <v>32</v>
      </c>
      <c r="AE163" s="2875" t="s">
        <v>32</v>
      </c>
      <c r="AF163" s="2801" t="s">
        <v>32</v>
      </c>
      <c r="AG163" s="3024" t="s">
        <v>32</v>
      </c>
      <c r="AH163" s="201"/>
      <c r="AI163" s="107"/>
    </row>
    <row r="164" spans="1:36" ht="22.35" customHeight="1" thickBot="1">
      <c r="A164" s="2973"/>
      <c r="B164" s="2863"/>
      <c r="C164" s="2788"/>
      <c r="D164" s="2788"/>
      <c r="E164" s="2788"/>
      <c r="F164" s="2788"/>
      <c r="G164" s="2788"/>
      <c r="H164" s="2788"/>
      <c r="I164" s="2788"/>
      <c r="J164" s="2788"/>
      <c r="K164" s="2788"/>
      <c r="L164" s="2788"/>
      <c r="M164" s="2788"/>
      <c r="N164" s="2788"/>
      <c r="O164" s="2788"/>
      <c r="P164" s="2788"/>
      <c r="Q164" s="2788"/>
      <c r="R164" s="2788"/>
      <c r="S164" s="2788"/>
      <c r="T164" s="2788"/>
      <c r="U164" s="2788"/>
      <c r="V164" s="2788"/>
      <c r="W164" s="2788"/>
      <c r="X164" s="2788"/>
      <c r="Y164" s="2788"/>
      <c r="Z164" s="2788"/>
      <c r="AA164" s="2788"/>
      <c r="AB164" s="2788"/>
      <c r="AC164" s="2788"/>
      <c r="AD164" s="2788"/>
      <c r="AE164" s="2788"/>
      <c r="AF164" s="2788"/>
      <c r="AG164" s="2790"/>
      <c r="AH164" s="107"/>
      <c r="AI164" s="107"/>
    </row>
    <row r="165" spans="1:36" ht="22.35" customHeight="1">
      <c r="A165" s="212"/>
      <c r="B165" s="210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107"/>
      <c r="AI165" s="107"/>
    </row>
    <row r="166" spans="1:36" ht="22.35" customHeight="1">
      <c r="A166" s="212"/>
      <c r="B166" s="210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107"/>
      <c r="AI166" s="107"/>
    </row>
    <row r="167" spans="1:36" ht="22.35" customHeight="1" thickBot="1">
      <c r="A167" s="150" t="s">
        <v>218</v>
      </c>
      <c r="B167" s="72"/>
      <c r="C167" s="106" t="s">
        <v>219</v>
      </c>
      <c r="D167" s="72"/>
      <c r="E167" s="72"/>
      <c r="F167" s="106" t="s">
        <v>219</v>
      </c>
      <c r="G167" s="72"/>
      <c r="H167" s="72"/>
      <c r="I167" s="106" t="s">
        <v>219</v>
      </c>
      <c r="J167" s="106"/>
      <c r="K167" s="72"/>
      <c r="L167" s="106" t="s">
        <v>219</v>
      </c>
      <c r="M167" s="72"/>
      <c r="N167" s="72"/>
      <c r="O167" s="106" t="s">
        <v>219</v>
      </c>
      <c r="P167" s="72"/>
      <c r="Q167" s="106"/>
      <c r="R167" s="106" t="s">
        <v>219</v>
      </c>
      <c r="S167" s="72"/>
      <c r="T167" s="72"/>
      <c r="U167" s="106" t="s">
        <v>219</v>
      </c>
      <c r="V167" s="72"/>
      <c r="W167" s="106"/>
      <c r="X167" s="106"/>
      <c r="Y167" s="72"/>
      <c r="Z167" s="72"/>
      <c r="AA167" s="72"/>
      <c r="AB167" s="72"/>
      <c r="AC167" s="72"/>
      <c r="AD167" s="72"/>
      <c r="AE167" s="106"/>
      <c r="AF167" s="72"/>
      <c r="AG167" s="72"/>
      <c r="AH167" s="107"/>
      <c r="AI167" s="107"/>
    </row>
    <row r="168" spans="1:36" ht="22.35" customHeight="1">
      <c r="A168" s="109"/>
      <c r="B168" s="239" t="s">
        <v>220</v>
      </c>
      <c r="C168" s="240"/>
      <c r="D168" s="241" t="s">
        <v>94</v>
      </c>
      <c r="E168" s="242"/>
      <c r="F168" s="243"/>
      <c r="G168" s="244"/>
      <c r="H168" s="241" t="s">
        <v>95</v>
      </c>
      <c r="I168" s="242"/>
      <c r="J168" s="243"/>
      <c r="K168" s="244"/>
      <c r="L168" s="241" t="s">
        <v>96</v>
      </c>
      <c r="M168" s="242"/>
      <c r="N168" s="243"/>
      <c r="O168" s="244"/>
      <c r="P168" s="241" t="s">
        <v>97</v>
      </c>
      <c r="Q168" s="242"/>
      <c r="R168" s="243"/>
      <c r="S168" s="244"/>
      <c r="T168" s="241" t="s">
        <v>98</v>
      </c>
      <c r="U168" s="242"/>
      <c r="V168" s="243"/>
      <c r="W168" s="244"/>
      <c r="X168" s="241" t="s">
        <v>99</v>
      </c>
      <c r="Y168" s="242"/>
      <c r="Z168" s="243"/>
      <c r="AA168" s="244"/>
      <c r="AB168" s="241" t="s">
        <v>100</v>
      </c>
      <c r="AC168" s="242"/>
      <c r="AD168" s="242"/>
      <c r="AE168" s="245" t="s">
        <v>101</v>
      </c>
      <c r="AF168" s="242"/>
      <c r="AG168" s="242"/>
      <c r="AH168" s="242"/>
      <c r="AI168" s="246"/>
    </row>
    <row r="169" spans="1:36" ht="22.35" customHeight="1">
      <c r="A169" s="109"/>
      <c r="B169" s="2641" t="s">
        <v>221</v>
      </c>
      <c r="C169" s="2642" t="s">
        <v>113</v>
      </c>
      <c r="D169" s="3025" t="s">
        <v>222</v>
      </c>
      <c r="E169" s="3026"/>
      <c r="F169" s="3027"/>
      <c r="G169" s="2646"/>
      <c r="H169" s="3025" t="s">
        <v>222</v>
      </c>
      <c r="I169" s="3026"/>
      <c r="J169" s="3027"/>
      <c r="K169" s="2646"/>
      <c r="L169" s="3025" t="s">
        <v>222</v>
      </c>
      <c r="M169" s="3026"/>
      <c r="N169" s="3027"/>
      <c r="O169" s="2646"/>
      <c r="P169" s="3025" t="s">
        <v>223</v>
      </c>
      <c r="Q169" s="3026"/>
      <c r="R169" s="3027"/>
      <c r="S169" s="2646"/>
      <c r="T169" s="3025" t="s">
        <v>224</v>
      </c>
      <c r="U169" s="3027"/>
      <c r="V169" s="3027"/>
      <c r="W169" s="2647"/>
      <c r="X169" s="3028"/>
      <c r="Y169" s="3028"/>
      <c r="Z169" s="3029"/>
      <c r="AA169" s="2647"/>
      <c r="AB169" s="3028"/>
      <c r="AC169" s="3028"/>
      <c r="AD169" s="3028"/>
      <c r="AE169" s="2647"/>
      <c r="AF169" s="3028"/>
      <c r="AG169" s="3028"/>
      <c r="AH169" s="3030"/>
      <c r="AI169" s="2651"/>
    </row>
    <row r="170" spans="1:36" ht="22.35" customHeight="1">
      <c r="A170" s="109"/>
      <c r="B170" s="2641" t="s">
        <v>221</v>
      </c>
      <c r="C170" s="2642" t="s">
        <v>118</v>
      </c>
      <c r="D170" s="3025" t="s">
        <v>222</v>
      </c>
      <c r="E170" s="3026"/>
      <c r="F170" s="3027"/>
      <c r="G170" s="2646"/>
      <c r="H170" s="3025" t="s">
        <v>222</v>
      </c>
      <c r="I170" s="3026"/>
      <c r="J170" s="3027"/>
      <c r="K170" s="2646"/>
      <c r="L170" s="3025" t="s">
        <v>222</v>
      </c>
      <c r="M170" s="3026"/>
      <c r="N170" s="3027"/>
      <c r="O170" s="2646"/>
      <c r="P170" s="3025" t="s">
        <v>223</v>
      </c>
      <c r="Q170" s="3026"/>
      <c r="R170" s="3027"/>
      <c r="S170" s="2646"/>
      <c r="T170" s="3025" t="s">
        <v>224</v>
      </c>
      <c r="U170" s="3027"/>
      <c r="V170" s="3027"/>
      <c r="W170" s="2647"/>
      <c r="X170" s="3028"/>
      <c r="Y170" s="3028"/>
      <c r="Z170" s="3029"/>
      <c r="AA170" s="2647"/>
      <c r="AB170" s="3028"/>
      <c r="AC170" s="3028"/>
      <c r="AD170" s="3028"/>
      <c r="AE170" s="2647"/>
      <c r="AF170" s="3028"/>
      <c r="AG170" s="3028"/>
      <c r="AH170" s="3030"/>
      <c r="AI170" s="2651"/>
    </row>
    <row r="171" spans="1:36" ht="22.35" customHeight="1">
      <c r="A171" s="109"/>
      <c r="B171" s="2641" t="s">
        <v>225</v>
      </c>
      <c r="C171" s="2642" t="s">
        <v>126</v>
      </c>
      <c r="D171" s="3025" t="s">
        <v>222</v>
      </c>
      <c r="E171" s="3026"/>
      <c r="F171" s="3027"/>
      <c r="G171" s="2646"/>
      <c r="H171" s="3025" t="s">
        <v>222</v>
      </c>
      <c r="I171" s="3026"/>
      <c r="J171" s="3027"/>
      <c r="K171" s="2646"/>
      <c r="L171" s="3025" t="s">
        <v>222</v>
      </c>
      <c r="M171" s="3026"/>
      <c r="N171" s="3027"/>
      <c r="O171" s="2646"/>
      <c r="P171" s="3025" t="s">
        <v>223</v>
      </c>
      <c r="Q171" s="3026"/>
      <c r="R171" s="3027"/>
      <c r="S171" s="2646"/>
      <c r="T171" s="3025" t="s">
        <v>224</v>
      </c>
      <c r="U171" s="3027"/>
      <c r="V171" s="3027"/>
      <c r="W171" s="2647"/>
      <c r="X171" s="3028"/>
      <c r="Y171" s="3028"/>
      <c r="Z171" s="3029"/>
      <c r="AA171" s="2647"/>
      <c r="AB171" s="3028"/>
      <c r="AC171" s="3028"/>
      <c r="AD171" s="3028"/>
      <c r="AE171" s="2647"/>
      <c r="AF171" s="3028"/>
      <c r="AG171" s="3028"/>
      <c r="AH171" s="3030"/>
      <c r="AI171" s="2651"/>
    </row>
    <row r="172" spans="1:36" ht="22.35" customHeight="1">
      <c r="A172" s="109"/>
      <c r="B172" s="2641" t="s">
        <v>226</v>
      </c>
      <c r="C172" s="2642" t="s">
        <v>50</v>
      </c>
      <c r="D172" s="3025" t="s">
        <v>222</v>
      </c>
      <c r="E172" s="3026"/>
      <c r="F172" s="3027"/>
      <c r="G172" s="2646"/>
      <c r="H172" s="3025" t="s">
        <v>222</v>
      </c>
      <c r="I172" s="3026"/>
      <c r="J172" s="3027"/>
      <c r="K172" s="2646"/>
      <c r="L172" s="3025" t="s">
        <v>222</v>
      </c>
      <c r="M172" s="3026"/>
      <c r="N172" s="3027"/>
      <c r="O172" s="2646"/>
      <c r="P172" s="3025" t="s">
        <v>223</v>
      </c>
      <c r="Q172" s="3026"/>
      <c r="R172" s="3027"/>
      <c r="S172" s="2646"/>
      <c r="T172" s="3025" t="s">
        <v>224</v>
      </c>
      <c r="U172" s="3027"/>
      <c r="V172" s="3027"/>
      <c r="W172" s="2647"/>
      <c r="X172" s="3028"/>
      <c r="Y172" s="3028"/>
      <c r="Z172" s="3029"/>
      <c r="AA172" s="2647"/>
      <c r="AB172" s="3028"/>
      <c r="AC172" s="3028"/>
      <c r="AD172" s="3028"/>
      <c r="AE172" s="2647"/>
      <c r="AF172" s="3028"/>
      <c r="AG172" s="3028"/>
      <c r="AH172" s="3030"/>
      <c r="AI172" s="2651"/>
    </row>
    <row r="173" spans="1:36" ht="22.35" customHeight="1">
      <c r="A173" s="109"/>
      <c r="B173" s="2641" t="s">
        <v>231</v>
      </c>
      <c r="C173" s="2642" t="s">
        <v>115</v>
      </c>
      <c r="D173" s="3025" t="s">
        <v>232</v>
      </c>
      <c r="E173" s="3026"/>
      <c r="F173" s="3027"/>
      <c r="G173" s="2646"/>
      <c r="H173" s="3025" t="s">
        <v>232</v>
      </c>
      <c r="I173" s="3026"/>
      <c r="J173" s="3027"/>
      <c r="K173" s="2646"/>
      <c r="L173" s="3025" t="s">
        <v>233</v>
      </c>
      <c r="M173" s="3026"/>
      <c r="N173" s="3027"/>
      <c r="O173" s="2646"/>
      <c r="P173" s="3025" t="s">
        <v>234</v>
      </c>
      <c r="Q173" s="3026"/>
      <c r="R173" s="3027"/>
      <c r="S173" s="2646"/>
      <c r="T173" s="3025" t="s">
        <v>235</v>
      </c>
      <c r="U173" s="3027"/>
      <c r="V173" s="3027"/>
      <c r="W173" s="2647"/>
      <c r="X173" s="3028"/>
      <c r="Y173" s="3028"/>
      <c r="Z173" s="3029"/>
      <c r="AA173" s="2647"/>
      <c r="AB173" s="3028"/>
      <c r="AC173" s="3028"/>
      <c r="AD173" s="3028"/>
      <c r="AE173" s="2647"/>
      <c r="AF173" s="3028"/>
      <c r="AG173" s="3028"/>
      <c r="AH173" s="3030"/>
      <c r="AI173" s="2651"/>
    </row>
    <row r="174" spans="1:36" ht="22.35" customHeight="1">
      <c r="A174" s="109"/>
      <c r="B174" s="2641" t="s">
        <v>236</v>
      </c>
      <c r="C174" s="2642" t="s">
        <v>132</v>
      </c>
      <c r="D174" s="3025" t="s">
        <v>222</v>
      </c>
      <c r="E174" s="3026"/>
      <c r="F174" s="3027"/>
      <c r="G174" s="2646"/>
      <c r="H174" s="3025" t="s">
        <v>222</v>
      </c>
      <c r="I174" s="3026"/>
      <c r="J174" s="3027"/>
      <c r="K174" s="2646"/>
      <c r="L174" s="3025" t="s">
        <v>222</v>
      </c>
      <c r="M174" s="3026"/>
      <c r="N174" s="3027"/>
      <c r="O174" s="2646"/>
      <c r="P174" s="3025" t="s">
        <v>222</v>
      </c>
      <c r="Q174" s="3026"/>
      <c r="R174" s="3027"/>
      <c r="S174" s="2646"/>
      <c r="T174" s="3025" t="s">
        <v>232</v>
      </c>
      <c r="U174" s="3027"/>
      <c r="V174" s="3027"/>
      <c r="W174" s="2647"/>
      <c r="X174" s="3028"/>
      <c r="Y174" s="3028"/>
      <c r="Z174" s="3029"/>
      <c r="AA174" s="2647"/>
      <c r="AB174" s="3028"/>
      <c r="AC174" s="3028"/>
      <c r="AD174" s="3028"/>
      <c r="AE174" s="2647"/>
      <c r="AF174" s="3028"/>
      <c r="AG174" s="3028"/>
      <c r="AH174" s="3030"/>
      <c r="AI174" s="2651"/>
    </row>
    <row r="175" spans="1:36" ht="22.35" customHeight="1">
      <c r="A175" s="109"/>
      <c r="B175" s="2641" t="s">
        <v>237</v>
      </c>
      <c r="C175" s="2642" t="s">
        <v>135</v>
      </c>
      <c r="D175" s="3025" t="s">
        <v>222</v>
      </c>
      <c r="E175" s="3026"/>
      <c r="F175" s="3027"/>
      <c r="G175" s="2646"/>
      <c r="H175" s="3025" t="s">
        <v>222</v>
      </c>
      <c r="I175" s="3026"/>
      <c r="J175" s="3027"/>
      <c r="K175" s="2646"/>
      <c r="L175" s="3025" t="s">
        <v>222</v>
      </c>
      <c r="M175" s="3026"/>
      <c r="N175" s="3027"/>
      <c r="O175" s="2646"/>
      <c r="P175" s="3025" t="s">
        <v>223</v>
      </c>
      <c r="Q175" s="3026"/>
      <c r="R175" s="3027"/>
      <c r="S175" s="2646"/>
      <c r="T175" s="3025" t="s">
        <v>224</v>
      </c>
      <c r="U175" s="3027"/>
      <c r="V175" s="3027"/>
      <c r="W175" s="2647"/>
      <c r="X175" s="3028"/>
      <c r="Y175" s="3028"/>
      <c r="Z175" s="3029"/>
      <c r="AA175" s="2647"/>
      <c r="AB175" s="3028"/>
      <c r="AC175" s="3028"/>
      <c r="AD175" s="3028"/>
      <c r="AE175" s="2647"/>
      <c r="AF175" s="3028"/>
      <c r="AG175" s="3028"/>
      <c r="AH175" s="3030"/>
      <c r="AI175" s="2651"/>
    </row>
    <row r="176" spans="1:36" ht="22.35" customHeight="1">
      <c r="A176" s="109"/>
      <c r="B176" s="2641" t="s">
        <v>237</v>
      </c>
      <c r="C176" s="2642" t="s">
        <v>52</v>
      </c>
      <c r="D176" s="3025" t="s">
        <v>222</v>
      </c>
      <c r="E176" s="3026"/>
      <c r="F176" s="3027"/>
      <c r="G176" s="2646"/>
      <c r="H176" s="3025" t="s">
        <v>222</v>
      </c>
      <c r="I176" s="3026"/>
      <c r="J176" s="3027"/>
      <c r="K176" s="2646"/>
      <c r="L176" s="3025" t="s">
        <v>222</v>
      </c>
      <c r="M176" s="3026"/>
      <c r="N176" s="3027"/>
      <c r="O176" s="2646"/>
      <c r="P176" s="3025" t="s">
        <v>223</v>
      </c>
      <c r="Q176" s="3026"/>
      <c r="R176" s="3027"/>
      <c r="S176" s="2646"/>
      <c r="T176" s="3025" t="s">
        <v>224</v>
      </c>
      <c r="U176" s="3027"/>
      <c r="V176" s="3027"/>
      <c r="W176" s="2647"/>
      <c r="X176" s="3028"/>
      <c r="Y176" s="3028"/>
      <c r="Z176" s="3029"/>
      <c r="AA176" s="2647"/>
      <c r="AB176" s="3028"/>
      <c r="AC176" s="3028"/>
      <c r="AD176" s="3028"/>
      <c r="AE176" s="2647"/>
      <c r="AF176" s="3028"/>
      <c r="AG176" s="3028"/>
      <c r="AH176" s="3030"/>
      <c r="AI176" s="2651"/>
      <c r="AJ176" s="200"/>
    </row>
    <row r="177" spans="1:36" ht="22.35" customHeight="1">
      <c r="A177" s="109"/>
      <c r="B177" s="2641" t="s">
        <v>238</v>
      </c>
      <c r="C177" s="2642" t="s">
        <v>141</v>
      </c>
      <c r="D177" s="3025" t="s">
        <v>222</v>
      </c>
      <c r="E177" s="3026"/>
      <c r="F177" s="3027"/>
      <c r="G177" s="2646"/>
      <c r="H177" s="3025" t="s">
        <v>222</v>
      </c>
      <c r="I177" s="3026"/>
      <c r="J177" s="3027"/>
      <c r="K177" s="2646"/>
      <c r="L177" s="3025" t="s">
        <v>222</v>
      </c>
      <c r="M177" s="3026"/>
      <c r="N177" s="3027"/>
      <c r="O177" s="2646"/>
      <c r="P177" s="3025" t="s">
        <v>239</v>
      </c>
      <c r="Q177" s="3026"/>
      <c r="R177" s="3027"/>
      <c r="S177" s="2646"/>
      <c r="T177" s="3025" t="s">
        <v>235</v>
      </c>
      <c r="U177" s="3027"/>
      <c r="V177" s="3027"/>
      <c r="W177" s="2647"/>
      <c r="X177" s="3028"/>
      <c r="Y177" s="3028"/>
      <c r="Z177" s="3029"/>
      <c r="AA177" s="2647"/>
      <c r="AB177" s="3028"/>
      <c r="AC177" s="3028"/>
      <c r="AD177" s="3028"/>
      <c r="AE177" s="2647"/>
      <c r="AF177" s="3028"/>
      <c r="AG177" s="3028"/>
      <c r="AH177" s="3030"/>
      <c r="AI177" s="2651"/>
      <c r="AJ177" s="200"/>
    </row>
    <row r="178" spans="1:36" ht="22.35" customHeight="1">
      <c r="A178" s="109"/>
      <c r="B178" s="2652" t="s">
        <v>240</v>
      </c>
      <c r="C178" s="2653" t="s">
        <v>124</v>
      </c>
      <c r="D178" s="2654" t="s">
        <v>222</v>
      </c>
      <c r="E178" s="2655"/>
      <c r="F178" s="2656"/>
      <c r="G178" s="2657"/>
      <c r="H178" s="2654" t="s">
        <v>222</v>
      </c>
      <c r="I178" s="2655"/>
      <c r="J178" s="2656"/>
      <c r="K178" s="2657"/>
      <c r="L178" s="2654" t="s">
        <v>222</v>
      </c>
      <c r="M178" s="2655"/>
      <c r="N178" s="2656"/>
      <c r="O178" s="2657"/>
      <c r="P178" s="2654" t="s">
        <v>223</v>
      </c>
      <c r="Q178" s="2655"/>
      <c r="R178" s="2656"/>
      <c r="S178" s="2657"/>
      <c r="T178" s="2654" t="s">
        <v>224</v>
      </c>
      <c r="U178" s="2656"/>
      <c r="V178" s="198"/>
      <c r="W178" s="2658"/>
      <c r="X178" s="197"/>
      <c r="Y178" s="197"/>
      <c r="Z178" s="198"/>
      <c r="AA178" s="2658"/>
      <c r="AB178" s="197"/>
      <c r="AC178" s="197"/>
      <c r="AD178" s="197"/>
      <c r="AE178" s="2658"/>
      <c r="AF178" s="197"/>
      <c r="AG178" s="197"/>
      <c r="AH178" s="199"/>
      <c r="AI178" s="2659"/>
      <c r="AJ178" s="200"/>
    </row>
    <row r="179" spans="1:36" ht="22.35" customHeight="1">
      <c r="A179" s="109"/>
      <c r="B179" s="2641" t="s">
        <v>241</v>
      </c>
      <c r="C179" s="2642" t="s">
        <v>242</v>
      </c>
      <c r="D179" s="3025" t="s">
        <v>222</v>
      </c>
      <c r="E179" s="3026"/>
      <c r="F179" s="3027"/>
      <c r="G179" s="2646"/>
      <c r="H179" s="3025" t="s">
        <v>222</v>
      </c>
      <c r="I179" s="3026"/>
      <c r="J179" s="3027"/>
      <c r="K179" s="2646"/>
      <c r="L179" s="3025" t="s">
        <v>222</v>
      </c>
      <c r="M179" s="3026"/>
      <c r="N179" s="3027"/>
      <c r="O179" s="2646"/>
      <c r="P179" s="3025" t="s">
        <v>223</v>
      </c>
      <c r="Q179" s="3026"/>
      <c r="R179" s="3027"/>
      <c r="S179" s="2646"/>
      <c r="T179" s="3025" t="s">
        <v>224</v>
      </c>
      <c r="U179" s="3027"/>
      <c r="V179" s="3026"/>
      <c r="W179" s="2647"/>
      <c r="X179" s="3028"/>
      <c r="Y179" s="3028"/>
      <c r="Z179" s="3028"/>
      <c r="AA179" s="2647"/>
      <c r="AB179" s="3028"/>
      <c r="AC179" s="3028"/>
      <c r="AD179" s="3028"/>
      <c r="AE179" s="2647"/>
      <c r="AF179" s="3028"/>
      <c r="AG179" s="3028"/>
      <c r="AH179" s="3030"/>
      <c r="AI179" s="2651"/>
      <c r="AJ179" s="200"/>
    </row>
    <row r="180" spans="1:36" ht="22.35" customHeight="1">
      <c r="A180" s="109"/>
      <c r="B180" s="2641" t="s">
        <v>243</v>
      </c>
      <c r="C180" s="2642" t="s">
        <v>122</v>
      </c>
      <c r="D180" s="3025" t="s">
        <v>244</v>
      </c>
      <c r="E180" s="3026"/>
      <c r="F180" s="3027"/>
      <c r="G180" s="2646"/>
      <c r="H180" s="3025" t="s">
        <v>244</v>
      </c>
      <c r="I180" s="3026"/>
      <c r="J180" s="3027"/>
      <c r="K180" s="2646"/>
      <c r="L180" s="3025" t="s">
        <v>244</v>
      </c>
      <c r="M180" s="3026"/>
      <c r="N180" s="3026"/>
      <c r="O180" s="2646"/>
      <c r="P180" s="3025" t="s">
        <v>244</v>
      </c>
      <c r="Q180" s="3026"/>
      <c r="R180" s="3026"/>
      <c r="S180" s="2646"/>
      <c r="T180" s="3025" t="s">
        <v>235</v>
      </c>
      <c r="U180" s="3027"/>
      <c r="V180" s="3026"/>
      <c r="W180" s="2660"/>
      <c r="X180" s="3028"/>
      <c r="Y180" s="3028"/>
      <c r="Z180" s="3028"/>
      <c r="AA180" s="2647"/>
      <c r="AB180" s="3028"/>
      <c r="AC180" s="3028"/>
      <c r="AD180" s="3028"/>
      <c r="AE180" s="2647"/>
      <c r="AF180" s="3028"/>
      <c r="AG180" s="3028"/>
      <c r="AH180" s="3030"/>
      <c r="AI180" s="2651"/>
      <c r="AJ180" s="200"/>
    </row>
    <row r="181" spans="1:36" ht="22.35" customHeight="1">
      <c r="A181" s="109"/>
      <c r="B181" s="2641" t="s">
        <v>245</v>
      </c>
      <c r="C181" s="2642" t="s">
        <v>246</v>
      </c>
      <c r="D181" s="3025" t="s">
        <v>244</v>
      </c>
      <c r="E181" s="3026"/>
      <c r="F181" s="3027"/>
      <c r="G181" s="2646"/>
      <c r="H181" s="3025" t="s">
        <v>244</v>
      </c>
      <c r="I181" s="3026"/>
      <c r="J181" s="3027"/>
      <c r="K181" s="2646"/>
      <c r="L181" s="3025" t="s">
        <v>244</v>
      </c>
      <c r="M181" s="3026"/>
      <c r="N181" s="3026"/>
      <c r="O181" s="2646"/>
      <c r="P181" s="3025" t="s">
        <v>244</v>
      </c>
      <c r="Q181" s="3026"/>
      <c r="R181" s="3026"/>
      <c r="S181" s="2646"/>
      <c r="T181" s="3025" t="s">
        <v>235</v>
      </c>
      <c r="U181" s="3027"/>
      <c r="V181" s="3026"/>
      <c r="W181" s="2660"/>
      <c r="X181" s="3028"/>
      <c r="Y181" s="3028"/>
      <c r="Z181" s="3029"/>
      <c r="AA181" s="2661"/>
      <c r="AB181" s="3028"/>
      <c r="AC181" s="3028"/>
      <c r="AD181" s="3028"/>
      <c r="AE181" s="2647"/>
      <c r="AF181" s="3028"/>
      <c r="AG181" s="3028"/>
      <c r="AH181" s="3030"/>
      <c r="AI181" s="2651"/>
      <c r="AJ181" s="200"/>
    </row>
    <row r="182" spans="1:36" ht="22.35" customHeight="1" thickBot="1">
      <c r="A182" s="109"/>
      <c r="B182" s="1100" t="s">
        <v>247</v>
      </c>
      <c r="C182" s="1101" t="s">
        <v>127</v>
      </c>
      <c r="D182" s="2662" t="s">
        <v>244</v>
      </c>
      <c r="E182" s="2663"/>
      <c r="F182" s="1104"/>
      <c r="G182" s="1105"/>
      <c r="H182" s="2662" t="s">
        <v>244</v>
      </c>
      <c r="I182" s="2663"/>
      <c r="J182" s="1104"/>
      <c r="K182" s="1105"/>
      <c r="L182" s="2662" t="s">
        <v>244</v>
      </c>
      <c r="M182" s="2663"/>
      <c r="N182" s="2663"/>
      <c r="O182" s="1105"/>
      <c r="P182" s="2662" t="s">
        <v>244</v>
      </c>
      <c r="Q182" s="2663"/>
      <c r="R182" s="2663"/>
      <c r="S182" s="1105"/>
      <c r="T182" s="2662" t="s">
        <v>235</v>
      </c>
      <c r="U182" s="1104"/>
      <c r="V182" s="2663"/>
      <c r="W182" s="1106"/>
      <c r="X182" s="2664"/>
      <c r="Y182" s="2664"/>
      <c r="Z182" s="1108"/>
      <c r="AA182" s="2665"/>
      <c r="AB182" s="2664"/>
      <c r="AC182" s="2664"/>
      <c r="AD182" s="2664"/>
      <c r="AE182" s="1110"/>
      <c r="AF182" s="2664"/>
      <c r="AG182" s="2664"/>
      <c r="AH182" s="2666"/>
      <c r="AI182" s="1112"/>
    </row>
    <row r="183" spans="1:36" ht="22.35" customHeight="1">
      <c r="A183" s="109"/>
      <c r="B183" s="218"/>
      <c r="C183" s="219"/>
      <c r="D183" s="220"/>
      <c r="E183" s="221"/>
      <c r="F183" s="221"/>
      <c r="G183" s="222"/>
      <c r="H183" s="220"/>
      <c r="I183" s="221"/>
      <c r="J183" s="221"/>
      <c r="K183" s="222"/>
      <c r="L183" s="220"/>
      <c r="M183" s="221"/>
      <c r="N183" s="221"/>
      <c r="O183" s="222"/>
      <c r="P183" s="210"/>
      <c r="Q183" s="221"/>
      <c r="R183" s="221"/>
      <c r="S183" s="222"/>
      <c r="T183" s="210"/>
      <c r="U183" s="221"/>
      <c r="V183" s="221"/>
      <c r="W183" s="221"/>
      <c r="X183" s="221"/>
      <c r="Y183" s="221"/>
      <c r="Z183" s="221"/>
      <c r="AA183" s="222"/>
      <c r="AB183" s="221"/>
      <c r="AC183" s="221"/>
      <c r="AD183" s="221"/>
      <c r="AE183" s="222"/>
      <c r="AF183" s="221"/>
      <c r="AG183" s="221"/>
      <c r="AH183" s="201"/>
      <c r="AI183" s="201"/>
    </row>
    <row r="184" spans="1:36" ht="22.35" customHeight="1" thickBot="1">
      <c r="A184" s="148"/>
      <c r="B184" s="2667" t="s">
        <v>29</v>
      </c>
      <c r="C184" s="2788">
        <v>1</v>
      </c>
      <c r="D184" s="2788">
        <v>2</v>
      </c>
      <c r="E184" s="2788">
        <v>3</v>
      </c>
      <c r="F184" s="2788">
        <v>4</v>
      </c>
      <c r="G184" s="2789">
        <v>5</v>
      </c>
      <c r="H184" s="2789">
        <v>6</v>
      </c>
      <c r="I184" s="2788">
        <v>7</v>
      </c>
      <c r="J184" s="2788">
        <v>8</v>
      </c>
      <c r="K184" s="2788">
        <v>9</v>
      </c>
      <c r="L184" s="2788">
        <v>10</v>
      </c>
      <c r="M184" s="2788">
        <v>11</v>
      </c>
      <c r="N184" s="2789">
        <v>12</v>
      </c>
      <c r="O184" s="2789">
        <v>13</v>
      </c>
      <c r="P184" s="2788">
        <v>14</v>
      </c>
      <c r="Q184" s="2788">
        <v>15</v>
      </c>
      <c r="R184" s="2788">
        <v>16</v>
      </c>
      <c r="S184" s="2788">
        <v>17</v>
      </c>
      <c r="T184" s="2788">
        <v>18</v>
      </c>
      <c r="U184" s="2789">
        <v>19</v>
      </c>
      <c r="V184" s="2789">
        <v>20</v>
      </c>
      <c r="W184" s="2788">
        <v>21</v>
      </c>
      <c r="X184" s="2788">
        <v>22</v>
      </c>
      <c r="Y184" s="2788">
        <v>23</v>
      </c>
      <c r="Z184" s="2788">
        <v>24</v>
      </c>
      <c r="AA184" s="2788">
        <v>25</v>
      </c>
      <c r="AB184" s="2789">
        <v>26</v>
      </c>
      <c r="AC184" s="2789">
        <v>27</v>
      </c>
      <c r="AD184" s="2788">
        <v>28</v>
      </c>
      <c r="AE184" s="2788">
        <v>29</v>
      </c>
      <c r="AF184" s="2788">
        <v>30</v>
      </c>
      <c r="AG184" s="2790">
        <v>31</v>
      </c>
      <c r="AH184" s="183"/>
      <c r="AI184" s="177"/>
    </row>
    <row r="185" spans="1:36" ht="22.35" customHeight="1">
      <c r="A185" s="109"/>
      <c r="B185" s="318" t="s">
        <v>248</v>
      </c>
      <c r="C185" s="514" t="s">
        <v>113</v>
      </c>
      <c r="D185" s="514" t="s">
        <v>113</v>
      </c>
      <c r="E185" s="514" t="s">
        <v>113</v>
      </c>
      <c r="F185" s="514" t="s">
        <v>113</v>
      </c>
      <c r="G185" s="514"/>
      <c r="H185" s="514"/>
      <c r="I185" s="514" t="s">
        <v>113</v>
      </c>
      <c r="J185" s="514" t="s">
        <v>113</v>
      </c>
      <c r="K185" s="514" t="s">
        <v>113</v>
      </c>
      <c r="L185" s="514" t="s">
        <v>113</v>
      </c>
      <c r="M185" s="514" t="s">
        <v>113</v>
      </c>
      <c r="N185" s="514"/>
      <c r="O185" s="514"/>
      <c r="P185" s="514" t="s">
        <v>113</v>
      </c>
      <c r="Q185" s="514" t="s">
        <v>113</v>
      </c>
      <c r="R185" s="514" t="s">
        <v>113</v>
      </c>
      <c r="S185" s="514" t="s">
        <v>113</v>
      </c>
      <c r="T185" s="514" t="s">
        <v>113</v>
      </c>
      <c r="U185" s="514"/>
      <c r="V185" s="514"/>
      <c r="W185" s="514" t="s">
        <v>113</v>
      </c>
      <c r="X185" s="514" t="s">
        <v>113</v>
      </c>
      <c r="Y185" s="514" t="s">
        <v>113</v>
      </c>
      <c r="Z185" s="514" t="s">
        <v>113</v>
      </c>
      <c r="AA185" s="514" t="s">
        <v>113</v>
      </c>
      <c r="AB185" s="514"/>
      <c r="AC185" s="514"/>
      <c r="AD185" s="514" t="s">
        <v>113</v>
      </c>
      <c r="AE185" s="640" t="s">
        <v>113</v>
      </c>
      <c r="AF185" s="640" t="s">
        <v>113</v>
      </c>
      <c r="AG185" s="723" t="s">
        <v>113</v>
      </c>
      <c r="AH185" s="182"/>
      <c r="AI185" s="182"/>
    </row>
    <row r="186" spans="1:36" ht="22.35" customHeight="1">
      <c r="A186" s="109"/>
      <c r="B186" s="2668" t="s">
        <v>249</v>
      </c>
      <c r="C186" s="2669" t="s">
        <v>113</v>
      </c>
      <c r="D186" s="2669" t="s">
        <v>113</v>
      </c>
      <c r="E186" s="2669" t="s">
        <v>113</v>
      </c>
      <c r="F186" s="2669" t="s">
        <v>113</v>
      </c>
      <c r="G186" s="2669"/>
      <c r="H186" s="2669"/>
      <c r="I186" s="2669" t="s">
        <v>113</v>
      </c>
      <c r="J186" s="2669" t="s">
        <v>113</v>
      </c>
      <c r="K186" s="2669" t="s">
        <v>113</v>
      </c>
      <c r="L186" s="2669" t="s">
        <v>113</v>
      </c>
      <c r="M186" s="2669" t="s">
        <v>113</v>
      </c>
      <c r="N186" s="2669"/>
      <c r="O186" s="2669"/>
      <c r="P186" s="2669" t="s">
        <v>113</v>
      </c>
      <c r="Q186" s="2669" t="s">
        <v>113</v>
      </c>
      <c r="R186" s="2669" t="s">
        <v>113</v>
      </c>
      <c r="S186" s="2669" t="s">
        <v>113</v>
      </c>
      <c r="T186" s="2669" t="s">
        <v>113</v>
      </c>
      <c r="U186" s="2669"/>
      <c r="V186" s="2669"/>
      <c r="W186" s="2669" t="s">
        <v>113</v>
      </c>
      <c r="X186" s="2669" t="s">
        <v>113</v>
      </c>
      <c r="Y186" s="2669" t="s">
        <v>113</v>
      </c>
      <c r="Z186" s="2669" t="s">
        <v>113</v>
      </c>
      <c r="AA186" s="2669" t="s">
        <v>113</v>
      </c>
      <c r="AB186" s="2669"/>
      <c r="AC186" s="2669"/>
      <c r="AD186" s="2669" t="s">
        <v>113</v>
      </c>
      <c r="AE186" s="2669" t="s">
        <v>113</v>
      </c>
      <c r="AF186" s="2669" t="s">
        <v>113</v>
      </c>
      <c r="AG186" s="2671" t="s">
        <v>113</v>
      </c>
      <c r="AH186" s="182"/>
      <c r="AI186" s="182"/>
    </row>
    <row r="187" spans="1:36" ht="22.35" customHeight="1">
      <c r="A187" s="109"/>
      <c r="B187" s="2668" t="s">
        <v>250</v>
      </c>
      <c r="C187" s="2669" t="s">
        <v>118</v>
      </c>
      <c r="D187" s="2669" t="s">
        <v>118</v>
      </c>
      <c r="E187" s="2669" t="s">
        <v>118</v>
      </c>
      <c r="F187" s="2669" t="s">
        <v>118</v>
      </c>
      <c r="G187" s="2669"/>
      <c r="H187" s="2669"/>
      <c r="I187" s="2669" t="s">
        <v>118</v>
      </c>
      <c r="J187" s="2669" t="s">
        <v>118</v>
      </c>
      <c r="K187" s="2669" t="s">
        <v>118</v>
      </c>
      <c r="L187" s="2669" t="s">
        <v>118</v>
      </c>
      <c r="M187" s="2669" t="s">
        <v>118</v>
      </c>
      <c r="N187" s="2669"/>
      <c r="O187" s="2669"/>
      <c r="P187" s="2669" t="s">
        <v>118</v>
      </c>
      <c r="Q187" s="2669" t="s">
        <v>118</v>
      </c>
      <c r="R187" s="2669" t="s">
        <v>118</v>
      </c>
      <c r="S187" s="2669" t="s">
        <v>118</v>
      </c>
      <c r="T187" s="2669" t="s">
        <v>118</v>
      </c>
      <c r="U187" s="2669"/>
      <c r="V187" s="2669"/>
      <c r="W187" s="2680" t="s">
        <v>129</v>
      </c>
      <c r="X187" s="2669" t="s">
        <v>118</v>
      </c>
      <c r="Y187" s="2858" t="s">
        <v>118</v>
      </c>
      <c r="Z187" s="2669" t="s">
        <v>118</v>
      </c>
      <c r="AA187" s="2669" t="s">
        <v>118</v>
      </c>
      <c r="AB187" s="2858" t="s">
        <v>0</v>
      </c>
      <c r="AC187" s="2858" t="s">
        <v>0</v>
      </c>
      <c r="AD187" s="2669" t="s">
        <v>118</v>
      </c>
      <c r="AE187" s="2669" t="s">
        <v>113</v>
      </c>
      <c r="AF187" s="2669" t="s">
        <v>113</v>
      </c>
      <c r="AG187" s="2671" t="s">
        <v>113</v>
      </c>
      <c r="AH187" s="182"/>
      <c r="AI187" s="182"/>
    </row>
    <row r="188" spans="1:36" ht="22.35" customHeight="1">
      <c r="A188" s="109"/>
      <c r="B188" s="2668" t="s">
        <v>405</v>
      </c>
      <c r="C188" s="2669" t="s">
        <v>126</v>
      </c>
      <c r="D188" s="2669" t="s">
        <v>126</v>
      </c>
      <c r="E188" s="2669" t="s">
        <v>126</v>
      </c>
      <c r="F188" s="2669" t="s">
        <v>126</v>
      </c>
      <c r="G188" s="2669"/>
      <c r="H188" s="2669"/>
      <c r="I188" s="2669" t="s">
        <v>126</v>
      </c>
      <c r="J188" s="2669" t="s">
        <v>126</v>
      </c>
      <c r="K188" s="2669" t="s">
        <v>126</v>
      </c>
      <c r="L188" s="2669" t="s">
        <v>126</v>
      </c>
      <c r="M188" s="2669" t="s">
        <v>126</v>
      </c>
      <c r="N188" s="2669"/>
      <c r="O188" s="2669"/>
      <c r="P188" s="2669" t="s">
        <v>126</v>
      </c>
      <c r="Q188" s="2669" t="s">
        <v>126</v>
      </c>
      <c r="R188" s="2669" t="s">
        <v>126</v>
      </c>
      <c r="S188" s="2669" t="s">
        <v>126</v>
      </c>
      <c r="T188" s="2669" t="s">
        <v>126</v>
      </c>
      <c r="U188" s="2669"/>
      <c r="V188" s="2669"/>
      <c r="W188" s="2669" t="s">
        <v>126</v>
      </c>
      <c r="X188" s="2669" t="s">
        <v>126</v>
      </c>
      <c r="Y188" s="2669" t="s">
        <v>126</v>
      </c>
      <c r="Z188" s="2678" t="s">
        <v>126</v>
      </c>
      <c r="AA188" s="2678" t="s">
        <v>126</v>
      </c>
      <c r="AB188" s="2678"/>
      <c r="AC188" s="2678" t="s">
        <v>315</v>
      </c>
      <c r="AD188" s="2679" t="s">
        <v>126</v>
      </c>
      <c r="AE188" s="2679" t="s">
        <v>126</v>
      </c>
      <c r="AF188" s="2669" t="s">
        <v>126</v>
      </c>
      <c r="AG188" s="2671" t="s">
        <v>126</v>
      </c>
      <c r="AH188" s="182"/>
      <c r="AI188" s="182"/>
    </row>
    <row r="189" spans="1:36" ht="22.35" customHeight="1">
      <c r="A189" s="109"/>
      <c r="B189" s="2797" t="s">
        <v>133</v>
      </c>
      <c r="C189" s="2669" t="s">
        <v>50</v>
      </c>
      <c r="D189" s="2669" t="s">
        <v>50</v>
      </c>
      <c r="E189" s="2669" t="s">
        <v>50</v>
      </c>
      <c r="F189" s="2669" t="s">
        <v>50</v>
      </c>
      <c r="G189" s="2669"/>
      <c r="H189" s="2669"/>
      <c r="I189" s="2669" t="s">
        <v>50</v>
      </c>
      <c r="J189" s="2669" t="s">
        <v>50</v>
      </c>
      <c r="K189" s="2669" t="s">
        <v>50</v>
      </c>
      <c r="L189" s="2669" t="s">
        <v>50</v>
      </c>
      <c r="M189" s="2669" t="s">
        <v>50</v>
      </c>
      <c r="N189" s="2669"/>
      <c r="O189" s="2669"/>
      <c r="P189" s="3031" t="s">
        <v>50</v>
      </c>
      <c r="Q189" s="3031" t="s">
        <v>50</v>
      </c>
      <c r="R189" s="3031" t="s">
        <v>50</v>
      </c>
      <c r="S189" s="3031" t="s">
        <v>50</v>
      </c>
      <c r="T189" s="3031" t="s">
        <v>50</v>
      </c>
      <c r="U189" s="3031"/>
      <c r="V189" s="3031"/>
      <c r="W189" s="2672" t="s">
        <v>50</v>
      </c>
      <c r="X189" s="2672" t="s">
        <v>50</v>
      </c>
      <c r="Y189" s="2672" t="s">
        <v>50</v>
      </c>
      <c r="Z189" s="2672" t="s">
        <v>50</v>
      </c>
      <c r="AA189" s="2672" t="s">
        <v>50</v>
      </c>
      <c r="AB189" s="2669"/>
      <c r="AC189" s="2669"/>
      <c r="AD189" s="2669" t="s">
        <v>50</v>
      </c>
      <c r="AE189" s="2669" t="s">
        <v>50</v>
      </c>
      <c r="AF189" s="2669" t="s">
        <v>50</v>
      </c>
      <c r="AG189" s="2671" t="s">
        <v>50</v>
      </c>
      <c r="AH189" s="182"/>
      <c r="AI189" s="182"/>
    </row>
    <row r="190" spans="1:36" ht="22.35" customHeight="1">
      <c r="A190" s="109"/>
      <c r="B190" s="2668" t="s">
        <v>253</v>
      </c>
      <c r="C190" s="2676" t="s">
        <v>132</v>
      </c>
      <c r="D190" s="2676" t="s">
        <v>132</v>
      </c>
      <c r="E190" s="2676" t="s">
        <v>132</v>
      </c>
      <c r="F190" s="2676" t="s">
        <v>132</v>
      </c>
      <c r="G190" s="2676"/>
      <c r="H190" s="2676"/>
      <c r="I190" s="2676" t="s">
        <v>132</v>
      </c>
      <c r="J190" s="2676" t="s">
        <v>132</v>
      </c>
      <c r="K190" s="2678" t="s">
        <v>132</v>
      </c>
      <c r="L190" s="2678" t="s">
        <v>132</v>
      </c>
      <c r="M190" s="2678" t="s">
        <v>376</v>
      </c>
      <c r="N190" s="2676"/>
      <c r="O190" s="2676"/>
      <c r="P190" s="2676" t="s">
        <v>132</v>
      </c>
      <c r="Q190" s="2676" t="s">
        <v>132</v>
      </c>
      <c r="R190" s="2676" t="s">
        <v>132</v>
      </c>
      <c r="S190" s="2676" t="s">
        <v>132</v>
      </c>
      <c r="T190" s="2676" t="s">
        <v>132</v>
      </c>
      <c r="U190" s="2676"/>
      <c r="V190" s="2676"/>
      <c r="W190" s="2676" t="s">
        <v>132</v>
      </c>
      <c r="X190" s="2676" t="s">
        <v>132</v>
      </c>
      <c r="Y190" s="2676" t="s">
        <v>132</v>
      </c>
      <c r="Z190" s="2676" t="s">
        <v>132</v>
      </c>
      <c r="AA190" s="2676" t="s">
        <v>132</v>
      </c>
      <c r="AB190" s="2676"/>
      <c r="AC190" s="2676"/>
      <c r="AD190" s="2676" t="s">
        <v>132</v>
      </c>
      <c r="AE190" s="2676" t="s">
        <v>132</v>
      </c>
      <c r="AF190" s="2676" t="s">
        <v>132</v>
      </c>
      <c r="AG190" s="2671" t="s">
        <v>132</v>
      </c>
      <c r="AH190" s="182"/>
      <c r="AI190" s="182"/>
    </row>
    <row r="191" spans="1:36" ht="22.35" customHeight="1">
      <c r="A191" s="109"/>
      <c r="B191" s="2874"/>
      <c r="C191" s="2669" t="s">
        <v>135</v>
      </c>
      <c r="D191" s="2669" t="s">
        <v>135</v>
      </c>
      <c r="E191" s="2669" t="s">
        <v>135</v>
      </c>
      <c r="F191" s="2669" t="s">
        <v>135</v>
      </c>
      <c r="G191" s="2669"/>
      <c r="H191" s="2669"/>
      <c r="I191" s="2669" t="s">
        <v>135</v>
      </c>
      <c r="J191" s="2669" t="s">
        <v>135</v>
      </c>
      <c r="K191" s="2669" t="s">
        <v>135</v>
      </c>
      <c r="L191" s="2669" t="s">
        <v>135</v>
      </c>
      <c r="M191" s="2669" t="s">
        <v>135</v>
      </c>
      <c r="N191" s="2669"/>
      <c r="O191" s="2669"/>
      <c r="P191" s="2669" t="s">
        <v>135</v>
      </c>
      <c r="Q191" s="2669" t="s">
        <v>135</v>
      </c>
      <c r="R191" s="2669" t="s">
        <v>135</v>
      </c>
      <c r="S191" s="2669" t="s">
        <v>135</v>
      </c>
      <c r="T191" s="2669" t="s">
        <v>135</v>
      </c>
      <c r="U191" s="2669"/>
      <c r="V191" s="2669"/>
      <c r="W191" s="2669" t="s">
        <v>135</v>
      </c>
      <c r="X191" s="2669" t="s">
        <v>135</v>
      </c>
      <c r="Y191" s="2669" t="s">
        <v>135</v>
      </c>
      <c r="Z191" s="2669" t="s">
        <v>135</v>
      </c>
      <c r="AA191" s="2669" t="s">
        <v>135</v>
      </c>
      <c r="AB191" s="2669"/>
      <c r="AC191" s="2669"/>
      <c r="AD191" s="2669" t="s">
        <v>135</v>
      </c>
      <c r="AE191" s="2669" t="s">
        <v>135</v>
      </c>
      <c r="AF191" s="2669" t="s">
        <v>135</v>
      </c>
      <c r="AG191" s="2671" t="s">
        <v>135</v>
      </c>
      <c r="AH191" s="182"/>
      <c r="AI191" s="182"/>
    </row>
    <row r="192" spans="1:36" ht="22.35" customHeight="1">
      <c r="A192" s="109"/>
      <c r="B192" s="2668" t="s">
        <v>255</v>
      </c>
      <c r="C192" s="522" t="s">
        <v>52</v>
      </c>
      <c r="D192" s="522" t="s">
        <v>52</v>
      </c>
      <c r="E192" s="522" t="s">
        <v>52</v>
      </c>
      <c r="F192" s="522" t="s">
        <v>52</v>
      </c>
      <c r="G192" s="522"/>
      <c r="H192" s="522"/>
      <c r="I192" s="522" t="s">
        <v>52</v>
      </c>
      <c r="J192" s="522" t="s">
        <v>52</v>
      </c>
      <c r="K192" s="522" t="s">
        <v>52</v>
      </c>
      <c r="L192" s="522" t="s">
        <v>52</v>
      </c>
      <c r="M192" s="522" t="s">
        <v>52</v>
      </c>
      <c r="N192" s="522"/>
      <c r="O192" s="522"/>
      <c r="P192" s="522" t="s">
        <v>52</v>
      </c>
      <c r="Q192" s="522" t="s">
        <v>52</v>
      </c>
      <c r="R192" s="522" t="s">
        <v>52</v>
      </c>
      <c r="S192" s="551" t="s">
        <v>52</v>
      </c>
      <c r="T192" s="522" t="s">
        <v>52</v>
      </c>
      <c r="U192" s="522"/>
      <c r="V192" s="522"/>
      <c r="W192" s="522" t="s">
        <v>52</v>
      </c>
      <c r="X192" s="522" t="s">
        <v>52</v>
      </c>
      <c r="Y192" s="522" t="s">
        <v>52</v>
      </c>
      <c r="Z192" s="522" t="s">
        <v>52</v>
      </c>
      <c r="AA192" s="522" t="s">
        <v>52</v>
      </c>
      <c r="AB192" s="522"/>
      <c r="AC192" s="522"/>
      <c r="AD192" s="522" t="s">
        <v>52</v>
      </c>
      <c r="AE192" s="522" t="s">
        <v>52</v>
      </c>
      <c r="AF192" s="522" t="s">
        <v>52</v>
      </c>
      <c r="AG192" s="513" t="s">
        <v>52</v>
      </c>
      <c r="AH192" s="182"/>
      <c r="AI192" s="182"/>
    </row>
    <row r="193" spans="1:35" ht="22.35" customHeight="1">
      <c r="A193" s="109"/>
      <c r="B193" s="2668" t="s">
        <v>257</v>
      </c>
      <c r="C193" s="2939" t="s">
        <v>141</v>
      </c>
      <c r="D193" s="2939" t="s">
        <v>141</v>
      </c>
      <c r="E193" s="2939" t="s">
        <v>141</v>
      </c>
      <c r="F193" s="2939" t="s">
        <v>141</v>
      </c>
      <c r="G193" s="2939"/>
      <c r="H193" s="2939"/>
      <c r="I193" s="2939" t="s">
        <v>141</v>
      </c>
      <c r="J193" s="2939" t="s">
        <v>141</v>
      </c>
      <c r="K193" s="3032" t="s">
        <v>141</v>
      </c>
      <c r="L193" s="3032" t="s">
        <v>258</v>
      </c>
      <c r="M193" s="2696" t="s">
        <v>141</v>
      </c>
      <c r="N193" s="2939"/>
      <c r="O193" s="2939"/>
      <c r="P193" s="2939" t="s">
        <v>141</v>
      </c>
      <c r="Q193" s="2939" t="s">
        <v>141</v>
      </c>
      <c r="R193" s="2939" t="s">
        <v>141</v>
      </c>
      <c r="S193" s="2939" t="s">
        <v>141</v>
      </c>
      <c r="T193" s="2939" t="s">
        <v>141</v>
      </c>
      <c r="U193" s="2939"/>
      <c r="V193" s="2939"/>
      <c r="W193" s="3033" t="s">
        <v>141</v>
      </c>
      <c r="X193" s="2939" t="s">
        <v>141</v>
      </c>
      <c r="Y193" s="2939" t="s">
        <v>141</v>
      </c>
      <c r="Z193" s="2939" t="s">
        <v>141</v>
      </c>
      <c r="AA193" s="2939" t="s">
        <v>141</v>
      </c>
      <c r="AB193" s="2939"/>
      <c r="AC193" s="2939"/>
      <c r="AD193" s="2939" t="s">
        <v>141</v>
      </c>
      <c r="AE193" s="2939" t="s">
        <v>141</v>
      </c>
      <c r="AF193" s="3032" t="s">
        <v>141</v>
      </c>
      <c r="AG193" s="3034" t="s">
        <v>141</v>
      </c>
      <c r="AH193" s="182"/>
      <c r="AI193" s="182"/>
    </row>
    <row r="194" spans="1:35" ht="22.35" customHeight="1">
      <c r="A194" s="109"/>
      <c r="B194" s="2874" t="s">
        <v>259</v>
      </c>
      <c r="C194" s="2939" t="s">
        <v>124</v>
      </c>
      <c r="D194" s="2939" t="s">
        <v>124</v>
      </c>
      <c r="E194" s="2939" t="s">
        <v>124</v>
      </c>
      <c r="F194" s="2939" t="s">
        <v>124</v>
      </c>
      <c r="G194" s="2939"/>
      <c r="H194" s="2939"/>
      <c r="I194" s="2939" t="s">
        <v>124</v>
      </c>
      <c r="J194" s="2939" t="s">
        <v>124</v>
      </c>
      <c r="K194" s="2939" t="s">
        <v>124</v>
      </c>
      <c r="L194" s="2939" t="s">
        <v>124</v>
      </c>
      <c r="M194" s="2939" t="s">
        <v>124</v>
      </c>
      <c r="N194" s="2939"/>
      <c r="O194" s="2939"/>
      <c r="P194" s="2939" t="s">
        <v>124</v>
      </c>
      <c r="Q194" s="2939" t="s">
        <v>124</v>
      </c>
      <c r="R194" s="2939" t="s">
        <v>124</v>
      </c>
      <c r="S194" s="2939" t="s">
        <v>124</v>
      </c>
      <c r="T194" s="2939" t="s">
        <v>124</v>
      </c>
      <c r="U194" s="2939"/>
      <c r="V194" s="2939"/>
      <c r="W194" s="2939" t="s">
        <v>124</v>
      </c>
      <c r="X194" s="2939" t="s">
        <v>124</v>
      </c>
      <c r="Y194" s="2939" t="s">
        <v>124</v>
      </c>
      <c r="Z194" s="2939" t="s">
        <v>124</v>
      </c>
      <c r="AA194" s="2939" t="s">
        <v>124</v>
      </c>
      <c r="AB194" s="2939"/>
      <c r="AC194" s="2939"/>
      <c r="AD194" s="2939" t="s">
        <v>124</v>
      </c>
      <c r="AE194" s="2939" t="s">
        <v>124</v>
      </c>
      <c r="AF194" s="2629" t="s">
        <v>260</v>
      </c>
      <c r="AG194" s="3035" t="s">
        <v>124</v>
      </c>
      <c r="AH194" s="182"/>
      <c r="AI194" s="182"/>
    </row>
    <row r="195" spans="1:35" ht="22.35" customHeight="1">
      <c r="A195" s="109"/>
      <c r="B195" s="2668" t="s">
        <v>261</v>
      </c>
      <c r="C195" s="2831" t="s">
        <v>242</v>
      </c>
      <c r="D195" s="2831" t="s">
        <v>242</v>
      </c>
      <c r="E195" s="2831" t="s">
        <v>242</v>
      </c>
      <c r="F195" s="2831" t="s">
        <v>242</v>
      </c>
      <c r="G195" s="2831"/>
      <c r="H195" s="2831"/>
      <c r="I195" s="2939" t="s">
        <v>242</v>
      </c>
      <c r="J195" s="2939" t="s">
        <v>242</v>
      </c>
      <c r="K195" s="2939" t="s">
        <v>242</v>
      </c>
      <c r="L195" s="2939" t="s">
        <v>242</v>
      </c>
      <c r="M195" s="2939" t="s">
        <v>242</v>
      </c>
      <c r="N195" s="2939"/>
      <c r="O195" s="2939"/>
      <c r="P195" s="2939" t="s">
        <v>242</v>
      </c>
      <c r="Q195" s="2939" t="s">
        <v>242</v>
      </c>
      <c r="R195" s="2939" t="s">
        <v>242</v>
      </c>
      <c r="S195" s="2939" t="s">
        <v>242</v>
      </c>
      <c r="T195" s="2939" t="s">
        <v>242</v>
      </c>
      <c r="U195" s="2939"/>
      <c r="V195" s="2939"/>
      <c r="W195" s="2939" t="s">
        <v>242</v>
      </c>
      <c r="X195" s="2939" t="s">
        <v>242</v>
      </c>
      <c r="Y195" s="2939" t="s">
        <v>242</v>
      </c>
      <c r="Z195" s="2939" t="s">
        <v>242</v>
      </c>
      <c r="AA195" s="2939" t="s">
        <v>242</v>
      </c>
      <c r="AB195" s="2939"/>
      <c r="AC195" s="2939"/>
      <c r="AD195" s="2939" t="s">
        <v>242</v>
      </c>
      <c r="AE195" s="2939" t="s">
        <v>242</v>
      </c>
      <c r="AF195" s="2939" t="s">
        <v>242</v>
      </c>
      <c r="AG195" s="2947" t="s">
        <v>242</v>
      </c>
      <c r="AH195" s="182"/>
      <c r="AI195" s="182"/>
    </row>
    <row r="196" spans="1:35" ht="21" customHeight="1">
      <c r="A196" s="109"/>
      <c r="B196" s="2874"/>
      <c r="C196" s="2939" t="s">
        <v>122</v>
      </c>
      <c r="D196" s="2939" t="s">
        <v>122</v>
      </c>
      <c r="E196" s="2939" t="s">
        <v>122</v>
      </c>
      <c r="F196" s="2939" t="s">
        <v>122</v>
      </c>
      <c r="G196" s="2939"/>
      <c r="H196" s="2939"/>
      <c r="I196" s="2939" t="s">
        <v>122</v>
      </c>
      <c r="J196" s="2939" t="s">
        <v>122</v>
      </c>
      <c r="K196" s="2939" t="s">
        <v>122</v>
      </c>
      <c r="L196" s="2939" t="s">
        <v>122</v>
      </c>
      <c r="M196" s="2939" t="s">
        <v>122</v>
      </c>
      <c r="N196" s="2939"/>
      <c r="O196" s="2939"/>
      <c r="P196" s="2939" t="s">
        <v>122</v>
      </c>
      <c r="Q196" s="2939" t="s">
        <v>122</v>
      </c>
      <c r="R196" s="2939" t="s">
        <v>122</v>
      </c>
      <c r="S196" s="2939" t="s">
        <v>122</v>
      </c>
      <c r="T196" s="2939" t="s">
        <v>122</v>
      </c>
      <c r="U196" s="2826"/>
      <c r="V196" s="2826"/>
      <c r="W196" s="2939" t="s">
        <v>122</v>
      </c>
      <c r="X196" s="2939" t="s">
        <v>122</v>
      </c>
      <c r="Y196" s="2939" t="s">
        <v>122</v>
      </c>
      <c r="Z196" s="2939" t="s">
        <v>122</v>
      </c>
      <c r="AA196" s="2939" t="s">
        <v>122</v>
      </c>
      <c r="AB196" s="2939"/>
      <c r="AC196" s="2939"/>
      <c r="AD196" s="2939" t="s">
        <v>122</v>
      </c>
      <c r="AE196" s="2939" t="s">
        <v>122</v>
      </c>
      <c r="AF196" s="2939" t="s">
        <v>122</v>
      </c>
      <c r="AG196" s="2947" t="s">
        <v>122</v>
      </c>
      <c r="AH196" s="182"/>
      <c r="AI196" s="182"/>
    </row>
    <row r="197" spans="1:35" ht="21" customHeight="1">
      <c r="A197" s="109"/>
      <c r="B197" s="2874" t="s">
        <v>262</v>
      </c>
      <c r="C197" s="2939" t="s">
        <v>246</v>
      </c>
      <c r="D197" s="2939" t="s">
        <v>246</v>
      </c>
      <c r="E197" s="2939" t="s">
        <v>246</v>
      </c>
      <c r="F197" s="2939" t="s">
        <v>246</v>
      </c>
      <c r="G197" s="2939"/>
      <c r="H197" s="2939"/>
      <c r="I197" s="2939" t="s">
        <v>246</v>
      </c>
      <c r="J197" s="2939" t="s">
        <v>246</v>
      </c>
      <c r="K197" s="2939" t="s">
        <v>246</v>
      </c>
      <c r="L197" s="2939" t="s">
        <v>246</v>
      </c>
      <c r="M197" s="2939" t="s">
        <v>246</v>
      </c>
      <c r="N197" s="2939"/>
      <c r="O197" s="2939"/>
      <c r="P197" s="3032" t="s">
        <v>246</v>
      </c>
      <c r="Q197" s="3032" t="s">
        <v>406</v>
      </c>
      <c r="R197" s="2939" t="s">
        <v>246</v>
      </c>
      <c r="S197" s="2939" t="s">
        <v>246</v>
      </c>
      <c r="T197" s="2939" t="s">
        <v>246</v>
      </c>
      <c r="U197" s="2939"/>
      <c r="V197" s="2939"/>
      <c r="W197" s="3033" t="s">
        <v>246</v>
      </c>
      <c r="X197" s="3033" t="s">
        <v>246</v>
      </c>
      <c r="Y197" s="3033" t="s">
        <v>246</v>
      </c>
      <c r="Z197" s="3033" t="s">
        <v>246</v>
      </c>
      <c r="AA197" s="3033" t="s">
        <v>246</v>
      </c>
      <c r="AB197" s="2939"/>
      <c r="AC197" s="2939"/>
      <c r="AD197" s="2939" t="s">
        <v>246</v>
      </c>
      <c r="AE197" s="2939" t="s">
        <v>246</v>
      </c>
      <c r="AF197" s="2939" t="s">
        <v>246</v>
      </c>
      <c r="AG197" s="2947" t="s">
        <v>246</v>
      </c>
      <c r="AH197" s="107"/>
      <c r="AI197" s="107"/>
    </row>
    <row r="198" spans="1:35" ht="22.35" customHeight="1" thickBot="1">
      <c r="A198" s="148"/>
      <c r="B198" s="995" t="s">
        <v>263</v>
      </c>
      <c r="C198" s="2952" t="s">
        <v>127</v>
      </c>
      <c r="D198" s="2952" t="s">
        <v>127</v>
      </c>
      <c r="E198" s="2952" t="s">
        <v>127</v>
      </c>
      <c r="F198" s="2952" t="s">
        <v>127</v>
      </c>
      <c r="G198" s="2952"/>
      <c r="H198" s="2952"/>
      <c r="I198" s="2952" t="s">
        <v>127</v>
      </c>
      <c r="J198" s="2952" t="s">
        <v>127</v>
      </c>
      <c r="K198" s="2952" t="s">
        <v>127</v>
      </c>
      <c r="L198" s="2952" t="s">
        <v>127</v>
      </c>
      <c r="M198" s="2952" t="s">
        <v>127</v>
      </c>
      <c r="N198" s="2952"/>
      <c r="O198" s="2952"/>
      <c r="P198" s="1129" t="s">
        <v>127</v>
      </c>
      <c r="Q198" s="1129" t="s">
        <v>264</v>
      </c>
      <c r="R198" s="1126" t="s">
        <v>127</v>
      </c>
      <c r="S198" s="1126" t="s">
        <v>127</v>
      </c>
      <c r="T198" s="1126" t="s">
        <v>127</v>
      </c>
      <c r="U198" s="2952"/>
      <c r="V198" s="2952"/>
      <c r="W198" s="1072" t="s">
        <v>127</v>
      </c>
      <c r="X198" s="1072" t="s">
        <v>127</v>
      </c>
      <c r="Y198" s="1072" t="s">
        <v>127</v>
      </c>
      <c r="Z198" s="3036" t="s">
        <v>127</v>
      </c>
      <c r="AA198" s="1072" t="s">
        <v>127</v>
      </c>
      <c r="AB198" s="2952"/>
      <c r="AC198" s="2952"/>
      <c r="AD198" s="1072" t="s">
        <v>127</v>
      </c>
      <c r="AE198" s="1072" t="s">
        <v>127</v>
      </c>
      <c r="AF198" s="1072" t="s">
        <v>127</v>
      </c>
      <c r="AG198" s="1074" t="s">
        <v>127</v>
      </c>
      <c r="AH198" s="115"/>
    </row>
    <row r="199" spans="1:35" ht="22.35" customHeight="1">
      <c r="A199" s="148"/>
      <c r="B199" s="229"/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M199" s="228"/>
      <c r="N199" s="228"/>
      <c r="O199" s="228"/>
      <c r="P199" s="228"/>
      <c r="Q199" s="228"/>
      <c r="R199" s="228"/>
      <c r="S199" s="228"/>
      <c r="T199" s="228"/>
      <c r="U199" s="228"/>
      <c r="V199" s="228"/>
      <c r="W199" s="228"/>
      <c r="X199" s="228"/>
      <c r="Y199" s="228"/>
      <c r="Z199" s="228"/>
      <c r="AA199" s="228"/>
      <c r="AB199" s="228"/>
      <c r="AC199" s="228"/>
      <c r="AD199" s="228"/>
      <c r="AE199" s="228"/>
      <c r="AF199" s="228"/>
      <c r="AG199" s="228"/>
      <c r="AH199" s="115"/>
    </row>
    <row r="200" spans="1:35" ht="22.35" customHeight="1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</row>
    <row r="201" spans="1:35" ht="22.35" customHeight="1" thickBot="1">
      <c r="A201" s="1" t="s">
        <v>265</v>
      </c>
      <c r="B201" s="59"/>
    </row>
    <row r="202" spans="1:35" ht="22.35" customHeight="1">
      <c r="A202" s="1"/>
      <c r="B202" s="3037" t="s">
        <v>266</v>
      </c>
      <c r="C202" s="391" t="s">
        <v>94</v>
      </c>
      <c r="D202" s="391"/>
      <c r="E202" s="391"/>
      <c r="F202" s="391"/>
      <c r="G202" s="392" t="s">
        <v>95</v>
      </c>
      <c r="H202" s="391"/>
      <c r="I202" s="391"/>
      <c r="J202" s="391"/>
      <c r="K202" s="392" t="s">
        <v>96</v>
      </c>
      <c r="L202" s="391"/>
      <c r="M202" s="391"/>
      <c r="N202" s="391"/>
      <c r="O202" s="392" t="s">
        <v>97</v>
      </c>
      <c r="P202" s="391"/>
      <c r="Q202" s="391"/>
      <c r="R202" s="391"/>
      <c r="S202" s="392" t="s">
        <v>98</v>
      </c>
      <c r="T202" s="391"/>
      <c r="U202" s="391"/>
      <c r="V202" s="391"/>
      <c r="W202" s="393" t="s">
        <v>99</v>
      </c>
      <c r="X202" s="357"/>
      <c r="Y202" s="391"/>
      <c r="Z202" s="394"/>
      <c r="AA202" s="393" t="s">
        <v>100</v>
      </c>
      <c r="AB202" s="357"/>
      <c r="AC202" s="391"/>
      <c r="AD202" s="394"/>
      <c r="AE202" s="395" t="s">
        <v>101</v>
      </c>
      <c r="AF202" s="391"/>
      <c r="AG202" s="391"/>
      <c r="AH202" s="391"/>
      <c r="AI202" s="358"/>
    </row>
    <row r="203" spans="1:35" ht="22.35" customHeight="1">
      <c r="A203" s="1"/>
      <c r="B203" s="2684">
        <v>3701</v>
      </c>
      <c r="C203" s="110" t="s">
        <v>267</v>
      </c>
      <c r="D203" s="110"/>
      <c r="E203" s="110"/>
      <c r="F203" s="110"/>
      <c r="G203" s="742" t="s">
        <v>268</v>
      </c>
      <c r="H203" s="110"/>
      <c r="I203" s="110"/>
      <c r="J203" s="110"/>
      <c r="K203" s="742" t="s">
        <v>268</v>
      </c>
      <c r="L203" s="110"/>
      <c r="M203" s="110"/>
      <c r="N203" s="110"/>
      <c r="O203" s="742" t="s">
        <v>268</v>
      </c>
      <c r="P203" s="110"/>
      <c r="Q203" s="110"/>
      <c r="R203" s="110"/>
      <c r="S203" s="742" t="s">
        <v>269</v>
      </c>
      <c r="T203" s="110"/>
      <c r="U203" s="110"/>
      <c r="V203" s="110"/>
      <c r="W203" s="2685"/>
      <c r="X203" s="2686"/>
      <c r="Y203" s="2844"/>
      <c r="Z203" s="2687"/>
      <c r="AA203" s="2685"/>
      <c r="AB203" s="2686"/>
      <c r="AC203" s="2844"/>
      <c r="AD203" s="2687"/>
      <c r="AE203" s="2980"/>
      <c r="AF203" s="2844"/>
      <c r="AG203" s="2844"/>
      <c r="AH203" s="2844"/>
      <c r="AI203" s="2779"/>
    </row>
    <row r="204" spans="1:35" ht="22.35" customHeight="1">
      <c r="B204" s="3037">
        <v>3700</v>
      </c>
      <c r="C204" s="2844" t="s">
        <v>170</v>
      </c>
      <c r="D204" s="2844"/>
      <c r="E204" s="2844"/>
      <c r="F204" s="2844"/>
      <c r="G204" s="2688" t="s">
        <v>170</v>
      </c>
      <c r="H204" s="2844"/>
      <c r="I204" s="2844"/>
      <c r="J204" s="2844"/>
      <c r="K204" s="2688" t="s">
        <v>170</v>
      </c>
      <c r="L204" s="2844"/>
      <c r="M204" s="2844"/>
      <c r="N204" s="2844"/>
      <c r="O204" s="2688" t="s">
        <v>170</v>
      </c>
      <c r="P204" s="2844"/>
      <c r="Q204" s="2844"/>
      <c r="R204" s="2844"/>
      <c r="S204" s="2688" t="s">
        <v>171</v>
      </c>
      <c r="T204" s="2844"/>
      <c r="U204" s="2844"/>
      <c r="V204" s="2844"/>
      <c r="W204" s="2844"/>
      <c r="X204" s="2688"/>
      <c r="Y204" s="2844"/>
      <c r="Z204" s="2982"/>
      <c r="AA204" s="2980"/>
      <c r="AB204" s="2844"/>
      <c r="AC204" s="2844"/>
      <c r="AD204" s="2899"/>
      <c r="AE204" s="2689"/>
      <c r="AF204" s="2844"/>
      <c r="AG204" s="2844"/>
      <c r="AH204" s="2899"/>
      <c r="AI204" s="2779"/>
    </row>
    <row r="205" spans="1:35" ht="22.35" customHeight="1">
      <c r="A205" s="1"/>
      <c r="B205" s="3037">
        <v>8514</v>
      </c>
      <c r="C205" s="2844" t="s">
        <v>268</v>
      </c>
      <c r="D205" s="2844"/>
      <c r="E205" s="2844"/>
      <c r="F205" s="2844"/>
      <c r="G205" s="2688" t="s">
        <v>268</v>
      </c>
      <c r="H205" s="2844"/>
      <c r="I205" s="2844"/>
      <c r="J205" s="2844"/>
      <c r="K205" s="2688" t="s">
        <v>268</v>
      </c>
      <c r="L205" s="2844"/>
      <c r="M205" s="2844"/>
      <c r="N205" s="2844"/>
      <c r="O205" s="2688" t="s">
        <v>268</v>
      </c>
      <c r="P205" s="2844"/>
      <c r="Q205" s="2844"/>
      <c r="R205" s="2844"/>
      <c r="S205" s="2688" t="s">
        <v>270</v>
      </c>
      <c r="T205" s="2844"/>
      <c r="U205" s="2844"/>
      <c r="V205" s="2844"/>
      <c r="W205" s="2844"/>
      <c r="X205" s="2688"/>
      <c r="Y205" s="2844"/>
      <c r="Z205" s="2982"/>
      <c r="AA205" s="2898"/>
      <c r="AB205" s="2844"/>
      <c r="AC205" s="2844"/>
      <c r="AD205" s="2899"/>
      <c r="AE205" s="2898"/>
      <c r="AF205" s="2844"/>
      <c r="AG205" s="2844"/>
      <c r="AH205" s="2899"/>
      <c r="AI205" s="2779"/>
    </row>
    <row r="206" spans="1:35" ht="22.35" customHeight="1">
      <c r="A206" s="1"/>
      <c r="B206" s="3037">
        <v>8500</v>
      </c>
      <c r="C206" s="165" t="s">
        <v>271</v>
      </c>
      <c r="D206" s="165"/>
      <c r="E206" s="165"/>
      <c r="F206" s="165"/>
      <c r="G206" s="166" t="s">
        <v>271</v>
      </c>
      <c r="H206" s="165"/>
      <c r="I206" s="165"/>
      <c r="J206" s="165"/>
      <c r="K206" s="166" t="s">
        <v>271</v>
      </c>
      <c r="L206" s="165"/>
      <c r="M206" s="165"/>
      <c r="N206" s="165"/>
      <c r="O206" s="166" t="s">
        <v>271</v>
      </c>
      <c r="P206" s="165"/>
      <c r="Q206" s="165"/>
      <c r="R206" s="165"/>
      <c r="S206" s="166" t="s">
        <v>272</v>
      </c>
      <c r="T206" s="165"/>
      <c r="U206" s="165"/>
      <c r="V206" s="165"/>
      <c r="W206" s="165"/>
      <c r="X206" s="166"/>
      <c r="Y206" s="165"/>
      <c r="Z206" s="121"/>
      <c r="AA206" s="120"/>
      <c r="AB206" s="165"/>
      <c r="AC206" s="165"/>
      <c r="AD206" s="121"/>
      <c r="AE206" s="120"/>
      <c r="AF206" s="165"/>
      <c r="AG206" s="165"/>
      <c r="AH206" s="113"/>
      <c r="AI206" s="119"/>
    </row>
    <row r="207" spans="1:35" ht="22.35" customHeight="1">
      <c r="A207" s="1"/>
      <c r="B207" s="3037">
        <v>8514</v>
      </c>
      <c r="C207" s="168" t="s">
        <v>268</v>
      </c>
      <c r="D207" s="168"/>
      <c r="E207" s="168"/>
      <c r="F207" s="168"/>
      <c r="G207" s="169" t="s">
        <v>268</v>
      </c>
      <c r="H207" s="168"/>
      <c r="I207" s="168"/>
      <c r="J207" s="168"/>
      <c r="K207" s="169" t="s">
        <v>268</v>
      </c>
      <c r="L207" s="168"/>
      <c r="M207" s="168"/>
      <c r="N207" s="168"/>
      <c r="O207" s="169" t="s">
        <v>268</v>
      </c>
      <c r="P207" s="168"/>
      <c r="Q207" s="168"/>
      <c r="R207" s="168"/>
      <c r="S207" s="169" t="s">
        <v>270</v>
      </c>
      <c r="T207" s="168"/>
      <c r="U207" s="168"/>
      <c r="V207" s="168"/>
      <c r="W207" s="168"/>
      <c r="X207" s="149"/>
      <c r="Y207" s="165"/>
      <c r="Z207" s="167"/>
      <c r="AA207" s="156"/>
      <c r="AB207" s="117"/>
      <c r="AC207" s="165"/>
      <c r="AD207" s="165"/>
      <c r="AE207" s="118"/>
      <c r="AF207" s="165"/>
      <c r="AG207" s="165"/>
      <c r="AH207" s="165"/>
      <c r="AI207" s="119"/>
    </row>
    <row r="208" spans="1:35" ht="22.35" customHeight="1" thickBot="1">
      <c r="A208" s="1"/>
      <c r="B208" s="3038" t="s">
        <v>273</v>
      </c>
      <c r="C208" s="2851" t="s">
        <v>274</v>
      </c>
      <c r="D208" s="2851"/>
      <c r="E208" s="2851"/>
      <c r="F208" s="2851"/>
      <c r="G208" s="2691" t="s">
        <v>274</v>
      </c>
      <c r="H208" s="2851"/>
      <c r="I208" s="2851"/>
      <c r="J208" s="2851"/>
      <c r="K208" s="2692" t="s">
        <v>274</v>
      </c>
      <c r="L208" s="2851"/>
      <c r="M208" s="2851"/>
      <c r="N208" s="2851"/>
      <c r="O208" s="2691" t="s">
        <v>274</v>
      </c>
      <c r="P208" s="2851"/>
      <c r="Q208" s="2851"/>
      <c r="R208" s="2851"/>
      <c r="S208" s="2691" t="s">
        <v>275</v>
      </c>
      <c r="T208" s="2851"/>
      <c r="U208" s="2851"/>
      <c r="V208" s="2851"/>
      <c r="W208" s="2851"/>
      <c r="X208" s="2691"/>
      <c r="Y208" s="2851"/>
      <c r="Z208" s="3014"/>
      <c r="AA208" s="2993"/>
      <c r="AB208" s="2851"/>
      <c r="AC208" s="2851"/>
      <c r="AD208" s="3000"/>
      <c r="AE208" s="2693"/>
      <c r="AF208" s="2851"/>
      <c r="AG208" s="2851"/>
      <c r="AH208" s="3000"/>
      <c r="AI208" s="2854"/>
    </row>
    <row r="209" spans="1:35" ht="22.35" customHeight="1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>
      <c r="A210" s="1" t="s">
        <v>276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 thickBot="1">
      <c r="A211" s="2954"/>
      <c r="B211" s="2856" t="s">
        <v>29</v>
      </c>
      <c r="C211" s="2788">
        <v>1</v>
      </c>
      <c r="D211" s="2788">
        <v>2</v>
      </c>
      <c r="E211" s="2788">
        <v>3</v>
      </c>
      <c r="F211" s="2788">
        <v>4</v>
      </c>
      <c r="G211" s="2789">
        <v>5</v>
      </c>
      <c r="H211" s="2789">
        <v>6</v>
      </c>
      <c r="I211" s="2788">
        <v>7</v>
      </c>
      <c r="J211" s="2788">
        <v>8</v>
      </c>
      <c r="K211" s="2788">
        <v>9</v>
      </c>
      <c r="L211" s="2788">
        <v>10</v>
      </c>
      <c r="M211" s="2788">
        <v>11</v>
      </c>
      <c r="N211" s="2789">
        <v>12</v>
      </c>
      <c r="O211" s="2789">
        <v>13</v>
      </c>
      <c r="P211" s="2788">
        <v>14</v>
      </c>
      <c r="Q211" s="2788">
        <v>15</v>
      </c>
      <c r="R211" s="2788">
        <v>16</v>
      </c>
      <c r="S211" s="2788">
        <v>17</v>
      </c>
      <c r="T211" s="2788">
        <v>18</v>
      </c>
      <c r="U211" s="2789">
        <v>19</v>
      </c>
      <c r="V211" s="2789">
        <v>20</v>
      </c>
      <c r="W211" s="2788">
        <v>21</v>
      </c>
      <c r="X211" s="2788">
        <v>22</v>
      </c>
      <c r="Y211" s="2788">
        <v>23</v>
      </c>
      <c r="Z211" s="2788">
        <v>24</v>
      </c>
      <c r="AA211" s="2788">
        <v>25</v>
      </c>
      <c r="AB211" s="2789">
        <v>26</v>
      </c>
      <c r="AC211" s="2789">
        <v>27</v>
      </c>
      <c r="AD211" s="2788">
        <v>28</v>
      </c>
      <c r="AE211" s="2788">
        <v>29</v>
      </c>
      <c r="AF211" s="2788">
        <v>30</v>
      </c>
      <c r="AG211" s="2790">
        <v>31</v>
      </c>
      <c r="AH211" s="176"/>
      <c r="AI211" s="177"/>
    </row>
    <row r="212" spans="1:35" ht="22.35" customHeight="1">
      <c r="A212" s="249"/>
      <c r="B212" s="540" t="s">
        <v>277</v>
      </c>
      <c r="C212" s="2820" t="s">
        <v>32</v>
      </c>
      <c r="D212" s="2820" t="s">
        <v>32</v>
      </c>
      <c r="E212" s="2820" t="s">
        <v>32</v>
      </c>
      <c r="F212" s="2820" t="s">
        <v>32</v>
      </c>
      <c r="G212" s="2820"/>
      <c r="H212" s="2820"/>
      <c r="I212" s="2628" t="s">
        <v>32</v>
      </c>
      <c r="J212" s="2628" t="s">
        <v>32</v>
      </c>
      <c r="K212" s="2628" t="s">
        <v>32</v>
      </c>
      <c r="L212" s="2628" t="s">
        <v>32</v>
      </c>
      <c r="M212" s="2628" t="s">
        <v>32</v>
      </c>
      <c r="N212" s="2826"/>
      <c r="O212" s="2826"/>
      <c r="P212" s="2826" t="s">
        <v>32</v>
      </c>
      <c r="Q212" s="2825" t="s">
        <v>32</v>
      </c>
      <c r="R212" s="2826" t="s">
        <v>32</v>
      </c>
      <c r="S212" s="2826" t="s">
        <v>32</v>
      </c>
      <c r="T212" s="2820" t="s">
        <v>32</v>
      </c>
      <c r="U212" s="2826"/>
      <c r="V212" s="2826"/>
      <c r="W212" s="2826" t="s">
        <v>32</v>
      </c>
      <c r="X212" s="2820" t="s">
        <v>32</v>
      </c>
      <c r="Y212" s="2826" t="s">
        <v>32</v>
      </c>
      <c r="Z212" s="2826" t="s">
        <v>32</v>
      </c>
      <c r="AA212" s="2826" t="s">
        <v>32</v>
      </c>
      <c r="AB212" s="2820"/>
      <c r="AC212" s="2820"/>
      <c r="AD212" s="2820" t="s">
        <v>32</v>
      </c>
      <c r="AE212" s="2820" t="s">
        <v>32</v>
      </c>
      <c r="AF212" s="2820" t="s">
        <v>32</v>
      </c>
      <c r="AG212" s="234" t="s">
        <v>32</v>
      </c>
      <c r="AH212" s="176"/>
      <c r="AI212" s="177"/>
    </row>
    <row r="213" spans="1:35" ht="21" customHeight="1">
      <c r="A213" s="2694"/>
      <c r="B213" s="2695" t="s">
        <v>279</v>
      </c>
      <c r="C213" s="2820" t="s">
        <v>32</v>
      </c>
      <c r="D213" s="2820" t="s">
        <v>32</v>
      </c>
      <c r="E213" s="2820" t="s">
        <v>32</v>
      </c>
      <c r="F213" s="2820" t="s">
        <v>32</v>
      </c>
      <c r="G213" s="2820"/>
      <c r="H213" s="2820"/>
      <c r="I213" s="2820" t="s">
        <v>32</v>
      </c>
      <c r="J213" s="2820" t="s">
        <v>32</v>
      </c>
      <c r="K213" s="2820" t="s">
        <v>32</v>
      </c>
      <c r="L213" s="2820" t="s">
        <v>32</v>
      </c>
      <c r="M213" s="2820" t="s">
        <v>32</v>
      </c>
      <c r="N213" s="2826"/>
      <c r="O213" s="2826"/>
      <c r="P213" s="2826" t="s">
        <v>32</v>
      </c>
      <c r="Q213" s="2825" t="s">
        <v>32</v>
      </c>
      <c r="R213" s="2826" t="s">
        <v>32</v>
      </c>
      <c r="S213" s="2820" t="s">
        <v>32</v>
      </c>
      <c r="T213" s="2820" t="s">
        <v>32</v>
      </c>
      <c r="U213" s="2826"/>
      <c r="V213" s="2826"/>
      <c r="W213" s="2826" t="s">
        <v>32</v>
      </c>
      <c r="X213" s="2820" t="s">
        <v>32</v>
      </c>
      <c r="Y213" s="2826" t="s">
        <v>32</v>
      </c>
      <c r="Z213" s="2826" t="s">
        <v>32</v>
      </c>
      <c r="AA213" s="2826" t="s">
        <v>32</v>
      </c>
      <c r="AB213" s="2820"/>
      <c r="AC213" s="2820"/>
      <c r="AD213" s="2825" t="s">
        <v>32</v>
      </c>
      <c r="AE213" s="2825" t="s">
        <v>32</v>
      </c>
      <c r="AF213" s="2825" t="s">
        <v>32</v>
      </c>
      <c r="AG213" s="2697" t="s">
        <v>32</v>
      </c>
      <c r="AH213" s="176"/>
      <c r="AI213" s="177"/>
    </row>
    <row r="214" spans="1:35" ht="21" customHeight="1">
      <c r="A214" s="2698">
        <v>8514</v>
      </c>
      <c r="B214" s="2699" t="s">
        <v>280</v>
      </c>
      <c r="C214" s="2820" t="s">
        <v>32</v>
      </c>
      <c r="D214" s="2820" t="s">
        <v>32</v>
      </c>
      <c r="E214" s="2820" t="s">
        <v>32</v>
      </c>
      <c r="F214" s="2820" t="s">
        <v>32</v>
      </c>
      <c r="G214" s="2820"/>
      <c r="H214" s="2820"/>
      <c r="I214" s="2820" t="s">
        <v>32</v>
      </c>
      <c r="J214" s="2820" t="s">
        <v>32</v>
      </c>
      <c r="K214" s="2820" t="s">
        <v>32</v>
      </c>
      <c r="L214" s="2820" t="s">
        <v>32</v>
      </c>
      <c r="M214" s="2820" t="s">
        <v>32</v>
      </c>
      <c r="N214" s="2826"/>
      <c r="O214" s="2826"/>
      <c r="P214" s="2826" t="s">
        <v>32</v>
      </c>
      <c r="Q214" s="2825" t="s">
        <v>32</v>
      </c>
      <c r="R214" s="2826" t="s">
        <v>32</v>
      </c>
      <c r="S214" s="2820" t="s">
        <v>32</v>
      </c>
      <c r="T214" s="2820" t="s">
        <v>32</v>
      </c>
      <c r="U214" s="2826"/>
      <c r="V214" s="2826"/>
      <c r="W214" s="2696" t="s">
        <v>32</v>
      </c>
      <c r="X214" s="2826" t="s">
        <v>32</v>
      </c>
      <c r="Y214" s="2826" t="s">
        <v>32</v>
      </c>
      <c r="Z214" s="2826" t="s">
        <v>32</v>
      </c>
      <c r="AA214" s="2826" t="s">
        <v>32</v>
      </c>
      <c r="AB214" s="2820"/>
      <c r="AC214" s="2820"/>
      <c r="AD214" s="2825" t="s">
        <v>32</v>
      </c>
      <c r="AE214" s="2825" t="s">
        <v>32</v>
      </c>
      <c r="AF214" s="2825" t="s">
        <v>32</v>
      </c>
      <c r="AG214" s="2697" t="s">
        <v>32</v>
      </c>
      <c r="AH214" s="181"/>
      <c r="AI214" s="182"/>
    </row>
    <row r="215" spans="1:35" ht="21" customHeight="1">
      <c r="A215" s="2698">
        <v>3701</v>
      </c>
      <c r="B215" s="2700" t="s">
        <v>281</v>
      </c>
      <c r="C215" s="2820" t="s">
        <v>32</v>
      </c>
      <c r="D215" s="2820" t="s">
        <v>32</v>
      </c>
      <c r="E215" s="2820" t="s">
        <v>32</v>
      </c>
      <c r="F215" s="2820" t="s">
        <v>32</v>
      </c>
      <c r="G215" s="2820"/>
      <c r="H215" s="2820"/>
      <c r="I215" s="2820" t="s">
        <v>32</v>
      </c>
      <c r="J215" s="2820" t="s">
        <v>32</v>
      </c>
      <c r="K215" s="2820" t="s">
        <v>32</v>
      </c>
      <c r="L215" s="2820" t="s">
        <v>32</v>
      </c>
      <c r="M215" s="2820" t="s">
        <v>32</v>
      </c>
      <c r="N215" s="2826"/>
      <c r="O215" s="2826"/>
      <c r="P215" s="2826" t="s">
        <v>32</v>
      </c>
      <c r="Q215" s="2825" t="s">
        <v>32</v>
      </c>
      <c r="R215" s="2826" t="s">
        <v>32</v>
      </c>
      <c r="S215" s="2820" t="s">
        <v>32</v>
      </c>
      <c r="T215" s="2820" t="s">
        <v>32</v>
      </c>
      <c r="U215" s="2826"/>
      <c r="V215" s="2826"/>
      <c r="W215" s="2826" t="s">
        <v>32</v>
      </c>
      <c r="X215" s="2820" t="s">
        <v>32</v>
      </c>
      <c r="Y215" s="2826" t="s">
        <v>32</v>
      </c>
      <c r="Z215" s="2826" t="s">
        <v>32</v>
      </c>
      <c r="AA215" s="2826" t="s">
        <v>32</v>
      </c>
      <c r="AB215" s="2820"/>
      <c r="AC215" s="2820"/>
      <c r="AD215" s="2826" t="s">
        <v>32</v>
      </c>
      <c r="AE215" s="2826" t="s">
        <v>32</v>
      </c>
      <c r="AF215" s="2826" t="s">
        <v>32</v>
      </c>
      <c r="AG215" s="2697" t="s">
        <v>32</v>
      </c>
      <c r="AH215" s="181"/>
      <c r="AI215" s="182"/>
    </row>
    <row r="216" spans="1:35" ht="21" customHeight="1">
      <c r="A216" s="2698">
        <v>3701</v>
      </c>
      <c r="B216" s="2824" t="s">
        <v>282</v>
      </c>
      <c r="C216" s="2820" t="s">
        <v>32</v>
      </c>
      <c r="D216" s="2820" t="s">
        <v>32</v>
      </c>
      <c r="E216" s="2820" t="s">
        <v>32</v>
      </c>
      <c r="F216" s="2820" t="s">
        <v>32</v>
      </c>
      <c r="G216" s="2820"/>
      <c r="H216" s="2820"/>
      <c r="I216" s="2820" t="s">
        <v>32</v>
      </c>
      <c r="J216" s="2820" t="s">
        <v>32</v>
      </c>
      <c r="K216" s="2820" t="s">
        <v>32</v>
      </c>
      <c r="L216" s="2820" t="s">
        <v>32</v>
      </c>
      <c r="M216" s="2820" t="s">
        <v>32</v>
      </c>
      <c r="N216" s="2826"/>
      <c r="O216" s="2826"/>
      <c r="P216" s="2826" t="s">
        <v>32</v>
      </c>
      <c r="Q216" s="2825" t="s">
        <v>32</v>
      </c>
      <c r="R216" s="2826" t="s">
        <v>32</v>
      </c>
      <c r="S216" s="2820" t="s">
        <v>32</v>
      </c>
      <c r="T216" s="2820" t="s">
        <v>32</v>
      </c>
      <c r="U216" s="2826"/>
      <c r="V216" s="2826"/>
      <c r="W216" s="2826" t="s">
        <v>32</v>
      </c>
      <c r="X216" s="2826" t="s">
        <v>32</v>
      </c>
      <c r="Y216" s="2826" t="s">
        <v>32</v>
      </c>
      <c r="Z216" s="2826" t="s">
        <v>32</v>
      </c>
      <c r="AA216" s="2817" t="s">
        <v>32</v>
      </c>
      <c r="AB216" s="2817"/>
      <c r="AC216" s="2817"/>
      <c r="AD216" s="2817" t="s">
        <v>32</v>
      </c>
      <c r="AE216" s="3039" t="s">
        <v>32</v>
      </c>
      <c r="AF216" s="2701" t="s">
        <v>32</v>
      </c>
      <c r="AG216" s="3040" t="s">
        <v>32</v>
      </c>
      <c r="AH216" s="181"/>
      <c r="AI216" s="182"/>
    </row>
    <row r="217" spans="1:35" ht="22.35" customHeight="1">
      <c r="A217" s="2698">
        <v>3701</v>
      </c>
      <c r="B217" s="2824" t="s">
        <v>407</v>
      </c>
      <c r="C217" s="2820" t="s">
        <v>32</v>
      </c>
      <c r="D217" s="2820" t="s">
        <v>32</v>
      </c>
      <c r="E217" s="2820" t="s">
        <v>32</v>
      </c>
      <c r="F217" s="2820" t="s">
        <v>32</v>
      </c>
      <c r="G217" s="2820"/>
      <c r="H217" s="2820"/>
      <c r="I217" s="2820" t="s">
        <v>32</v>
      </c>
      <c r="J217" s="2820" t="s">
        <v>32</v>
      </c>
      <c r="K217" s="2820" t="s">
        <v>32</v>
      </c>
      <c r="L217" s="2820" t="s">
        <v>32</v>
      </c>
      <c r="M217" s="2820" t="s">
        <v>32</v>
      </c>
      <c r="N217" s="2826"/>
      <c r="O217" s="2826"/>
      <c r="P217" s="2826" t="s">
        <v>32</v>
      </c>
      <c r="Q217" s="2825" t="s">
        <v>32</v>
      </c>
      <c r="R217" s="2826" t="s">
        <v>32</v>
      </c>
      <c r="S217" s="2820" t="s">
        <v>32</v>
      </c>
      <c r="T217" s="2820" t="s">
        <v>32</v>
      </c>
      <c r="U217" s="2826"/>
      <c r="V217" s="2826"/>
      <c r="W217" s="2826" t="s">
        <v>32</v>
      </c>
      <c r="X217" s="2820" t="s">
        <v>32</v>
      </c>
      <c r="Y217" s="2830" t="s">
        <v>32</v>
      </c>
      <c r="Z217" s="2830" t="s">
        <v>32</v>
      </c>
      <c r="AA217" s="2817" t="s">
        <v>32</v>
      </c>
      <c r="AB217" s="2817" t="s">
        <v>0</v>
      </c>
      <c r="AC217" s="2817" t="s">
        <v>0</v>
      </c>
      <c r="AD217" s="2830" t="s">
        <v>32</v>
      </c>
      <c r="AE217" s="2701" t="s">
        <v>32</v>
      </c>
      <c r="AF217" s="2701" t="s">
        <v>32</v>
      </c>
      <c r="AG217" s="3040" t="s">
        <v>32</v>
      </c>
      <c r="AH217" s="181"/>
      <c r="AI217" s="182"/>
    </row>
    <row r="218" spans="1:35" ht="22.35" customHeight="1">
      <c r="A218" s="2698">
        <v>3701</v>
      </c>
      <c r="B218" s="2824" t="s">
        <v>283</v>
      </c>
      <c r="C218" s="2820" t="s">
        <v>32</v>
      </c>
      <c r="D218" s="2820" t="s">
        <v>32</v>
      </c>
      <c r="E218" s="2820" t="s">
        <v>32</v>
      </c>
      <c r="F218" s="2820" t="s">
        <v>32</v>
      </c>
      <c r="G218" s="2820"/>
      <c r="H218" s="2820"/>
      <c r="I218" s="2820" t="s">
        <v>32</v>
      </c>
      <c r="J218" s="2820" t="s">
        <v>32</v>
      </c>
      <c r="K218" s="2820" t="s">
        <v>32</v>
      </c>
      <c r="L218" s="2820" t="s">
        <v>32</v>
      </c>
      <c r="M218" s="2820" t="s">
        <v>32</v>
      </c>
      <c r="N218" s="2826"/>
      <c r="O218" s="2826"/>
      <c r="P218" s="2826" t="s">
        <v>32</v>
      </c>
      <c r="Q218" s="2825" t="s">
        <v>32</v>
      </c>
      <c r="R218" s="2826" t="s">
        <v>32</v>
      </c>
      <c r="S218" s="2820" t="s">
        <v>32</v>
      </c>
      <c r="T218" s="2820" t="s">
        <v>32</v>
      </c>
      <c r="U218" s="2826"/>
      <c r="V218" s="2826"/>
      <c r="W218" s="2826" t="s">
        <v>32</v>
      </c>
      <c r="X218" s="2820" t="s">
        <v>32</v>
      </c>
      <c r="Y218" s="2826" t="s">
        <v>32</v>
      </c>
      <c r="Z218" s="2826" t="s">
        <v>32</v>
      </c>
      <c r="AA218" s="2826" t="s">
        <v>32</v>
      </c>
      <c r="AB218" s="2820"/>
      <c r="AC218" s="2820"/>
      <c r="AD218" s="2701" t="s">
        <v>32</v>
      </c>
      <c r="AE218" s="2825" t="s">
        <v>32</v>
      </c>
      <c r="AF218" s="2825" t="s">
        <v>32</v>
      </c>
      <c r="AG218" s="3041" t="s">
        <v>32</v>
      </c>
      <c r="AH218" s="181"/>
      <c r="AI218" s="182"/>
    </row>
    <row r="219" spans="1:35" ht="22.35" customHeight="1">
      <c r="A219" s="2698">
        <v>3701</v>
      </c>
      <c r="B219" s="2700" t="s">
        <v>284</v>
      </c>
      <c r="C219" s="2820"/>
      <c r="D219" s="2820"/>
      <c r="E219" s="2820"/>
      <c r="F219" s="2820"/>
      <c r="G219" s="2820"/>
      <c r="H219" s="2820"/>
      <c r="I219" s="2820"/>
      <c r="J219" s="2820"/>
      <c r="K219" s="2820"/>
      <c r="L219" s="2820"/>
      <c r="M219" s="2820"/>
      <c r="N219" s="2826"/>
      <c r="O219" s="2826"/>
      <c r="P219" s="2826"/>
      <c r="Q219" s="2825"/>
      <c r="R219" s="2826"/>
      <c r="S219" s="2820"/>
      <c r="T219" s="2820"/>
      <c r="U219" s="2826"/>
      <c r="V219" s="2826"/>
      <c r="W219" s="2826"/>
      <c r="X219" s="2820"/>
      <c r="Y219" s="2826"/>
      <c r="Z219" s="2826"/>
      <c r="AA219" s="2826"/>
      <c r="AB219" s="2820"/>
      <c r="AC219" s="2820"/>
      <c r="AD219" s="2826"/>
      <c r="AE219" s="2826"/>
      <c r="AF219" s="2826"/>
      <c r="AG219" s="2697"/>
      <c r="AH219" s="181"/>
      <c r="AI219" s="182"/>
    </row>
    <row r="220" spans="1:35" ht="22.35" customHeight="1" thickBot="1">
      <c r="A220" s="2698">
        <v>3701</v>
      </c>
      <c r="B220" s="2824" t="s">
        <v>285</v>
      </c>
      <c r="C220" s="2628" t="s">
        <v>32</v>
      </c>
      <c r="D220" s="2820" t="s">
        <v>32</v>
      </c>
      <c r="E220" s="2820" t="s">
        <v>32</v>
      </c>
      <c r="F220" s="2820" t="s">
        <v>32</v>
      </c>
      <c r="G220" s="2820"/>
      <c r="H220" s="2820"/>
      <c r="I220" s="2820" t="s">
        <v>32</v>
      </c>
      <c r="J220" s="2820" t="s">
        <v>32</v>
      </c>
      <c r="K220" s="2820" t="s">
        <v>32</v>
      </c>
      <c r="L220" s="2701" t="s">
        <v>32</v>
      </c>
      <c r="M220" s="2820" t="s">
        <v>32</v>
      </c>
      <c r="N220" s="2826"/>
      <c r="O220" s="2826"/>
      <c r="P220" s="2696" t="s">
        <v>32</v>
      </c>
      <c r="Q220" s="2696" t="s">
        <v>32</v>
      </c>
      <c r="R220" s="2696" t="s">
        <v>32</v>
      </c>
      <c r="S220" s="2696" t="s">
        <v>32</v>
      </c>
      <c r="T220" s="2696" t="s">
        <v>32</v>
      </c>
      <c r="U220" s="2696"/>
      <c r="V220" s="2696"/>
      <c r="W220" s="2696" t="s">
        <v>32</v>
      </c>
      <c r="X220" s="2696" t="s">
        <v>32</v>
      </c>
      <c r="Y220" s="2696" t="s">
        <v>32</v>
      </c>
      <c r="Z220" s="2696" t="s">
        <v>32</v>
      </c>
      <c r="AA220" s="2696" t="s">
        <v>32</v>
      </c>
      <c r="AB220" s="2820"/>
      <c r="AC220" s="2820"/>
      <c r="AD220" s="2826" t="s">
        <v>32</v>
      </c>
      <c r="AE220" s="2826" t="s">
        <v>32</v>
      </c>
      <c r="AF220" s="2826" t="s">
        <v>32</v>
      </c>
      <c r="AG220" s="2697" t="s">
        <v>32</v>
      </c>
      <c r="AH220" s="181"/>
      <c r="AI220" s="182"/>
    </row>
    <row r="221" spans="1:35" ht="22.35" customHeight="1">
      <c r="A221" s="2698">
        <v>3701</v>
      </c>
      <c r="B221" s="2824" t="s">
        <v>286</v>
      </c>
      <c r="C221" s="2820" t="s">
        <v>32</v>
      </c>
      <c r="D221" s="2820" t="s">
        <v>32</v>
      </c>
      <c r="E221" s="2820" t="s">
        <v>32</v>
      </c>
      <c r="F221" s="2820" t="s">
        <v>32</v>
      </c>
      <c r="G221" s="2820"/>
      <c r="H221" s="2820"/>
      <c r="I221" s="2820" t="s">
        <v>32</v>
      </c>
      <c r="J221" s="2820" t="s">
        <v>32</v>
      </c>
      <c r="K221" s="2820" t="s">
        <v>32</v>
      </c>
      <c r="L221" s="2820" t="s">
        <v>32</v>
      </c>
      <c r="M221" s="2820" t="s">
        <v>32</v>
      </c>
      <c r="N221" s="2826"/>
      <c r="O221" s="2826"/>
      <c r="P221" s="3042" t="s">
        <v>32</v>
      </c>
      <c r="Q221" s="3042" t="s">
        <v>32</v>
      </c>
      <c r="R221" s="3042" t="s">
        <v>32</v>
      </c>
      <c r="S221" s="3042" t="s">
        <v>32</v>
      </c>
      <c r="T221" s="3042" t="s">
        <v>32</v>
      </c>
      <c r="U221" s="3042"/>
      <c r="V221" s="3042"/>
      <c r="W221" s="3042" t="s">
        <v>32</v>
      </c>
      <c r="X221" s="3042" t="s">
        <v>32</v>
      </c>
      <c r="Y221" s="3042" t="s">
        <v>32</v>
      </c>
      <c r="Z221" s="3042" t="s">
        <v>32</v>
      </c>
      <c r="AA221" s="3042" t="s">
        <v>32</v>
      </c>
      <c r="AB221" s="2820"/>
      <c r="AC221" s="2820"/>
      <c r="AD221" s="2703" t="s">
        <v>32</v>
      </c>
      <c r="AE221" s="2820" t="s">
        <v>32</v>
      </c>
      <c r="AF221" s="2820" t="s">
        <v>32</v>
      </c>
      <c r="AG221" s="234" t="s">
        <v>32</v>
      </c>
      <c r="AH221" s="181"/>
      <c r="AI221" s="182"/>
    </row>
    <row r="222" spans="1:35" ht="22.35" customHeight="1">
      <c r="A222" s="2702">
        <v>3701</v>
      </c>
      <c r="B222" s="2824" t="s">
        <v>287</v>
      </c>
      <c r="C222" s="2820" t="s">
        <v>32</v>
      </c>
      <c r="D222" s="2820" t="s">
        <v>32</v>
      </c>
      <c r="E222" s="2820" t="s">
        <v>32</v>
      </c>
      <c r="F222" s="2701" t="s">
        <v>32</v>
      </c>
      <c r="G222" s="2820"/>
      <c r="H222" s="2820"/>
      <c r="I222" s="2820" t="s">
        <v>32</v>
      </c>
      <c r="J222" s="2820" t="s">
        <v>32</v>
      </c>
      <c r="K222" s="2820" t="s">
        <v>32</v>
      </c>
      <c r="L222" s="2820" t="s">
        <v>32</v>
      </c>
      <c r="M222" s="2820" t="s">
        <v>32</v>
      </c>
      <c r="N222" s="2826"/>
      <c r="O222" s="2826"/>
      <c r="P222" s="2826" t="s">
        <v>32</v>
      </c>
      <c r="Q222" s="2825" t="s">
        <v>32</v>
      </c>
      <c r="R222" s="2826" t="s">
        <v>32</v>
      </c>
      <c r="S222" s="2820" t="s">
        <v>32</v>
      </c>
      <c r="T222" s="2820" t="s">
        <v>32</v>
      </c>
      <c r="U222" s="2826"/>
      <c r="V222" s="2826"/>
      <c r="W222" s="2826" t="s">
        <v>32</v>
      </c>
      <c r="X222" s="2820" t="s">
        <v>32</v>
      </c>
      <c r="Y222" s="2826" t="s">
        <v>32</v>
      </c>
      <c r="Z222" s="2826" t="s">
        <v>32</v>
      </c>
      <c r="AA222" s="2826" t="s">
        <v>32</v>
      </c>
      <c r="AB222" s="2820"/>
      <c r="AC222" s="2820"/>
      <c r="AD222" s="2826" t="s">
        <v>32</v>
      </c>
      <c r="AE222" s="2826" t="s">
        <v>32</v>
      </c>
      <c r="AF222" s="2826" t="s">
        <v>32</v>
      </c>
      <c r="AG222" s="2697" t="s">
        <v>32</v>
      </c>
      <c r="AH222" s="181"/>
      <c r="AI222" s="182"/>
    </row>
    <row r="223" spans="1:35" ht="22.35" customHeight="1">
      <c r="A223" s="2698" t="s">
        <v>0</v>
      </c>
      <c r="B223" s="2824" t="s">
        <v>288</v>
      </c>
      <c r="C223" s="2820" t="s">
        <v>32</v>
      </c>
      <c r="D223" s="2820" t="s">
        <v>32</v>
      </c>
      <c r="E223" s="2820" t="s">
        <v>32</v>
      </c>
      <c r="F223" s="2820" t="s">
        <v>32</v>
      </c>
      <c r="G223" s="2820"/>
      <c r="H223" s="2820"/>
      <c r="I223" s="2820" t="s">
        <v>32</v>
      </c>
      <c r="J223" s="2820" t="s">
        <v>32</v>
      </c>
      <c r="K223" s="2820" t="s">
        <v>32</v>
      </c>
      <c r="L223" s="2820" t="s">
        <v>32</v>
      </c>
      <c r="M223" s="2820" t="s">
        <v>32</v>
      </c>
      <c r="N223" s="2826"/>
      <c r="O223" s="2826"/>
      <c r="P223" s="2826" t="s">
        <v>32</v>
      </c>
      <c r="Q223" s="2825" t="s">
        <v>32</v>
      </c>
      <c r="R223" s="2826" t="s">
        <v>32</v>
      </c>
      <c r="S223" s="2820" t="s">
        <v>32</v>
      </c>
      <c r="T223" s="2820" t="s">
        <v>32</v>
      </c>
      <c r="U223" s="2826"/>
      <c r="V223" s="2826"/>
      <c r="W223" s="2826" t="s">
        <v>32</v>
      </c>
      <c r="X223" s="2820" t="s">
        <v>32</v>
      </c>
      <c r="Y223" s="2629" t="s">
        <v>32</v>
      </c>
      <c r="Z223" s="2629" t="s">
        <v>32</v>
      </c>
      <c r="AA223" s="2629" t="s">
        <v>32</v>
      </c>
      <c r="AB223" s="2629"/>
      <c r="AC223" s="2629"/>
      <c r="AD223" s="2629" t="s">
        <v>32</v>
      </c>
      <c r="AE223" s="2629" t="s">
        <v>32</v>
      </c>
      <c r="AF223" s="2629" t="s">
        <v>32</v>
      </c>
      <c r="AG223" s="3043" t="s">
        <v>32</v>
      </c>
      <c r="AH223" s="181"/>
      <c r="AI223" s="182"/>
    </row>
    <row r="224" spans="1:35" ht="22.35" customHeight="1" thickBot="1">
      <c r="A224" s="2698">
        <v>3701</v>
      </c>
      <c r="B224" s="2824" t="s">
        <v>289</v>
      </c>
      <c r="C224" s="2820" t="s">
        <v>32</v>
      </c>
      <c r="D224" s="2820" t="s">
        <v>32</v>
      </c>
      <c r="E224" s="2820" t="s">
        <v>32</v>
      </c>
      <c r="F224" s="2820" t="s">
        <v>32</v>
      </c>
      <c r="G224" s="2820"/>
      <c r="H224" s="2820"/>
      <c r="I224" s="2820" t="s">
        <v>32</v>
      </c>
      <c r="J224" s="2820" t="s">
        <v>32</v>
      </c>
      <c r="K224" s="2820" t="s">
        <v>32</v>
      </c>
      <c r="L224" s="2820" t="s">
        <v>32</v>
      </c>
      <c r="M224" s="2820" t="s">
        <v>32</v>
      </c>
      <c r="N224" s="2826"/>
      <c r="O224" s="2826"/>
      <c r="P224" s="2826" t="s">
        <v>32</v>
      </c>
      <c r="Q224" s="2825" t="s">
        <v>32</v>
      </c>
      <c r="R224" s="2826" t="s">
        <v>32</v>
      </c>
      <c r="S224" s="2820" t="s">
        <v>32</v>
      </c>
      <c r="T224" s="2820" t="s">
        <v>32</v>
      </c>
      <c r="U224" s="2826"/>
      <c r="V224" s="2826"/>
      <c r="W224" s="2826" t="s">
        <v>32</v>
      </c>
      <c r="X224" s="2820" t="s">
        <v>32</v>
      </c>
      <c r="Y224" s="2826" t="s">
        <v>32</v>
      </c>
      <c r="Z224" s="2826" t="s">
        <v>32</v>
      </c>
      <c r="AA224" s="2826" t="s">
        <v>32</v>
      </c>
      <c r="AB224" s="2820"/>
      <c r="AC224" s="2820"/>
      <c r="AD224" s="2826" t="s">
        <v>32</v>
      </c>
      <c r="AE224" s="2826" t="s">
        <v>0</v>
      </c>
      <c r="AF224" s="2826" t="s">
        <v>32</v>
      </c>
      <c r="AG224" s="2705" t="s">
        <v>32</v>
      </c>
      <c r="AH224" s="181"/>
      <c r="AI224" s="182"/>
    </row>
    <row r="225" spans="1:35" ht="22.35" customHeight="1">
      <c r="A225" s="2698"/>
      <c r="B225" s="2824"/>
      <c r="C225" s="2820" t="s">
        <v>32</v>
      </c>
      <c r="D225" s="2820" t="s">
        <v>32</v>
      </c>
      <c r="E225" s="2820" t="s">
        <v>32</v>
      </c>
      <c r="F225" s="2820" t="s">
        <v>32</v>
      </c>
      <c r="G225" s="2820"/>
      <c r="H225" s="2820"/>
      <c r="I225" s="2820" t="s">
        <v>32</v>
      </c>
      <c r="J225" s="2820" t="s">
        <v>32</v>
      </c>
      <c r="K225" s="2820" t="s">
        <v>32</v>
      </c>
      <c r="L225" s="2820" t="s">
        <v>32</v>
      </c>
      <c r="M225" s="2820" t="s">
        <v>32</v>
      </c>
      <c r="N225" s="2826"/>
      <c r="O225" s="2826"/>
      <c r="P225" s="2826" t="s">
        <v>32</v>
      </c>
      <c r="Q225" s="2825" t="s">
        <v>32</v>
      </c>
      <c r="R225" s="2826" t="s">
        <v>32</v>
      </c>
      <c r="S225" s="2826" t="s">
        <v>32</v>
      </c>
      <c r="T225" s="2820" t="s">
        <v>32</v>
      </c>
      <c r="U225" s="2826"/>
      <c r="V225" s="2826"/>
      <c r="W225" s="2826" t="s">
        <v>32</v>
      </c>
      <c r="X225" s="2820" t="s">
        <v>32</v>
      </c>
      <c r="Y225" s="2826" t="s">
        <v>32</v>
      </c>
      <c r="Z225" s="2826" t="s">
        <v>32</v>
      </c>
      <c r="AA225" s="2826" t="s">
        <v>32</v>
      </c>
      <c r="AB225" s="2820"/>
      <c r="AC225" s="2820"/>
      <c r="AD225" s="2820" t="s">
        <v>32</v>
      </c>
      <c r="AE225" s="2820" t="s">
        <v>32</v>
      </c>
      <c r="AF225" s="2820" t="s">
        <v>32</v>
      </c>
      <c r="AG225" s="234" t="s">
        <v>32</v>
      </c>
      <c r="AH225" s="181"/>
      <c r="AI225" s="182"/>
    </row>
    <row r="226" spans="1:35" ht="22.35" customHeight="1">
      <c r="A226" s="2698"/>
      <c r="B226" s="2824" t="s">
        <v>291</v>
      </c>
      <c r="C226" s="2820" t="s">
        <v>32</v>
      </c>
      <c r="D226" s="2820" t="s">
        <v>32</v>
      </c>
      <c r="E226" s="2820" t="s">
        <v>32</v>
      </c>
      <c r="F226" s="2629" t="s">
        <v>278</v>
      </c>
      <c r="G226" s="2696"/>
      <c r="H226" s="2696"/>
      <c r="I226" s="2696" t="s">
        <v>32</v>
      </c>
      <c r="J226" s="2696" t="s">
        <v>32</v>
      </c>
      <c r="K226" s="2820" t="s">
        <v>32</v>
      </c>
      <c r="L226" s="2820" t="s">
        <v>32</v>
      </c>
      <c r="M226" s="2820" t="s">
        <v>32</v>
      </c>
      <c r="N226" s="2826"/>
      <c r="O226" s="2826"/>
      <c r="P226" s="2826" t="s">
        <v>32</v>
      </c>
      <c r="Q226" s="2825" t="s">
        <v>32</v>
      </c>
      <c r="R226" s="2826" t="s">
        <v>32</v>
      </c>
      <c r="S226" s="2820" t="s">
        <v>32</v>
      </c>
      <c r="T226" s="2820" t="s">
        <v>32</v>
      </c>
      <c r="U226" s="2826"/>
      <c r="V226" s="2826"/>
      <c r="W226" s="2826" t="s">
        <v>32</v>
      </c>
      <c r="X226" s="2820" t="s">
        <v>32</v>
      </c>
      <c r="Y226" s="2826" t="s">
        <v>32</v>
      </c>
      <c r="Z226" s="2826" t="s">
        <v>32</v>
      </c>
      <c r="AA226" s="2826" t="s">
        <v>32</v>
      </c>
      <c r="AB226" s="2820"/>
      <c r="AC226" s="2820"/>
      <c r="AD226" s="2820" t="s">
        <v>32</v>
      </c>
      <c r="AE226" s="2830" t="s">
        <v>32</v>
      </c>
      <c r="AF226" s="2820" t="s">
        <v>32</v>
      </c>
      <c r="AG226" s="3041" t="s">
        <v>32</v>
      </c>
      <c r="AH226" s="181"/>
      <c r="AI226" s="182"/>
    </row>
    <row r="227" spans="1:35" ht="22.35" customHeight="1">
      <c r="A227" s="2698"/>
      <c r="B227" s="2700" t="s">
        <v>293</v>
      </c>
      <c r="C227" s="2820" t="s">
        <v>32</v>
      </c>
      <c r="D227" s="2820" t="s">
        <v>32</v>
      </c>
      <c r="E227" s="2820" t="s">
        <v>32</v>
      </c>
      <c r="F227" s="2820" t="s">
        <v>32</v>
      </c>
      <c r="G227" s="2820"/>
      <c r="H227" s="2820"/>
      <c r="I227" s="2820" t="s">
        <v>32</v>
      </c>
      <c r="J227" s="2820" t="s">
        <v>32</v>
      </c>
      <c r="K227" s="2820" t="s">
        <v>32</v>
      </c>
      <c r="L227" s="2820" t="s">
        <v>32</v>
      </c>
      <c r="M227" s="2820" t="s">
        <v>32</v>
      </c>
      <c r="N227" s="2826"/>
      <c r="O227" s="2826"/>
      <c r="P227" s="2826" t="s">
        <v>32</v>
      </c>
      <c r="Q227" s="2825" t="s">
        <v>32</v>
      </c>
      <c r="R227" s="2826" t="s">
        <v>32</v>
      </c>
      <c r="S227" s="2820" t="s">
        <v>32</v>
      </c>
      <c r="T227" s="2820" t="s">
        <v>32</v>
      </c>
      <c r="U227" s="2826"/>
      <c r="V227" s="2826"/>
      <c r="W227" s="2826" t="s">
        <v>32</v>
      </c>
      <c r="X227" s="2820" t="s">
        <v>32</v>
      </c>
      <c r="Y227" s="2826" t="s">
        <v>32</v>
      </c>
      <c r="Z227" s="2826" t="s">
        <v>32</v>
      </c>
      <c r="AA227" s="2826" t="s">
        <v>32</v>
      </c>
      <c r="AB227" s="2820"/>
      <c r="AC227" s="2820"/>
      <c r="AD227" s="2820" t="s">
        <v>32</v>
      </c>
      <c r="AE227" s="2820" t="s">
        <v>32</v>
      </c>
      <c r="AF227" s="2820" t="s">
        <v>32</v>
      </c>
      <c r="AG227" s="2697" t="s">
        <v>32</v>
      </c>
      <c r="AH227" s="181"/>
      <c r="AI227" s="182"/>
    </row>
    <row r="228" spans="1:35" ht="22.35" customHeight="1">
      <c r="A228" s="2698"/>
      <c r="B228" s="2824" t="s">
        <v>294</v>
      </c>
      <c r="C228" s="2820" t="s">
        <v>32</v>
      </c>
      <c r="D228" s="2820" t="s">
        <v>32</v>
      </c>
      <c r="E228" s="2820" t="s">
        <v>32</v>
      </c>
      <c r="F228" s="2820" t="s">
        <v>32</v>
      </c>
      <c r="G228" s="2820"/>
      <c r="H228" s="2820"/>
      <c r="I228" s="2820" t="s">
        <v>32</v>
      </c>
      <c r="J228" s="2820" t="s">
        <v>32</v>
      </c>
      <c r="K228" s="2820" t="s">
        <v>32</v>
      </c>
      <c r="L228" s="2820" t="s">
        <v>32</v>
      </c>
      <c r="M228" s="2820" t="s">
        <v>32</v>
      </c>
      <c r="N228" s="2826"/>
      <c r="O228" s="2826"/>
      <c r="P228" s="2826" t="s">
        <v>32</v>
      </c>
      <c r="Q228" s="2825" t="s">
        <v>32</v>
      </c>
      <c r="R228" s="2826" t="s">
        <v>32</v>
      </c>
      <c r="S228" s="2820" t="s">
        <v>32</v>
      </c>
      <c r="T228" s="2820" t="s">
        <v>32</v>
      </c>
      <c r="U228" s="2826"/>
      <c r="V228" s="2826"/>
      <c r="W228" s="2826" t="s">
        <v>32</v>
      </c>
      <c r="X228" s="2820" t="s">
        <v>32</v>
      </c>
      <c r="Y228" s="2826" t="s">
        <v>32</v>
      </c>
      <c r="Z228" s="2826" t="s">
        <v>32</v>
      </c>
      <c r="AA228" s="2826" t="s">
        <v>32</v>
      </c>
      <c r="AB228" s="2820"/>
      <c r="AC228" s="2820"/>
      <c r="AD228" s="2820" t="s">
        <v>32</v>
      </c>
      <c r="AE228" s="2820" t="s">
        <v>32</v>
      </c>
      <c r="AF228" s="2820" t="s">
        <v>32</v>
      </c>
      <c r="AG228" s="2697" t="s">
        <v>32</v>
      </c>
      <c r="AH228" s="181"/>
      <c r="AI228" s="182"/>
    </row>
    <row r="229" spans="1:35" ht="22.35" customHeight="1" thickBot="1">
      <c r="A229" s="2698"/>
      <c r="B229" s="2824" t="s">
        <v>295</v>
      </c>
      <c r="C229" s="2820" t="s">
        <v>32</v>
      </c>
      <c r="D229" s="2629" t="s">
        <v>32</v>
      </c>
      <c r="E229" s="2629" t="s">
        <v>32</v>
      </c>
      <c r="F229" s="2629" t="s">
        <v>32</v>
      </c>
      <c r="G229" s="2629"/>
      <c r="H229" s="2629"/>
      <c r="I229" s="2629" t="s">
        <v>32</v>
      </c>
      <c r="J229" s="2629" t="s">
        <v>32</v>
      </c>
      <c r="K229" s="2629" t="s">
        <v>32</v>
      </c>
      <c r="L229" s="2629" t="s">
        <v>32</v>
      </c>
      <c r="M229" s="2629" t="s">
        <v>278</v>
      </c>
      <c r="N229" s="2826"/>
      <c r="O229" s="2826"/>
      <c r="P229" s="2826" t="s">
        <v>32</v>
      </c>
      <c r="Q229" s="2825" t="s">
        <v>32</v>
      </c>
      <c r="R229" s="2826" t="s">
        <v>32</v>
      </c>
      <c r="S229" s="2820" t="s">
        <v>32</v>
      </c>
      <c r="T229" s="2820" t="s">
        <v>32</v>
      </c>
      <c r="U229" s="2826"/>
      <c r="V229" s="2826"/>
      <c r="W229" s="2826" t="s">
        <v>32</v>
      </c>
      <c r="X229" s="2820" t="s">
        <v>32</v>
      </c>
      <c r="Y229" s="2826" t="s">
        <v>32</v>
      </c>
      <c r="Z229" s="2826" t="s">
        <v>32</v>
      </c>
      <c r="AA229" s="2826" t="s">
        <v>32</v>
      </c>
      <c r="AB229" s="2820"/>
      <c r="AC229" s="2820"/>
      <c r="AD229" s="2820" t="s">
        <v>32</v>
      </c>
      <c r="AE229" s="2820" t="s">
        <v>32</v>
      </c>
      <c r="AF229" s="2826" t="s">
        <v>32</v>
      </c>
      <c r="AG229" s="2704" t="s">
        <v>32</v>
      </c>
      <c r="AH229" s="181"/>
      <c r="AI229" s="182"/>
    </row>
    <row r="230" spans="1:35" ht="22.35" customHeight="1" thickBot="1">
      <c r="A230" s="2698"/>
      <c r="B230" s="2824" t="s">
        <v>296</v>
      </c>
      <c r="C230" s="2820" t="s">
        <v>32</v>
      </c>
      <c r="D230" s="2820" t="s">
        <v>32</v>
      </c>
      <c r="E230" s="2820" t="s">
        <v>32</v>
      </c>
      <c r="F230" s="2820" t="s">
        <v>32</v>
      </c>
      <c r="G230" s="2820"/>
      <c r="H230" s="2820"/>
      <c r="I230" s="2820" t="s">
        <v>32</v>
      </c>
      <c r="J230" s="2820" t="s">
        <v>32</v>
      </c>
      <c r="K230" s="2820" t="s">
        <v>32</v>
      </c>
      <c r="L230" s="2820" t="s">
        <v>32</v>
      </c>
      <c r="M230" s="2820" t="s">
        <v>32</v>
      </c>
      <c r="N230" s="2826"/>
      <c r="O230" s="2826"/>
      <c r="P230" s="2826" t="s">
        <v>32</v>
      </c>
      <c r="Q230" s="2825" t="s">
        <v>32</v>
      </c>
      <c r="R230" s="2826" t="s">
        <v>32</v>
      </c>
      <c r="S230" s="2826" t="s">
        <v>32</v>
      </c>
      <c r="T230" s="2820" t="s">
        <v>32</v>
      </c>
      <c r="U230" s="2826"/>
      <c r="V230" s="2826"/>
      <c r="W230" s="2826" t="s">
        <v>32</v>
      </c>
      <c r="X230" s="2820" t="s">
        <v>32</v>
      </c>
      <c r="Y230" s="2826" t="s">
        <v>32</v>
      </c>
      <c r="Z230" s="2826" t="s">
        <v>32</v>
      </c>
      <c r="AA230" s="2826" t="s">
        <v>32</v>
      </c>
      <c r="AB230" s="2820"/>
      <c r="AC230" s="2820"/>
      <c r="AD230" s="2820" t="s">
        <v>32</v>
      </c>
      <c r="AE230" s="2820" t="s">
        <v>32</v>
      </c>
      <c r="AF230" s="2820" t="s">
        <v>32</v>
      </c>
      <c r="AG230" s="234" t="s">
        <v>32</v>
      </c>
      <c r="AH230" s="178"/>
      <c r="AI230" s="107"/>
    </row>
    <row r="231" spans="1:35" ht="22.35" customHeight="1">
      <c r="A231" s="2698"/>
      <c r="B231" s="2824" t="s">
        <v>297</v>
      </c>
      <c r="C231" s="2820" t="s">
        <v>32</v>
      </c>
      <c r="D231" s="2820" t="s">
        <v>32</v>
      </c>
      <c r="E231" s="2820" t="s">
        <v>32</v>
      </c>
      <c r="F231" s="2820" t="s">
        <v>32</v>
      </c>
      <c r="G231" s="2820"/>
      <c r="H231" s="2820"/>
      <c r="I231" s="2820" t="s">
        <v>32</v>
      </c>
      <c r="J231" s="2820" t="s">
        <v>32</v>
      </c>
      <c r="K231" s="2820" t="s">
        <v>32</v>
      </c>
      <c r="L231" s="2820" t="s">
        <v>32</v>
      </c>
      <c r="M231" s="2820" t="s">
        <v>32</v>
      </c>
      <c r="N231" s="2826"/>
      <c r="O231" s="2826"/>
      <c r="P231" s="2826" t="s">
        <v>32</v>
      </c>
      <c r="Q231" s="2825" t="s">
        <v>32</v>
      </c>
      <c r="R231" s="2826" t="s">
        <v>32</v>
      </c>
      <c r="S231" s="2826" t="s">
        <v>32</v>
      </c>
      <c r="T231" s="2820" t="s">
        <v>32</v>
      </c>
      <c r="U231" s="2826"/>
      <c r="V231" s="2826"/>
      <c r="W231" s="2826" t="s">
        <v>32</v>
      </c>
      <c r="X231" s="2820" t="s">
        <v>32</v>
      </c>
      <c r="Y231" s="2826" t="s">
        <v>32</v>
      </c>
      <c r="Z231" s="2826" t="s">
        <v>32</v>
      </c>
      <c r="AA231" s="2826" t="s">
        <v>32</v>
      </c>
      <c r="AB231" s="2820"/>
      <c r="AC231" s="2820"/>
      <c r="AD231" s="2820" t="s">
        <v>32</v>
      </c>
      <c r="AE231" s="2820" t="s">
        <v>32</v>
      </c>
      <c r="AF231" s="2820" t="s">
        <v>32</v>
      </c>
      <c r="AG231" s="234" t="s">
        <v>32</v>
      </c>
      <c r="AH231" s="178"/>
      <c r="AI231" s="107"/>
    </row>
    <row r="232" spans="1:35" ht="22.35" customHeight="1">
      <c r="A232" s="2696"/>
      <c r="B232" s="2706"/>
      <c r="C232" s="2820"/>
      <c r="D232" s="2820"/>
      <c r="E232" s="2820"/>
      <c r="F232" s="2820"/>
      <c r="G232" s="2820"/>
      <c r="H232" s="2820"/>
      <c r="I232" s="2820"/>
      <c r="J232" s="2820"/>
      <c r="K232" s="2820"/>
      <c r="L232" s="2820"/>
      <c r="M232" s="2820"/>
      <c r="N232" s="2820"/>
      <c r="O232" s="2820"/>
      <c r="P232" s="2820"/>
      <c r="Q232" s="2820"/>
      <c r="R232" s="2820"/>
      <c r="S232" s="2820"/>
      <c r="T232" s="2820"/>
      <c r="U232" s="2820"/>
      <c r="V232" s="2820"/>
      <c r="W232" s="2820"/>
      <c r="X232" s="2820"/>
      <c r="Y232" s="2820"/>
      <c r="Z232" s="2820"/>
      <c r="AA232" s="2820"/>
      <c r="AB232" s="2820"/>
      <c r="AC232" s="2820"/>
      <c r="AD232" s="2820"/>
      <c r="AE232" s="2820"/>
      <c r="AF232" s="2820"/>
      <c r="AG232" s="2697"/>
      <c r="AH232" s="178"/>
      <c r="AI232" s="107"/>
    </row>
    <row r="233" spans="1:35" ht="22.35" customHeight="1">
      <c r="A233" s="2696"/>
      <c r="B233" s="2824"/>
      <c r="C233" s="2820"/>
      <c r="D233" s="2820"/>
      <c r="E233" s="2820"/>
      <c r="F233" s="2820"/>
      <c r="G233" s="2820"/>
      <c r="H233" s="2820"/>
      <c r="I233" s="2820"/>
      <c r="J233" s="2820"/>
      <c r="K233" s="2820"/>
      <c r="L233" s="2820"/>
      <c r="M233" s="2820"/>
      <c r="N233" s="2826"/>
      <c r="O233" s="2826"/>
      <c r="P233" s="2826"/>
      <c r="Q233" s="2825"/>
      <c r="R233" s="2826"/>
      <c r="S233" s="2820"/>
      <c r="T233" s="2820"/>
      <c r="U233" s="2826"/>
      <c r="V233" s="2826"/>
      <c r="W233" s="2826"/>
      <c r="X233" s="2820"/>
      <c r="Y233" s="2826"/>
      <c r="Z233" s="2826"/>
      <c r="AA233" s="2826"/>
      <c r="AB233" s="2820"/>
      <c r="AC233" s="2820"/>
      <c r="AD233" s="2820"/>
      <c r="AE233" s="2820"/>
      <c r="AF233" s="2820"/>
      <c r="AG233" s="2709"/>
      <c r="AH233" s="178"/>
      <c r="AI233" s="107"/>
    </row>
    <row r="234" spans="1:35" ht="22.35" customHeight="1">
      <c r="A234" s="2696"/>
      <c r="B234" s="2696"/>
      <c r="C234" s="2820"/>
      <c r="D234" s="2820"/>
      <c r="E234" s="2820"/>
      <c r="F234" s="2820"/>
      <c r="G234" s="2820"/>
      <c r="H234" s="2820"/>
      <c r="I234" s="2820"/>
      <c r="J234" s="2820"/>
      <c r="K234" s="2820"/>
      <c r="L234" s="2820"/>
      <c r="M234" s="2820"/>
      <c r="N234" s="2820"/>
      <c r="O234" s="2820"/>
      <c r="P234" s="2820"/>
      <c r="Q234" s="2820"/>
      <c r="R234" s="2820"/>
      <c r="S234" s="2820"/>
      <c r="T234" s="2820"/>
      <c r="U234" s="2820"/>
      <c r="V234" s="2820"/>
      <c r="W234" s="2820"/>
      <c r="X234" s="2820"/>
      <c r="Y234" s="2820"/>
      <c r="Z234" s="2820"/>
      <c r="AA234" s="2820"/>
      <c r="AB234" s="2820"/>
      <c r="AC234" s="2820"/>
      <c r="AD234" s="2820"/>
      <c r="AE234" s="2820"/>
      <c r="AF234" s="2820"/>
      <c r="AG234" s="2697"/>
      <c r="AH234" s="178"/>
      <c r="AI234" s="107"/>
    </row>
    <row r="235" spans="1:35" ht="22.35" customHeight="1">
      <c r="A235" s="2696"/>
      <c r="B235" s="2696"/>
      <c r="C235" s="2820"/>
      <c r="D235" s="2820"/>
      <c r="E235" s="2820"/>
      <c r="F235" s="2820"/>
      <c r="G235" s="2820"/>
      <c r="H235" s="2710"/>
      <c r="I235" s="2820"/>
      <c r="J235" s="2820"/>
      <c r="K235" s="2820"/>
      <c r="L235" s="2820"/>
      <c r="M235" s="2820"/>
      <c r="N235" s="2820"/>
      <c r="O235" s="2820"/>
      <c r="P235" s="2820"/>
      <c r="Q235" s="2820"/>
      <c r="R235" s="2820"/>
      <c r="S235" s="2820"/>
      <c r="T235" s="2820"/>
      <c r="U235" s="2820"/>
      <c r="V235" s="2820"/>
      <c r="W235" s="2820"/>
      <c r="X235" s="2820"/>
      <c r="Y235" s="2820"/>
      <c r="Z235" s="2820"/>
      <c r="AA235" s="2820"/>
      <c r="AB235" s="2820"/>
      <c r="AC235" s="2820"/>
      <c r="AD235" s="2820"/>
      <c r="AE235" s="2820"/>
      <c r="AF235" s="2820"/>
      <c r="AG235" s="2709"/>
      <c r="AH235" s="178"/>
      <c r="AI235" s="107"/>
    </row>
    <row r="236" spans="1:35" ht="22.35" customHeight="1">
      <c r="A236" s="2698"/>
      <c r="B236" s="2711"/>
      <c r="C236" s="2820"/>
      <c r="D236" s="2820"/>
      <c r="E236" s="2820"/>
      <c r="F236" s="2820"/>
      <c r="G236" s="2820"/>
      <c r="H236" s="2820"/>
      <c r="I236" s="2820"/>
      <c r="J236" s="2820"/>
      <c r="K236" s="2820"/>
      <c r="L236" s="2820"/>
      <c r="M236" s="2820"/>
      <c r="N236" s="2820"/>
      <c r="O236" s="2820"/>
      <c r="P236" s="2820"/>
      <c r="Q236" s="2820"/>
      <c r="R236" s="2820"/>
      <c r="S236" s="2820"/>
      <c r="T236" s="2820"/>
      <c r="U236" s="2820"/>
      <c r="V236" s="2820"/>
      <c r="W236" s="2820"/>
      <c r="X236" s="2820"/>
      <c r="Y236" s="2820"/>
      <c r="Z236" s="2820"/>
      <c r="AA236" s="2820"/>
      <c r="AB236" s="2820"/>
      <c r="AC236" s="2820"/>
      <c r="AD236" s="2820"/>
      <c r="AE236" s="2820"/>
      <c r="AF236" s="2820"/>
      <c r="AG236" s="2709"/>
      <c r="AH236" s="178"/>
      <c r="AI236" s="107"/>
    </row>
    <row r="237" spans="1:35">
      <c r="A237" s="2698"/>
      <c r="B237" s="2712"/>
      <c r="C237" s="2820"/>
      <c r="D237" s="2820"/>
      <c r="E237" s="2820"/>
      <c r="F237" s="2820"/>
      <c r="G237" s="2820"/>
      <c r="H237" s="2820"/>
      <c r="I237" s="2820"/>
      <c r="J237" s="2820"/>
      <c r="K237" s="2820"/>
      <c r="L237" s="2820"/>
      <c r="M237" s="2820"/>
      <c r="N237" s="2820"/>
      <c r="O237" s="2820"/>
      <c r="P237" s="2820"/>
      <c r="Q237" s="2820"/>
      <c r="R237" s="2820"/>
      <c r="S237" s="2820"/>
      <c r="T237" s="2820"/>
      <c r="U237" s="2820"/>
      <c r="V237" s="2820"/>
      <c r="W237" s="2820"/>
      <c r="X237" s="2820"/>
      <c r="Y237" s="2820"/>
      <c r="Z237" s="2820"/>
      <c r="AA237" s="2820"/>
      <c r="AB237" s="2820"/>
      <c r="AC237" s="2820"/>
      <c r="AD237" s="2820"/>
      <c r="AE237" s="2820"/>
      <c r="AF237" s="2820"/>
      <c r="AG237" s="2709"/>
      <c r="AH237" s="178"/>
      <c r="AI237" s="107"/>
    </row>
    <row r="238" spans="1:35" ht="12.75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0" spans="1:35" ht="21" customHeight="1"/>
    <row r="241" spans="1:35" ht="21" customHeight="1"/>
    <row r="242" spans="1:35" ht="21" customHeight="1" thickBot="1">
      <c r="A242" s="161" t="s">
        <v>298</v>
      </c>
    </row>
    <row r="243" spans="1:35" ht="21" customHeight="1">
      <c r="B243" s="396" t="s">
        <v>266</v>
      </c>
      <c r="C243" s="368"/>
      <c r="D243" s="384" t="s">
        <v>94</v>
      </c>
      <c r="E243" s="357"/>
      <c r="F243" s="372"/>
      <c r="G243" s="368"/>
      <c r="H243" s="384" t="s">
        <v>95</v>
      </c>
      <c r="I243" s="357"/>
      <c r="J243" s="372"/>
      <c r="K243" s="368"/>
      <c r="L243" s="384" t="s">
        <v>96</v>
      </c>
      <c r="M243" s="357"/>
      <c r="N243" s="372"/>
      <c r="O243" s="368"/>
      <c r="P243" s="384" t="s">
        <v>97</v>
      </c>
      <c r="Q243" s="357"/>
      <c r="R243" s="372"/>
      <c r="S243" s="368"/>
      <c r="T243" s="384" t="s">
        <v>98</v>
      </c>
      <c r="U243" s="357"/>
      <c r="V243" s="372"/>
      <c r="W243" s="368"/>
      <c r="X243" s="384" t="s">
        <v>99</v>
      </c>
      <c r="Y243" s="357"/>
      <c r="Z243" s="372"/>
      <c r="AA243" s="368"/>
      <c r="AB243" s="384" t="s">
        <v>100</v>
      </c>
      <c r="AC243" s="357"/>
      <c r="AD243" s="357"/>
      <c r="AE243" s="387" t="s">
        <v>101</v>
      </c>
      <c r="AF243" s="357"/>
      <c r="AG243" s="357"/>
      <c r="AH243" s="357"/>
      <c r="AI243" s="358"/>
    </row>
    <row r="244" spans="1:35" ht="21" customHeight="1">
      <c r="B244" s="3"/>
      <c r="C244" s="537" t="s">
        <v>299</v>
      </c>
      <c r="D244" s="117"/>
      <c r="E244" s="533"/>
      <c r="F244" s="534"/>
      <c r="G244" s="537" t="s">
        <v>299</v>
      </c>
      <c r="H244" s="117"/>
      <c r="I244" s="533"/>
      <c r="J244" s="534"/>
      <c r="K244" s="537" t="s">
        <v>299</v>
      </c>
      <c r="L244" s="117"/>
      <c r="M244" s="533"/>
      <c r="N244" s="534"/>
      <c r="O244" s="537" t="s">
        <v>299</v>
      </c>
      <c r="P244" s="532"/>
      <c r="Q244" s="533"/>
      <c r="R244" s="534"/>
      <c r="S244" s="538" t="s">
        <v>300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A245" s="110"/>
      <c r="B245" s="2713"/>
      <c r="C245" s="3016" t="s">
        <v>178</v>
      </c>
      <c r="D245" s="2714"/>
      <c r="E245" s="533"/>
      <c r="F245" s="534"/>
      <c r="G245" s="3016" t="s">
        <v>178</v>
      </c>
      <c r="H245" s="117"/>
      <c r="I245" s="533"/>
      <c r="J245" s="534"/>
      <c r="K245" s="3016" t="s">
        <v>178</v>
      </c>
      <c r="L245" s="117"/>
      <c r="M245" s="533"/>
      <c r="N245" s="534"/>
      <c r="O245" s="3016" t="s">
        <v>178</v>
      </c>
      <c r="P245" s="117"/>
      <c r="Q245" s="533"/>
      <c r="R245" s="534"/>
      <c r="S245" s="537" t="s">
        <v>301</v>
      </c>
      <c r="T245" s="117"/>
      <c r="U245" s="533"/>
      <c r="V245" s="534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2713"/>
      <c r="C246" s="3016" t="s">
        <v>181</v>
      </c>
      <c r="D246" s="2714"/>
      <c r="E246" s="533"/>
      <c r="F246" s="534"/>
      <c r="G246" s="3016" t="s">
        <v>181</v>
      </c>
      <c r="H246" s="117"/>
      <c r="I246" s="533"/>
      <c r="J246" s="534"/>
      <c r="K246" s="3016" t="s">
        <v>181</v>
      </c>
      <c r="L246" s="117"/>
      <c r="M246" s="533"/>
      <c r="N246" s="534"/>
      <c r="O246" s="3016" t="s">
        <v>181</v>
      </c>
      <c r="P246" s="117"/>
      <c r="Q246" s="533"/>
      <c r="R246" s="534"/>
      <c r="S246" s="3016" t="s">
        <v>176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2713"/>
      <c r="C247" s="2898"/>
      <c r="D247" s="2899"/>
      <c r="E247" s="165"/>
      <c r="F247" s="167"/>
      <c r="G247" s="2898"/>
      <c r="H247" s="2899"/>
      <c r="I247" s="165"/>
      <c r="J247" s="167"/>
      <c r="K247" s="2898"/>
      <c r="L247" s="2899"/>
      <c r="M247" s="165"/>
      <c r="N247" s="167"/>
      <c r="O247" s="2898"/>
      <c r="P247" s="2899"/>
      <c r="Q247" s="165"/>
      <c r="R247" s="167"/>
      <c r="S247" s="2898"/>
      <c r="T247" s="2899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2713"/>
      <c r="C248" s="2980"/>
      <c r="D248" s="2899"/>
      <c r="E248" s="165"/>
      <c r="F248" s="167"/>
      <c r="G248" s="117"/>
      <c r="H248" s="117"/>
      <c r="I248" s="165"/>
      <c r="J248" s="167"/>
      <c r="K248" s="117"/>
      <c r="L248" s="117"/>
      <c r="M248" s="165"/>
      <c r="N248" s="167"/>
      <c r="O248" s="117"/>
      <c r="P248" s="117"/>
      <c r="Q248" s="165"/>
      <c r="R248" s="167"/>
      <c r="S248" s="117"/>
      <c r="T248" s="117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B249" s="2713" t="s">
        <v>148</v>
      </c>
      <c r="C249" s="2980" t="s">
        <v>302</v>
      </c>
      <c r="D249" s="2714"/>
      <c r="E249" s="533"/>
      <c r="F249" s="534"/>
      <c r="G249" s="2980" t="s">
        <v>302</v>
      </c>
      <c r="H249" s="2714"/>
      <c r="I249" s="533"/>
      <c r="J249" s="534"/>
      <c r="K249" s="2980" t="s">
        <v>302</v>
      </c>
      <c r="L249" s="2714"/>
      <c r="M249" s="533"/>
      <c r="N249" s="534"/>
      <c r="O249" s="2980" t="s">
        <v>302</v>
      </c>
      <c r="P249" s="2714"/>
      <c r="Q249" s="533"/>
      <c r="R249" s="534"/>
      <c r="S249" s="117" t="s">
        <v>303</v>
      </c>
      <c r="T249" s="117"/>
      <c r="U249" s="533"/>
      <c r="V249" s="534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>
      <c r="B250" s="2713" t="s">
        <v>152</v>
      </c>
      <c r="C250" s="2980" t="s">
        <v>304</v>
      </c>
      <c r="D250" s="2714"/>
      <c r="E250" s="533"/>
      <c r="F250" s="534"/>
      <c r="G250" s="2980" t="s">
        <v>304</v>
      </c>
      <c r="H250" s="2714"/>
      <c r="I250" s="533"/>
      <c r="J250" s="534"/>
      <c r="K250" s="2980" t="s">
        <v>304</v>
      </c>
      <c r="L250" s="2714"/>
      <c r="M250" s="533"/>
      <c r="N250" s="534"/>
      <c r="O250" s="2980" t="s">
        <v>304</v>
      </c>
      <c r="P250" s="2714"/>
      <c r="Q250" s="533"/>
      <c r="R250" s="534"/>
      <c r="S250" s="117" t="s">
        <v>305</v>
      </c>
      <c r="T250" s="117"/>
      <c r="U250" s="533"/>
      <c r="V250" s="534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thickBot="1">
      <c r="B251" s="2715" t="s">
        <v>159</v>
      </c>
      <c r="C251" s="2993" t="s">
        <v>306</v>
      </c>
      <c r="D251" s="2716"/>
      <c r="E251" s="535"/>
      <c r="F251" s="536"/>
      <c r="G251" s="2993" t="s">
        <v>306</v>
      </c>
      <c r="H251" s="2716"/>
      <c r="I251" s="535"/>
      <c r="J251" s="536"/>
      <c r="K251" s="2993" t="s">
        <v>306</v>
      </c>
      <c r="L251" s="2716"/>
      <c r="M251" s="535"/>
      <c r="N251" s="536"/>
      <c r="O251" s="2993" t="s">
        <v>306</v>
      </c>
      <c r="P251" s="2716"/>
      <c r="Q251" s="535"/>
      <c r="R251" s="536"/>
      <c r="S251" s="456" t="s">
        <v>307</v>
      </c>
      <c r="T251" s="456"/>
      <c r="U251" s="535"/>
      <c r="V251" s="536"/>
      <c r="W251" s="517"/>
      <c r="X251" s="456"/>
      <c r="Y251" s="518"/>
      <c r="Z251" s="519"/>
      <c r="AA251" s="520"/>
      <c r="AB251" s="456"/>
      <c r="AC251" s="518"/>
      <c r="AD251" s="518"/>
      <c r="AE251" s="521"/>
      <c r="AF251" s="518"/>
      <c r="AG251" s="516"/>
      <c r="AH251" s="516"/>
      <c r="AI251" s="453"/>
    </row>
    <row r="252" spans="1:35" ht="21" customHeight="1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>
      <c r="A253" s="123" t="s">
        <v>308</v>
      </c>
    </row>
    <row r="254" spans="1:35" ht="21" customHeight="1" thickBot="1">
      <c r="A254" s="2954"/>
      <c r="B254" s="2787" t="s">
        <v>29</v>
      </c>
      <c r="C254" s="2788">
        <v>1</v>
      </c>
      <c r="D254" s="2788">
        <v>2</v>
      </c>
      <c r="E254" s="2788">
        <v>3</v>
      </c>
      <c r="F254" s="2788">
        <v>4</v>
      </c>
      <c r="G254" s="2789">
        <v>5</v>
      </c>
      <c r="H254" s="2789">
        <v>6</v>
      </c>
      <c r="I254" s="2788">
        <v>7</v>
      </c>
      <c r="J254" s="2788">
        <v>8</v>
      </c>
      <c r="K254" s="2788">
        <v>9</v>
      </c>
      <c r="L254" s="2788">
        <v>10</v>
      </c>
      <c r="M254" s="2788">
        <v>11</v>
      </c>
      <c r="N254" s="2789">
        <v>12</v>
      </c>
      <c r="O254" s="2789">
        <v>13</v>
      </c>
      <c r="P254" s="2788">
        <v>14</v>
      </c>
      <c r="Q254" s="2788">
        <v>15</v>
      </c>
      <c r="R254" s="2788">
        <v>16</v>
      </c>
      <c r="S254" s="2788">
        <v>17</v>
      </c>
      <c r="T254" s="2788">
        <v>18</v>
      </c>
      <c r="U254" s="2789">
        <v>19</v>
      </c>
      <c r="V254" s="2789">
        <v>20</v>
      </c>
      <c r="W254" s="2788">
        <v>21</v>
      </c>
      <c r="X254" s="2788">
        <v>22</v>
      </c>
      <c r="Y254" s="2788">
        <v>23</v>
      </c>
      <c r="Z254" s="2788">
        <v>24</v>
      </c>
      <c r="AA254" s="2788">
        <v>25</v>
      </c>
      <c r="AB254" s="2789">
        <v>26</v>
      </c>
      <c r="AC254" s="2789">
        <v>27</v>
      </c>
      <c r="AD254" s="2788">
        <v>28</v>
      </c>
      <c r="AE254" s="2788">
        <v>29</v>
      </c>
      <c r="AF254" s="2788">
        <v>30</v>
      </c>
      <c r="AG254" s="2790">
        <v>31</v>
      </c>
      <c r="AH254" s="176"/>
      <c r="AI254" s="177"/>
    </row>
    <row r="255" spans="1:35" ht="21" customHeight="1">
      <c r="A255" s="2717">
        <v>3702</v>
      </c>
      <c r="B255" s="175" t="s">
        <v>309</v>
      </c>
      <c r="C255" s="2820" t="s">
        <v>32</v>
      </c>
      <c r="D255" s="2820" t="s">
        <v>32</v>
      </c>
      <c r="E255" s="2820" t="s">
        <v>32</v>
      </c>
      <c r="F255" s="2820" t="s">
        <v>32</v>
      </c>
      <c r="G255" s="2820"/>
      <c r="H255" s="2820"/>
      <c r="I255" s="2820" t="s">
        <v>32</v>
      </c>
      <c r="J255" s="2820" t="s">
        <v>32</v>
      </c>
      <c r="K255" s="2820" t="s">
        <v>32</v>
      </c>
      <c r="L255" s="2820" t="s">
        <v>32</v>
      </c>
      <c r="M255" s="2820" t="s">
        <v>32</v>
      </c>
      <c r="N255" s="2826"/>
      <c r="O255" s="2826"/>
      <c r="P255" s="2826" t="s">
        <v>32</v>
      </c>
      <c r="Q255" s="2825" t="s">
        <v>32</v>
      </c>
      <c r="R255" s="2826" t="s">
        <v>32</v>
      </c>
      <c r="S255" s="2831" t="s">
        <v>32</v>
      </c>
      <c r="T255" s="2831" t="s">
        <v>32</v>
      </c>
      <c r="U255" s="2826"/>
      <c r="V255" s="2826"/>
      <c r="W255" s="2831" t="s">
        <v>32</v>
      </c>
      <c r="X255" s="2831" t="s">
        <v>32</v>
      </c>
      <c r="Y255" s="2831" t="s">
        <v>32</v>
      </c>
      <c r="Z255" s="2831" t="s">
        <v>32</v>
      </c>
      <c r="AA255" s="2831" t="s">
        <v>32</v>
      </c>
      <c r="AB255" s="2820"/>
      <c r="AC255" s="2820"/>
      <c r="AD255" s="2703" t="s">
        <v>32</v>
      </c>
      <c r="AE255" s="2703" t="s">
        <v>32</v>
      </c>
      <c r="AF255" s="2703" t="s">
        <v>32</v>
      </c>
      <c r="AG255" s="704"/>
      <c r="AH255" s="181"/>
      <c r="AI255" s="182"/>
    </row>
    <row r="256" spans="1:35" ht="21" customHeight="1">
      <c r="A256" s="2796"/>
      <c r="B256" s="2967" t="s">
        <v>310</v>
      </c>
      <c r="C256" s="2820" t="s">
        <v>32</v>
      </c>
      <c r="D256" s="2820" t="s">
        <v>32</v>
      </c>
      <c r="E256" s="2820" t="s">
        <v>32</v>
      </c>
      <c r="F256" s="2820" t="s">
        <v>32</v>
      </c>
      <c r="G256" s="2820"/>
      <c r="H256" s="2820"/>
      <c r="I256" s="2831" t="s">
        <v>32</v>
      </c>
      <c r="J256" s="2831" t="s">
        <v>32</v>
      </c>
      <c r="K256" s="2831" t="s">
        <v>32</v>
      </c>
      <c r="L256" s="2831" t="s">
        <v>32</v>
      </c>
      <c r="M256" s="2831" t="s">
        <v>32</v>
      </c>
      <c r="N256" s="2831"/>
      <c r="O256" s="2831"/>
      <c r="P256" s="2628" t="s">
        <v>32</v>
      </c>
      <c r="Q256" s="2628" t="s">
        <v>32</v>
      </c>
      <c r="R256" s="2628" t="s">
        <v>32</v>
      </c>
      <c r="S256" s="2628" t="s">
        <v>32</v>
      </c>
      <c r="T256" s="2628" t="s">
        <v>32</v>
      </c>
      <c r="U256" s="2628"/>
      <c r="V256" s="2628"/>
      <c r="W256" s="2826" t="s">
        <v>32</v>
      </c>
      <c r="X256" s="2820" t="s">
        <v>32</v>
      </c>
      <c r="Y256" s="2826" t="s">
        <v>32</v>
      </c>
      <c r="Z256" s="2826" t="s">
        <v>32</v>
      </c>
      <c r="AA256" s="2826" t="s">
        <v>32</v>
      </c>
      <c r="AB256" s="2820"/>
      <c r="AC256" s="2820"/>
      <c r="AD256" s="2820" t="s">
        <v>32</v>
      </c>
      <c r="AE256" s="2820" t="s">
        <v>32</v>
      </c>
      <c r="AF256" s="2820" t="s">
        <v>32</v>
      </c>
      <c r="AG256" s="2873" t="s">
        <v>32</v>
      </c>
      <c r="AH256" s="181"/>
      <c r="AI256" s="182"/>
    </row>
    <row r="257" spans="1:35" ht="21" customHeight="1">
      <c r="A257" s="2718"/>
      <c r="B257" s="2967" t="s">
        <v>311</v>
      </c>
      <c r="C257" s="2820" t="s">
        <v>32</v>
      </c>
      <c r="D257" s="2820" t="s">
        <v>32</v>
      </c>
      <c r="E257" s="2820" t="s">
        <v>32</v>
      </c>
      <c r="F257" s="2820" t="s">
        <v>32</v>
      </c>
      <c r="G257" s="2820"/>
      <c r="H257" s="2820"/>
      <c r="I257" s="2820" t="s">
        <v>32</v>
      </c>
      <c r="J257" s="2820" t="s">
        <v>32</v>
      </c>
      <c r="K257" s="2820" t="s">
        <v>32</v>
      </c>
      <c r="L257" s="2820" t="s">
        <v>32</v>
      </c>
      <c r="M257" s="2820" t="s">
        <v>32</v>
      </c>
      <c r="N257" s="2826"/>
      <c r="O257" s="2826"/>
      <c r="P257" s="2826" t="s">
        <v>32</v>
      </c>
      <c r="Q257" s="2825" t="s">
        <v>32</v>
      </c>
      <c r="R257" s="2826" t="s">
        <v>32</v>
      </c>
      <c r="S257" s="2820" t="s">
        <v>32</v>
      </c>
      <c r="T257" s="2820" t="s">
        <v>32</v>
      </c>
      <c r="U257" s="2826"/>
      <c r="V257" s="2826"/>
      <c r="W257" s="2826" t="s">
        <v>32</v>
      </c>
      <c r="X257" s="2820" t="s">
        <v>32</v>
      </c>
      <c r="Y257" s="2826" t="s">
        <v>32</v>
      </c>
      <c r="Z257" s="2826" t="s">
        <v>32</v>
      </c>
      <c r="AA257" s="2826" t="s">
        <v>32</v>
      </c>
      <c r="AB257" s="2820"/>
      <c r="AC257" s="2820"/>
      <c r="AD257" s="2825" t="s">
        <v>32</v>
      </c>
      <c r="AE257" s="2825" t="s">
        <v>32</v>
      </c>
      <c r="AF257" s="2826" t="s">
        <v>32</v>
      </c>
      <c r="AG257" s="2873"/>
      <c r="AH257" s="181"/>
      <c r="AI257" s="182"/>
    </row>
    <row r="258" spans="1:35" ht="21" customHeight="1" thickBot="1">
      <c r="A258" s="2719"/>
      <c r="B258" s="2720"/>
      <c r="C258" s="2788"/>
      <c r="D258" s="2788"/>
      <c r="E258" s="2788"/>
      <c r="F258" s="2788"/>
      <c r="G258" s="2788"/>
      <c r="H258" s="2788"/>
      <c r="I258" s="2788"/>
      <c r="J258" s="2788"/>
      <c r="K258" s="2788"/>
      <c r="L258" s="2788"/>
      <c r="M258" s="2788"/>
      <c r="N258" s="2788"/>
      <c r="O258" s="2788"/>
      <c r="P258" s="2788"/>
      <c r="Q258" s="2788"/>
      <c r="R258" s="2788"/>
      <c r="S258" s="2788"/>
      <c r="T258" s="2788"/>
      <c r="U258" s="2788"/>
      <c r="V258" s="2788"/>
      <c r="W258" s="2788"/>
      <c r="X258" s="2788"/>
      <c r="Y258" s="2788"/>
      <c r="Z258" s="2788"/>
      <c r="AA258" s="2788"/>
      <c r="AB258" s="2788"/>
      <c r="AC258" s="2788"/>
      <c r="AD258" s="2788"/>
      <c r="AE258" s="2788"/>
      <c r="AF258" s="2788"/>
      <c r="AG258" s="2790"/>
      <c r="AH258" s="181"/>
      <c r="AI258" s="182"/>
    </row>
    <row r="259" spans="1:35" ht="21" customHeight="1">
      <c r="A259" s="226"/>
      <c r="B259" s="743" t="s">
        <v>312</v>
      </c>
      <c r="C259" s="744"/>
      <c r="D259" s="744"/>
      <c r="E259" s="744"/>
      <c r="F259" s="744"/>
      <c r="G259" s="744"/>
      <c r="H259" s="744"/>
      <c r="I259" s="744"/>
      <c r="J259" s="744"/>
      <c r="K259" s="744"/>
      <c r="L259" s="744"/>
      <c r="M259" s="744"/>
      <c r="N259" s="744"/>
      <c r="O259" s="744"/>
      <c r="P259" s="744"/>
      <c r="Q259" s="744"/>
      <c r="R259" s="744"/>
      <c r="S259" s="744"/>
      <c r="T259" s="744"/>
      <c r="U259" s="744"/>
      <c r="V259" s="744"/>
      <c r="W259" s="744"/>
      <c r="X259" s="744"/>
      <c r="Y259" s="744"/>
      <c r="Z259" s="744"/>
      <c r="AA259" s="744"/>
      <c r="AB259" s="744"/>
      <c r="AC259" s="744"/>
      <c r="AD259" s="744"/>
      <c r="AE259" s="744"/>
      <c r="AF259" s="744"/>
      <c r="AG259" s="745"/>
      <c r="AH259" s="179"/>
      <c r="AI259" s="180"/>
    </row>
    <row r="260" spans="1:35" ht="21" customHeight="1">
      <c r="A260" s="2717">
        <v>3702</v>
      </c>
      <c r="B260" s="2721" t="s">
        <v>313</v>
      </c>
      <c r="C260" s="2870" t="s">
        <v>314</v>
      </c>
      <c r="D260" s="2870" t="s">
        <v>314</v>
      </c>
      <c r="E260" s="2870" t="s">
        <v>314</v>
      </c>
      <c r="F260" s="2870" t="s">
        <v>314</v>
      </c>
      <c r="G260" s="2870"/>
      <c r="H260" s="2870"/>
      <c r="I260" s="2870" t="s">
        <v>314</v>
      </c>
      <c r="J260" s="2870" t="s">
        <v>314</v>
      </c>
      <c r="K260" s="2870" t="s">
        <v>314</v>
      </c>
      <c r="L260" s="2870" t="s">
        <v>314</v>
      </c>
      <c r="M260" s="2870" t="s">
        <v>314</v>
      </c>
      <c r="N260" s="2870"/>
      <c r="O260" s="2870"/>
      <c r="P260" s="2870" t="s">
        <v>314</v>
      </c>
      <c r="Q260" s="2870" t="s">
        <v>314</v>
      </c>
      <c r="R260" s="2870" t="s">
        <v>314</v>
      </c>
      <c r="S260" s="2870" t="s">
        <v>314</v>
      </c>
      <c r="T260" s="2870" t="s">
        <v>314</v>
      </c>
      <c r="U260" s="2870"/>
      <c r="V260" s="2870"/>
      <c r="W260" s="2870" t="s">
        <v>314</v>
      </c>
      <c r="X260" s="2870" t="s">
        <v>314</v>
      </c>
      <c r="Y260" s="2870" t="s">
        <v>314</v>
      </c>
      <c r="Z260" s="2870" t="s">
        <v>314</v>
      </c>
      <c r="AA260" s="2870" t="s">
        <v>314</v>
      </c>
      <c r="AB260" s="2870"/>
      <c r="AC260" s="2870"/>
      <c r="AD260" s="2859" t="s">
        <v>377</v>
      </c>
      <c r="AE260" s="2860" t="s">
        <v>314</v>
      </c>
      <c r="AF260" s="2870" t="s">
        <v>314</v>
      </c>
      <c r="AG260" s="2722" t="s">
        <v>314</v>
      </c>
      <c r="AH260" s="181"/>
      <c r="AI260" s="182"/>
    </row>
    <row r="261" spans="1:35" ht="21" customHeight="1">
      <c r="A261" s="2717"/>
      <c r="B261" s="2685" t="s">
        <v>316</v>
      </c>
      <c r="C261" s="2801" t="s">
        <v>317</v>
      </c>
      <c r="D261" s="2870" t="s">
        <v>317</v>
      </c>
      <c r="E261" s="2870" t="s">
        <v>317</v>
      </c>
      <c r="F261" s="2870" t="s">
        <v>317</v>
      </c>
      <c r="G261" s="2870"/>
      <c r="H261" s="2870"/>
      <c r="I261" s="2870" t="s">
        <v>317</v>
      </c>
      <c r="J261" s="2870" t="s">
        <v>317</v>
      </c>
      <c r="K261" s="2870" t="s">
        <v>317</v>
      </c>
      <c r="L261" s="2870" t="s">
        <v>317</v>
      </c>
      <c r="M261" s="2870" t="s">
        <v>317</v>
      </c>
      <c r="N261" s="2870"/>
      <c r="O261" s="2870"/>
      <c r="P261" s="2870" t="s">
        <v>317</v>
      </c>
      <c r="Q261" s="2870" t="s">
        <v>317</v>
      </c>
      <c r="R261" s="2870" t="s">
        <v>317</v>
      </c>
      <c r="S261" s="2870" t="s">
        <v>317</v>
      </c>
      <c r="T261" s="2870" t="s">
        <v>317</v>
      </c>
      <c r="U261" s="2870"/>
      <c r="V261" s="2870"/>
      <c r="W261" s="2802" t="s">
        <v>317</v>
      </c>
      <c r="X261" s="2802" t="s">
        <v>317</v>
      </c>
      <c r="Y261" s="2802" t="s">
        <v>317</v>
      </c>
      <c r="Z261" s="2802" t="s">
        <v>317</v>
      </c>
      <c r="AA261" s="2802" t="s">
        <v>317</v>
      </c>
      <c r="AB261" s="2870"/>
      <c r="AC261" s="2870"/>
      <c r="AD261" s="2802" t="s">
        <v>317</v>
      </c>
      <c r="AE261" s="2802" t="s">
        <v>317</v>
      </c>
      <c r="AF261" s="2802" t="s">
        <v>317</v>
      </c>
      <c r="AG261" s="2722" t="s">
        <v>317</v>
      </c>
      <c r="AH261" s="181"/>
      <c r="AI261" s="182"/>
    </row>
    <row r="262" spans="1:35" ht="24" customHeight="1" thickBot="1">
      <c r="A262" s="2723"/>
      <c r="B262" s="2724" t="s">
        <v>318</v>
      </c>
      <c r="C262" s="2833" t="s">
        <v>319</v>
      </c>
      <c r="D262" s="2833" t="s">
        <v>319</v>
      </c>
      <c r="E262" s="2833" t="s">
        <v>319</v>
      </c>
      <c r="F262" s="2833" t="s">
        <v>319</v>
      </c>
      <c r="G262" s="2833"/>
      <c r="H262" s="2833"/>
      <c r="I262" s="2833" t="s">
        <v>319</v>
      </c>
      <c r="J262" s="2833" t="s">
        <v>319</v>
      </c>
      <c r="K262" s="2833" t="s">
        <v>319</v>
      </c>
      <c r="L262" s="2833" t="s">
        <v>319</v>
      </c>
      <c r="M262" s="2833" t="s">
        <v>319</v>
      </c>
      <c r="N262" s="2833"/>
      <c r="O262" s="2833"/>
      <c r="P262" s="2833" t="s">
        <v>319</v>
      </c>
      <c r="Q262" s="2833" t="s">
        <v>319</v>
      </c>
      <c r="R262" s="2833" t="s">
        <v>319</v>
      </c>
      <c r="S262" s="2833" t="s">
        <v>319</v>
      </c>
      <c r="T262" s="2833" t="s">
        <v>319</v>
      </c>
      <c r="U262" s="2833"/>
      <c r="V262" s="2833"/>
      <c r="W262" s="2833" t="s">
        <v>319</v>
      </c>
      <c r="X262" s="2833" t="s">
        <v>319</v>
      </c>
      <c r="Y262" s="2833" t="s">
        <v>319</v>
      </c>
      <c r="Z262" s="2833" t="s">
        <v>319</v>
      </c>
      <c r="AA262" s="2833" t="s">
        <v>319</v>
      </c>
      <c r="AB262" s="2833"/>
      <c r="AC262" s="2833"/>
      <c r="AD262" s="2832" t="s">
        <v>319</v>
      </c>
      <c r="AE262" s="2832" t="s">
        <v>319</v>
      </c>
      <c r="AF262" s="2832" t="s">
        <v>319</v>
      </c>
      <c r="AG262" s="2726" t="s">
        <v>319</v>
      </c>
      <c r="AH262" s="181"/>
      <c r="AI262" s="182"/>
    </row>
    <row r="263" spans="1:35" ht="25.5" customHeight="1"/>
    <row r="264" spans="1:35" ht="21" customHeight="1"/>
    <row r="265" spans="1:35" ht="21" customHeight="1" thickBot="1">
      <c r="A265" s="161" t="s">
        <v>320</v>
      </c>
    </row>
    <row r="266" spans="1:35" ht="21" customHeight="1">
      <c r="A266" s="1"/>
      <c r="B266" s="396" t="s">
        <v>266</v>
      </c>
      <c r="C266" s="368"/>
      <c r="D266" s="384" t="s">
        <v>94</v>
      </c>
      <c r="E266" s="357"/>
      <c r="F266" s="372"/>
      <c r="G266" s="368"/>
      <c r="H266" s="384" t="s">
        <v>95</v>
      </c>
      <c r="I266" s="357"/>
      <c r="J266" s="372"/>
      <c r="K266" s="368"/>
      <c r="L266" s="384" t="s">
        <v>96</v>
      </c>
      <c r="M266" s="357"/>
      <c r="N266" s="372"/>
      <c r="O266" s="368"/>
      <c r="P266" s="384" t="s">
        <v>97</v>
      </c>
      <c r="Q266" s="357"/>
      <c r="R266" s="372"/>
      <c r="S266" s="368"/>
      <c r="T266" s="384" t="s">
        <v>98</v>
      </c>
      <c r="U266" s="357"/>
      <c r="V266" s="372"/>
      <c r="W266" s="368"/>
      <c r="X266" s="384" t="s">
        <v>99</v>
      </c>
      <c r="Y266" s="357"/>
      <c r="Z266" s="372"/>
      <c r="AA266" s="368"/>
      <c r="AB266" s="384" t="s">
        <v>100</v>
      </c>
      <c r="AC266" s="357"/>
      <c r="AD266" s="357"/>
      <c r="AE266" s="387" t="s">
        <v>101</v>
      </c>
      <c r="AF266" s="357"/>
      <c r="AG266" s="357"/>
      <c r="AH266" s="357"/>
      <c r="AI266" s="358"/>
    </row>
    <row r="267" spans="1:35" ht="21" customHeight="1">
      <c r="A267" s="1"/>
      <c r="B267" s="3"/>
      <c r="C267" s="8"/>
      <c r="D267" s="117"/>
      <c r="E267" s="14"/>
      <c r="F267" s="116"/>
      <c r="G267" s="8"/>
      <c r="H267" s="117"/>
      <c r="I267" s="14"/>
      <c r="J267" s="116"/>
      <c r="K267" s="8"/>
      <c r="L267" s="117"/>
      <c r="M267" s="14"/>
      <c r="N267" s="116"/>
      <c r="O267" s="8"/>
      <c r="P267" s="117"/>
      <c r="Q267" s="14"/>
      <c r="R267" s="116"/>
      <c r="S267" s="8"/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>
      <c r="A268" s="110"/>
      <c r="B268" s="2713"/>
      <c r="C268" s="2898"/>
      <c r="D268" s="2770"/>
      <c r="E268" s="2770"/>
      <c r="F268" s="2982"/>
      <c r="G268" s="2898"/>
      <c r="H268" s="2770"/>
      <c r="I268" s="2770"/>
      <c r="J268" s="2982"/>
      <c r="K268" s="2898"/>
      <c r="L268" s="2770"/>
      <c r="M268" s="2770"/>
      <c r="N268" s="2982"/>
      <c r="O268" s="2898"/>
      <c r="P268" s="2770"/>
      <c r="Q268" s="2770"/>
      <c r="R268" s="2982"/>
      <c r="S268" s="2898"/>
      <c r="T268" s="2770"/>
      <c r="U268" s="2770"/>
      <c r="V268" s="2982"/>
      <c r="W268" s="2898"/>
      <c r="X268" s="2770"/>
      <c r="Y268" s="2770"/>
      <c r="Z268" s="2982"/>
      <c r="AA268" s="2980"/>
      <c r="AB268" s="2770"/>
      <c r="AC268" s="2770"/>
      <c r="AD268" s="2899"/>
      <c r="AE268" s="2727"/>
      <c r="AF268" s="2770"/>
      <c r="AG268" s="2770"/>
      <c r="AH268" s="2899"/>
      <c r="AI268" s="2779"/>
    </row>
    <row r="269" spans="1:35" ht="33" customHeight="1" thickBot="1">
      <c r="A269" s="1"/>
      <c r="B269" s="2992"/>
      <c r="C269" s="2993"/>
      <c r="D269" s="2847"/>
      <c r="E269" s="2847"/>
      <c r="F269" s="3014"/>
      <c r="G269" s="2993"/>
      <c r="H269" s="2847"/>
      <c r="I269" s="2847"/>
      <c r="J269" s="3014"/>
      <c r="K269" s="2993"/>
      <c r="L269" s="2847"/>
      <c r="M269" s="2847"/>
      <c r="N269" s="3014"/>
      <c r="O269" s="2993"/>
      <c r="P269" s="2847"/>
      <c r="Q269" s="2847"/>
      <c r="R269" s="3014"/>
      <c r="S269" s="2993"/>
      <c r="T269" s="2847"/>
      <c r="U269" s="2847"/>
      <c r="V269" s="3014"/>
      <c r="W269" s="3012"/>
      <c r="X269" s="2847"/>
      <c r="Y269" s="2847"/>
      <c r="Z269" s="3014"/>
      <c r="AA269" s="3012"/>
      <c r="AB269" s="2847"/>
      <c r="AC269" s="2847"/>
      <c r="AD269" s="3000"/>
      <c r="AE269" s="3012"/>
      <c r="AF269" s="2847"/>
      <c r="AG269" s="2847"/>
      <c r="AH269" s="3000"/>
      <c r="AI269" s="2854"/>
    </row>
    <row r="270" spans="1:35" ht="21" customHeight="1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>
      <c r="A271" s="161" t="s">
        <v>321</v>
      </c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21" customHeight="1" thickBot="1">
      <c r="A272" s="2728" t="s">
        <v>28</v>
      </c>
      <c r="B272" s="2729" t="s">
        <v>29</v>
      </c>
      <c r="C272" s="2788">
        <v>1</v>
      </c>
      <c r="D272" s="2788">
        <v>2</v>
      </c>
      <c r="E272" s="2788">
        <v>3</v>
      </c>
      <c r="F272" s="2788">
        <v>4</v>
      </c>
      <c r="G272" s="2789">
        <v>5</v>
      </c>
      <c r="H272" s="2789">
        <v>6</v>
      </c>
      <c r="I272" s="2788">
        <v>7</v>
      </c>
      <c r="J272" s="2788">
        <v>8</v>
      </c>
      <c r="K272" s="2788">
        <v>9</v>
      </c>
      <c r="L272" s="2788">
        <v>10</v>
      </c>
      <c r="M272" s="2788">
        <v>11</v>
      </c>
      <c r="N272" s="2789">
        <v>12</v>
      </c>
      <c r="O272" s="2789">
        <v>13</v>
      </c>
      <c r="P272" s="2788">
        <v>14</v>
      </c>
      <c r="Q272" s="2788">
        <v>15</v>
      </c>
      <c r="R272" s="2788">
        <v>16</v>
      </c>
      <c r="S272" s="2788">
        <v>17</v>
      </c>
      <c r="T272" s="2788">
        <v>18</v>
      </c>
      <c r="U272" s="2789">
        <v>19</v>
      </c>
      <c r="V272" s="2789">
        <v>20</v>
      </c>
      <c r="W272" s="2788">
        <v>21</v>
      </c>
      <c r="X272" s="2788">
        <v>22</v>
      </c>
      <c r="Y272" s="2788">
        <v>23</v>
      </c>
      <c r="Z272" s="2788">
        <v>24</v>
      </c>
      <c r="AA272" s="2788">
        <v>25</v>
      </c>
      <c r="AB272" s="2789">
        <v>26</v>
      </c>
      <c r="AC272" s="2789">
        <v>27</v>
      </c>
      <c r="AD272" s="2788">
        <v>28</v>
      </c>
      <c r="AE272" s="2788">
        <v>29</v>
      </c>
      <c r="AF272" s="2788">
        <v>30</v>
      </c>
      <c r="AG272" s="2790">
        <v>31</v>
      </c>
      <c r="AH272" s="186"/>
      <c r="AI272" s="177"/>
    </row>
    <row r="273" spans="1:35" ht="21" customHeight="1">
      <c r="A273" s="88"/>
      <c r="B273" s="157" t="s">
        <v>322</v>
      </c>
      <c r="C273" s="2829" t="s">
        <v>32</v>
      </c>
      <c r="D273" s="2829" t="s">
        <v>32</v>
      </c>
      <c r="E273" s="2829" t="s">
        <v>32</v>
      </c>
      <c r="F273" s="2829" t="s">
        <v>32</v>
      </c>
      <c r="G273" s="2820"/>
      <c r="H273" s="2820"/>
      <c r="I273" s="2820" t="s">
        <v>32</v>
      </c>
      <c r="J273" s="2820" t="s">
        <v>32</v>
      </c>
      <c r="K273" s="2820" t="s">
        <v>32</v>
      </c>
      <c r="L273" s="2820" t="s">
        <v>32</v>
      </c>
      <c r="M273" s="2820" t="s">
        <v>32</v>
      </c>
      <c r="N273" s="2826"/>
      <c r="O273" s="2826"/>
      <c r="P273" s="2826" t="s">
        <v>32</v>
      </c>
      <c r="Q273" s="2825" t="s">
        <v>32</v>
      </c>
      <c r="R273" s="2826" t="s">
        <v>32</v>
      </c>
      <c r="S273" s="2820" t="s">
        <v>32</v>
      </c>
      <c r="T273" s="2820" t="s">
        <v>32</v>
      </c>
      <c r="U273" s="2826"/>
      <c r="V273" s="2826"/>
      <c r="W273" s="2826" t="s">
        <v>32</v>
      </c>
      <c r="X273" s="2820" t="s">
        <v>32</v>
      </c>
      <c r="Y273" s="2826" t="s">
        <v>32</v>
      </c>
      <c r="Z273" s="2826" t="s">
        <v>32</v>
      </c>
      <c r="AA273" s="2826" t="s">
        <v>32</v>
      </c>
      <c r="AB273" s="2820"/>
      <c r="AC273" s="2820"/>
      <c r="AD273" s="2820" t="s">
        <v>32</v>
      </c>
      <c r="AE273" s="2820" t="s">
        <v>32</v>
      </c>
      <c r="AF273" s="2820" t="s">
        <v>32</v>
      </c>
      <c r="AG273" s="2820" t="s">
        <v>32</v>
      </c>
      <c r="AH273" s="187"/>
      <c r="AI273" s="184"/>
    </row>
    <row r="274" spans="1:35" ht="21" customHeight="1">
      <c r="A274" s="2730"/>
      <c r="B274" s="2731" t="s">
        <v>323</v>
      </c>
      <c r="C274" s="2628" t="s">
        <v>32</v>
      </c>
      <c r="D274" s="2628" t="s">
        <v>32</v>
      </c>
      <c r="E274" s="2628" t="s">
        <v>32</v>
      </c>
      <c r="F274" s="2628" t="s">
        <v>32</v>
      </c>
      <c r="G274" s="2820"/>
      <c r="H274" s="2820"/>
      <c r="I274" s="2831" t="s">
        <v>32</v>
      </c>
      <c r="J274" s="2831" t="s">
        <v>32</v>
      </c>
      <c r="K274" s="2820" t="s">
        <v>32</v>
      </c>
      <c r="L274" s="2820" t="s">
        <v>32</v>
      </c>
      <c r="M274" s="2820" t="s">
        <v>32</v>
      </c>
      <c r="N274" s="2826"/>
      <c r="O274" s="2826"/>
      <c r="P274" s="2826" t="s">
        <v>32</v>
      </c>
      <c r="Q274" s="2825" t="s">
        <v>32</v>
      </c>
      <c r="R274" s="2826" t="s">
        <v>32</v>
      </c>
      <c r="S274" s="2820" t="s">
        <v>32</v>
      </c>
      <c r="T274" s="2820" t="s">
        <v>32</v>
      </c>
      <c r="U274" s="2826"/>
      <c r="V274" s="2826"/>
      <c r="W274" s="2826" t="s">
        <v>32</v>
      </c>
      <c r="X274" s="2820" t="s">
        <v>32</v>
      </c>
      <c r="Y274" s="2826" t="s">
        <v>32</v>
      </c>
      <c r="Z274" s="2826" t="s">
        <v>32</v>
      </c>
      <c r="AA274" s="2826" t="s">
        <v>32</v>
      </c>
      <c r="AB274" s="2820"/>
      <c r="AC274" s="2820"/>
      <c r="AD274" s="3044" t="s">
        <v>278</v>
      </c>
      <c r="AE274" s="2696" t="s">
        <v>32</v>
      </c>
      <c r="AF274" s="2701" t="s">
        <v>32</v>
      </c>
      <c r="AG274" s="2701" t="s">
        <v>32</v>
      </c>
      <c r="AH274" s="187"/>
      <c r="AI274" s="184"/>
    </row>
    <row r="275" spans="1:35" ht="21" customHeight="1">
      <c r="A275" s="2717"/>
      <c r="B275" s="2731" t="s">
        <v>324</v>
      </c>
      <c r="C275" s="2820" t="s">
        <v>32</v>
      </c>
      <c r="D275" s="2820" t="s">
        <v>32</v>
      </c>
      <c r="E275" s="2820" t="s">
        <v>32</v>
      </c>
      <c r="F275" s="2820" t="s">
        <v>32</v>
      </c>
      <c r="G275" s="2820"/>
      <c r="H275" s="2820"/>
      <c r="I275" s="2820" t="s">
        <v>32</v>
      </c>
      <c r="J275" s="2820" t="s">
        <v>32</v>
      </c>
      <c r="K275" s="2820" t="s">
        <v>32</v>
      </c>
      <c r="L275" s="2820" t="s">
        <v>32</v>
      </c>
      <c r="M275" s="2820" t="s">
        <v>32</v>
      </c>
      <c r="N275" s="2826"/>
      <c r="O275" s="2826"/>
      <c r="P275" s="2628" t="s">
        <v>32</v>
      </c>
      <c r="Q275" s="2825" t="s">
        <v>32</v>
      </c>
      <c r="R275" s="2826" t="s">
        <v>32</v>
      </c>
      <c r="S275" s="2820" t="s">
        <v>32</v>
      </c>
      <c r="T275" s="2820" t="s">
        <v>32</v>
      </c>
      <c r="U275" s="2826"/>
      <c r="V275" s="2826"/>
      <c r="W275" s="2826" t="s">
        <v>32</v>
      </c>
      <c r="X275" s="2820" t="s">
        <v>32</v>
      </c>
      <c r="Y275" s="2826" t="s">
        <v>32</v>
      </c>
      <c r="Z275" s="2826" t="s">
        <v>32</v>
      </c>
      <c r="AA275" s="2826" t="s">
        <v>32</v>
      </c>
      <c r="AB275" s="2820"/>
      <c r="AC275" s="2820"/>
      <c r="AD275" s="2820" t="s">
        <v>32</v>
      </c>
      <c r="AE275" s="2820" t="s">
        <v>32</v>
      </c>
      <c r="AF275" s="2820" t="s">
        <v>32</v>
      </c>
      <c r="AG275" s="2820" t="s">
        <v>32</v>
      </c>
      <c r="AH275" s="187"/>
      <c r="AI275" s="184"/>
    </row>
    <row r="276" spans="1:35" ht="21" customHeight="1">
      <c r="A276" s="2717"/>
      <c r="B276" s="2731" t="s">
        <v>325</v>
      </c>
      <c r="C276" s="2820" t="s">
        <v>32</v>
      </c>
      <c r="D276" s="2820" t="s">
        <v>32</v>
      </c>
      <c r="E276" s="2820" t="s">
        <v>32</v>
      </c>
      <c r="F276" s="2820" t="s">
        <v>32</v>
      </c>
      <c r="G276" s="2820"/>
      <c r="H276" s="2820"/>
      <c r="I276" s="2820" t="s">
        <v>32</v>
      </c>
      <c r="J276" s="2820" t="s">
        <v>32</v>
      </c>
      <c r="K276" s="2820" t="s">
        <v>32</v>
      </c>
      <c r="L276" s="2820" t="s">
        <v>32</v>
      </c>
      <c r="M276" s="2820" t="s">
        <v>32</v>
      </c>
      <c r="N276" s="2826"/>
      <c r="O276" s="2826"/>
      <c r="P276" s="2831" t="s">
        <v>32</v>
      </c>
      <c r="Q276" s="2831" t="s">
        <v>32</v>
      </c>
      <c r="R276" s="2826" t="s">
        <v>32</v>
      </c>
      <c r="S276" s="2820" t="s">
        <v>32</v>
      </c>
      <c r="T276" s="2820" t="s">
        <v>32</v>
      </c>
      <c r="U276" s="2826"/>
      <c r="V276" s="2826"/>
      <c r="W276" s="2826" t="s">
        <v>32</v>
      </c>
      <c r="X276" s="2820" t="s">
        <v>32</v>
      </c>
      <c r="Y276" s="2826" t="s">
        <v>32</v>
      </c>
      <c r="Z276" s="2826" t="s">
        <v>32</v>
      </c>
      <c r="AA276" s="2826" t="s">
        <v>32</v>
      </c>
      <c r="AB276" s="2820"/>
      <c r="AC276" s="2820"/>
      <c r="AD276" s="2831" t="s">
        <v>32</v>
      </c>
      <c r="AE276" s="2831" t="s">
        <v>32</v>
      </c>
      <c r="AF276" s="2831" t="s">
        <v>32</v>
      </c>
      <c r="AG276" s="2831" t="s">
        <v>32</v>
      </c>
      <c r="AH276" s="187"/>
      <c r="AI276" s="184"/>
    </row>
    <row r="277" spans="1:35" ht="21" customHeight="1">
      <c r="A277" s="2717"/>
      <c r="B277" s="2731" t="s">
        <v>326</v>
      </c>
      <c r="C277" s="2820" t="s">
        <v>32</v>
      </c>
      <c r="D277" s="2820" t="s">
        <v>32</v>
      </c>
      <c r="E277" s="2820" t="s">
        <v>32</v>
      </c>
      <c r="F277" s="2820" t="s">
        <v>32</v>
      </c>
      <c r="G277" s="2820"/>
      <c r="H277" s="2820"/>
      <c r="I277" s="2820" t="s">
        <v>32</v>
      </c>
      <c r="J277" s="2696" t="s">
        <v>32</v>
      </c>
      <c r="K277" s="2820" t="s">
        <v>32</v>
      </c>
      <c r="L277" s="2820" t="s">
        <v>32</v>
      </c>
      <c r="M277" s="2820" t="s">
        <v>32</v>
      </c>
      <c r="N277" s="2826"/>
      <c r="O277" s="2826"/>
      <c r="P277" s="2826" t="s">
        <v>32</v>
      </c>
      <c r="Q277" s="2825" t="s">
        <v>32</v>
      </c>
      <c r="R277" s="2826" t="s">
        <v>32</v>
      </c>
      <c r="S277" s="2820" t="s">
        <v>32</v>
      </c>
      <c r="T277" s="2820" t="s">
        <v>32</v>
      </c>
      <c r="U277" s="2826"/>
      <c r="V277" s="2826"/>
      <c r="W277" s="2826" t="s">
        <v>32</v>
      </c>
      <c r="X277" s="2820" t="s">
        <v>32</v>
      </c>
      <c r="Y277" s="2826" t="s">
        <v>32</v>
      </c>
      <c r="Z277" s="2826" t="s">
        <v>32</v>
      </c>
      <c r="AA277" s="2701" t="s">
        <v>32</v>
      </c>
      <c r="AB277" s="2820"/>
      <c r="AC277" s="2820"/>
      <c r="AD277" s="2820" t="s">
        <v>32</v>
      </c>
      <c r="AE277" s="2701" t="s">
        <v>32</v>
      </c>
      <c r="AF277" s="2820" t="s">
        <v>32</v>
      </c>
      <c r="AG277" s="2870" t="s">
        <v>32</v>
      </c>
      <c r="AH277" s="187"/>
      <c r="AI277" s="184"/>
    </row>
    <row r="278" spans="1:35" ht="21" customHeight="1">
      <c r="A278" s="2717"/>
      <c r="B278" s="2731" t="s">
        <v>327</v>
      </c>
      <c r="C278" s="2820" t="s">
        <v>32</v>
      </c>
      <c r="D278" s="2820" t="s">
        <v>32</v>
      </c>
      <c r="E278" s="2820" t="s">
        <v>32</v>
      </c>
      <c r="F278" s="2820" t="s">
        <v>32</v>
      </c>
      <c r="G278" s="2820"/>
      <c r="H278" s="2820"/>
      <c r="I278" s="2820" t="s">
        <v>32</v>
      </c>
      <c r="J278" s="2820" t="s">
        <v>32</v>
      </c>
      <c r="K278" s="2821" t="s">
        <v>32</v>
      </c>
      <c r="L278" s="2821" t="s">
        <v>32</v>
      </c>
      <c r="M278" s="2821" t="s">
        <v>32</v>
      </c>
      <c r="N278" s="2821"/>
      <c r="O278" s="2821"/>
      <c r="P278" s="2821" t="s">
        <v>278</v>
      </c>
      <c r="Q278" s="2696" t="s">
        <v>32</v>
      </c>
      <c r="R278" s="2826" t="s">
        <v>32</v>
      </c>
      <c r="S278" s="2820" t="s">
        <v>32</v>
      </c>
      <c r="T278" s="2820" t="s">
        <v>32</v>
      </c>
      <c r="U278" s="2826"/>
      <c r="V278" s="2826"/>
      <c r="W278" s="2826" t="s">
        <v>32</v>
      </c>
      <c r="X278" s="2820" t="s">
        <v>32</v>
      </c>
      <c r="Y278" s="2826" t="s">
        <v>32</v>
      </c>
      <c r="Z278" s="2826" t="s">
        <v>32</v>
      </c>
      <c r="AA278" s="2826" t="s">
        <v>32</v>
      </c>
      <c r="AB278" s="2820"/>
      <c r="AC278" s="2820"/>
      <c r="AD278" s="2820" t="s">
        <v>32</v>
      </c>
      <c r="AE278" s="2820" t="s">
        <v>32</v>
      </c>
      <c r="AF278" s="2820" t="s">
        <v>32</v>
      </c>
      <c r="AG278" s="2870" t="s">
        <v>32</v>
      </c>
      <c r="AH278" s="187"/>
      <c r="AI278" s="184"/>
    </row>
    <row r="279" spans="1:35" ht="21" customHeight="1">
      <c r="A279" s="2717"/>
      <c r="B279" s="2731" t="s">
        <v>328</v>
      </c>
      <c r="C279" s="2820" t="s">
        <v>32</v>
      </c>
      <c r="D279" s="2820" t="s">
        <v>32</v>
      </c>
      <c r="E279" s="2820" t="s">
        <v>32</v>
      </c>
      <c r="F279" s="2820" t="s">
        <v>32</v>
      </c>
      <c r="G279" s="2820"/>
      <c r="H279" s="2820"/>
      <c r="I279" s="2820" t="s">
        <v>32</v>
      </c>
      <c r="J279" s="2820" t="s">
        <v>32</v>
      </c>
      <c r="K279" s="2820" t="s">
        <v>32</v>
      </c>
      <c r="L279" s="2820" t="s">
        <v>32</v>
      </c>
      <c r="M279" s="2820" t="s">
        <v>32</v>
      </c>
      <c r="N279" s="2826"/>
      <c r="O279" s="2826"/>
      <c r="P279" s="2826" t="s">
        <v>32</v>
      </c>
      <c r="Q279" s="2825" t="s">
        <v>32</v>
      </c>
      <c r="R279" s="2831" t="s">
        <v>32</v>
      </c>
      <c r="S279" s="2820" t="s">
        <v>32</v>
      </c>
      <c r="T279" s="2820" t="s">
        <v>32</v>
      </c>
      <c r="U279" s="2826"/>
      <c r="V279" s="2826"/>
      <c r="W279" s="2826" t="s">
        <v>32</v>
      </c>
      <c r="X279" s="2820" t="s">
        <v>32</v>
      </c>
      <c r="Y279" s="2826" t="s">
        <v>32</v>
      </c>
      <c r="Z279" s="2826" t="s">
        <v>32</v>
      </c>
      <c r="AA279" s="2826" t="s">
        <v>32</v>
      </c>
      <c r="AB279" s="2820"/>
      <c r="AC279" s="2820"/>
      <c r="AD279" s="2820" t="s">
        <v>32</v>
      </c>
      <c r="AE279" s="2701" t="s">
        <v>32</v>
      </c>
      <c r="AF279" s="2831" t="s">
        <v>32</v>
      </c>
      <c r="AG279" s="2801" t="s">
        <v>32</v>
      </c>
      <c r="AH279" s="187"/>
      <c r="AI279" s="184"/>
    </row>
    <row r="280" spans="1:35" ht="21" customHeight="1">
      <c r="A280" s="2717"/>
      <c r="B280" s="2731" t="s">
        <v>329</v>
      </c>
      <c r="C280" s="2820" t="s">
        <v>32</v>
      </c>
      <c r="D280" s="2820" t="s">
        <v>32</v>
      </c>
      <c r="E280" s="2820" t="s">
        <v>32</v>
      </c>
      <c r="F280" s="2820" t="s">
        <v>32</v>
      </c>
      <c r="G280" s="2820"/>
      <c r="H280" s="2820"/>
      <c r="I280" s="2820" t="s">
        <v>32</v>
      </c>
      <c r="J280" s="2820" t="s">
        <v>32</v>
      </c>
      <c r="K280" s="2820" t="s">
        <v>32</v>
      </c>
      <c r="L280" s="2820" t="s">
        <v>32</v>
      </c>
      <c r="M280" s="2820" t="s">
        <v>32</v>
      </c>
      <c r="N280" s="2826"/>
      <c r="O280" s="2826"/>
      <c r="P280" s="2826" t="s">
        <v>32</v>
      </c>
      <c r="Q280" s="2825" t="s">
        <v>32</v>
      </c>
      <c r="R280" s="2826" t="s">
        <v>32</v>
      </c>
      <c r="S280" s="2820" t="s">
        <v>32</v>
      </c>
      <c r="T280" s="2820" t="s">
        <v>32</v>
      </c>
      <c r="U280" s="2826"/>
      <c r="V280" s="2826"/>
      <c r="W280" s="2826" t="s">
        <v>32</v>
      </c>
      <c r="X280" s="2820" t="s">
        <v>32</v>
      </c>
      <c r="Y280" s="2826" t="s">
        <v>32</v>
      </c>
      <c r="Z280" s="2826" t="s">
        <v>32</v>
      </c>
      <c r="AA280" s="2826" t="s">
        <v>32</v>
      </c>
      <c r="AB280" s="2820"/>
      <c r="AC280" s="2820"/>
      <c r="AD280" s="2820" t="s">
        <v>32</v>
      </c>
      <c r="AE280" s="2820" t="s">
        <v>32</v>
      </c>
      <c r="AF280" s="2820" t="s">
        <v>32</v>
      </c>
      <c r="AG280" s="2870" t="s">
        <v>32</v>
      </c>
      <c r="AH280" s="187"/>
      <c r="AI280" s="184"/>
    </row>
    <row r="281" spans="1:35" ht="21" customHeight="1">
      <c r="A281" s="2717"/>
      <c r="B281" s="2732" t="s">
        <v>330</v>
      </c>
      <c r="C281" s="2820" t="s">
        <v>32</v>
      </c>
      <c r="D281" s="2820" t="s">
        <v>32</v>
      </c>
      <c r="E281" s="2820" t="s">
        <v>32</v>
      </c>
      <c r="F281" s="2820" t="s">
        <v>32</v>
      </c>
      <c r="G281" s="2820"/>
      <c r="H281" s="2820"/>
      <c r="I281" s="2820" t="s">
        <v>32</v>
      </c>
      <c r="J281" s="2820" t="s">
        <v>32</v>
      </c>
      <c r="K281" s="2820" t="s">
        <v>32</v>
      </c>
      <c r="L281" s="2820" t="s">
        <v>32</v>
      </c>
      <c r="M281" s="2820" t="s">
        <v>32</v>
      </c>
      <c r="N281" s="2826"/>
      <c r="O281" s="2826"/>
      <c r="P281" s="2821" t="s">
        <v>32</v>
      </c>
      <c r="Q281" s="2821" t="s">
        <v>32</v>
      </c>
      <c r="R281" s="2821" t="s">
        <v>278</v>
      </c>
      <c r="S281" s="2696" t="s">
        <v>32</v>
      </c>
      <c r="T281" s="2696" t="s">
        <v>32</v>
      </c>
      <c r="U281" s="2696"/>
      <c r="V281" s="2696"/>
      <c r="W281" s="2826" t="s">
        <v>32</v>
      </c>
      <c r="X281" s="2820" t="s">
        <v>32</v>
      </c>
      <c r="Y281" s="2826" t="s">
        <v>32</v>
      </c>
      <c r="Z281" s="2826" t="s">
        <v>32</v>
      </c>
      <c r="AA281" s="2826" t="s">
        <v>32</v>
      </c>
      <c r="AB281" s="2820"/>
      <c r="AC281" s="2820"/>
      <c r="AD281" s="2820" t="s">
        <v>32</v>
      </c>
      <c r="AE281" s="2820" t="s">
        <v>32</v>
      </c>
      <c r="AF281" s="2820" t="s">
        <v>32</v>
      </c>
      <c r="AG281" s="2870" t="s">
        <v>32</v>
      </c>
      <c r="AH281" s="187"/>
      <c r="AI281" s="184"/>
    </row>
    <row r="282" spans="1:35" ht="21" customHeight="1">
      <c r="A282" s="2717"/>
      <c r="B282" s="2733" t="s">
        <v>331</v>
      </c>
      <c r="C282" s="2820" t="s">
        <v>32</v>
      </c>
      <c r="D282" s="2821" t="s">
        <v>32</v>
      </c>
      <c r="E282" s="2821" t="s">
        <v>32</v>
      </c>
      <c r="F282" s="2821" t="s">
        <v>278</v>
      </c>
      <c r="G282" s="2696"/>
      <c r="H282" s="2696"/>
      <c r="I282" s="2696" t="s">
        <v>32</v>
      </c>
      <c r="J282" s="2696" t="s">
        <v>32</v>
      </c>
      <c r="K282" s="2696" t="s">
        <v>32</v>
      </c>
      <c r="L282" s="2820" t="s">
        <v>32</v>
      </c>
      <c r="M282" s="2820" t="s">
        <v>32</v>
      </c>
      <c r="N282" s="2826"/>
      <c r="O282" s="2826"/>
      <c r="P282" s="2826" t="s">
        <v>32</v>
      </c>
      <c r="Q282" s="2825" t="s">
        <v>32</v>
      </c>
      <c r="R282" s="2826" t="s">
        <v>32</v>
      </c>
      <c r="S282" s="2820" t="s">
        <v>32</v>
      </c>
      <c r="T282" s="2820" t="s">
        <v>32</v>
      </c>
      <c r="U282" s="2826"/>
      <c r="V282" s="2826"/>
      <c r="W282" s="2826" t="s">
        <v>32</v>
      </c>
      <c r="X282" s="2820" t="s">
        <v>32</v>
      </c>
      <c r="Y282" s="2734" t="s">
        <v>32</v>
      </c>
      <c r="Z282" s="2734" t="s">
        <v>32</v>
      </c>
      <c r="AA282" s="2734" t="s">
        <v>32</v>
      </c>
      <c r="AB282" s="2820"/>
      <c r="AC282" s="2820"/>
      <c r="AD282" s="2820" t="s">
        <v>32</v>
      </c>
      <c r="AE282" s="2826" t="s">
        <v>32</v>
      </c>
      <c r="AF282" s="2826" t="s">
        <v>32</v>
      </c>
      <c r="AG282" s="2870" t="s">
        <v>32</v>
      </c>
      <c r="AH282" s="187"/>
      <c r="AI282" s="184"/>
    </row>
    <row r="283" spans="1:35" ht="21" customHeight="1">
      <c r="A283" s="2717"/>
      <c r="B283" s="2824" t="s">
        <v>332</v>
      </c>
      <c r="C283" s="2820" t="s">
        <v>32</v>
      </c>
      <c r="D283" s="2820" t="s">
        <v>32</v>
      </c>
      <c r="E283" s="2820" t="s">
        <v>32</v>
      </c>
      <c r="F283" s="2820" t="s">
        <v>32</v>
      </c>
      <c r="G283" s="2820"/>
      <c r="H283" s="2820"/>
      <c r="I283" s="2820" t="s">
        <v>32</v>
      </c>
      <c r="J283" s="2820" t="s">
        <v>32</v>
      </c>
      <c r="K283" s="2820" t="s">
        <v>32</v>
      </c>
      <c r="L283" s="2820" t="s">
        <v>32</v>
      </c>
      <c r="M283" s="2820" t="s">
        <v>32</v>
      </c>
      <c r="N283" s="2826"/>
      <c r="O283" s="2826"/>
      <c r="P283" s="2826" t="s">
        <v>32</v>
      </c>
      <c r="Q283" s="2825" t="s">
        <v>32</v>
      </c>
      <c r="R283" s="2826" t="s">
        <v>32</v>
      </c>
      <c r="S283" s="2820" t="s">
        <v>32</v>
      </c>
      <c r="T283" s="2820" t="s">
        <v>32</v>
      </c>
      <c r="U283" s="2826"/>
      <c r="V283" s="2826"/>
      <c r="W283" s="2826" t="s">
        <v>32</v>
      </c>
      <c r="X283" s="2820" t="s">
        <v>32</v>
      </c>
      <c r="Y283" s="2826" t="s">
        <v>32</v>
      </c>
      <c r="Z283" s="2826" t="s">
        <v>32</v>
      </c>
      <c r="AA283" s="2826" t="s">
        <v>32</v>
      </c>
      <c r="AB283" s="2820"/>
      <c r="AC283" s="2820"/>
      <c r="AD283" s="2820" t="s">
        <v>32</v>
      </c>
      <c r="AE283" s="2820" t="s">
        <v>32</v>
      </c>
      <c r="AF283" s="2820" t="s">
        <v>32</v>
      </c>
      <c r="AG283" s="2870" t="s">
        <v>32</v>
      </c>
      <c r="AH283" s="187"/>
      <c r="AI283" s="184"/>
    </row>
    <row r="284" spans="1:35" ht="21" customHeight="1">
      <c r="A284" s="2717"/>
      <c r="B284" s="2733"/>
      <c r="C284" s="2820"/>
      <c r="D284" s="2736"/>
      <c r="E284" s="2820"/>
      <c r="F284" s="2820"/>
      <c r="G284" s="2820"/>
      <c r="H284" s="2820"/>
      <c r="I284" s="2820"/>
      <c r="J284" s="2820"/>
      <c r="K284" s="2820"/>
      <c r="L284" s="2820"/>
      <c r="M284" s="2820"/>
      <c r="N284" s="2820"/>
      <c r="O284" s="2820"/>
      <c r="P284" s="2820"/>
      <c r="Q284" s="2820"/>
      <c r="R284" s="2820"/>
      <c r="S284" s="2820"/>
      <c r="T284" s="2820"/>
      <c r="U284" s="2820"/>
      <c r="V284" s="2820"/>
      <c r="W284" s="2820"/>
      <c r="X284" s="2820"/>
      <c r="Y284" s="2820"/>
      <c r="Z284" s="2820"/>
      <c r="AA284" s="2820"/>
      <c r="AB284" s="2820"/>
      <c r="AC284" s="2820"/>
      <c r="AD284" s="2820"/>
      <c r="AE284" s="2820"/>
      <c r="AF284" s="2820"/>
      <c r="AG284" s="2870"/>
      <c r="AH284" s="187"/>
      <c r="AI284" s="184"/>
    </row>
    <row r="285" spans="1:35">
      <c r="A285" s="2892"/>
      <c r="B285" s="2733"/>
      <c r="C285" s="2870"/>
      <c r="D285" s="2870"/>
      <c r="E285" s="2870"/>
      <c r="F285" s="2870"/>
      <c r="G285" s="2870"/>
      <c r="H285" s="2870"/>
      <c r="I285" s="2870"/>
      <c r="J285" s="2870"/>
      <c r="K285" s="2870"/>
      <c r="L285" s="2870"/>
      <c r="M285" s="2870"/>
      <c r="N285" s="2875"/>
      <c r="O285" s="2875"/>
      <c r="P285" s="2870"/>
      <c r="Q285" s="2870"/>
      <c r="R285" s="2870"/>
      <c r="S285" s="2870"/>
      <c r="T285" s="2870"/>
      <c r="U285" s="2870"/>
      <c r="V285" s="2870"/>
      <c r="W285" s="2870"/>
      <c r="X285" s="2870"/>
      <c r="Y285" s="2870"/>
      <c r="Z285" s="2870"/>
      <c r="AA285" s="2870"/>
      <c r="AB285" s="2875"/>
      <c r="AC285" s="2875"/>
      <c r="AD285" s="2870"/>
      <c r="AE285" s="2870"/>
      <c r="AF285" s="2870"/>
      <c r="AG285" s="2870"/>
      <c r="AH285" s="187"/>
      <c r="AI285" s="185"/>
    </row>
    <row r="286" spans="1:35" ht="12.75" thickBot="1">
      <c r="A286" s="1126"/>
      <c r="B286" s="1188"/>
      <c r="C286" s="2737"/>
      <c r="D286" s="2738"/>
      <c r="E286" s="2738"/>
      <c r="F286" s="2738"/>
      <c r="G286" s="2738"/>
      <c r="H286" s="2738"/>
      <c r="I286" s="2738"/>
      <c r="J286" s="2738"/>
      <c r="K286" s="2738"/>
      <c r="L286" s="2738"/>
      <c r="M286" s="2738"/>
      <c r="N286" s="2739"/>
      <c r="O286" s="2739"/>
      <c r="P286" s="2738"/>
      <c r="Q286" s="2738"/>
      <c r="R286" s="2738"/>
      <c r="S286" s="2738"/>
      <c r="T286" s="2738"/>
      <c r="U286" s="2738"/>
      <c r="V286" s="2738"/>
      <c r="W286" s="2738"/>
      <c r="X286" s="2738"/>
      <c r="Y286" s="2738"/>
      <c r="Z286" s="2738"/>
      <c r="AA286" s="2738"/>
      <c r="AB286" s="2739"/>
      <c r="AC286" s="2739"/>
      <c r="AD286" s="2738"/>
      <c r="AE286" s="2738"/>
      <c r="AF286" s="2738"/>
      <c r="AG286" s="2738"/>
      <c r="AH286" s="187"/>
      <c r="AI286" s="185"/>
    </row>
  </sheetData>
  <protectedRanges>
    <protectedRange sqref="B125:B12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7 B129:B13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BC03-2809-4C7A-A771-5A2F8E0AC162}">
  <sheetPr codeName="Ark81"/>
  <dimension ref="A1:AN290"/>
  <sheetViews>
    <sheetView zoomScale="90" zoomScaleNormal="90" workbookViewId="0">
      <pane xSplit="2" ySplit="3" topLeftCell="C99" activePane="bottomRight" state="frozen"/>
      <selection pane="topRight" activeCell="AJ75" sqref="AJ75"/>
      <selection pane="bottomLeft" activeCell="AJ75" sqref="AJ75"/>
      <selection pane="bottomRight" activeCell="A87" sqref="A87"/>
    </sheetView>
  </sheetViews>
  <sheetFormatPr defaultColWidth="9.140625" defaultRowHeight="12"/>
  <cols>
    <col min="1" max="1" width="5.7109375" customWidth="1"/>
    <col min="2" max="2" width="26.8554687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2740" t="s">
        <v>2</v>
      </c>
      <c r="C2" s="2741" t="s">
        <v>3</v>
      </c>
      <c r="D2" s="2742"/>
      <c r="E2" s="2743" t="s">
        <v>4</v>
      </c>
      <c r="F2" s="2744"/>
      <c r="G2" s="2745"/>
      <c r="H2" s="2745"/>
      <c r="I2" s="2745"/>
      <c r="J2" s="2745"/>
      <c r="K2" s="2746"/>
      <c r="L2" s="2747" t="s">
        <v>5</v>
      </c>
      <c r="M2" s="2748"/>
      <c r="N2" s="2749"/>
      <c r="O2" s="2750" t="s">
        <v>6</v>
      </c>
      <c r="P2" s="2751"/>
      <c r="Q2" s="2752"/>
      <c r="R2" s="2753"/>
      <c r="S2" s="2754" t="s">
        <v>7</v>
      </c>
      <c r="T2" s="2755"/>
      <c r="U2" s="2756"/>
      <c r="V2" s="2755"/>
      <c r="W2" s="2757" t="s">
        <v>8</v>
      </c>
      <c r="X2" s="2758"/>
      <c r="Y2" s="2759"/>
      <c r="Z2" s="163" t="s">
        <v>9</v>
      </c>
      <c r="AA2" s="2760"/>
      <c r="AB2" s="2761"/>
      <c r="AC2" s="2762"/>
      <c r="AD2" s="2763" t="s">
        <v>10</v>
      </c>
      <c r="AE2" s="2764"/>
      <c r="AF2" s="2764"/>
      <c r="AG2" s="2765"/>
      <c r="AK2" s="192"/>
    </row>
    <row r="3" spans="1:38" ht="13.35" customHeight="1">
      <c r="A3" s="1"/>
      <c r="B3" s="2766" t="s">
        <v>11</v>
      </c>
      <c r="C3" s="2767" t="s">
        <v>12</v>
      </c>
      <c r="D3" s="2768"/>
      <c r="E3" s="91"/>
      <c r="F3" s="92"/>
      <c r="G3" s="92"/>
      <c r="H3" s="164" t="s">
        <v>13</v>
      </c>
      <c r="I3" s="93"/>
      <c r="J3" s="93"/>
      <c r="K3" s="94"/>
      <c r="L3" s="2769" t="s">
        <v>14</v>
      </c>
      <c r="M3" s="2770"/>
      <c r="N3" s="2771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770"/>
      <c r="AA3" s="2770"/>
      <c r="AB3" s="2772"/>
      <c r="AC3" s="2773"/>
      <c r="AD3" s="2774" t="s">
        <v>17</v>
      </c>
      <c r="AE3" s="2775"/>
      <c r="AF3" s="2775"/>
      <c r="AG3" s="2776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2777" t="s">
        <v>20</v>
      </c>
      <c r="B6" s="2770"/>
      <c r="C6" s="2778"/>
      <c r="D6" s="2777" t="s">
        <v>21</v>
      </c>
      <c r="E6" s="2770"/>
      <c r="F6" s="2770"/>
      <c r="G6" s="2770"/>
      <c r="H6" s="2779"/>
      <c r="I6" s="2770"/>
      <c r="J6" s="2770"/>
      <c r="K6" s="2770"/>
      <c r="L6" s="2780" t="s">
        <v>22</v>
      </c>
      <c r="M6" s="2770"/>
      <c r="N6" s="2770"/>
      <c r="O6" s="2770"/>
      <c r="P6" s="2770"/>
      <c r="Q6" s="2770"/>
      <c r="R6" s="2770"/>
      <c r="S6" s="2778"/>
      <c r="T6" s="2781"/>
      <c r="U6" s="2770"/>
      <c r="V6" s="2770"/>
      <c r="W6" s="2770"/>
      <c r="X6" s="2770"/>
      <c r="Y6" s="2770"/>
      <c r="Z6" s="2770"/>
      <c r="AA6" s="2778"/>
      <c r="AB6" s="2782"/>
      <c r="AC6" s="2783"/>
      <c r="AD6" s="2783"/>
      <c r="AE6" s="2783"/>
      <c r="AF6" s="2783"/>
      <c r="AG6" s="2784"/>
    </row>
    <row r="7" spans="1:38" ht="22.35" customHeight="1">
      <c r="A7" s="2777" t="s">
        <v>23</v>
      </c>
      <c r="B7" s="2770"/>
      <c r="C7" s="2770"/>
      <c r="D7" s="2770"/>
      <c r="E7" s="2770"/>
      <c r="F7" s="2770"/>
      <c r="G7" s="2770"/>
      <c r="H7" s="2770"/>
      <c r="I7" s="2770"/>
      <c r="J7" s="2770"/>
      <c r="K7" s="2778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770"/>
      <c r="V7" s="2770"/>
      <c r="W7" s="2770"/>
      <c r="X7" s="2770"/>
      <c r="Y7" s="2770"/>
      <c r="Z7" s="2770"/>
      <c r="AA7" s="2770"/>
      <c r="AB7" s="2785"/>
      <c r="AC7" s="2770"/>
      <c r="AD7" s="2770"/>
      <c r="AE7" s="2770"/>
      <c r="AF7" s="2770"/>
      <c r="AG7" s="2778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2786" t="s">
        <v>28</v>
      </c>
      <c r="B11" s="2787" t="s">
        <v>29</v>
      </c>
      <c r="C11" s="2788">
        <v>1</v>
      </c>
      <c r="D11" s="2789">
        <v>2</v>
      </c>
      <c r="E11" s="2789">
        <v>3</v>
      </c>
      <c r="F11" s="2788">
        <v>4</v>
      </c>
      <c r="G11" s="2788">
        <v>5</v>
      </c>
      <c r="H11" s="2788">
        <v>6</v>
      </c>
      <c r="I11" s="2788">
        <v>7</v>
      </c>
      <c r="J11" s="2788">
        <v>8</v>
      </c>
      <c r="K11" s="2789">
        <v>9</v>
      </c>
      <c r="L11" s="2789">
        <v>10</v>
      </c>
      <c r="M11" s="2788">
        <v>11</v>
      </c>
      <c r="N11" s="2788">
        <v>12</v>
      </c>
      <c r="O11" s="2788">
        <v>13</v>
      </c>
      <c r="P11" s="2789">
        <v>14</v>
      </c>
      <c r="Q11" s="2789">
        <v>15</v>
      </c>
      <c r="R11" s="2789">
        <v>16</v>
      </c>
      <c r="S11" s="2789">
        <v>17</v>
      </c>
      <c r="T11" s="2789">
        <v>18</v>
      </c>
      <c r="U11" s="2788">
        <v>19</v>
      </c>
      <c r="V11" s="2788">
        <v>20</v>
      </c>
      <c r="W11" s="2788">
        <v>21</v>
      </c>
      <c r="X11" s="2788">
        <v>22</v>
      </c>
      <c r="Y11" s="2789">
        <v>23</v>
      </c>
      <c r="Z11" s="2789">
        <v>24</v>
      </c>
      <c r="AA11" s="2788">
        <v>25</v>
      </c>
      <c r="AB11" s="2788">
        <v>26</v>
      </c>
      <c r="AC11" s="2788">
        <v>27</v>
      </c>
      <c r="AD11" s="2788">
        <v>28</v>
      </c>
      <c r="AE11" s="2788">
        <v>29</v>
      </c>
      <c r="AF11" s="2789">
        <v>30</v>
      </c>
      <c r="AG11" s="2790"/>
      <c r="AH11" s="176"/>
      <c r="AI11" s="177"/>
      <c r="AJ11" s="2791" t="s">
        <v>30</v>
      </c>
    </row>
    <row r="12" spans="1:38" ht="22.35" customHeight="1">
      <c r="A12" s="506">
        <v>8500</v>
      </c>
      <c r="B12" s="389" t="s">
        <v>31</v>
      </c>
      <c r="C12" s="539" t="s">
        <v>32</v>
      </c>
      <c r="D12" s="349"/>
      <c r="E12" s="349"/>
      <c r="F12" s="530" t="s">
        <v>32</v>
      </c>
      <c r="G12" s="530" t="s">
        <v>32</v>
      </c>
      <c r="H12" s="530" t="s">
        <v>32</v>
      </c>
      <c r="I12" s="530" t="s">
        <v>32</v>
      </c>
      <c r="J12" s="530" t="s">
        <v>32</v>
      </c>
      <c r="K12" s="349"/>
      <c r="L12" s="349"/>
      <c r="M12" s="530" t="s">
        <v>32</v>
      </c>
      <c r="N12" s="541" t="s">
        <v>32</v>
      </c>
      <c r="O12" s="541" t="s">
        <v>32</v>
      </c>
      <c r="P12" s="349"/>
      <c r="Q12" s="349"/>
      <c r="R12" s="349"/>
      <c r="S12" s="349"/>
      <c r="T12" s="349"/>
      <c r="U12" s="541" t="s">
        <v>32</v>
      </c>
      <c r="V12" s="541" t="s">
        <v>32</v>
      </c>
      <c r="W12" s="541" t="s">
        <v>32</v>
      </c>
      <c r="X12" s="541" t="s">
        <v>32</v>
      </c>
      <c r="Y12" s="349"/>
      <c r="Z12" s="349"/>
      <c r="AA12" s="541" t="s">
        <v>32</v>
      </c>
      <c r="AB12" s="541" t="s">
        <v>32</v>
      </c>
      <c r="AC12" s="541" t="s">
        <v>32</v>
      </c>
      <c r="AD12" s="541" t="s">
        <v>32</v>
      </c>
      <c r="AE12" s="541" t="s">
        <v>32</v>
      </c>
      <c r="AF12" s="349"/>
      <c r="AG12" s="352"/>
      <c r="AH12" s="182"/>
      <c r="AI12" s="182"/>
      <c r="AJ12" s="2791">
        <v>160.33000000000001</v>
      </c>
    </row>
    <row r="13" spans="1:38" ht="22.35" customHeight="1">
      <c r="A13" s="2793" t="s">
        <v>33</v>
      </c>
      <c r="B13" s="2794"/>
      <c r="C13" s="2794"/>
      <c r="D13" s="2794"/>
      <c r="E13" s="2794"/>
      <c r="F13" s="2794"/>
      <c r="G13" s="2794"/>
      <c r="H13" s="2794"/>
      <c r="I13" s="2794"/>
      <c r="J13" s="2794"/>
      <c r="K13" s="2794"/>
      <c r="L13" s="2794"/>
      <c r="M13" s="2794"/>
      <c r="N13" s="2794"/>
      <c r="O13" s="2794"/>
      <c r="P13" s="2794"/>
      <c r="Q13" s="2794"/>
      <c r="R13" s="2794"/>
      <c r="S13" s="2794"/>
      <c r="T13" s="2794"/>
      <c r="U13" s="2794"/>
      <c r="V13" s="2794"/>
      <c r="W13" s="2794"/>
      <c r="X13" s="2794"/>
      <c r="Y13" s="2794"/>
      <c r="Z13" s="2794"/>
      <c r="AA13" s="2794"/>
      <c r="AB13" s="2794"/>
      <c r="AC13" s="2794"/>
      <c r="AD13" s="2794"/>
      <c r="AE13" s="2794"/>
      <c r="AF13" s="2794"/>
      <c r="AG13" s="2795"/>
      <c r="AH13" s="180"/>
      <c r="AI13" s="180"/>
    </row>
    <row r="14" spans="1:38" ht="22.35" customHeight="1">
      <c r="A14" s="2796">
        <v>8546</v>
      </c>
      <c r="B14" s="2805" t="s">
        <v>51</v>
      </c>
      <c r="C14" s="2798" t="s">
        <v>36</v>
      </c>
      <c r="D14" s="2798"/>
      <c r="E14" s="2798"/>
      <c r="F14" s="2798">
        <v>1</v>
      </c>
      <c r="G14" s="2798">
        <v>1</v>
      </c>
      <c r="H14" s="2810">
        <v>1</v>
      </c>
      <c r="I14" s="2810">
        <v>1</v>
      </c>
      <c r="J14" s="2799">
        <v>1</v>
      </c>
      <c r="K14" s="2807"/>
      <c r="L14" s="2799"/>
      <c r="M14" s="2875">
        <v>2</v>
      </c>
      <c r="N14" s="2798">
        <v>2</v>
      </c>
      <c r="O14" s="2798">
        <v>2</v>
      </c>
      <c r="P14" s="2802">
        <v>2</v>
      </c>
      <c r="Q14" s="2802">
        <v>2</v>
      </c>
      <c r="R14" s="2799" t="s">
        <v>35</v>
      </c>
      <c r="S14" s="2803" t="s">
        <v>35</v>
      </c>
      <c r="T14" s="2802" t="s">
        <v>36</v>
      </c>
      <c r="U14" s="2802" t="s">
        <v>36</v>
      </c>
      <c r="V14" s="2799" t="s">
        <v>36</v>
      </c>
      <c r="W14" s="2799" t="s">
        <v>36</v>
      </c>
      <c r="X14" s="2799" t="s">
        <v>36</v>
      </c>
      <c r="Y14" s="2799"/>
      <c r="Z14" s="2799"/>
      <c r="AA14" s="2799">
        <v>4</v>
      </c>
      <c r="AB14" s="2799">
        <v>4</v>
      </c>
      <c r="AC14" s="2799">
        <v>4</v>
      </c>
      <c r="AD14" s="2802">
        <v>4</v>
      </c>
      <c r="AE14" s="2799">
        <v>4</v>
      </c>
      <c r="AF14" s="2799" t="s">
        <v>37</v>
      </c>
      <c r="AG14" s="2804"/>
      <c r="AH14" s="182"/>
      <c r="AI14" s="182"/>
    </row>
    <row r="15" spans="1:38" ht="22.35" customHeight="1">
      <c r="A15" s="2796">
        <v>8546</v>
      </c>
      <c r="B15" s="2805" t="s">
        <v>38</v>
      </c>
      <c r="C15" s="2807">
        <v>4</v>
      </c>
      <c r="D15" s="2799" t="s">
        <v>37</v>
      </c>
      <c r="E15" s="2799" t="s">
        <v>37</v>
      </c>
      <c r="F15" s="2802" t="s">
        <v>36</v>
      </c>
      <c r="G15" s="2802" t="s">
        <v>36</v>
      </c>
      <c r="H15" s="2802" t="s">
        <v>36</v>
      </c>
      <c r="I15" s="2799" t="s">
        <v>36</v>
      </c>
      <c r="J15" s="2807" t="s">
        <v>36</v>
      </c>
      <c r="K15" s="2802"/>
      <c r="L15" s="2799"/>
      <c r="M15" s="2799">
        <v>1</v>
      </c>
      <c r="N15" s="2799">
        <v>1</v>
      </c>
      <c r="O15" s="2799">
        <v>1</v>
      </c>
      <c r="P15" s="2799">
        <v>1</v>
      </c>
      <c r="Q15" s="2799">
        <v>1</v>
      </c>
      <c r="R15" s="2799"/>
      <c r="S15" s="2799"/>
      <c r="T15" s="2799">
        <v>2</v>
      </c>
      <c r="U15" s="2799">
        <v>2</v>
      </c>
      <c r="V15" s="2799">
        <v>2</v>
      </c>
      <c r="W15" s="2799">
        <v>2</v>
      </c>
      <c r="X15" s="2799">
        <v>2</v>
      </c>
      <c r="Y15" s="2799" t="s">
        <v>35</v>
      </c>
      <c r="Z15" s="2799" t="s">
        <v>35</v>
      </c>
      <c r="AA15" s="2799" t="s">
        <v>36</v>
      </c>
      <c r="AB15" s="2799" t="s">
        <v>36</v>
      </c>
      <c r="AC15" s="2799" t="s">
        <v>36</v>
      </c>
      <c r="AD15" s="2799" t="s">
        <v>36</v>
      </c>
      <c r="AE15" s="2799" t="s">
        <v>36</v>
      </c>
      <c r="AF15" s="2799"/>
      <c r="AG15" s="2804"/>
      <c r="AH15" s="182"/>
      <c r="AI15" s="182"/>
      <c r="AL15" t="s">
        <v>0</v>
      </c>
    </row>
    <row r="16" spans="1:38" ht="22.35" customHeight="1" thickBot="1">
      <c r="A16" s="2796">
        <v>8546</v>
      </c>
      <c r="B16" s="2808" t="s">
        <v>39</v>
      </c>
      <c r="C16" s="2802">
        <v>2</v>
      </c>
      <c r="D16" s="2799" t="s">
        <v>35</v>
      </c>
      <c r="E16" s="2799" t="s">
        <v>35</v>
      </c>
      <c r="F16" s="2799" t="s">
        <v>36</v>
      </c>
      <c r="G16" s="2799" t="s">
        <v>36</v>
      </c>
      <c r="H16" s="2799" t="s">
        <v>36</v>
      </c>
      <c r="I16" s="2799" t="s">
        <v>36</v>
      </c>
      <c r="J16" s="2799" t="s">
        <v>36</v>
      </c>
      <c r="K16" s="2799"/>
      <c r="L16" s="2799"/>
      <c r="M16" s="2859">
        <v>4</v>
      </c>
      <c r="N16" s="2859" t="s">
        <v>334</v>
      </c>
      <c r="O16" s="3045">
        <v>4</v>
      </c>
      <c r="P16" s="2860">
        <v>4</v>
      </c>
      <c r="Q16" s="2876">
        <v>4</v>
      </c>
      <c r="R16" s="2876" t="s">
        <v>37</v>
      </c>
      <c r="S16" s="3046" t="s">
        <v>37</v>
      </c>
      <c r="T16" s="3046" t="s">
        <v>36</v>
      </c>
      <c r="U16" s="3046" t="s">
        <v>36</v>
      </c>
      <c r="V16" s="3046" t="s">
        <v>36</v>
      </c>
      <c r="W16" s="3047" t="s">
        <v>36</v>
      </c>
      <c r="X16" s="3046" t="s">
        <v>36</v>
      </c>
      <c r="Y16" s="2802"/>
      <c r="Z16" s="2802"/>
      <c r="AA16" s="2876">
        <v>1</v>
      </c>
      <c r="AB16" s="2876">
        <v>1</v>
      </c>
      <c r="AC16" s="2876">
        <v>1</v>
      </c>
      <c r="AD16" s="3046">
        <v>1</v>
      </c>
      <c r="AE16" s="3046">
        <v>1</v>
      </c>
      <c r="AF16" s="2799"/>
      <c r="AG16" s="2804"/>
      <c r="AH16" s="182"/>
      <c r="AI16" s="182"/>
    </row>
    <row r="17" spans="1:40" ht="22.35" customHeight="1">
      <c r="A17" s="2796">
        <v>8546</v>
      </c>
      <c r="B17" s="2805" t="s">
        <v>40</v>
      </c>
      <c r="C17" s="2799">
        <v>1</v>
      </c>
      <c r="D17" s="2807"/>
      <c r="E17" s="571"/>
      <c r="F17" s="2802">
        <v>2</v>
      </c>
      <c r="G17" s="2799">
        <v>2</v>
      </c>
      <c r="H17" s="2799">
        <v>2</v>
      </c>
      <c r="I17" s="2799">
        <v>2</v>
      </c>
      <c r="J17" s="2799">
        <v>2</v>
      </c>
      <c r="K17" s="2799" t="s">
        <v>35</v>
      </c>
      <c r="L17" s="2799" t="s">
        <v>35</v>
      </c>
      <c r="M17" s="2798" t="s">
        <v>36</v>
      </c>
      <c r="N17" s="571" t="s">
        <v>36</v>
      </c>
      <c r="O17" s="571" t="s">
        <v>36</v>
      </c>
      <c r="P17" s="571" t="s">
        <v>36</v>
      </c>
      <c r="Q17" s="400" t="s">
        <v>36</v>
      </c>
      <c r="R17" s="2798"/>
      <c r="S17" s="571"/>
      <c r="T17" s="2799">
        <v>4</v>
      </c>
      <c r="U17" s="2799">
        <v>4</v>
      </c>
      <c r="V17" s="2799">
        <v>4</v>
      </c>
      <c r="W17" s="2799">
        <v>4</v>
      </c>
      <c r="X17" s="2807">
        <v>4</v>
      </c>
      <c r="Y17" s="2799" t="s">
        <v>37</v>
      </c>
      <c r="Z17" s="2799" t="s">
        <v>37</v>
      </c>
      <c r="AA17" s="2811" t="s">
        <v>36</v>
      </c>
      <c r="AB17" s="2811" t="s">
        <v>36</v>
      </c>
      <c r="AC17" s="2811" t="s">
        <v>36</v>
      </c>
      <c r="AD17" s="2811" t="s">
        <v>36</v>
      </c>
      <c r="AE17" s="2811" t="s">
        <v>36</v>
      </c>
      <c r="AF17" s="2811"/>
      <c r="AG17" s="2804"/>
      <c r="AH17" s="182"/>
      <c r="AI17" s="182"/>
    </row>
    <row r="18" spans="1:40" ht="22.35" customHeight="1">
      <c r="A18" s="2796">
        <v>8546</v>
      </c>
      <c r="B18" s="2808" t="s">
        <v>41</v>
      </c>
      <c r="C18" s="2799" t="s">
        <v>36</v>
      </c>
      <c r="D18" s="2807"/>
      <c r="E18" s="2799"/>
      <c r="F18" s="2799">
        <v>4</v>
      </c>
      <c r="G18" s="2799">
        <v>4</v>
      </c>
      <c r="H18" s="2799">
        <v>4</v>
      </c>
      <c r="I18" s="2799">
        <v>4</v>
      </c>
      <c r="J18" s="2802">
        <v>4</v>
      </c>
      <c r="K18" s="2802" t="s">
        <v>37</v>
      </c>
      <c r="L18" s="2799" t="s">
        <v>37</v>
      </c>
      <c r="M18" s="2802" t="s">
        <v>36</v>
      </c>
      <c r="N18" s="2802" t="s">
        <v>36</v>
      </c>
      <c r="O18" s="2799" t="s">
        <v>36</v>
      </c>
      <c r="P18" s="2802" t="s">
        <v>36</v>
      </c>
      <c r="Q18" s="2802" t="s">
        <v>36</v>
      </c>
      <c r="R18" s="2802"/>
      <c r="S18" s="2802"/>
      <c r="T18" s="2801">
        <v>1</v>
      </c>
      <c r="U18" s="2801">
        <v>1</v>
      </c>
      <c r="V18" s="2801">
        <v>1</v>
      </c>
      <c r="W18" s="2801">
        <v>1</v>
      </c>
      <c r="X18" s="2801">
        <v>1</v>
      </c>
      <c r="Y18" s="2801"/>
      <c r="Z18" s="2801"/>
      <c r="AA18" s="2799">
        <v>2</v>
      </c>
      <c r="AB18" s="2799">
        <v>2</v>
      </c>
      <c r="AC18" s="2812">
        <v>2</v>
      </c>
      <c r="AD18" s="2799">
        <v>2</v>
      </c>
      <c r="AE18" s="2799">
        <v>2</v>
      </c>
      <c r="AF18" s="2799" t="s">
        <v>35</v>
      </c>
      <c r="AG18" s="2804"/>
      <c r="AH18" s="182"/>
      <c r="AI18" s="182"/>
    </row>
    <row r="19" spans="1:40" ht="22.35" customHeight="1" thickBot="1">
      <c r="A19" s="2813" t="s">
        <v>42</v>
      </c>
      <c r="B19" s="2814"/>
      <c r="C19" s="2815"/>
      <c r="D19" s="2815"/>
      <c r="E19" s="2815"/>
      <c r="F19" s="2815"/>
      <c r="G19" s="2815"/>
      <c r="H19" s="2815"/>
      <c r="I19" s="2815"/>
      <c r="J19" s="2815"/>
      <c r="K19" s="2815"/>
      <c r="L19" s="2815"/>
      <c r="M19" s="2815"/>
      <c r="N19" s="2815"/>
      <c r="O19" s="2815"/>
      <c r="P19" s="2815"/>
      <c r="Q19" s="2815"/>
      <c r="R19" s="2815"/>
      <c r="S19" s="2815"/>
      <c r="T19" s="2815"/>
      <c r="U19" s="2815"/>
      <c r="V19" s="2815"/>
      <c r="W19" s="2815"/>
      <c r="X19" s="2815"/>
      <c r="Y19" s="2815"/>
      <c r="Z19" s="2815"/>
      <c r="AA19" s="2815"/>
      <c r="AB19" s="2815"/>
      <c r="AC19" s="2815"/>
      <c r="AD19" s="2815"/>
      <c r="AE19" s="2815"/>
      <c r="AF19" s="2815"/>
      <c r="AG19" s="2816"/>
      <c r="AH19" s="180"/>
      <c r="AI19" s="180"/>
      <c r="AJ19" s="2791" t="s">
        <v>30</v>
      </c>
      <c r="AK19" s="2791" t="s">
        <v>43</v>
      </c>
      <c r="AL19" s="2791" t="s">
        <v>44</v>
      </c>
      <c r="AM19" s="2791" t="s">
        <v>45</v>
      </c>
      <c r="AN19" s="2791" t="s">
        <v>46</v>
      </c>
    </row>
    <row r="20" spans="1:40" ht="22.35" customHeight="1">
      <c r="A20" s="353">
        <v>8500</v>
      </c>
      <c r="B20" s="354" t="s">
        <v>48</v>
      </c>
      <c r="C20" s="349" t="s">
        <v>32</v>
      </c>
      <c r="D20" s="571"/>
      <c r="E20" s="571"/>
      <c r="F20" s="349" t="s">
        <v>32</v>
      </c>
      <c r="G20" s="546" t="s">
        <v>32</v>
      </c>
      <c r="H20" s="349" t="s">
        <v>32</v>
      </c>
      <c r="I20" s="2799" t="s">
        <v>32</v>
      </c>
      <c r="J20" s="349" t="s">
        <v>32</v>
      </c>
      <c r="K20" s="571"/>
      <c r="L20" s="571"/>
      <c r="M20" s="349" t="s">
        <v>32</v>
      </c>
      <c r="N20" s="571" t="s">
        <v>32</v>
      </c>
      <c r="O20" s="349" t="s">
        <v>32</v>
      </c>
      <c r="P20" s="571"/>
      <c r="Q20" s="571"/>
      <c r="R20" s="349"/>
      <c r="S20" s="349"/>
      <c r="T20" s="349"/>
      <c r="U20" s="349" t="s">
        <v>32</v>
      </c>
      <c r="V20" s="349" t="s">
        <v>32</v>
      </c>
      <c r="W20" s="349" t="s">
        <v>32</v>
      </c>
      <c r="X20" s="349" t="s">
        <v>32</v>
      </c>
      <c r="Y20" s="349"/>
      <c r="Z20" s="571"/>
      <c r="AA20" s="2629" t="s">
        <v>32</v>
      </c>
      <c r="AB20" s="2820" t="s">
        <v>32</v>
      </c>
      <c r="AC20" s="2820" t="s">
        <v>32</v>
      </c>
      <c r="AD20" s="2820" t="s">
        <v>32</v>
      </c>
      <c r="AE20" s="2820" t="s">
        <v>32</v>
      </c>
      <c r="AF20" s="349"/>
      <c r="AG20" s="397"/>
      <c r="AH20" s="182"/>
      <c r="AI20" s="182"/>
      <c r="AJ20" s="2696"/>
      <c r="AK20" s="2696"/>
      <c r="AL20" s="2696" t="str">
        <f>IF(AJ20="","",SUM(AJ20:AK20))</f>
        <v/>
      </c>
      <c r="AM20" s="2818" t="str">
        <f>IF(AJ20="","",AL20-NormTid)</f>
        <v/>
      </c>
      <c r="AN20" s="2818" t="str">
        <f>IF(AM20="","",AM20+'Marts 2022'!AN20)</f>
        <v/>
      </c>
    </row>
    <row r="21" spans="1:40" ht="22.35" customHeight="1">
      <c r="A21" s="2819">
        <v>8500</v>
      </c>
      <c r="B21" s="2797" t="s">
        <v>49</v>
      </c>
      <c r="C21" s="2820" t="s">
        <v>32</v>
      </c>
      <c r="D21" s="2820"/>
      <c r="E21" s="2820"/>
      <c r="F21" s="2820" t="s">
        <v>32</v>
      </c>
      <c r="G21" s="2820" t="s">
        <v>32</v>
      </c>
      <c r="H21" s="2820" t="s">
        <v>32</v>
      </c>
      <c r="I21" s="2822" t="s">
        <v>32</v>
      </c>
      <c r="J21" s="2820" t="s">
        <v>32</v>
      </c>
      <c r="K21" s="2820"/>
      <c r="L21" s="2825"/>
      <c r="M21" s="2820" t="s">
        <v>32</v>
      </c>
      <c r="N21" s="2820" t="s">
        <v>32</v>
      </c>
      <c r="O21" s="2820" t="s">
        <v>32</v>
      </c>
      <c r="P21" s="2820"/>
      <c r="Q21" s="2820"/>
      <c r="R21" s="2820"/>
      <c r="S21" s="2820"/>
      <c r="T21" s="2820"/>
      <c r="U21" s="2820" t="s">
        <v>32</v>
      </c>
      <c r="V21" s="2820" t="s">
        <v>32</v>
      </c>
      <c r="W21" s="2820" t="s">
        <v>32</v>
      </c>
      <c r="X21" s="2820" t="s">
        <v>32</v>
      </c>
      <c r="Y21" s="2825"/>
      <c r="Z21" s="2825"/>
      <c r="AA21" s="3048" t="s">
        <v>32</v>
      </c>
      <c r="AB21" s="2820" t="s">
        <v>32</v>
      </c>
      <c r="AC21" s="2820" t="s">
        <v>32</v>
      </c>
      <c r="AD21" s="2820" t="s">
        <v>32</v>
      </c>
      <c r="AE21" s="2820" t="s">
        <v>32</v>
      </c>
      <c r="AF21" s="2820"/>
      <c r="AG21" s="2823"/>
      <c r="AH21" s="182"/>
      <c r="AI21" s="182"/>
      <c r="AJ21" s="2696"/>
      <c r="AK21" s="2696"/>
      <c r="AL21" s="2696" t="str">
        <f t="shared" ref="AL21:AL23" si="0">IF(AJ21="","",SUM(AJ21:AK21))</f>
        <v/>
      </c>
      <c r="AM21" s="2818" t="str">
        <f>IF(AJ21="","",AL21-NormTid)</f>
        <v/>
      </c>
      <c r="AN21" s="2818" t="str">
        <f>IF(AM21="","",AM21+'Marts 2022'!AN21)</f>
        <v/>
      </c>
    </row>
    <row r="22" spans="1:40" ht="22.35" customHeight="1" thickBot="1">
      <c r="A22" s="2819">
        <v>8500</v>
      </c>
      <c r="B22" s="2797" t="s">
        <v>75</v>
      </c>
      <c r="C22" s="2820">
        <v>3</v>
      </c>
      <c r="D22" s="2820"/>
      <c r="E22" s="2820"/>
      <c r="F22" s="2788">
        <v>69</v>
      </c>
      <c r="G22" s="2958">
        <v>69</v>
      </c>
      <c r="H22" s="2889">
        <v>69</v>
      </c>
      <c r="I22" s="2958">
        <v>69</v>
      </c>
      <c r="J22" s="2958">
        <v>69</v>
      </c>
      <c r="K22" s="2820"/>
      <c r="L22" s="2820"/>
      <c r="M22" s="2831" t="s">
        <v>32</v>
      </c>
      <c r="N22" s="2831" t="s">
        <v>32</v>
      </c>
      <c r="O22" s="2831" t="s">
        <v>32</v>
      </c>
      <c r="P22" s="2831"/>
      <c r="Q22" s="2831"/>
      <c r="R22" s="2831"/>
      <c r="S22" s="2831"/>
      <c r="T22" s="2820">
        <v>1</v>
      </c>
      <c r="U22" s="2826">
        <v>1</v>
      </c>
      <c r="V22" s="2826">
        <v>1</v>
      </c>
      <c r="W22" s="2826">
        <v>1</v>
      </c>
      <c r="X22" s="2820">
        <v>1</v>
      </c>
      <c r="Y22" s="2826" t="s">
        <v>111</v>
      </c>
      <c r="Z22" s="2820" t="s">
        <v>111</v>
      </c>
      <c r="AA22" s="2820">
        <v>1</v>
      </c>
      <c r="AB22" s="2820">
        <v>1</v>
      </c>
      <c r="AC22" s="2820">
        <v>1</v>
      </c>
      <c r="AD22" s="2820">
        <v>1</v>
      </c>
      <c r="AE22" s="2820">
        <v>1</v>
      </c>
      <c r="AF22" s="2820"/>
      <c r="AG22" s="2823"/>
      <c r="AH22" s="182"/>
      <c r="AI22" s="182"/>
      <c r="AJ22" s="2696"/>
      <c r="AK22" s="2696"/>
      <c r="AL22" s="2696" t="str">
        <f t="shared" si="0"/>
        <v/>
      </c>
      <c r="AM22" s="2818" t="str">
        <f>IF(AJ22="","",AL22-NormTid)</f>
        <v/>
      </c>
      <c r="AN22" s="2818" t="str">
        <f>IF(AM22="","",AM22+'Marts 2022'!AN22)</f>
        <v/>
      </c>
    </row>
    <row r="23" spans="1:40" ht="22.35" customHeight="1">
      <c r="A23" s="2819"/>
      <c r="B23" s="2828"/>
      <c r="C23" s="2820"/>
      <c r="D23" s="2825"/>
      <c r="E23" s="2820"/>
      <c r="F23" s="2820"/>
      <c r="G23" s="2820"/>
      <c r="H23" s="2820"/>
      <c r="I23" s="2820"/>
      <c r="J23" s="2820"/>
      <c r="K23" s="2820"/>
      <c r="L23" s="2820"/>
      <c r="M23" s="2820"/>
      <c r="N23" s="2820"/>
      <c r="O23" s="2829"/>
      <c r="P23" s="2820"/>
      <c r="Q23" s="2820"/>
      <c r="R23" s="2830"/>
      <c r="S23" s="2830"/>
      <c r="T23" s="2820"/>
      <c r="U23" s="2820"/>
      <c r="V23" s="2820"/>
      <c r="W23" s="2820"/>
      <c r="X23" s="2820"/>
      <c r="Y23" s="2820"/>
      <c r="Z23" s="2820"/>
      <c r="AA23" s="2820"/>
      <c r="AB23" s="2820"/>
      <c r="AC23" s="2826"/>
      <c r="AD23" s="2826"/>
      <c r="AE23" s="2826"/>
      <c r="AF23" s="2826"/>
      <c r="AG23" s="2823"/>
      <c r="AJ23" s="2696"/>
      <c r="AK23" s="2696"/>
      <c r="AL23" s="2696" t="str">
        <f t="shared" si="0"/>
        <v/>
      </c>
      <c r="AM23" s="2818" t="str">
        <f>IF(AJ23="","",AL23-NormTid)</f>
        <v/>
      </c>
      <c r="AN23" s="2818" t="str">
        <f>IF(AM23="","",AM23+'Marts 2022'!AN23)</f>
        <v/>
      </c>
    </row>
    <row r="24" spans="1:40" ht="22.35" customHeight="1" thickBot="1">
      <c r="A24" s="1283"/>
      <c r="B24" s="2824" t="s">
        <v>54</v>
      </c>
      <c r="C24" s="2820" t="s">
        <v>32</v>
      </c>
      <c r="D24" s="2820"/>
      <c r="E24" s="2820"/>
      <c r="F24" s="2820" t="s">
        <v>32</v>
      </c>
      <c r="G24" s="2701" t="s">
        <v>32</v>
      </c>
      <c r="H24" s="2820" t="s">
        <v>32</v>
      </c>
      <c r="I24" s="2820" t="s">
        <v>32</v>
      </c>
      <c r="J24" s="2820" t="s">
        <v>32</v>
      </c>
      <c r="K24" s="2820"/>
      <c r="L24" s="2820"/>
      <c r="M24" s="2820" t="s">
        <v>32</v>
      </c>
      <c r="N24" s="2826" t="s">
        <v>32</v>
      </c>
      <c r="O24" s="2826" t="s">
        <v>32</v>
      </c>
      <c r="P24" s="2826"/>
      <c r="Q24" s="2825"/>
      <c r="R24" s="2826"/>
      <c r="S24" s="2820"/>
      <c r="T24" s="2820"/>
      <c r="U24" s="2826" t="s">
        <v>32</v>
      </c>
      <c r="V24" s="2826" t="s">
        <v>32</v>
      </c>
      <c r="W24" s="2826" t="s">
        <v>32</v>
      </c>
      <c r="X24" s="2820" t="s">
        <v>32</v>
      </c>
      <c r="Y24" s="2826"/>
      <c r="Z24" s="2820"/>
      <c r="AA24" s="2820" t="s">
        <v>32</v>
      </c>
      <c r="AB24" s="2820" t="s">
        <v>32</v>
      </c>
      <c r="AC24" s="2820" t="s">
        <v>32</v>
      </c>
      <c r="AD24" s="2820" t="s">
        <v>32</v>
      </c>
      <c r="AE24" s="2820" t="s">
        <v>32</v>
      </c>
      <c r="AF24" s="2820"/>
      <c r="AG24" s="2823"/>
    </row>
    <row r="25" spans="1:40" ht="22.35" customHeight="1">
      <c r="A25" s="102"/>
      <c r="C25">
        <v>1</v>
      </c>
      <c r="D25" s="2820"/>
      <c r="E25" s="2820"/>
      <c r="K25" s="2820">
        <v>22</v>
      </c>
      <c r="L25" s="2820"/>
      <c r="M25" s="2820" t="s">
        <v>0</v>
      </c>
      <c r="N25" s="2820" t="s">
        <v>0</v>
      </c>
      <c r="O25" s="2820" t="s">
        <v>0</v>
      </c>
      <c r="P25" s="2820"/>
      <c r="Q25" s="2820"/>
      <c r="R25" s="2696" t="s">
        <v>0</v>
      </c>
      <c r="S25" s="400"/>
      <c r="U25" s="232" t="s">
        <v>0</v>
      </c>
      <c r="V25" s="232" t="s">
        <v>183</v>
      </c>
      <c r="W25" s="232" t="s">
        <v>0</v>
      </c>
      <c r="X25" s="232" t="s">
        <v>0</v>
      </c>
    </row>
    <row r="26" spans="1:40" ht="22.35" customHeight="1">
      <c r="A26" s="102"/>
      <c r="F26" t="s">
        <v>0</v>
      </c>
      <c r="G26" t="s">
        <v>0</v>
      </c>
      <c r="H26" t="s">
        <v>0</v>
      </c>
      <c r="I26" t="s">
        <v>0</v>
      </c>
      <c r="J26" t="s">
        <v>0</v>
      </c>
      <c r="X26" t="s">
        <v>32</v>
      </c>
    </row>
    <row r="27" spans="1:40" ht="22.35" customHeight="1">
      <c r="A27" s="102"/>
    </row>
    <row r="28" spans="1:40" ht="22.35" customHeight="1">
      <c r="A28" s="102"/>
    </row>
    <row r="29" spans="1:40" ht="22.35" customHeight="1">
      <c r="A29" s="102"/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2836" t="s">
        <v>61</v>
      </c>
      <c r="B32" s="2783"/>
      <c r="C32" s="2783"/>
      <c r="D32" s="2837" t="s">
        <v>62</v>
      </c>
      <c r="E32" s="2838"/>
      <c r="F32" s="2770"/>
      <c r="G32" s="2770"/>
      <c r="H32" s="2770"/>
      <c r="I32" s="2770"/>
      <c r="J32" s="2770"/>
      <c r="K32" s="2770"/>
      <c r="L32" s="2778"/>
      <c r="M32" s="2839" t="s">
        <v>63</v>
      </c>
      <c r="N32" s="2783"/>
      <c r="O32" s="2840"/>
      <c r="P32" s="2783"/>
      <c r="Q32" s="2783"/>
      <c r="R32" s="2783"/>
      <c r="S32" s="2841"/>
      <c r="T32" s="2837" t="s">
        <v>64</v>
      </c>
      <c r="U32" s="2770"/>
      <c r="V32" s="2838"/>
      <c r="W32" s="2770"/>
      <c r="X32" s="2770"/>
      <c r="Y32" s="2770"/>
      <c r="Z32" s="2778"/>
      <c r="AA32" s="162" t="s">
        <v>65</v>
      </c>
      <c r="AD32" s="100"/>
      <c r="AG32" s="103"/>
      <c r="AK32" s="1"/>
    </row>
    <row r="33" spans="1:38" ht="22.35" customHeight="1">
      <c r="A33" s="2842" t="s">
        <v>66</v>
      </c>
      <c r="B33" s="2770"/>
      <c r="C33" s="2770"/>
      <c r="D33" s="2843"/>
      <c r="E33" s="2770"/>
      <c r="F33" s="2770"/>
      <c r="G33" s="2778"/>
      <c r="H33" s="2785" t="s">
        <v>67</v>
      </c>
      <c r="I33" s="2770"/>
      <c r="J33" s="2770"/>
      <c r="K33" s="2770"/>
      <c r="L33" s="2770"/>
      <c r="M33" s="2844"/>
      <c r="N33" s="2770"/>
      <c r="O33" s="2770"/>
      <c r="P33" s="2770"/>
      <c r="Q33" s="2770"/>
      <c r="R33" s="2770"/>
      <c r="S33" s="2770"/>
      <c r="T33" s="2843"/>
      <c r="U33" s="161" t="s">
        <v>68</v>
      </c>
      <c r="AA33" s="2840"/>
      <c r="AB33" s="2783"/>
      <c r="AC33" s="2783"/>
      <c r="AD33" s="2783"/>
      <c r="AE33" s="2783"/>
      <c r="AF33" s="2783"/>
      <c r="AG33" s="2845"/>
      <c r="AK33" s="64"/>
    </row>
    <row r="34" spans="1:38" ht="22.35" customHeight="1" thickBot="1">
      <c r="A34" s="2846" t="s">
        <v>69</v>
      </c>
      <c r="B34" s="2847"/>
      <c r="C34" s="2847"/>
      <c r="D34" s="2848"/>
      <c r="E34" s="2847"/>
      <c r="F34" s="2847"/>
      <c r="G34" s="2849"/>
      <c r="H34" s="2850" t="s">
        <v>70</v>
      </c>
      <c r="I34" s="2849"/>
      <c r="J34" s="2847"/>
      <c r="K34" s="2847"/>
      <c r="L34" s="2847"/>
      <c r="M34" s="2851"/>
      <c r="N34" s="2847"/>
      <c r="O34" s="2847"/>
      <c r="P34" s="2847"/>
      <c r="Q34" s="2852"/>
      <c r="R34" s="2852"/>
      <c r="S34" s="2852"/>
      <c r="T34" s="2848"/>
      <c r="U34" s="2853" t="s">
        <v>71</v>
      </c>
      <c r="V34" s="2847"/>
      <c r="W34" s="2847"/>
      <c r="X34" s="2847"/>
      <c r="Y34" s="2847"/>
      <c r="Z34" s="2847"/>
      <c r="AA34" s="2847"/>
      <c r="AB34" s="2847"/>
      <c r="AC34" s="2847"/>
      <c r="AD34" s="2847"/>
      <c r="AE34" s="2847"/>
      <c r="AF34" s="2847"/>
      <c r="AG34" s="2854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2855" t="s">
        <v>28</v>
      </c>
      <c r="B36" s="2856" t="s">
        <v>29</v>
      </c>
      <c r="C36" s="2788">
        <v>1</v>
      </c>
      <c r="D36" s="2789">
        <v>2</v>
      </c>
      <c r="E36" s="2789">
        <v>3</v>
      </c>
      <c r="F36" s="2788">
        <v>4</v>
      </c>
      <c r="G36" s="2788">
        <v>5</v>
      </c>
      <c r="H36" s="2788">
        <v>6</v>
      </c>
      <c r="I36" s="2788">
        <v>7</v>
      </c>
      <c r="J36" s="2788">
        <v>8</v>
      </c>
      <c r="K36" s="2789">
        <v>9</v>
      </c>
      <c r="L36" s="2789">
        <v>10</v>
      </c>
      <c r="M36" s="2788">
        <v>11</v>
      </c>
      <c r="N36" s="2788">
        <v>12</v>
      </c>
      <c r="O36" s="2788">
        <v>13</v>
      </c>
      <c r="P36" s="2789">
        <v>14</v>
      </c>
      <c r="Q36" s="2789">
        <v>15</v>
      </c>
      <c r="R36" s="2789">
        <v>16</v>
      </c>
      <c r="S36" s="2789">
        <v>17</v>
      </c>
      <c r="T36" s="2789">
        <v>18</v>
      </c>
      <c r="U36" s="2788">
        <v>19</v>
      </c>
      <c r="V36" s="2788">
        <v>20</v>
      </c>
      <c r="W36" s="2788">
        <v>21</v>
      </c>
      <c r="X36" s="2788">
        <v>22</v>
      </c>
      <c r="Y36" s="2789">
        <v>23</v>
      </c>
      <c r="Z36" s="2789">
        <v>24</v>
      </c>
      <c r="AA36" s="2788">
        <v>25</v>
      </c>
      <c r="AB36" s="2788">
        <v>26</v>
      </c>
      <c r="AC36" s="2788">
        <v>27</v>
      </c>
      <c r="AD36" s="2788">
        <v>28</v>
      </c>
      <c r="AE36" s="2788">
        <v>29</v>
      </c>
      <c r="AF36" s="2789">
        <v>30</v>
      </c>
      <c r="AG36" s="2790"/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>
        <v>11</v>
      </c>
      <c r="D37" s="349" t="s">
        <v>73</v>
      </c>
      <c r="E37" s="361" t="s">
        <v>73</v>
      </c>
      <c r="F37" s="361" t="s">
        <v>36</v>
      </c>
      <c r="G37" s="361" t="s">
        <v>36</v>
      </c>
      <c r="H37" s="361" t="s">
        <v>36</v>
      </c>
      <c r="I37" s="361" t="s">
        <v>36</v>
      </c>
      <c r="J37" s="349" t="s">
        <v>36</v>
      </c>
      <c r="K37" s="361" t="s">
        <v>74</v>
      </c>
      <c r="L37" s="361" t="s">
        <v>74</v>
      </c>
      <c r="M37" s="574">
        <v>8</v>
      </c>
      <c r="N37" s="361">
        <v>8</v>
      </c>
      <c r="O37" s="349">
        <v>8</v>
      </c>
      <c r="P37" s="361">
        <v>8</v>
      </c>
      <c r="Q37" s="350">
        <v>8</v>
      </c>
      <c r="R37" s="349"/>
      <c r="S37" s="361"/>
      <c r="T37" s="361" t="s">
        <v>36</v>
      </c>
      <c r="U37" s="361" t="s">
        <v>36</v>
      </c>
      <c r="V37" s="361" t="s">
        <v>36</v>
      </c>
      <c r="W37" s="361" t="s">
        <v>36</v>
      </c>
      <c r="X37" s="350" t="s">
        <v>36</v>
      </c>
      <c r="Y37" s="350"/>
      <c r="Z37" s="361"/>
      <c r="AA37" s="361">
        <v>1</v>
      </c>
      <c r="AB37" s="350">
        <v>1</v>
      </c>
      <c r="AC37" s="350">
        <v>1</v>
      </c>
      <c r="AD37" s="350">
        <v>1</v>
      </c>
      <c r="AE37" s="361">
        <v>1</v>
      </c>
      <c r="AF37" s="361"/>
      <c r="AG37" s="362"/>
      <c r="AH37" s="181"/>
      <c r="AI37" s="182"/>
    </row>
    <row r="38" spans="1:38" ht="22.35" customHeight="1">
      <c r="A38" s="2857">
        <v>6</v>
      </c>
      <c r="B38" s="2824" t="s">
        <v>130</v>
      </c>
      <c r="C38" s="2798">
        <v>9</v>
      </c>
      <c r="D38" s="2798" t="s">
        <v>76</v>
      </c>
      <c r="E38" s="2798" t="s">
        <v>77</v>
      </c>
      <c r="F38" s="2798" t="s">
        <v>36</v>
      </c>
      <c r="G38" s="2858" t="s">
        <v>36</v>
      </c>
      <c r="H38" s="2858" t="s">
        <v>36</v>
      </c>
      <c r="I38" s="2858" t="s">
        <v>36</v>
      </c>
      <c r="J38" s="2858" t="s">
        <v>36</v>
      </c>
      <c r="K38" s="2798" t="s">
        <v>78</v>
      </c>
      <c r="L38" s="2798" t="s">
        <v>74</v>
      </c>
      <c r="M38" s="2969">
        <v>6</v>
      </c>
      <c r="N38" s="2969">
        <v>6</v>
      </c>
      <c r="O38" s="2860">
        <v>6</v>
      </c>
      <c r="P38" s="2860">
        <v>6</v>
      </c>
      <c r="Q38" s="2860">
        <v>6</v>
      </c>
      <c r="R38" s="2860"/>
      <c r="S38" s="2860"/>
      <c r="T38" s="2798" t="s">
        <v>36</v>
      </c>
      <c r="U38" s="2858" t="s">
        <v>36</v>
      </c>
      <c r="V38" s="2858" t="s">
        <v>36</v>
      </c>
      <c r="W38" s="2858" t="s">
        <v>36</v>
      </c>
      <c r="X38" s="2858" t="s">
        <v>36</v>
      </c>
      <c r="Y38" s="2798"/>
      <c r="Z38" s="2858" t="s">
        <v>0</v>
      </c>
      <c r="AA38" s="2858">
        <v>5</v>
      </c>
      <c r="AB38" s="2858">
        <v>5</v>
      </c>
      <c r="AC38" s="2858">
        <v>5</v>
      </c>
      <c r="AD38" s="2798">
        <v>5</v>
      </c>
      <c r="AE38" s="2798">
        <v>5</v>
      </c>
      <c r="AF38" s="2858" t="s">
        <v>0</v>
      </c>
      <c r="AG38" s="2858" t="s">
        <v>0</v>
      </c>
      <c r="AH38" s="181"/>
      <c r="AI38" s="182"/>
    </row>
    <row r="39" spans="1:38" ht="22.35" customHeight="1" thickBot="1">
      <c r="A39" s="2862">
        <v>11</v>
      </c>
      <c r="B39" s="2863" t="s">
        <v>79</v>
      </c>
      <c r="C39" s="2882">
        <v>3</v>
      </c>
      <c r="D39" s="2833" t="s">
        <v>0</v>
      </c>
      <c r="E39" s="2833" t="s">
        <v>0</v>
      </c>
      <c r="F39" s="2864" t="s">
        <v>32</v>
      </c>
      <c r="G39" s="2864">
        <v>1</v>
      </c>
      <c r="H39" s="2883" t="s">
        <v>32</v>
      </c>
      <c r="I39" s="3049" t="s">
        <v>32</v>
      </c>
      <c r="J39" s="2864">
        <v>1</v>
      </c>
      <c r="K39" s="2864" t="s">
        <v>0</v>
      </c>
      <c r="L39" s="2864" t="s">
        <v>0</v>
      </c>
      <c r="M39" s="2864" t="s">
        <v>32</v>
      </c>
      <c r="N39" s="2864">
        <v>1</v>
      </c>
      <c r="O39" s="3050" t="s">
        <v>32</v>
      </c>
      <c r="P39" s="2864" t="s">
        <v>0</v>
      </c>
      <c r="Q39" s="2864" t="s">
        <v>0</v>
      </c>
      <c r="R39" s="2788"/>
      <c r="S39" s="2833"/>
      <c r="T39" s="2865" t="s">
        <v>0</v>
      </c>
      <c r="U39" s="2865">
        <v>4</v>
      </c>
      <c r="V39" s="3049">
        <v>4</v>
      </c>
      <c r="W39" s="2865">
        <v>4</v>
      </c>
      <c r="X39" s="2865">
        <v>4</v>
      </c>
      <c r="Y39" s="2833"/>
      <c r="Z39" s="2833"/>
      <c r="AA39" s="2833">
        <v>3</v>
      </c>
      <c r="AB39" s="2832">
        <v>3</v>
      </c>
      <c r="AC39" s="3049">
        <v>3</v>
      </c>
      <c r="AD39" s="2832">
        <v>3</v>
      </c>
      <c r="AE39" s="2833">
        <v>3</v>
      </c>
      <c r="AF39" s="2833"/>
      <c r="AG39" s="2834"/>
      <c r="AH39" s="181"/>
      <c r="AI39" s="182"/>
    </row>
    <row r="40" spans="1:38" ht="22.35" customHeight="1">
      <c r="A40" s="359">
        <v>2</v>
      </c>
      <c r="B40" s="175" t="s">
        <v>81</v>
      </c>
      <c r="C40" s="349" t="s">
        <v>36</v>
      </c>
      <c r="D40" s="349" t="s">
        <v>74</v>
      </c>
      <c r="E40" s="349" t="s">
        <v>74</v>
      </c>
      <c r="F40" s="349">
        <v>8</v>
      </c>
      <c r="G40" s="349">
        <v>8</v>
      </c>
      <c r="H40" s="361">
        <v>8</v>
      </c>
      <c r="I40" s="361">
        <v>8</v>
      </c>
      <c r="J40" s="349">
        <v>8</v>
      </c>
      <c r="K40" s="349"/>
      <c r="L40" s="361"/>
      <c r="M40" s="361" t="s">
        <v>36</v>
      </c>
      <c r="N40" s="361" t="s">
        <v>36</v>
      </c>
      <c r="O40" s="350" t="s">
        <v>36</v>
      </c>
      <c r="P40" s="361" t="s">
        <v>36</v>
      </c>
      <c r="Q40" s="350" t="s">
        <v>36</v>
      </c>
      <c r="R40" s="350"/>
      <c r="S40" s="349"/>
      <c r="T40" s="350">
        <v>1</v>
      </c>
      <c r="U40" s="350">
        <v>1</v>
      </c>
      <c r="V40" s="350">
        <v>1</v>
      </c>
      <c r="W40" s="350">
        <v>1</v>
      </c>
      <c r="X40" s="350">
        <v>1</v>
      </c>
      <c r="Y40" s="361"/>
      <c r="Z40" s="361"/>
      <c r="AA40" s="361">
        <v>9</v>
      </c>
      <c r="AB40" s="361">
        <v>9</v>
      </c>
      <c r="AC40" s="350">
        <v>9</v>
      </c>
      <c r="AD40" s="350">
        <v>9</v>
      </c>
      <c r="AE40" s="361">
        <v>9</v>
      </c>
      <c r="AF40" s="361" t="s">
        <v>76</v>
      </c>
      <c r="AG40" s="362"/>
      <c r="AH40" s="181"/>
      <c r="AI40" s="182"/>
    </row>
    <row r="41" spans="1:38" ht="22.35" customHeight="1">
      <c r="A41" s="2857">
        <v>7</v>
      </c>
      <c r="B41" s="2805" t="s">
        <v>82</v>
      </c>
      <c r="C41" s="2802" t="s">
        <v>36</v>
      </c>
      <c r="D41" s="2802" t="s">
        <v>78</v>
      </c>
      <c r="E41" s="2802" t="s">
        <v>74</v>
      </c>
      <c r="F41" s="2802">
        <v>6</v>
      </c>
      <c r="G41" s="2870">
        <v>6</v>
      </c>
      <c r="H41" s="2870">
        <v>6</v>
      </c>
      <c r="I41" s="2871">
        <v>6</v>
      </c>
      <c r="J41" s="2871">
        <v>6</v>
      </c>
      <c r="K41" s="2871"/>
      <c r="L41" s="2871"/>
      <c r="M41" s="3051">
        <v>4</v>
      </c>
      <c r="N41" s="3051">
        <v>4</v>
      </c>
      <c r="O41" s="2871" t="s">
        <v>36</v>
      </c>
      <c r="P41" s="2802" t="s">
        <v>36</v>
      </c>
      <c r="Q41" s="2802" t="s">
        <v>36</v>
      </c>
      <c r="R41" s="2802"/>
      <c r="S41" s="2802"/>
      <c r="T41" s="2802"/>
      <c r="U41" s="2872">
        <v>5</v>
      </c>
      <c r="V41" s="2872">
        <v>5</v>
      </c>
      <c r="W41" s="2872">
        <v>5</v>
      </c>
      <c r="X41" s="2872">
        <v>5</v>
      </c>
      <c r="Y41" s="2870"/>
      <c r="Z41" s="2870"/>
      <c r="AA41" s="2870">
        <v>10</v>
      </c>
      <c r="AB41" s="2870">
        <v>10</v>
      </c>
      <c r="AC41" s="2870">
        <v>10</v>
      </c>
      <c r="AD41" s="2870">
        <v>10</v>
      </c>
      <c r="AE41" s="2870">
        <v>10</v>
      </c>
      <c r="AF41" s="2870" t="s">
        <v>77</v>
      </c>
      <c r="AG41" s="2873"/>
      <c r="AH41" s="181"/>
      <c r="AI41" s="182"/>
    </row>
    <row r="42" spans="1:38" ht="22.35" customHeight="1" thickBot="1">
      <c r="A42" s="2862">
        <v>12</v>
      </c>
      <c r="B42" s="2922" t="s">
        <v>110</v>
      </c>
      <c r="C42" s="2864" t="s">
        <v>36</v>
      </c>
      <c r="D42" s="2864" t="s">
        <v>80</v>
      </c>
      <c r="E42" s="3052" t="s">
        <v>80</v>
      </c>
      <c r="F42" s="3053">
        <v>7</v>
      </c>
      <c r="G42" s="3053">
        <v>7</v>
      </c>
      <c r="H42" s="3053">
        <v>7</v>
      </c>
      <c r="I42" s="3054">
        <v>7</v>
      </c>
      <c r="J42" s="3054">
        <v>7</v>
      </c>
      <c r="K42" s="2788"/>
      <c r="L42" s="2833"/>
      <c r="M42" s="3049">
        <v>4</v>
      </c>
      <c r="N42" s="3049" t="s">
        <v>334</v>
      </c>
      <c r="O42" s="2883">
        <v>4</v>
      </c>
      <c r="P42" s="2883">
        <v>4</v>
      </c>
      <c r="Q42" s="2883">
        <v>4</v>
      </c>
      <c r="R42" s="3055"/>
      <c r="S42" s="3055"/>
      <c r="T42" s="3055">
        <v>3</v>
      </c>
      <c r="U42" s="3055">
        <v>3</v>
      </c>
      <c r="V42" s="3055">
        <v>3</v>
      </c>
      <c r="W42" s="3055">
        <v>3</v>
      </c>
      <c r="X42" s="3055">
        <v>3</v>
      </c>
      <c r="Y42" s="2833"/>
      <c r="Z42" s="2833"/>
      <c r="AA42" s="2833">
        <v>11</v>
      </c>
      <c r="AB42" s="2833">
        <v>11</v>
      </c>
      <c r="AC42" s="2788">
        <v>11</v>
      </c>
      <c r="AD42" s="2788">
        <v>11</v>
      </c>
      <c r="AE42" s="2788">
        <v>11</v>
      </c>
      <c r="AF42" s="2788" t="s">
        <v>73</v>
      </c>
      <c r="AG42" s="2790"/>
      <c r="AH42" s="181"/>
      <c r="AI42" s="182"/>
    </row>
    <row r="43" spans="1:38" ht="22.35" customHeight="1">
      <c r="A43" s="359">
        <v>3</v>
      </c>
      <c r="B43" s="363" t="s">
        <v>84</v>
      </c>
      <c r="C43" s="349">
        <v>8</v>
      </c>
      <c r="D43" s="350"/>
      <c r="E43" s="361"/>
      <c r="F43" s="361" t="s">
        <v>36</v>
      </c>
      <c r="G43" s="361" t="s">
        <v>36</v>
      </c>
      <c r="H43" s="361" t="s">
        <v>36</v>
      </c>
      <c r="I43" s="361" t="s">
        <v>36</v>
      </c>
      <c r="J43" s="350" t="s">
        <v>36</v>
      </c>
      <c r="K43" s="350"/>
      <c r="L43" s="350"/>
      <c r="M43" s="350">
        <v>1</v>
      </c>
      <c r="N43" s="552">
        <v>1</v>
      </c>
      <c r="O43" s="350">
        <v>1</v>
      </c>
      <c r="P43" s="350">
        <v>1</v>
      </c>
      <c r="Q43" s="350">
        <v>1</v>
      </c>
      <c r="R43" s="361"/>
      <c r="S43" s="361"/>
      <c r="T43" s="361">
        <v>9</v>
      </c>
      <c r="U43" s="361">
        <v>9</v>
      </c>
      <c r="V43" s="350">
        <v>9</v>
      </c>
      <c r="W43" s="350">
        <v>9</v>
      </c>
      <c r="X43" s="349">
        <v>9</v>
      </c>
      <c r="Y43" s="361" t="s">
        <v>76</v>
      </c>
      <c r="Z43" s="361" t="s">
        <v>77</v>
      </c>
      <c r="AA43" s="361" t="s">
        <v>36</v>
      </c>
      <c r="AB43" s="361" t="s">
        <v>36</v>
      </c>
      <c r="AC43" s="364" t="s">
        <v>36</v>
      </c>
      <c r="AD43" s="361" t="s">
        <v>36</v>
      </c>
      <c r="AE43" s="361" t="s">
        <v>36</v>
      </c>
      <c r="AF43" s="361" t="s">
        <v>78</v>
      </c>
      <c r="AG43" s="362"/>
      <c r="AH43" s="181"/>
      <c r="AI43" s="182"/>
    </row>
    <row r="44" spans="1:38" ht="22.35" customHeight="1">
      <c r="A44" s="2857">
        <v>8</v>
      </c>
      <c r="B44" s="2805" t="s">
        <v>85</v>
      </c>
      <c r="C44" s="2803">
        <v>6</v>
      </c>
      <c r="D44" s="2803"/>
      <c r="E44" s="2803"/>
      <c r="F44" s="2803" t="s">
        <v>36</v>
      </c>
      <c r="G44" s="2802" t="s">
        <v>36</v>
      </c>
      <c r="H44" s="2802" t="s">
        <v>36</v>
      </c>
      <c r="I44" s="2870" t="s">
        <v>36</v>
      </c>
      <c r="J44" s="2875" t="s">
        <v>36</v>
      </c>
      <c r="K44" s="2798"/>
      <c r="L44" s="2798"/>
      <c r="M44" s="2798">
        <v>5</v>
      </c>
      <c r="N44" s="2802">
        <v>5</v>
      </c>
      <c r="O44" s="2870">
        <v>5</v>
      </c>
      <c r="P44" s="2870"/>
      <c r="Q44" s="2870"/>
      <c r="R44" s="2870"/>
      <c r="S44" s="2870"/>
      <c r="T44" s="2870">
        <v>10</v>
      </c>
      <c r="U44" s="2870">
        <v>10</v>
      </c>
      <c r="V44" s="2870">
        <v>10</v>
      </c>
      <c r="W44" s="2870">
        <v>10</v>
      </c>
      <c r="X44" s="2875">
        <v>10</v>
      </c>
      <c r="Y44" s="2870" t="s">
        <v>77</v>
      </c>
      <c r="Z44" s="2870" t="s">
        <v>77</v>
      </c>
      <c r="AA44" s="2870" t="s">
        <v>36</v>
      </c>
      <c r="AB44" s="2870" t="s">
        <v>36</v>
      </c>
      <c r="AC44" s="2870" t="s">
        <v>36</v>
      </c>
      <c r="AD44" s="2802" t="s">
        <v>36</v>
      </c>
      <c r="AE44" s="2802" t="s">
        <v>36</v>
      </c>
      <c r="AF44" s="3056" t="s">
        <v>80</v>
      </c>
      <c r="AG44" s="2873"/>
      <c r="AH44" s="181"/>
      <c r="AI44" s="182"/>
    </row>
    <row r="45" spans="1:38" ht="22.35" customHeight="1" thickBot="1">
      <c r="A45" s="2862">
        <v>13</v>
      </c>
      <c r="B45" s="2863" t="s">
        <v>86</v>
      </c>
      <c r="C45" s="2788">
        <v>7</v>
      </c>
      <c r="D45" s="2788"/>
      <c r="E45" s="2833"/>
      <c r="F45" s="2725">
        <v>4</v>
      </c>
      <c r="G45" s="2725">
        <v>4</v>
      </c>
      <c r="H45" s="2725">
        <v>4</v>
      </c>
      <c r="I45" s="2725">
        <v>4</v>
      </c>
      <c r="J45" s="2725">
        <v>4</v>
      </c>
      <c r="K45" s="2725"/>
      <c r="L45" s="2725"/>
      <c r="M45" s="2725">
        <v>3</v>
      </c>
      <c r="N45" s="2725">
        <v>3</v>
      </c>
      <c r="O45" s="2725">
        <v>3</v>
      </c>
      <c r="P45" s="2832">
        <v>3</v>
      </c>
      <c r="Q45" s="2833">
        <v>3</v>
      </c>
      <c r="R45" s="2833"/>
      <c r="S45" s="2833"/>
      <c r="T45" s="2833">
        <v>11</v>
      </c>
      <c r="U45" s="2833">
        <v>11</v>
      </c>
      <c r="V45" s="2833">
        <v>11</v>
      </c>
      <c r="W45" s="2833">
        <v>11</v>
      </c>
      <c r="X45" s="2833">
        <v>11</v>
      </c>
      <c r="Y45" s="2788" t="s">
        <v>73</v>
      </c>
      <c r="Z45" s="2833" t="s">
        <v>73</v>
      </c>
      <c r="AA45" s="2833" t="s">
        <v>36</v>
      </c>
      <c r="AB45" s="2833" t="s">
        <v>36</v>
      </c>
      <c r="AC45" s="2833" t="s">
        <v>36</v>
      </c>
      <c r="AD45" s="2833" t="s">
        <v>36</v>
      </c>
      <c r="AE45" s="2788" t="s">
        <v>36</v>
      </c>
      <c r="AF45" s="2833" t="s">
        <v>74</v>
      </c>
      <c r="AG45" s="2834"/>
      <c r="AH45" s="181"/>
      <c r="AI45" s="182"/>
    </row>
    <row r="46" spans="1:38" ht="22.35" customHeight="1">
      <c r="A46" s="359">
        <v>4</v>
      </c>
      <c r="B46" s="2880" t="s">
        <v>392</v>
      </c>
      <c r="C46" s="361" t="s">
        <v>36</v>
      </c>
      <c r="D46" s="350"/>
      <c r="E46" s="361"/>
      <c r="F46" s="349">
        <v>1</v>
      </c>
      <c r="G46" s="349">
        <v>1</v>
      </c>
      <c r="H46" s="349">
        <v>1</v>
      </c>
      <c r="I46" s="349">
        <v>1</v>
      </c>
      <c r="J46" s="349">
        <v>1</v>
      </c>
      <c r="K46" s="349"/>
      <c r="L46" s="349"/>
      <c r="M46" s="349">
        <v>9</v>
      </c>
      <c r="N46" s="349">
        <v>9</v>
      </c>
      <c r="O46" s="349">
        <v>9</v>
      </c>
      <c r="P46" s="349">
        <v>9</v>
      </c>
      <c r="Q46" s="349">
        <v>9</v>
      </c>
      <c r="R46" s="349" t="s">
        <v>76</v>
      </c>
      <c r="S46" s="349" t="s">
        <v>77</v>
      </c>
      <c r="T46" s="361" t="s">
        <v>36</v>
      </c>
      <c r="U46" s="361" t="s">
        <v>36</v>
      </c>
      <c r="V46" s="364" t="s">
        <v>36</v>
      </c>
      <c r="W46" s="361" t="s">
        <v>36</v>
      </c>
      <c r="X46" s="361" t="s">
        <v>36</v>
      </c>
      <c r="Y46" s="349" t="s">
        <v>78</v>
      </c>
      <c r="Z46" s="361" t="s">
        <v>74</v>
      </c>
      <c r="AA46" s="361">
        <v>6</v>
      </c>
      <c r="AB46" s="361">
        <v>6</v>
      </c>
      <c r="AC46" s="361">
        <v>6</v>
      </c>
      <c r="AD46" s="361">
        <v>6</v>
      </c>
      <c r="AE46" s="350">
        <v>6</v>
      </c>
      <c r="AF46" s="361"/>
      <c r="AG46" s="362"/>
      <c r="AH46" s="181"/>
      <c r="AI46" s="182"/>
    </row>
    <row r="47" spans="1:38" ht="22.35" customHeight="1">
      <c r="A47" s="2857">
        <v>9</v>
      </c>
      <c r="B47" s="2805" t="s">
        <v>88</v>
      </c>
      <c r="C47" s="2870" t="s">
        <v>36</v>
      </c>
      <c r="D47" s="2870"/>
      <c r="E47" s="2870"/>
      <c r="F47" s="2870">
        <v>5</v>
      </c>
      <c r="G47" s="2870">
        <v>5</v>
      </c>
      <c r="H47" s="2870">
        <v>5</v>
      </c>
      <c r="I47" s="2870">
        <v>5</v>
      </c>
      <c r="J47" s="2870">
        <v>5</v>
      </c>
      <c r="K47" s="2870"/>
      <c r="L47" s="2870"/>
      <c r="M47" s="2870">
        <v>10</v>
      </c>
      <c r="N47" s="2870">
        <v>10</v>
      </c>
      <c r="O47" s="2870">
        <v>10</v>
      </c>
      <c r="P47" s="2870">
        <v>10</v>
      </c>
      <c r="Q47" s="2875">
        <v>10</v>
      </c>
      <c r="R47" s="2870" t="s">
        <v>338</v>
      </c>
      <c r="S47" s="2870" t="s">
        <v>338</v>
      </c>
      <c r="T47" s="2870" t="s">
        <v>36</v>
      </c>
      <c r="U47" s="2870" t="s">
        <v>36</v>
      </c>
      <c r="V47" s="2870" t="s">
        <v>36</v>
      </c>
      <c r="W47" s="2870" t="s">
        <v>36</v>
      </c>
      <c r="X47" s="2870" t="s">
        <v>36</v>
      </c>
      <c r="Y47" s="2859" t="s">
        <v>80</v>
      </c>
      <c r="Z47" s="2859" t="s">
        <v>80</v>
      </c>
      <c r="AA47" s="2859">
        <v>7</v>
      </c>
      <c r="AB47" s="2859">
        <v>7</v>
      </c>
      <c r="AC47" s="2870">
        <v>7</v>
      </c>
      <c r="AD47" s="2870">
        <v>7</v>
      </c>
      <c r="AE47" s="2870">
        <v>7</v>
      </c>
      <c r="AF47" s="2870"/>
      <c r="AG47" s="2873"/>
      <c r="AH47" s="181"/>
      <c r="AI47" s="182"/>
    </row>
    <row r="48" spans="1:38" ht="22.35" customHeight="1" thickBot="1">
      <c r="A48" s="2862">
        <v>14</v>
      </c>
      <c r="B48" s="2863" t="s">
        <v>89</v>
      </c>
      <c r="C48" s="2725">
        <v>4</v>
      </c>
      <c r="D48" s="2725"/>
      <c r="E48" s="2725"/>
      <c r="F48" s="3053">
        <v>3</v>
      </c>
      <c r="G48" s="3053">
        <v>3</v>
      </c>
      <c r="H48" s="3053">
        <v>3</v>
      </c>
      <c r="I48" s="3053">
        <v>3</v>
      </c>
      <c r="J48" s="3053">
        <v>3</v>
      </c>
      <c r="K48" s="3053"/>
      <c r="L48" s="3053"/>
      <c r="M48" s="3057">
        <v>11</v>
      </c>
      <c r="N48" s="2833">
        <v>11</v>
      </c>
      <c r="O48" s="2788">
        <v>11</v>
      </c>
      <c r="P48" s="2833">
        <v>11</v>
      </c>
      <c r="Q48" s="2833">
        <v>11</v>
      </c>
      <c r="R48" s="2788" t="s">
        <v>73</v>
      </c>
      <c r="S48" s="2833" t="s">
        <v>73</v>
      </c>
      <c r="T48" s="2833" t="s">
        <v>36</v>
      </c>
      <c r="U48" s="2833" t="s">
        <v>36</v>
      </c>
      <c r="V48" s="2833" t="s">
        <v>36</v>
      </c>
      <c r="W48" s="2833" t="s">
        <v>36</v>
      </c>
      <c r="X48" s="2788" t="s">
        <v>36</v>
      </c>
      <c r="Y48" s="2833" t="s">
        <v>74</v>
      </c>
      <c r="Z48" s="2833" t="s">
        <v>74</v>
      </c>
      <c r="AA48" s="2833">
        <v>8</v>
      </c>
      <c r="AB48" s="2833">
        <v>8</v>
      </c>
      <c r="AC48" s="2788">
        <v>8</v>
      </c>
      <c r="AD48" s="2833">
        <v>8</v>
      </c>
      <c r="AE48" s="2833">
        <v>8</v>
      </c>
      <c r="AF48" s="2788"/>
      <c r="AG48" s="2790"/>
      <c r="AH48" s="181"/>
      <c r="AI48" s="182"/>
    </row>
    <row r="49" spans="1:40" ht="22.35" customHeight="1">
      <c r="A49" s="359">
        <v>5</v>
      </c>
      <c r="B49" s="2805" t="s">
        <v>90</v>
      </c>
      <c r="C49" s="569">
        <v>1</v>
      </c>
      <c r="D49" s="552" t="s">
        <v>315</v>
      </c>
      <c r="E49" s="361"/>
      <c r="F49" s="350">
        <v>9</v>
      </c>
      <c r="G49" s="350">
        <v>9</v>
      </c>
      <c r="H49" s="350">
        <v>9</v>
      </c>
      <c r="I49" s="350">
        <v>9</v>
      </c>
      <c r="J49" s="350">
        <v>9</v>
      </c>
      <c r="K49" s="361" t="s">
        <v>76</v>
      </c>
      <c r="L49" s="361" t="s">
        <v>77</v>
      </c>
      <c r="M49" s="361" t="s">
        <v>36</v>
      </c>
      <c r="N49" s="351" t="s">
        <v>36</v>
      </c>
      <c r="O49" s="349" t="s">
        <v>36</v>
      </c>
      <c r="P49" s="361" t="s">
        <v>36</v>
      </c>
      <c r="Q49" s="361" t="s">
        <v>36</v>
      </c>
      <c r="R49" s="349" t="s">
        <v>78</v>
      </c>
      <c r="S49" s="361" t="s">
        <v>74</v>
      </c>
      <c r="T49" s="361">
        <v>6</v>
      </c>
      <c r="U49" s="350">
        <v>6</v>
      </c>
      <c r="V49" s="350">
        <v>6</v>
      </c>
      <c r="W49" s="350">
        <v>6</v>
      </c>
      <c r="X49" s="350">
        <v>6</v>
      </c>
      <c r="Y49" s="351"/>
      <c r="Z49" s="350"/>
      <c r="AA49" s="350" t="s">
        <v>36</v>
      </c>
      <c r="AB49" s="350" t="s">
        <v>36</v>
      </c>
      <c r="AC49" s="350" t="s">
        <v>36</v>
      </c>
      <c r="AD49" s="361" t="s">
        <v>36</v>
      </c>
      <c r="AE49" s="361" t="s">
        <v>36</v>
      </c>
      <c r="AF49" s="349"/>
      <c r="AG49" s="352"/>
      <c r="AH49" s="181"/>
      <c r="AI49" s="182"/>
    </row>
    <row r="50" spans="1:40" ht="22.35" customHeight="1">
      <c r="A50" s="2857">
        <v>10</v>
      </c>
      <c r="B50" s="2805" t="s">
        <v>91</v>
      </c>
      <c r="C50" s="2870">
        <v>5</v>
      </c>
      <c r="D50" s="2870"/>
      <c r="E50" s="2870"/>
      <c r="F50" s="2802">
        <v>10</v>
      </c>
      <c r="G50" s="2798">
        <v>10</v>
      </c>
      <c r="H50" s="2798">
        <v>10</v>
      </c>
      <c r="I50" s="2798">
        <v>10</v>
      </c>
      <c r="J50" s="2798">
        <v>10</v>
      </c>
      <c r="K50" s="2798" t="s">
        <v>77</v>
      </c>
      <c r="L50" s="2798" t="s">
        <v>77</v>
      </c>
      <c r="M50" s="2798" t="s">
        <v>36</v>
      </c>
      <c r="N50" s="2798" t="s">
        <v>36</v>
      </c>
      <c r="O50" s="2798" t="s">
        <v>36</v>
      </c>
      <c r="P50" s="2798" t="s">
        <v>36</v>
      </c>
      <c r="Q50" s="2798" t="s">
        <v>36</v>
      </c>
      <c r="R50" s="2798" t="s">
        <v>80</v>
      </c>
      <c r="S50" s="2798" t="s">
        <v>80</v>
      </c>
      <c r="T50" s="2798">
        <v>7</v>
      </c>
      <c r="U50" s="2798">
        <v>7</v>
      </c>
      <c r="V50" s="2798">
        <v>7</v>
      </c>
      <c r="W50" s="2802">
        <v>7</v>
      </c>
      <c r="X50" s="2870">
        <v>7</v>
      </c>
      <c r="Y50" s="2875"/>
      <c r="Z50" s="2870"/>
      <c r="AA50" s="2870">
        <v>4</v>
      </c>
      <c r="AB50" s="2870">
        <v>4</v>
      </c>
      <c r="AC50" s="2870">
        <v>4</v>
      </c>
      <c r="AD50" s="2870">
        <v>4</v>
      </c>
      <c r="AE50" s="3058">
        <v>4</v>
      </c>
      <c r="AF50" s="2870"/>
      <c r="AG50" s="2873"/>
      <c r="AH50" s="181"/>
      <c r="AI50" s="182"/>
    </row>
    <row r="51" spans="1:40" ht="22.35" customHeight="1" thickBot="1">
      <c r="A51" s="2862">
        <v>15</v>
      </c>
      <c r="B51" s="2863" t="s">
        <v>92</v>
      </c>
      <c r="C51" s="2725">
        <v>3</v>
      </c>
      <c r="D51" s="2725"/>
      <c r="E51" s="2725"/>
      <c r="F51" s="2832">
        <v>11</v>
      </c>
      <c r="G51" s="2832">
        <v>11</v>
      </c>
      <c r="H51" s="2832">
        <v>11</v>
      </c>
      <c r="I51" s="2832">
        <v>11</v>
      </c>
      <c r="J51" s="2832">
        <v>11</v>
      </c>
      <c r="K51" s="2788" t="s">
        <v>73</v>
      </c>
      <c r="L51" s="2833" t="s">
        <v>73</v>
      </c>
      <c r="M51" s="2833" t="s">
        <v>36</v>
      </c>
      <c r="N51" s="2833" t="s">
        <v>36</v>
      </c>
      <c r="O51" s="2833" t="s">
        <v>36</v>
      </c>
      <c r="P51" s="2833" t="s">
        <v>36</v>
      </c>
      <c r="Q51" s="2788" t="s">
        <v>36</v>
      </c>
      <c r="R51" s="3059" t="s">
        <v>74</v>
      </c>
      <c r="S51" s="3059" t="s">
        <v>74</v>
      </c>
      <c r="T51" s="2878">
        <v>8</v>
      </c>
      <c r="U51" s="2878">
        <v>8</v>
      </c>
      <c r="V51" s="2878">
        <v>8</v>
      </c>
      <c r="W51" s="2878">
        <v>8</v>
      </c>
      <c r="X51" s="2878">
        <v>8</v>
      </c>
      <c r="Y51" s="2788"/>
      <c r="Z51" s="2833"/>
      <c r="AA51" s="2833" t="s">
        <v>36</v>
      </c>
      <c r="AB51" s="2833" t="s">
        <v>36</v>
      </c>
      <c r="AC51" s="2833" t="s">
        <v>36</v>
      </c>
      <c r="AD51" s="2833" t="s">
        <v>36</v>
      </c>
      <c r="AE51" s="2788" t="s">
        <v>36</v>
      </c>
      <c r="AF51" s="2832"/>
      <c r="AG51" s="3060"/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  <c r="AK53" s="192"/>
    </row>
    <row r="54" spans="1:40" ht="22.35" customHeight="1">
      <c r="A54" s="2890" t="s">
        <v>28</v>
      </c>
      <c r="B54" s="2890"/>
      <c r="C54" s="2860"/>
      <c r="D54" s="2890" t="s">
        <v>94</v>
      </c>
      <c r="E54" s="2891"/>
      <c r="F54" s="2860"/>
      <c r="G54" s="2890" t="s">
        <v>95</v>
      </c>
      <c r="H54" s="2891"/>
      <c r="I54" s="2860"/>
      <c r="J54" s="2890" t="s">
        <v>96</v>
      </c>
      <c r="K54" s="2891"/>
      <c r="L54" s="2860"/>
      <c r="M54" s="2890" t="s">
        <v>97</v>
      </c>
      <c r="N54" s="2891"/>
      <c r="O54" s="2860"/>
      <c r="P54" s="2890" t="s">
        <v>98</v>
      </c>
      <c r="Q54" s="2891"/>
      <c r="R54" s="2892"/>
      <c r="S54" s="2893" t="s">
        <v>99</v>
      </c>
      <c r="T54" s="2891"/>
      <c r="U54" s="2860"/>
      <c r="V54" s="2890" t="s">
        <v>100</v>
      </c>
      <c r="W54" s="2891"/>
      <c r="X54" s="2894" t="s">
        <v>101</v>
      </c>
      <c r="Y54" s="2891"/>
      <c r="Z54" s="2891"/>
      <c r="AA54" s="2895"/>
      <c r="AB54" s="2772"/>
      <c r="AC54" s="2772"/>
      <c r="AD54" s="2772"/>
      <c r="AE54" s="2772"/>
      <c r="AF54" s="2772"/>
      <c r="AG54" s="2773"/>
      <c r="AH54" s="1"/>
    </row>
    <row r="55" spans="1:40" ht="22.35" customHeight="1">
      <c r="A55" s="2896">
        <v>8517</v>
      </c>
      <c r="B55" s="2897" t="s">
        <v>381</v>
      </c>
      <c r="C55" s="2898" t="s">
        <v>394</v>
      </c>
      <c r="D55" s="2899"/>
      <c r="E55" s="2771"/>
      <c r="F55" s="2898" t="s">
        <v>394</v>
      </c>
      <c r="G55" s="2899"/>
      <c r="H55" s="2771"/>
      <c r="I55" s="2898" t="s">
        <v>394</v>
      </c>
      <c r="J55" s="2899"/>
      <c r="K55" s="2771"/>
      <c r="L55" s="2898" t="s">
        <v>394</v>
      </c>
      <c r="M55" s="2899"/>
      <c r="N55" s="2771"/>
      <c r="O55" s="2898" t="s">
        <v>395</v>
      </c>
      <c r="P55" s="2899"/>
      <c r="Q55" s="2771"/>
      <c r="R55" s="2898"/>
      <c r="S55" s="2899"/>
      <c r="T55" s="2771"/>
      <c r="U55" s="2898" t="s">
        <v>383</v>
      </c>
      <c r="V55" s="2899"/>
      <c r="W55" s="2771"/>
      <c r="X55" s="2769"/>
      <c r="Y55" s="2772"/>
      <c r="Z55" s="2772"/>
      <c r="AA55" s="2772"/>
      <c r="AB55" s="2772"/>
      <c r="AC55" s="2772"/>
      <c r="AD55" s="2772"/>
      <c r="AE55" s="2772"/>
      <c r="AF55" s="2772"/>
      <c r="AG55" s="2773"/>
      <c r="AH55" s="1"/>
    </row>
    <row r="56" spans="1:40" ht="22.35" customHeight="1">
      <c r="B56" s="2796" t="s">
        <v>102</v>
      </c>
      <c r="C56" s="2900" t="s">
        <v>103</v>
      </c>
      <c r="D56" s="2901"/>
      <c r="E56" s="2902"/>
      <c r="F56" s="2900" t="s">
        <v>103</v>
      </c>
      <c r="G56" s="2903"/>
      <c r="H56" s="2902"/>
      <c r="I56" s="2898" t="s">
        <v>103</v>
      </c>
      <c r="J56" s="2899"/>
      <c r="K56" s="2904"/>
      <c r="L56" s="2898" t="s">
        <v>103</v>
      </c>
      <c r="M56" s="2899"/>
      <c r="N56" s="2904"/>
      <c r="O56" s="2898" t="s">
        <v>104</v>
      </c>
      <c r="P56" s="2899"/>
      <c r="Q56" s="2771"/>
      <c r="R56" s="2905" t="s">
        <v>0</v>
      </c>
      <c r="S56" s="2899"/>
      <c r="T56" s="2904"/>
      <c r="U56" s="2899" t="s">
        <v>0</v>
      </c>
      <c r="V56" s="2899"/>
      <c r="W56" s="2771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2906"/>
      <c r="B57" s="2897" t="s">
        <v>105</v>
      </c>
      <c r="C57" s="2898" t="s">
        <v>396</v>
      </c>
      <c r="D57" s="2899"/>
      <c r="E57" s="2771"/>
      <c r="F57" s="2898" t="s">
        <v>396</v>
      </c>
      <c r="G57" s="2899"/>
      <c r="H57" s="2904"/>
      <c r="I57" s="2898" t="s">
        <v>396</v>
      </c>
      <c r="J57" s="2899"/>
      <c r="K57" s="2904"/>
      <c r="L57" s="2898" t="s">
        <v>396</v>
      </c>
      <c r="M57" s="2899"/>
      <c r="N57" s="2904"/>
      <c r="O57" s="2898" t="s">
        <v>397</v>
      </c>
      <c r="P57" s="2899"/>
      <c r="Q57" s="2771"/>
      <c r="R57" s="112"/>
      <c r="S57" s="113"/>
      <c r="T57" s="2904"/>
      <c r="U57" s="2899"/>
      <c r="V57" s="2899"/>
      <c r="W57" s="2771"/>
      <c r="X57" s="2769"/>
      <c r="Y57" s="2772"/>
      <c r="Z57" s="2772"/>
      <c r="AA57" s="2772"/>
      <c r="AB57" s="2772"/>
      <c r="AC57" s="2772"/>
      <c r="AD57" s="2772"/>
      <c r="AE57" s="2772"/>
      <c r="AF57" s="2772"/>
      <c r="AG57" s="2773"/>
      <c r="AH57" s="1"/>
    </row>
    <row r="58" spans="1:40" ht="22.35" customHeight="1">
      <c r="A58" s="2890"/>
      <c r="B58" s="2796"/>
      <c r="C58" s="2907"/>
      <c r="D58" s="2907"/>
      <c r="E58" s="2908"/>
      <c r="F58" s="2907"/>
      <c r="G58" s="2907"/>
      <c r="H58" s="2908"/>
      <c r="I58" s="2907"/>
      <c r="J58" s="2907"/>
      <c r="K58" s="2908"/>
      <c r="L58" s="2907"/>
      <c r="M58" s="2907"/>
      <c r="N58" s="2908"/>
      <c r="O58" s="2907"/>
      <c r="P58" s="2907"/>
      <c r="Q58" s="2908"/>
      <c r="R58" s="2907"/>
      <c r="S58" s="2907"/>
      <c r="T58" s="2908"/>
      <c r="U58" s="2907"/>
      <c r="V58" s="2907"/>
      <c r="W58" s="2908"/>
      <c r="X58" s="2769"/>
      <c r="Y58" s="2772"/>
      <c r="Z58" s="2772"/>
      <c r="AA58" s="2772"/>
      <c r="AB58" s="2772"/>
      <c r="AC58" s="2772"/>
      <c r="AD58" s="2772"/>
      <c r="AE58" s="2772"/>
      <c r="AF58" s="2772"/>
      <c r="AG58" s="2773"/>
      <c r="AH58" s="1"/>
      <c r="AL58" s="192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2909"/>
      <c r="B60" s="2787" t="s">
        <v>29</v>
      </c>
      <c r="C60" s="2788">
        <v>1</v>
      </c>
      <c r="D60" s="2789">
        <v>2</v>
      </c>
      <c r="E60" s="2789">
        <v>3</v>
      </c>
      <c r="F60" s="2788">
        <v>4</v>
      </c>
      <c r="G60" s="2788">
        <v>5</v>
      </c>
      <c r="H60" s="2788">
        <v>6</v>
      </c>
      <c r="I60" s="2788">
        <v>7</v>
      </c>
      <c r="J60" s="2788">
        <v>8</v>
      </c>
      <c r="K60" s="2789">
        <v>9</v>
      </c>
      <c r="L60" s="2789">
        <v>10</v>
      </c>
      <c r="M60" s="2788">
        <v>11</v>
      </c>
      <c r="N60" s="2788">
        <v>12</v>
      </c>
      <c r="O60" s="2788">
        <v>13</v>
      </c>
      <c r="P60" s="2789">
        <v>14</v>
      </c>
      <c r="Q60" s="2789">
        <v>15</v>
      </c>
      <c r="R60" s="2789">
        <v>16</v>
      </c>
      <c r="S60" s="2789">
        <v>17</v>
      </c>
      <c r="T60" s="2789">
        <v>18</v>
      </c>
      <c r="U60" s="2788">
        <v>19</v>
      </c>
      <c r="V60" s="2788">
        <v>20</v>
      </c>
      <c r="W60" s="2788">
        <v>21</v>
      </c>
      <c r="X60" s="2788">
        <v>22</v>
      </c>
      <c r="Y60" s="2789">
        <v>23</v>
      </c>
      <c r="Z60" s="2789">
        <v>24</v>
      </c>
      <c r="AA60" s="2788">
        <v>25</v>
      </c>
      <c r="AB60" s="2788">
        <v>26</v>
      </c>
      <c r="AC60" s="2788">
        <v>27</v>
      </c>
      <c r="AD60" s="2788">
        <v>28</v>
      </c>
      <c r="AE60" s="2788">
        <v>29</v>
      </c>
      <c r="AF60" s="2789">
        <v>30</v>
      </c>
      <c r="AG60" s="2790"/>
      <c r="AH60" s="1"/>
      <c r="AJ60" s="2791" t="s">
        <v>30</v>
      </c>
      <c r="AK60" s="2791" t="s">
        <v>43</v>
      </c>
      <c r="AL60" s="2791" t="s">
        <v>44</v>
      </c>
      <c r="AM60" s="2791" t="s">
        <v>45</v>
      </c>
      <c r="AN60" s="2791" t="s">
        <v>46</v>
      </c>
    </row>
    <row r="61" spans="1:40" ht="22.35" customHeight="1" thickBot="1">
      <c r="A61" s="303"/>
      <c r="B61" s="304" t="s">
        <v>107</v>
      </c>
      <c r="C61" s="305" t="s">
        <v>108</v>
      </c>
      <c r="D61" s="305" t="s">
        <v>109</v>
      </c>
      <c r="E61" s="305" t="s">
        <v>109</v>
      </c>
      <c r="F61" s="305" t="s">
        <v>36</v>
      </c>
      <c r="G61" s="660" t="s">
        <v>36</v>
      </c>
      <c r="H61" s="660" t="s">
        <v>36</v>
      </c>
      <c r="I61" s="660" t="s">
        <v>36</v>
      </c>
      <c r="J61" s="611" t="s">
        <v>36</v>
      </c>
      <c r="K61" s="3061" t="s">
        <v>0</v>
      </c>
      <c r="L61" s="2919" t="s">
        <v>0</v>
      </c>
      <c r="M61" s="2696">
        <v>7</v>
      </c>
      <c r="N61" s="2696">
        <v>7</v>
      </c>
      <c r="O61" s="2696">
        <v>7</v>
      </c>
      <c r="P61" s="305"/>
      <c r="Q61" s="305"/>
      <c r="R61" s="305"/>
      <c r="S61" s="306"/>
      <c r="T61" s="2923" t="s">
        <v>109</v>
      </c>
      <c r="U61" s="2923" t="s">
        <v>108</v>
      </c>
      <c r="V61" s="2923" t="s">
        <v>108</v>
      </c>
      <c r="W61" s="2923" t="s">
        <v>108</v>
      </c>
      <c r="X61" s="2923" t="s">
        <v>108</v>
      </c>
      <c r="Y61" s="2923" t="s">
        <v>109</v>
      </c>
      <c r="Z61" s="2923" t="s">
        <v>109</v>
      </c>
      <c r="AA61" s="305" t="s">
        <v>36</v>
      </c>
      <c r="AB61" s="305" t="s">
        <v>36</v>
      </c>
      <c r="AC61" s="305" t="s">
        <v>36</v>
      </c>
      <c r="AD61" s="305" t="s">
        <v>36</v>
      </c>
      <c r="AE61" s="305" t="s">
        <v>36</v>
      </c>
      <c r="AF61" s="2820" t="s">
        <v>80</v>
      </c>
      <c r="AG61" s="2820"/>
      <c r="AH61" s="1"/>
      <c r="AJ61" s="2696"/>
      <c r="AK61" s="2696"/>
      <c r="AL61" s="2696" t="str">
        <f t="shared" ref="AL61:AL81" si="1">IF(AJ61="","",SUM(AJ61:AK61))</f>
        <v/>
      </c>
      <c r="AM61" s="2818" t="str">
        <f t="shared" ref="AM61" si="2">IF(AJ61="","",AL61-NormTid)</f>
        <v/>
      </c>
      <c r="AN61" s="2818" t="str">
        <f>IF(AM61="","",AM61+'Marts 2022'!AN61)</f>
        <v/>
      </c>
    </row>
    <row r="62" spans="1:40" ht="22.35" customHeight="1" thickBot="1">
      <c r="A62" s="2911"/>
      <c r="B62" s="2911" t="s">
        <v>112</v>
      </c>
      <c r="C62" s="2918" t="s">
        <v>36</v>
      </c>
      <c r="D62" s="2696"/>
      <c r="E62" s="2798" t="s">
        <v>80</v>
      </c>
      <c r="F62" s="2918">
        <v>7</v>
      </c>
      <c r="G62" s="2918">
        <v>7</v>
      </c>
      <c r="H62" s="2918">
        <v>7</v>
      </c>
      <c r="I62" s="2820" t="s">
        <v>32</v>
      </c>
      <c r="J62" s="2696" t="s">
        <v>135</v>
      </c>
      <c r="K62" s="571"/>
      <c r="L62" s="571"/>
      <c r="M62" s="2918">
        <v>26</v>
      </c>
      <c r="N62" s="2918">
        <v>26</v>
      </c>
      <c r="O62" s="2918">
        <v>26</v>
      </c>
      <c r="P62" s="2915"/>
      <c r="Q62" s="2915"/>
      <c r="R62" s="349" t="s">
        <v>74</v>
      </c>
      <c r="S62" s="349" t="s">
        <v>74</v>
      </c>
      <c r="T62" s="349">
        <v>8</v>
      </c>
      <c r="U62" s="349">
        <v>8</v>
      </c>
      <c r="V62" s="361">
        <v>8</v>
      </c>
      <c r="W62" s="602">
        <v>8</v>
      </c>
      <c r="X62" s="602">
        <v>8</v>
      </c>
      <c r="Y62" s="571"/>
      <c r="Z62" s="571"/>
      <c r="AA62" s="2918">
        <v>26</v>
      </c>
      <c r="AB62" s="2918">
        <v>26</v>
      </c>
      <c r="AC62" s="2918">
        <v>26</v>
      </c>
      <c r="AD62" s="2820">
        <v>26</v>
      </c>
      <c r="AE62" s="2820">
        <v>26</v>
      </c>
      <c r="AF62" s="2820" t="s">
        <v>109</v>
      </c>
      <c r="AG62" s="2823" t="s">
        <v>109</v>
      </c>
      <c r="AH62" s="1"/>
      <c r="AJ62" s="2696"/>
      <c r="AK62" s="2696"/>
      <c r="AL62" s="2696" t="str">
        <f t="shared" si="1"/>
        <v/>
      </c>
      <c r="AM62" s="2818" t="str">
        <f t="shared" ref="AM62:AM81" si="3">IF(AJ62="","",AL62-NormTid)</f>
        <v/>
      </c>
      <c r="AN62" s="2818" t="str">
        <f>IF(AM62="","",AM62+'Marts 2022'!AN62)</f>
        <v/>
      </c>
    </row>
    <row r="63" spans="1:40" ht="22.35" customHeight="1" thickBot="1">
      <c r="A63" s="2911"/>
      <c r="B63" s="2911" t="s">
        <v>117</v>
      </c>
      <c r="C63" s="2918" t="s">
        <v>36</v>
      </c>
      <c r="D63" s="2918" t="s">
        <v>0</v>
      </c>
      <c r="E63" s="3062">
        <v>26</v>
      </c>
      <c r="F63" s="2820">
        <v>25</v>
      </c>
      <c r="G63" s="2918">
        <v>25</v>
      </c>
      <c r="H63" s="2820">
        <v>25</v>
      </c>
      <c r="I63" s="2918">
        <v>25</v>
      </c>
      <c r="J63" s="2820">
        <v>25</v>
      </c>
      <c r="K63" s="2829"/>
      <c r="L63" s="2918" t="s">
        <v>0</v>
      </c>
      <c r="M63" s="2829" t="s">
        <v>124</v>
      </c>
      <c r="N63" s="2829" t="s">
        <v>124</v>
      </c>
      <c r="O63" s="2829" t="s">
        <v>124</v>
      </c>
      <c r="P63" s="2829"/>
      <c r="Q63" s="2829"/>
      <c r="R63" s="2696"/>
      <c r="S63" s="400"/>
      <c r="T63" s="2669" t="s">
        <v>0</v>
      </c>
      <c r="U63" s="349" t="s">
        <v>32</v>
      </c>
      <c r="V63" s="2826">
        <v>4</v>
      </c>
      <c r="W63" s="2826" t="s">
        <v>32</v>
      </c>
      <c r="X63" s="2820" t="s">
        <v>36</v>
      </c>
      <c r="Y63" s="2826"/>
      <c r="Z63" s="2826"/>
      <c r="AA63" s="2835" t="s">
        <v>183</v>
      </c>
      <c r="AB63" s="2820" t="s">
        <v>32</v>
      </c>
      <c r="AC63" s="2820" t="s">
        <v>183</v>
      </c>
      <c r="AD63" s="2835" t="s">
        <v>183</v>
      </c>
      <c r="AE63" s="2835">
        <v>4</v>
      </c>
      <c r="AF63" s="2820"/>
      <c r="AG63" s="2820">
        <v>26</v>
      </c>
      <c r="AH63" s="1"/>
      <c r="AJ63" s="2696"/>
      <c r="AK63" s="2696"/>
      <c r="AL63" s="2696" t="str">
        <f t="shared" si="1"/>
        <v/>
      </c>
      <c r="AM63" s="2818" t="str">
        <f t="shared" si="3"/>
        <v/>
      </c>
      <c r="AN63" s="2818" t="str">
        <f>IF(AM63="","",AM63+'Marts 2022'!AN63)</f>
        <v/>
      </c>
    </row>
    <row r="64" spans="1:40" ht="22.35" customHeight="1">
      <c r="A64" s="2911"/>
      <c r="B64" s="2911" t="s">
        <v>120</v>
      </c>
      <c r="C64" s="2913">
        <v>26</v>
      </c>
      <c r="D64" s="2820"/>
      <c r="E64" s="3063">
        <v>26</v>
      </c>
      <c r="F64" s="598" t="s">
        <v>36</v>
      </c>
      <c r="G64" s="598" t="s">
        <v>36</v>
      </c>
      <c r="H64" s="598" t="s">
        <v>36</v>
      </c>
      <c r="I64" s="598" t="s">
        <v>36</v>
      </c>
      <c r="J64" s="598" t="s">
        <v>36</v>
      </c>
      <c r="K64" s="598" t="s">
        <v>0</v>
      </c>
      <c r="L64" s="2820"/>
      <c r="M64" s="2872" t="s">
        <v>246</v>
      </c>
      <c r="N64" s="2872">
        <v>4</v>
      </c>
      <c r="O64" s="2872" t="s">
        <v>125</v>
      </c>
      <c r="P64" s="2918" t="s">
        <v>0</v>
      </c>
      <c r="Q64" s="2918" t="s">
        <v>0</v>
      </c>
      <c r="R64" s="2924" t="s">
        <v>0</v>
      </c>
      <c r="S64" s="2924" t="s">
        <v>0</v>
      </c>
      <c r="T64" s="2924" t="s">
        <v>0</v>
      </c>
      <c r="U64" s="305" t="s">
        <v>36</v>
      </c>
      <c r="V64" s="598" t="s">
        <v>36</v>
      </c>
      <c r="W64" s="598" t="s">
        <v>36</v>
      </c>
      <c r="X64" s="598" t="s">
        <v>36</v>
      </c>
      <c r="Y64" s="2826"/>
      <c r="Z64" s="2820">
        <v>26</v>
      </c>
      <c r="AA64" s="2918" t="s">
        <v>32</v>
      </c>
      <c r="AB64" s="2918" t="s">
        <v>36</v>
      </c>
      <c r="AC64" s="2820" t="s">
        <v>118</v>
      </c>
      <c r="AD64" s="2820" t="s">
        <v>36</v>
      </c>
      <c r="AE64" s="2820" t="s">
        <v>36</v>
      </c>
      <c r="AF64" s="2820"/>
      <c r="AG64" s="2632"/>
      <c r="AH64" s="1"/>
      <c r="AJ64" s="2696"/>
      <c r="AK64" s="2696"/>
      <c r="AL64" s="2696" t="str">
        <f t="shared" si="1"/>
        <v/>
      </c>
      <c r="AM64" s="2818" t="str">
        <f t="shared" si="3"/>
        <v/>
      </c>
      <c r="AN64" s="2818" t="str">
        <f>IF(AM64="","",AM64+'Marts 2022'!AN64)</f>
        <v/>
      </c>
    </row>
    <row r="65" spans="1:40" ht="22.35" customHeight="1">
      <c r="A65" s="2880"/>
      <c r="B65" s="2922" t="s">
        <v>123</v>
      </c>
      <c r="C65" s="2858" t="s">
        <v>32</v>
      </c>
      <c r="D65" s="2826"/>
      <c r="E65" s="2858" t="s">
        <v>32</v>
      </c>
      <c r="F65" s="2858">
        <v>26</v>
      </c>
      <c r="G65" s="2820">
        <v>26</v>
      </c>
      <c r="H65" s="2820">
        <v>26</v>
      </c>
      <c r="I65" s="2918">
        <v>26</v>
      </c>
      <c r="J65" s="2820">
        <v>26</v>
      </c>
      <c r="K65" s="2820"/>
      <c r="L65" s="2820">
        <v>26</v>
      </c>
      <c r="M65" s="2858" t="s">
        <v>36</v>
      </c>
      <c r="N65" s="2858" t="s">
        <v>36</v>
      </c>
      <c r="O65" s="2858" t="s">
        <v>36</v>
      </c>
      <c r="P65" s="2858" t="s">
        <v>32</v>
      </c>
      <c r="Q65" s="2858" t="s">
        <v>32</v>
      </c>
      <c r="R65" s="2826"/>
      <c r="S65" s="2820"/>
      <c r="T65" s="2820">
        <v>26</v>
      </c>
      <c r="U65" s="2918">
        <v>26</v>
      </c>
      <c r="V65" s="2820">
        <v>26</v>
      </c>
      <c r="W65" s="2820">
        <v>26</v>
      </c>
      <c r="X65" s="2820">
        <v>26</v>
      </c>
      <c r="Y65" s="2820" t="s">
        <v>111</v>
      </c>
      <c r="Z65" s="2820" t="s">
        <v>111</v>
      </c>
      <c r="AA65" s="2820">
        <v>25</v>
      </c>
      <c r="AB65" s="2820">
        <v>25</v>
      </c>
      <c r="AC65" s="2820">
        <v>25</v>
      </c>
      <c r="AD65" s="2820">
        <v>25</v>
      </c>
      <c r="AE65" s="2820">
        <v>25</v>
      </c>
      <c r="AF65" s="2820"/>
      <c r="AG65" s="2823"/>
      <c r="AH65" s="1"/>
      <c r="AJ65" s="2696"/>
      <c r="AK65" s="2696"/>
      <c r="AL65" s="2696" t="str">
        <f t="shared" si="1"/>
        <v/>
      </c>
      <c r="AM65" s="2818" t="str">
        <f t="shared" si="3"/>
        <v/>
      </c>
      <c r="AN65" s="2818" t="str">
        <f>IF(AM65="","",AM65+'Marts 2022'!AN65)</f>
        <v/>
      </c>
    </row>
    <row r="66" spans="1:40" ht="22.35" customHeight="1">
      <c r="A66" s="2911"/>
      <c r="B66" s="2911" t="s">
        <v>128</v>
      </c>
      <c r="C66" s="2826" t="s">
        <v>135</v>
      </c>
      <c r="D66" s="2826"/>
      <c r="E66" s="2826"/>
      <c r="F66" s="2826" t="s">
        <v>135</v>
      </c>
      <c r="G66" s="2826" t="s">
        <v>135</v>
      </c>
      <c r="H66" s="2826" t="s">
        <v>135</v>
      </c>
      <c r="I66" s="2826" t="s">
        <v>135</v>
      </c>
      <c r="J66" s="3064" t="s">
        <v>135</v>
      </c>
      <c r="K66" s="2820"/>
      <c r="L66" s="2820"/>
      <c r="M66" s="2831" t="s">
        <v>135</v>
      </c>
      <c r="N66" s="2831" t="s">
        <v>135</v>
      </c>
      <c r="O66" s="2831" t="s">
        <v>135</v>
      </c>
      <c r="P66" s="2826"/>
      <c r="Q66" s="2825"/>
      <c r="R66" s="2826"/>
      <c r="S66" s="2820"/>
      <c r="T66" s="2820"/>
      <c r="U66" s="2826" t="s">
        <v>135</v>
      </c>
      <c r="V66" s="2826" t="s">
        <v>135</v>
      </c>
      <c r="W66" s="2826" t="s">
        <v>135</v>
      </c>
      <c r="X66" s="2826" t="s">
        <v>135</v>
      </c>
      <c r="Y66" s="2826"/>
      <c r="Z66" s="2820"/>
      <c r="AA66" s="2826" t="s">
        <v>135</v>
      </c>
      <c r="AB66" s="2826" t="s">
        <v>135</v>
      </c>
      <c r="AC66" s="2826" t="s">
        <v>135</v>
      </c>
      <c r="AD66" s="3065" t="s">
        <v>135</v>
      </c>
      <c r="AE66" s="3065" t="s">
        <v>135</v>
      </c>
      <c r="AF66" s="2820"/>
      <c r="AG66" s="2823"/>
      <c r="AH66" s="1"/>
      <c r="AJ66" s="2696"/>
      <c r="AK66" s="2696"/>
      <c r="AL66" s="2696" t="str">
        <f t="shared" si="1"/>
        <v/>
      </c>
      <c r="AM66" s="2818" t="str">
        <f t="shared" si="3"/>
        <v/>
      </c>
      <c r="AN66" s="2818" t="str">
        <f>IF(AM66="","",AM66+'Marts 2022'!AN66)</f>
        <v/>
      </c>
    </row>
    <row r="67" spans="1:40" ht="22.35" customHeight="1">
      <c r="A67" s="2911"/>
      <c r="B67" s="2911" t="s">
        <v>131</v>
      </c>
      <c r="C67" s="3066" t="s">
        <v>122</v>
      </c>
      <c r="D67" s="2820"/>
      <c r="E67" s="2820"/>
      <c r="F67" s="3066" t="s">
        <v>122</v>
      </c>
      <c r="G67" s="3066" t="s">
        <v>122</v>
      </c>
      <c r="H67" s="3066" t="s">
        <v>122</v>
      </c>
      <c r="I67" s="3066" t="s">
        <v>122</v>
      </c>
      <c r="J67" s="3066" t="s">
        <v>122</v>
      </c>
      <c r="K67" s="2826"/>
      <c r="L67" s="2826"/>
      <c r="M67" s="3066" t="s">
        <v>122</v>
      </c>
      <c r="N67" s="3066" t="s">
        <v>122</v>
      </c>
      <c r="O67" s="3066" t="s">
        <v>122</v>
      </c>
      <c r="P67" s="2826"/>
      <c r="Q67" s="2826"/>
      <c r="R67" s="2826"/>
      <c r="S67" s="2826"/>
      <c r="T67" s="2826"/>
      <c r="U67" s="3066" t="s">
        <v>122</v>
      </c>
      <c r="V67" s="3066" t="s">
        <v>122</v>
      </c>
      <c r="W67" s="3066" t="s">
        <v>122</v>
      </c>
      <c r="X67" s="3066" t="s">
        <v>122</v>
      </c>
      <c r="Y67" s="2826"/>
      <c r="Z67" s="2820"/>
      <c r="AA67" s="3066" t="s">
        <v>122</v>
      </c>
      <c r="AB67" s="3066" t="s">
        <v>122</v>
      </c>
      <c r="AC67" s="3066" t="s">
        <v>122</v>
      </c>
      <c r="AD67" s="3066" t="s">
        <v>122</v>
      </c>
      <c r="AE67" s="3066" t="s">
        <v>122</v>
      </c>
      <c r="AF67" s="2820"/>
      <c r="AG67" s="2823"/>
      <c r="AH67" s="1"/>
      <c r="AJ67" s="2696"/>
      <c r="AK67" s="2696"/>
      <c r="AL67" s="2696" t="str">
        <f t="shared" si="1"/>
        <v/>
      </c>
      <c r="AM67" s="2818" t="str">
        <f t="shared" si="3"/>
        <v/>
      </c>
      <c r="AN67" s="2818" t="str">
        <f>IF(AM67="","",AM67+'Marts 2022'!AN67)</f>
        <v/>
      </c>
    </row>
    <row r="68" spans="1:40" ht="22.35" customHeight="1" thickBot="1">
      <c r="A68" s="2911"/>
      <c r="B68" s="2928" t="s">
        <v>139</v>
      </c>
      <c r="C68" s="2669" t="s">
        <v>136</v>
      </c>
      <c r="D68" s="2833" t="s">
        <v>77</v>
      </c>
      <c r="E68" s="2833" t="s">
        <v>77</v>
      </c>
      <c r="F68" s="3066" t="s">
        <v>36</v>
      </c>
      <c r="G68" s="3066" t="s">
        <v>36</v>
      </c>
      <c r="H68" s="3066" t="s">
        <v>36</v>
      </c>
      <c r="I68" s="2820">
        <v>4</v>
      </c>
      <c r="J68" s="2822">
        <v>4</v>
      </c>
      <c r="K68" s="2820"/>
      <c r="L68" s="2820"/>
      <c r="M68" s="2820">
        <v>25</v>
      </c>
      <c r="N68" s="2820">
        <v>25</v>
      </c>
      <c r="O68" s="2820">
        <v>25</v>
      </c>
      <c r="P68" s="2826">
        <v>7</v>
      </c>
      <c r="Q68" s="2825">
        <v>7</v>
      </c>
      <c r="R68" s="2858" t="s">
        <v>0</v>
      </c>
      <c r="S68" s="2858" t="s">
        <v>0</v>
      </c>
      <c r="T68" s="2860" t="s">
        <v>0</v>
      </c>
      <c r="U68" s="2792" t="s">
        <v>183</v>
      </c>
      <c r="V68" s="2792" t="s">
        <v>183</v>
      </c>
      <c r="W68" s="2792" t="s">
        <v>183</v>
      </c>
      <c r="X68" s="2792" t="s">
        <v>183</v>
      </c>
      <c r="Y68" s="2826"/>
      <c r="Z68" s="2820"/>
      <c r="AA68" s="2820" t="s">
        <v>118</v>
      </c>
      <c r="AB68" s="2820" t="s">
        <v>173</v>
      </c>
      <c r="AC68" s="2820">
        <v>3</v>
      </c>
      <c r="AD68" s="2820" t="s">
        <v>126</v>
      </c>
      <c r="AE68" s="2835" t="s">
        <v>183</v>
      </c>
      <c r="AF68" s="2820"/>
      <c r="AG68" s="2823"/>
      <c r="AH68" s="1"/>
      <c r="AJ68" s="2696"/>
      <c r="AK68" s="2696"/>
      <c r="AL68" s="2696" t="str">
        <f t="shared" ref="AL68:AL75" si="4">IF(AJ68="","",SUM(AJ68:AK68))</f>
        <v/>
      </c>
      <c r="AM68" s="2818" t="str">
        <f t="shared" ref="AM68:AM75" si="5">IF(AJ68="","",AL68-NormTid)</f>
        <v/>
      </c>
      <c r="AN68" s="2818" t="str">
        <f>IF(AM68="","",AM68+'Marts 2022'!AN68)</f>
        <v/>
      </c>
    </row>
    <row r="69" spans="1:40" ht="22.35" customHeight="1">
      <c r="A69" s="2911"/>
      <c r="B69" s="2928" t="s">
        <v>140</v>
      </c>
      <c r="C69" s="2798" t="s">
        <v>32</v>
      </c>
      <c r="D69" s="2669" t="s">
        <v>0</v>
      </c>
      <c r="E69" s="2924" t="s">
        <v>0</v>
      </c>
      <c r="F69" s="2829">
        <v>4</v>
      </c>
      <c r="G69" s="2820">
        <v>4</v>
      </c>
      <c r="H69" s="2798" t="s">
        <v>32</v>
      </c>
      <c r="I69" s="2798" t="s">
        <v>32</v>
      </c>
      <c r="J69" s="2820" t="s">
        <v>32</v>
      </c>
      <c r="K69" s="2918" t="s">
        <v>0</v>
      </c>
      <c r="L69" s="2820"/>
      <c r="M69" s="2820" t="s">
        <v>135</v>
      </c>
      <c r="N69" s="2826" t="s">
        <v>135</v>
      </c>
      <c r="O69" s="2826" t="s">
        <v>135</v>
      </c>
      <c r="P69" s="2918" t="s">
        <v>0</v>
      </c>
      <c r="Q69" s="2918" t="s">
        <v>0</v>
      </c>
      <c r="R69" s="2875" t="s">
        <v>109</v>
      </c>
      <c r="S69" s="2915"/>
      <c r="T69" s="2918" t="s">
        <v>0</v>
      </c>
      <c r="U69" s="2826">
        <v>5</v>
      </c>
      <c r="V69" s="2826">
        <v>5</v>
      </c>
      <c r="W69" s="2918" t="s">
        <v>32</v>
      </c>
      <c r="X69" s="2835" t="s">
        <v>32</v>
      </c>
      <c r="Y69" s="2669" t="s">
        <v>0</v>
      </c>
      <c r="Z69" s="2669" t="s">
        <v>0</v>
      </c>
      <c r="AA69" s="2820" t="s">
        <v>32</v>
      </c>
      <c r="AB69" s="2820" t="s">
        <v>32</v>
      </c>
      <c r="AC69" s="2820" t="s">
        <v>32</v>
      </c>
      <c r="AD69" s="2820" t="s">
        <v>135</v>
      </c>
      <c r="AE69" s="2820" t="s">
        <v>135</v>
      </c>
      <c r="AF69" s="2820"/>
      <c r="AG69" s="2823"/>
      <c r="AH69" s="1"/>
      <c r="AJ69" s="2696"/>
      <c r="AK69" s="2696"/>
      <c r="AL69" s="2696" t="str">
        <f t="shared" si="4"/>
        <v/>
      </c>
      <c r="AM69" s="2818" t="str">
        <f t="shared" si="5"/>
        <v/>
      </c>
      <c r="AN69" s="2818" t="str">
        <f>IF(AM69="","",AM69+'Marts 2022'!AN69)</f>
        <v/>
      </c>
    </row>
    <row r="70" spans="1:40" ht="22.35" customHeight="1">
      <c r="A70" s="2911"/>
      <c r="B70" s="2922" t="s">
        <v>398</v>
      </c>
      <c r="C70" s="2669" t="s">
        <v>348</v>
      </c>
      <c r="D70" s="2820"/>
      <c r="E70" s="2820"/>
      <c r="F70" s="2669" t="s">
        <v>246</v>
      </c>
      <c r="G70" s="2669" t="s">
        <v>135</v>
      </c>
      <c r="H70" s="2669" t="s">
        <v>338</v>
      </c>
      <c r="I70" s="2669" t="s">
        <v>32</v>
      </c>
      <c r="J70" s="2675" t="s">
        <v>32</v>
      </c>
      <c r="K70" s="2826" t="s">
        <v>111</v>
      </c>
      <c r="L70" s="2826" t="s">
        <v>111</v>
      </c>
      <c r="M70" s="2669" t="s">
        <v>32</v>
      </c>
      <c r="N70" s="2669" t="s">
        <v>32</v>
      </c>
      <c r="O70" s="2669" t="s">
        <v>173</v>
      </c>
      <c r="P70" s="2826" t="s">
        <v>111</v>
      </c>
      <c r="Q70" s="2826" t="s">
        <v>111</v>
      </c>
      <c r="R70" s="2826" t="s">
        <v>111</v>
      </c>
      <c r="S70" s="2826" t="s">
        <v>111</v>
      </c>
      <c r="T70" s="2826" t="s">
        <v>111</v>
      </c>
      <c r="U70" s="2669" t="s">
        <v>183</v>
      </c>
      <c r="V70" s="2669" t="s">
        <v>126</v>
      </c>
      <c r="W70" s="2919" t="s">
        <v>339</v>
      </c>
      <c r="X70" s="2669" t="s">
        <v>339</v>
      </c>
      <c r="Y70" s="2820"/>
      <c r="Z70" s="2820"/>
      <c r="AA70" s="2669" t="s">
        <v>108</v>
      </c>
      <c r="AB70" s="2669" t="s">
        <v>108</v>
      </c>
      <c r="AC70" s="2669" t="s">
        <v>108</v>
      </c>
      <c r="AD70" s="2669" t="s">
        <v>108</v>
      </c>
      <c r="AE70" s="2669" t="s">
        <v>108</v>
      </c>
      <c r="AF70" s="2820" t="s">
        <v>0</v>
      </c>
      <c r="AG70" s="2823" t="s">
        <v>0</v>
      </c>
      <c r="AH70" s="1"/>
      <c r="AJ70" s="2696"/>
      <c r="AK70" s="2696"/>
      <c r="AL70" s="2696" t="str">
        <f t="shared" si="4"/>
        <v/>
      </c>
      <c r="AM70" s="2818" t="str">
        <f t="shared" si="5"/>
        <v/>
      </c>
      <c r="AN70" s="2818" t="str">
        <f>IF(AM70="","",AM70+'Marts 2022'!AN70)</f>
        <v/>
      </c>
    </row>
    <row r="71" spans="1:40" ht="22.35" customHeight="1">
      <c r="A71" s="2911"/>
      <c r="B71" s="2922" t="s">
        <v>399</v>
      </c>
      <c r="C71" s="2820">
        <v>4</v>
      </c>
      <c r="D71" s="2820"/>
      <c r="E71" s="2820"/>
      <c r="F71" s="2820">
        <v>3</v>
      </c>
      <c r="G71" s="2820">
        <v>3</v>
      </c>
      <c r="H71" s="2820">
        <v>3</v>
      </c>
      <c r="I71" s="2820">
        <v>3</v>
      </c>
      <c r="J71" s="2820">
        <v>3</v>
      </c>
      <c r="K71" s="2820"/>
      <c r="L71" s="2820"/>
      <c r="M71" s="2820">
        <v>99</v>
      </c>
      <c r="N71" s="2820">
        <v>99</v>
      </c>
      <c r="O71" s="2820">
        <v>99</v>
      </c>
      <c r="P71" s="2820"/>
      <c r="Q71" s="2820"/>
      <c r="R71" s="2820"/>
      <c r="S71" s="2820"/>
      <c r="T71" s="2820" t="s">
        <v>0</v>
      </c>
      <c r="U71" s="2820">
        <v>25</v>
      </c>
      <c r="V71" s="2820">
        <v>25</v>
      </c>
      <c r="W71" s="2820">
        <v>25</v>
      </c>
      <c r="X71" s="2820">
        <v>25</v>
      </c>
      <c r="Y71" s="2820"/>
      <c r="Z71" s="2820"/>
      <c r="AA71" s="2870">
        <v>7</v>
      </c>
      <c r="AB71" s="2870">
        <v>7</v>
      </c>
      <c r="AC71" s="2940">
        <v>26</v>
      </c>
      <c r="AD71" s="2940">
        <v>26</v>
      </c>
      <c r="AE71" s="2940">
        <v>26</v>
      </c>
      <c r="AF71" s="2940"/>
      <c r="AG71" s="2940">
        <v>26</v>
      </c>
      <c r="AH71" s="1"/>
      <c r="AJ71" s="2696"/>
      <c r="AK71" s="2696"/>
      <c r="AL71" s="2696" t="str">
        <f t="shared" si="4"/>
        <v/>
      </c>
      <c r="AM71" s="2818" t="str">
        <f t="shared" si="5"/>
        <v/>
      </c>
      <c r="AN71" s="2818" t="str">
        <f>IF(AM71="","",AM71+'Marts 2022'!AN71)</f>
        <v/>
      </c>
    </row>
    <row r="72" spans="1:40" ht="22.35" customHeight="1">
      <c r="A72" s="2797"/>
      <c r="B72" s="2922" t="s">
        <v>400</v>
      </c>
      <c r="C72" s="2820" t="s">
        <v>343</v>
      </c>
      <c r="D72" s="2940" t="s">
        <v>80</v>
      </c>
      <c r="E72" s="2820"/>
      <c r="F72" s="2918" t="s">
        <v>36</v>
      </c>
      <c r="G72" s="2820" t="s">
        <v>36</v>
      </c>
      <c r="H72" s="2918" t="s">
        <v>36</v>
      </c>
      <c r="I72" s="2707">
        <v>8</v>
      </c>
      <c r="J72" s="2707">
        <v>8</v>
      </c>
      <c r="K72" s="2820" t="s">
        <v>80</v>
      </c>
      <c r="L72" s="2820" t="s">
        <v>80</v>
      </c>
      <c r="M72" s="2820">
        <v>3</v>
      </c>
      <c r="N72" s="2820">
        <v>3</v>
      </c>
      <c r="O72" s="2918">
        <v>3</v>
      </c>
      <c r="P72" s="2820"/>
      <c r="Q72" s="2820"/>
      <c r="R72" s="2918" t="s">
        <v>0</v>
      </c>
      <c r="S72" s="2918" t="s">
        <v>0</v>
      </c>
      <c r="T72" s="2820">
        <v>4</v>
      </c>
      <c r="U72" s="2820" t="s">
        <v>183</v>
      </c>
      <c r="V72" s="2820" t="s">
        <v>32</v>
      </c>
      <c r="W72" s="2820" t="s">
        <v>183</v>
      </c>
      <c r="X72" s="2820" t="s">
        <v>183</v>
      </c>
      <c r="Y72" s="2820"/>
      <c r="Z72" s="2820"/>
      <c r="AA72" s="2820">
        <v>10</v>
      </c>
      <c r="AB72" s="2820">
        <v>10</v>
      </c>
      <c r="AC72" s="2820">
        <v>10</v>
      </c>
      <c r="AD72" s="2820">
        <v>10</v>
      </c>
      <c r="AE72" s="2820">
        <v>10</v>
      </c>
      <c r="AF72" s="2820"/>
      <c r="AG72" s="2820"/>
      <c r="AH72" s="1"/>
      <c r="AJ72" s="2696"/>
      <c r="AK72" s="2696"/>
      <c r="AL72" s="2696" t="str">
        <f t="shared" si="4"/>
        <v/>
      </c>
      <c r="AM72" s="2818" t="str">
        <f t="shared" si="5"/>
        <v/>
      </c>
      <c r="AN72" s="2818" t="str">
        <f>IF(AM72="","",AM72+'Marts 2022'!AN72)</f>
        <v/>
      </c>
    </row>
    <row r="73" spans="1:40" ht="22.35" customHeight="1">
      <c r="A73" s="2797"/>
      <c r="B73" s="734" t="s">
        <v>408</v>
      </c>
      <c r="C73" s="2707" t="s">
        <v>32</v>
      </c>
      <c r="D73" s="2696"/>
      <c r="E73" s="2696"/>
      <c r="F73" s="2940" t="s">
        <v>183</v>
      </c>
      <c r="G73" s="2940" t="s">
        <v>183</v>
      </c>
      <c r="H73" s="2940">
        <v>1</v>
      </c>
      <c r="I73" s="2707">
        <v>1</v>
      </c>
      <c r="J73" s="2707">
        <v>89</v>
      </c>
      <c r="K73" s="2696"/>
      <c r="L73" s="2835"/>
      <c r="M73" s="2940">
        <v>6</v>
      </c>
      <c r="N73" s="2940">
        <v>6</v>
      </c>
      <c r="O73" s="2940">
        <v>6</v>
      </c>
      <c r="P73" s="2835"/>
      <c r="Q73" s="2835"/>
      <c r="R73" s="2835"/>
      <c r="S73" s="2835"/>
      <c r="T73" s="2835"/>
      <c r="U73" s="2940">
        <v>8</v>
      </c>
      <c r="V73" s="2940">
        <v>8</v>
      </c>
      <c r="W73" s="2940">
        <v>8</v>
      </c>
      <c r="X73" s="2940">
        <v>8</v>
      </c>
      <c r="Y73" s="2696" t="s">
        <v>80</v>
      </c>
      <c r="Z73" s="2696" t="s">
        <v>80</v>
      </c>
      <c r="AA73" s="2835" t="s">
        <v>36</v>
      </c>
      <c r="AB73" s="2835" t="s">
        <v>36</v>
      </c>
      <c r="AC73" s="2835" t="s">
        <v>36</v>
      </c>
      <c r="AD73" s="2835" t="s">
        <v>36</v>
      </c>
      <c r="AE73" s="2835" t="s">
        <v>36</v>
      </c>
      <c r="AF73" s="2835" t="s">
        <v>0</v>
      </c>
      <c r="AG73" s="2835"/>
      <c r="AH73" s="1"/>
      <c r="AJ73" s="2696"/>
      <c r="AK73" s="2696"/>
      <c r="AL73" s="2696" t="str">
        <f t="shared" si="4"/>
        <v/>
      </c>
      <c r="AM73" s="2818" t="str">
        <f t="shared" si="5"/>
        <v/>
      </c>
      <c r="AN73" s="2818" t="str">
        <f>IF(AM73="","",AM73)</f>
        <v/>
      </c>
    </row>
    <row r="74" spans="1:40" ht="22.35" customHeight="1" thickBot="1">
      <c r="A74" s="2797"/>
      <c r="B74" s="734" t="s">
        <v>409</v>
      </c>
      <c r="C74" s="3067" t="s">
        <v>32</v>
      </c>
      <c r="D74" s="2696"/>
      <c r="E74" s="2696"/>
      <c r="F74" s="3004">
        <v>1</v>
      </c>
      <c r="G74" s="3004">
        <v>1</v>
      </c>
      <c r="H74" s="2940">
        <v>89</v>
      </c>
      <c r="I74" s="2707">
        <v>11</v>
      </c>
      <c r="J74" s="2707">
        <v>11</v>
      </c>
      <c r="K74" s="2696"/>
      <c r="L74" s="2835"/>
      <c r="M74" s="2820">
        <v>11</v>
      </c>
      <c r="N74" s="2940">
        <v>11</v>
      </c>
      <c r="O74" s="2940">
        <v>11</v>
      </c>
      <c r="P74" s="2835"/>
      <c r="Q74" s="2835"/>
      <c r="R74" s="2835"/>
      <c r="S74" s="2835"/>
      <c r="T74" s="2835"/>
      <c r="U74" s="3068" t="s">
        <v>108</v>
      </c>
      <c r="V74" s="3068" t="s">
        <v>108</v>
      </c>
      <c r="W74" s="3068" t="s">
        <v>108</v>
      </c>
      <c r="X74" s="3068" t="s">
        <v>108</v>
      </c>
      <c r="Y74" s="3068" t="s">
        <v>109</v>
      </c>
      <c r="Z74" s="3068" t="s">
        <v>109</v>
      </c>
      <c r="AA74" s="2835" t="s">
        <v>36</v>
      </c>
      <c r="AB74" s="2835" t="s">
        <v>36</v>
      </c>
      <c r="AC74" s="2835" t="s">
        <v>36</v>
      </c>
      <c r="AD74" s="2835" t="s">
        <v>36</v>
      </c>
      <c r="AE74" s="2835" t="s">
        <v>36</v>
      </c>
      <c r="AF74" s="2835"/>
      <c r="AG74" s="2835"/>
      <c r="AH74" s="1"/>
      <c r="AJ74" s="2696"/>
      <c r="AK74" s="2696"/>
      <c r="AL74" s="2696" t="str">
        <f t="shared" si="4"/>
        <v/>
      </c>
      <c r="AM74" s="2818" t="str">
        <f t="shared" si="5"/>
        <v/>
      </c>
      <c r="AN74" s="2818" t="str">
        <f t="shared" ref="AN74:AN75" si="6">IF(AM74="","",AM74)</f>
        <v/>
      </c>
    </row>
    <row r="75" spans="1:40" ht="22.35" customHeight="1" thickBot="1">
      <c r="A75" s="2911"/>
      <c r="B75" s="2922" t="s">
        <v>0</v>
      </c>
      <c r="C75" s="2820"/>
      <c r="D75" s="2820"/>
      <c r="E75" s="2820"/>
      <c r="F75" s="2820"/>
      <c r="G75" s="2820"/>
      <c r="H75" s="2820"/>
      <c r="I75" s="2820"/>
      <c r="J75" s="2820"/>
      <c r="K75" s="2820"/>
      <c r="L75" s="2820"/>
      <c r="M75" s="2820"/>
      <c r="N75" s="2820"/>
      <c r="O75" s="2820"/>
      <c r="P75" s="2820"/>
      <c r="Q75" s="2820"/>
      <c r="R75" s="2820"/>
      <c r="S75" s="2820"/>
      <c r="T75" s="2820"/>
      <c r="U75" s="2820"/>
      <c r="V75" s="2820"/>
      <c r="W75" s="2820"/>
      <c r="X75" s="2820"/>
      <c r="Y75" s="2820"/>
      <c r="Z75" s="2820"/>
      <c r="AA75" s="2820"/>
      <c r="AB75" s="2820"/>
      <c r="AC75" s="2820"/>
      <c r="AD75" s="2820"/>
      <c r="AE75" s="2820"/>
      <c r="AF75" s="2820"/>
      <c r="AG75" s="2820"/>
      <c r="AH75" s="1"/>
      <c r="AJ75" s="2696"/>
      <c r="AK75" s="2696"/>
      <c r="AL75" s="2696" t="str">
        <f t="shared" si="4"/>
        <v/>
      </c>
      <c r="AM75" s="2818" t="str">
        <f t="shared" si="5"/>
        <v/>
      </c>
      <c r="AN75" s="2818" t="str">
        <f t="shared" si="6"/>
        <v/>
      </c>
    </row>
    <row r="76" spans="1:40" ht="22.35" customHeight="1">
      <c r="A76" s="3069"/>
      <c r="B76" s="2880" t="s">
        <v>410</v>
      </c>
      <c r="C76" s="2858" t="s">
        <v>36</v>
      </c>
      <c r="D76" s="350"/>
      <c r="E76" s="571"/>
      <c r="F76" s="571">
        <v>1</v>
      </c>
      <c r="G76" s="349" t="s">
        <v>32</v>
      </c>
      <c r="H76" s="571">
        <v>1</v>
      </c>
      <c r="I76" s="349">
        <v>1</v>
      </c>
      <c r="J76" s="349">
        <v>1</v>
      </c>
      <c r="K76" s="349"/>
      <c r="L76" s="2918" t="s">
        <v>0</v>
      </c>
      <c r="M76" s="2918">
        <v>9</v>
      </c>
      <c r="N76" s="349">
        <v>9</v>
      </c>
      <c r="O76" s="2918">
        <v>9</v>
      </c>
      <c r="P76" s="349">
        <v>9</v>
      </c>
      <c r="Q76" s="349">
        <v>9</v>
      </c>
      <c r="R76" s="349" t="s">
        <v>76</v>
      </c>
      <c r="S76" s="349" t="s">
        <v>77</v>
      </c>
      <c r="T76" s="361" t="s">
        <v>36</v>
      </c>
      <c r="U76" s="2918" t="s">
        <v>36</v>
      </c>
      <c r="V76" s="364" t="s">
        <v>36</v>
      </c>
      <c r="W76" s="361" t="s">
        <v>36</v>
      </c>
      <c r="X76" s="361" t="s">
        <v>36</v>
      </c>
      <c r="Y76" s="349" t="s">
        <v>78</v>
      </c>
      <c r="Z76" s="361" t="s">
        <v>74</v>
      </c>
      <c r="AA76" s="361">
        <v>6</v>
      </c>
      <c r="AB76" s="361">
        <v>6</v>
      </c>
      <c r="AC76" s="361">
        <v>6</v>
      </c>
      <c r="AD76" s="602">
        <v>6</v>
      </c>
      <c r="AE76" s="602">
        <v>6</v>
      </c>
      <c r="AF76" s="361"/>
      <c r="AG76" s="2918" t="s">
        <v>0</v>
      </c>
      <c r="AH76" s="1"/>
      <c r="AJ76" s="2696"/>
      <c r="AK76" s="2696"/>
      <c r="AL76" s="2696" t="str">
        <f t="shared" si="1"/>
        <v/>
      </c>
      <c r="AM76" s="2818" t="str">
        <f t="shared" si="3"/>
        <v/>
      </c>
      <c r="AN76" s="2818" t="str">
        <f>IF(AM76="","",AM76+'Marts 2022'!AN75)</f>
        <v/>
      </c>
    </row>
    <row r="77" spans="1:40" ht="22.35" customHeight="1">
      <c r="A77" s="2911"/>
      <c r="B77" s="2911" t="s">
        <v>340</v>
      </c>
      <c r="C77" s="2875" t="s">
        <v>36</v>
      </c>
      <c r="D77" s="2875"/>
      <c r="E77" s="2875"/>
      <c r="F77" s="2875" t="s">
        <v>211</v>
      </c>
      <c r="G77" s="2875" t="s">
        <v>211</v>
      </c>
      <c r="H77" s="2875" t="s">
        <v>211</v>
      </c>
      <c r="I77" s="2875" t="s">
        <v>211</v>
      </c>
      <c r="J77" s="2875" t="s">
        <v>211</v>
      </c>
      <c r="K77" s="2875"/>
      <c r="L77" s="2875"/>
      <c r="M77" s="2875" t="s">
        <v>212</v>
      </c>
      <c r="N77" s="2875" t="s">
        <v>212</v>
      </c>
      <c r="O77" s="2875" t="s">
        <v>212</v>
      </c>
      <c r="P77" s="2875"/>
      <c r="Q77" s="2875"/>
      <c r="R77" s="2875" t="s">
        <v>212</v>
      </c>
      <c r="S77" s="2875"/>
      <c r="T77" s="2875" t="s">
        <v>213</v>
      </c>
      <c r="U77" s="2875" t="s">
        <v>213</v>
      </c>
      <c r="V77" s="2875" t="s">
        <v>213</v>
      </c>
      <c r="W77" s="2875" t="s">
        <v>213</v>
      </c>
      <c r="X77" s="2870" t="s">
        <v>36</v>
      </c>
      <c r="Y77" s="2870"/>
      <c r="Z77" s="2875"/>
      <c r="AA77" s="2875" t="s">
        <v>211</v>
      </c>
      <c r="AB77" s="2875" t="s">
        <v>211</v>
      </c>
      <c r="AC77" s="2875" t="s">
        <v>211</v>
      </c>
      <c r="AD77" s="2875" t="s">
        <v>211</v>
      </c>
      <c r="AE77" s="2875" t="s">
        <v>211</v>
      </c>
      <c r="AF77" s="2875"/>
      <c r="AG77" s="2861"/>
      <c r="AH77" s="1"/>
      <c r="AJ77" s="2696"/>
      <c r="AK77" s="2696"/>
      <c r="AL77" s="2696" t="str">
        <f t="shared" si="1"/>
        <v/>
      </c>
      <c r="AM77" s="2818" t="str">
        <f t="shared" si="3"/>
        <v/>
      </c>
      <c r="AN77" s="2818" t="str">
        <f>IF(AM77="","",AM77+'Marts 2022'!AN76)</f>
        <v/>
      </c>
    </row>
    <row r="78" spans="1:40" ht="22.35" customHeight="1">
      <c r="A78" s="210"/>
      <c r="B78" s="210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32"/>
      <c r="Z78" s="211"/>
      <c r="AA78" s="211"/>
      <c r="AB78" s="211"/>
      <c r="AC78" s="211"/>
      <c r="AD78" s="211"/>
      <c r="AE78" s="211"/>
      <c r="AF78" s="211"/>
      <c r="AG78" s="211"/>
      <c r="AH78" s="1"/>
      <c r="AJ78" s="2696"/>
      <c r="AK78" s="2696"/>
      <c r="AL78" s="2696" t="str">
        <f t="shared" si="1"/>
        <v/>
      </c>
      <c r="AM78" s="2818" t="str">
        <f t="shared" si="3"/>
        <v/>
      </c>
      <c r="AN78" s="2818" t="str">
        <f>IF(AM78="","",AM78+'Marts 2022'!AN77)</f>
        <v/>
      </c>
    </row>
    <row r="79" spans="1:40" ht="22.35" customHeight="1">
      <c r="A79" s="210"/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32"/>
      <c r="Z79" s="211"/>
      <c r="AA79" s="211"/>
      <c r="AB79" s="211"/>
      <c r="AC79" s="211"/>
      <c r="AD79" s="211"/>
      <c r="AE79" s="211"/>
      <c r="AF79" s="211"/>
      <c r="AG79" s="211"/>
      <c r="AH79" s="1"/>
      <c r="AJ79" s="2696"/>
      <c r="AK79" s="2696"/>
      <c r="AL79" s="2696" t="str">
        <f t="shared" si="1"/>
        <v/>
      </c>
      <c r="AM79" s="2818" t="str">
        <f t="shared" si="3"/>
        <v/>
      </c>
      <c r="AN79" s="2818" t="str">
        <f>IF(AM79="","",AM79+'Marts 2022'!AN78)</f>
        <v/>
      </c>
    </row>
    <row r="80" spans="1:40" ht="22.35" customHeight="1">
      <c r="A80" s="210"/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32"/>
      <c r="Z80" s="211"/>
      <c r="AA80" s="211"/>
      <c r="AB80" s="211"/>
      <c r="AC80" s="211"/>
      <c r="AD80" s="211"/>
      <c r="AE80" s="211"/>
      <c r="AF80" s="211"/>
      <c r="AG80" s="211"/>
      <c r="AH80" s="1"/>
      <c r="AJ80" s="2696"/>
      <c r="AK80" s="2696"/>
      <c r="AL80" s="2696" t="str">
        <f t="shared" si="1"/>
        <v/>
      </c>
      <c r="AM80" s="2818" t="str">
        <f t="shared" si="3"/>
        <v/>
      </c>
      <c r="AN80" s="2818" t="str">
        <f>IF(AM80="","",AM80+'Marts 2022'!AN79)</f>
        <v/>
      </c>
    </row>
    <row r="81" spans="1:40" ht="22.35" customHeight="1">
      <c r="AJ81" s="2696"/>
      <c r="AK81" s="2696"/>
      <c r="AL81" s="2696" t="str">
        <f t="shared" si="1"/>
        <v/>
      </c>
      <c r="AM81" s="2818" t="str">
        <f t="shared" si="3"/>
        <v/>
      </c>
      <c r="AN81" s="2818" t="str">
        <f>IF(AM81="","",AM81+'Marts 2022'!AN80)</f>
        <v/>
      </c>
    </row>
    <row r="82" spans="1:40" ht="22.35" customHeight="1">
      <c r="AJ82" s="2696"/>
      <c r="AK82" s="2696"/>
      <c r="AL82" s="2696" t="str">
        <f t="shared" ref="AL82" si="7">IF(AJ82="","",SUM(AJ82:AK82))</f>
        <v/>
      </c>
      <c r="AM82" s="2818" t="str">
        <f t="shared" ref="AM82" si="8">IF(AJ82="","",AL82-NormTid)</f>
        <v/>
      </c>
      <c r="AN82" s="2818" t="str">
        <f>IF(AM82="","",AM82+'Marts 2022'!AN78)</f>
        <v/>
      </c>
    </row>
    <row r="83" spans="1:40" ht="22.35" customHeight="1" thickBot="1">
      <c r="A83" s="2928"/>
      <c r="B83" s="2942" t="s">
        <v>138</v>
      </c>
      <c r="C83" s="2943">
        <v>1</v>
      </c>
      <c r="D83" s="2944">
        <v>2</v>
      </c>
      <c r="E83" s="2944">
        <v>3</v>
      </c>
      <c r="F83" s="2943">
        <v>4</v>
      </c>
      <c r="G83" s="2943">
        <v>5</v>
      </c>
      <c r="H83" s="2943">
        <v>6</v>
      </c>
      <c r="I83" s="2943">
        <v>7</v>
      </c>
      <c r="J83" s="2943">
        <v>8</v>
      </c>
      <c r="K83" s="2944">
        <v>9</v>
      </c>
      <c r="L83" s="2944">
        <v>10</v>
      </c>
      <c r="M83" s="2943">
        <v>11</v>
      </c>
      <c r="N83" s="2943">
        <v>12</v>
      </c>
      <c r="O83" s="2943">
        <v>13</v>
      </c>
      <c r="P83" s="2944">
        <v>14</v>
      </c>
      <c r="Q83" s="2944">
        <v>15</v>
      </c>
      <c r="R83" s="2944">
        <v>16</v>
      </c>
      <c r="S83" s="2944">
        <v>17</v>
      </c>
      <c r="T83" s="2944">
        <v>18</v>
      </c>
      <c r="U83" s="2943">
        <v>19</v>
      </c>
      <c r="V83" s="2943">
        <v>20</v>
      </c>
      <c r="W83" s="2943">
        <v>21</v>
      </c>
      <c r="X83" s="2943">
        <v>22</v>
      </c>
      <c r="Y83" s="2944">
        <v>23</v>
      </c>
      <c r="Z83" s="2944">
        <v>24</v>
      </c>
      <c r="AA83" s="2943">
        <v>25</v>
      </c>
      <c r="AB83" s="2943">
        <v>26</v>
      </c>
      <c r="AC83" s="2943">
        <v>27</v>
      </c>
      <c r="AD83" s="2943">
        <v>28</v>
      </c>
      <c r="AE83" s="2943">
        <v>29</v>
      </c>
      <c r="AF83" s="2944">
        <v>30</v>
      </c>
      <c r="AG83" s="2945"/>
      <c r="AH83" s="1"/>
    </row>
    <row r="84" spans="1:40" ht="22.35" customHeight="1" thickBot="1">
      <c r="A84" s="308"/>
      <c r="B84" s="508" t="s">
        <v>352</v>
      </c>
      <c r="C84" s="2820">
        <v>22</v>
      </c>
      <c r="D84" s="2820">
        <v>22</v>
      </c>
      <c r="E84" s="2820">
        <v>22</v>
      </c>
      <c r="F84" s="3070" t="s">
        <v>36</v>
      </c>
      <c r="G84" s="2820" t="s">
        <v>36</v>
      </c>
      <c r="H84" s="2820" t="s">
        <v>36</v>
      </c>
      <c r="I84" s="3070" t="s">
        <v>36</v>
      </c>
      <c r="J84" s="2820" t="s">
        <v>36</v>
      </c>
      <c r="K84" s="2820"/>
      <c r="L84" s="2820"/>
      <c r="M84" s="2820">
        <v>23</v>
      </c>
      <c r="N84" s="2820">
        <v>23</v>
      </c>
      <c r="O84" s="2820">
        <v>23</v>
      </c>
      <c r="P84" s="2820">
        <v>23</v>
      </c>
      <c r="Q84" s="2820">
        <v>23</v>
      </c>
      <c r="R84" s="2820">
        <v>23</v>
      </c>
      <c r="S84" s="2820">
        <v>23</v>
      </c>
      <c r="T84" s="3070" t="s">
        <v>36</v>
      </c>
      <c r="U84" s="2820" t="s">
        <v>36</v>
      </c>
      <c r="V84" s="2820" t="s">
        <v>36</v>
      </c>
      <c r="W84" s="3070" t="s">
        <v>36</v>
      </c>
      <c r="X84" s="2820" t="s">
        <v>36</v>
      </c>
      <c r="Y84" s="2826"/>
      <c r="Z84" s="2820"/>
      <c r="AA84" s="2820">
        <v>21</v>
      </c>
      <c r="AB84" s="2820">
        <v>21</v>
      </c>
      <c r="AC84" s="2820">
        <v>21</v>
      </c>
      <c r="AD84" s="2820">
        <v>21</v>
      </c>
      <c r="AE84" s="2820">
        <v>21</v>
      </c>
      <c r="AF84" s="2820">
        <v>21</v>
      </c>
      <c r="AG84" s="2820">
        <v>21</v>
      </c>
      <c r="AH84" s="1"/>
    </row>
    <row r="85" spans="1:40" ht="22.35" customHeight="1">
      <c r="A85" s="2922"/>
      <c r="B85" s="2922" t="s">
        <v>0</v>
      </c>
      <c r="C85" s="2820"/>
      <c r="D85" s="2820"/>
      <c r="E85" s="2820"/>
      <c r="F85" s="2820"/>
      <c r="G85" s="2820"/>
      <c r="H85" s="2820"/>
      <c r="I85" s="2820"/>
      <c r="J85" s="2820"/>
      <c r="K85" s="2829"/>
      <c r="L85" s="2829"/>
      <c r="M85" s="2820"/>
      <c r="N85" s="2820"/>
      <c r="O85" s="2820"/>
      <c r="P85" s="2820"/>
      <c r="Q85" s="2820"/>
      <c r="R85" s="2915"/>
      <c r="S85" s="2915"/>
      <c r="T85" s="2915"/>
      <c r="U85" s="2915"/>
      <c r="V85" s="2915"/>
      <c r="W85" s="3070"/>
      <c r="X85" s="2820"/>
      <c r="Y85" s="3070"/>
      <c r="Z85" s="3070"/>
      <c r="AA85" s="3070"/>
      <c r="AB85" s="2820"/>
      <c r="AC85" s="2820"/>
      <c r="AD85" s="2820"/>
      <c r="AE85" s="2820"/>
      <c r="AF85" s="2820"/>
      <c r="AG85" s="2823"/>
      <c r="AH85" s="1"/>
    </row>
    <row r="86" spans="1:40" ht="22.35" customHeight="1">
      <c r="A86" s="2946"/>
      <c r="B86" s="2922"/>
      <c r="C86" s="2820"/>
      <c r="D86" s="2820"/>
      <c r="E86" s="2820"/>
      <c r="F86" s="2820"/>
      <c r="G86" s="2820"/>
      <c r="H86" s="2820"/>
      <c r="I86" s="2820"/>
      <c r="J86" s="2820"/>
      <c r="K86" s="2820"/>
      <c r="L86" s="2820"/>
      <c r="M86" s="2820"/>
      <c r="N86" s="2820"/>
      <c r="O86" s="2820"/>
      <c r="P86" s="2820"/>
      <c r="Q86" s="2820"/>
      <c r="R86" s="2820"/>
      <c r="S86" s="2820"/>
      <c r="T86" s="2820"/>
      <c r="U86" s="2820"/>
      <c r="V86" s="2820"/>
      <c r="W86" s="2820"/>
      <c r="X86" s="2820"/>
      <c r="Y86" s="2820"/>
      <c r="Z86" s="2820"/>
      <c r="AA86" s="2820"/>
      <c r="AB86" s="2820"/>
      <c r="AC86" s="2820"/>
      <c r="AD86" s="2820"/>
      <c r="AE86" s="2820"/>
      <c r="AF86" s="2820"/>
      <c r="AG86" s="2632"/>
      <c r="AH86" s="1"/>
    </row>
    <row r="87" spans="1:40" ht="22.35" customHeight="1" thickBot="1">
      <c r="A87" s="994"/>
      <c r="B87" s="995"/>
      <c r="C87" s="996"/>
      <c r="D87" s="997"/>
      <c r="E87" s="997"/>
      <c r="F87" s="997"/>
      <c r="G87" s="997"/>
      <c r="H87" s="997"/>
      <c r="I87" s="996"/>
      <c r="J87" s="996"/>
      <c r="K87" s="997"/>
      <c r="L87" s="997"/>
      <c r="M87" s="997"/>
      <c r="N87" s="997"/>
      <c r="O87" s="997"/>
      <c r="P87" s="998"/>
      <c r="Q87" s="998"/>
      <c r="R87" s="996"/>
      <c r="S87" s="998"/>
      <c r="T87" s="998"/>
      <c r="U87" s="998"/>
      <c r="V87" s="998"/>
      <c r="W87" s="998"/>
      <c r="X87" s="996"/>
      <c r="Y87" s="998"/>
      <c r="Z87" s="998"/>
      <c r="AA87" s="998"/>
      <c r="AB87" s="998"/>
      <c r="AC87" s="996"/>
      <c r="AD87" s="998"/>
      <c r="AE87" s="998"/>
      <c r="AF87" s="996"/>
      <c r="AG87" s="999"/>
      <c r="AH87" s="1"/>
    </row>
    <row r="88" spans="1:40" ht="22.35" customHeight="1" thickBot="1">
      <c r="A88" s="205"/>
      <c r="B88" s="206" t="s">
        <v>142</v>
      </c>
      <c r="C88" s="203"/>
      <c r="D88" s="207"/>
      <c r="E88" s="207"/>
      <c r="F88" s="207"/>
      <c r="G88" s="207"/>
      <c r="H88" s="207"/>
      <c r="I88" s="203"/>
      <c r="J88" s="203"/>
      <c r="K88" s="207"/>
      <c r="L88" s="207"/>
      <c r="M88" s="207"/>
      <c r="N88" s="207"/>
      <c r="O88" s="207"/>
      <c r="P88" s="203"/>
      <c r="Q88" s="203"/>
      <c r="R88" s="203"/>
      <c r="S88" s="208"/>
      <c r="T88" s="208"/>
      <c r="U88" s="208"/>
      <c r="V88" s="203"/>
      <c r="W88" s="203"/>
      <c r="X88" s="203"/>
      <c r="Y88" s="203"/>
      <c r="Z88" s="203"/>
      <c r="AA88" s="203"/>
      <c r="AB88" s="203"/>
      <c r="AC88" s="203"/>
      <c r="AD88" s="203"/>
      <c r="AE88" s="203"/>
      <c r="AF88" s="203"/>
      <c r="AG88" s="225"/>
      <c r="AH88" s="1"/>
    </row>
    <row r="89" spans="1:40" ht="22.35" customHeight="1" thickBot="1">
      <c r="A89" s="204"/>
      <c r="B89" s="508"/>
      <c r="C89" s="203" t="s">
        <v>32</v>
      </c>
      <c r="D89" s="203"/>
      <c r="E89" s="203"/>
      <c r="F89" s="203" t="s">
        <v>32</v>
      </c>
      <c r="G89" s="203" t="s">
        <v>32</v>
      </c>
      <c r="H89" s="203" t="s">
        <v>32</v>
      </c>
      <c r="I89" s="203" t="s">
        <v>32</v>
      </c>
      <c r="J89" s="203" t="s">
        <v>32</v>
      </c>
      <c r="K89" s="203"/>
      <c r="L89" s="203"/>
      <c r="M89" s="203" t="s">
        <v>32</v>
      </c>
      <c r="N89" s="509" t="s">
        <v>32</v>
      </c>
      <c r="O89" s="509" t="s">
        <v>32</v>
      </c>
      <c r="P89" s="509"/>
      <c r="Q89" s="510"/>
      <c r="R89" s="509"/>
      <c r="S89" s="203"/>
      <c r="T89" s="203"/>
      <c r="U89" s="509" t="s">
        <v>32</v>
      </c>
      <c r="V89" s="509" t="s">
        <v>32</v>
      </c>
      <c r="W89" s="509" t="s">
        <v>32</v>
      </c>
      <c r="X89" s="203" t="s">
        <v>32</v>
      </c>
      <c r="Y89" s="509"/>
      <c r="Z89" s="203"/>
      <c r="AA89" s="203" t="s">
        <v>32</v>
      </c>
      <c r="AB89" s="203" t="s">
        <v>32</v>
      </c>
      <c r="AC89" s="203" t="s">
        <v>32</v>
      </c>
      <c r="AD89" s="203" t="s">
        <v>32</v>
      </c>
      <c r="AE89" s="203" t="s">
        <v>32</v>
      </c>
      <c r="AF89" s="203"/>
      <c r="AG89" s="225"/>
      <c r="AH89" s="1"/>
    </row>
    <row r="90" spans="1:40" ht="22.35" customHeight="1">
      <c r="A90" s="64"/>
      <c r="AH90" s="1"/>
    </row>
    <row r="91" spans="1:40" ht="22.35" customHeight="1"/>
    <row r="92" spans="1:40" ht="22.35" customHeight="1"/>
    <row r="93" spans="1:40" ht="22.35" customHeight="1" thickBot="1">
      <c r="A93" s="2954"/>
      <c r="B93" s="2856" t="s">
        <v>29</v>
      </c>
      <c r="C93" s="2788">
        <v>1</v>
      </c>
      <c r="D93" s="2789">
        <v>2</v>
      </c>
      <c r="E93" s="2789">
        <v>3</v>
      </c>
      <c r="F93" s="2788">
        <v>4</v>
      </c>
      <c r="G93" s="2788">
        <v>5</v>
      </c>
      <c r="H93" s="2788">
        <v>6</v>
      </c>
      <c r="I93" s="2788">
        <v>7</v>
      </c>
      <c r="J93" s="2788">
        <v>8</v>
      </c>
      <c r="K93" s="2789">
        <v>9</v>
      </c>
      <c r="L93" s="2789">
        <v>10</v>
      </c>
      <c r="M93" s="2788">
        <v>11</v>
      </c>
      <c r="N93" s="2788">
        <v>12</v>
      </c>
      <c r="O93" s="2788">
        <v>13</v>
      </c>
      <c r="P93" s="2789">
        <v>14</v>
      </c>
      <c r="Q93" s="2789">
        <v>15</v>
      </c>
      <c r="R93" s="2789">
        <v>16</v>
      </c>
      <c r="S93" s="2789">
        <v>17</v>
      </c>
      <c r="T93" s="2789">
        <v>18</v>
      </c>
      <c r="U93" s="2788">
        <v>19</v>
      </c>
      <c r="V93" s="2788">
        <v>20</v>
      </c>
      <c r="W93" s="2788">
        <v>21</v>
      </c>
      <c r="X93" s="2788">
        <v>22</v>
      </c>
      <c r="Y93" s="2789">
        <v>23</v>
      </c>
      <c r="Z93" s="2789">
        <v>24</v>
      </c>
      <c r="AA93" s="2788">
        <v>25</v>
      </c>
      <c r="AB93" s="2788">
        <v>26</v>
      </c>
      <c r="AC93" s="2788">
        <v>27</v>
      </c>
      <c r="AD93" s="2788">
        <v>28</v>
      </c>
      <c r="AE93" s="2788">
        <v>29</v>
      </c>
      <c r="AF93" s="2789">
        <v>30</v>
      </c>
      <c r="AG93" s="2790"/>
      <c r="AH93" s="1"/>
    </row>
    <row r="94" spans="1:40" ht="22.35" customHeight="1">
      <c r="A94" s="365"/>
      <c r="B94" s="366" t="s">
        <v>144</v>
      </c>
      <c r="C94" s="349"/>
      <c r="D94" s="364"/>
      <c r="E94" s="349"/>
      <c r="F94" s="349"/>
      <c r="G94" s="349"/>
      <c r="H94" s="349"/>
      <c r="I94" s="349"/>
      <c r="J94" s="349"/>
      <c r="K94" s="349"/>
      <c r="L94" s="349"/>
      <c r="M94" s="349"/>
      <c r="N94" s="349"/>
      <c r="O94" s="349"/>
      <c r="P94" s="349"/>
      <c r="Q94" s="349"/>
      <c r="R94" s="349"/>
      <c r="S94" s="349"/>
      <c r="T94" s="349"/>
      <c r="U94" s="349"/>
      <c r="V94" s="349"/>
      <c r="W94" s="349"/>
      <c r="X94" s="349"/>
      <c r="Y94" s="349"/>
      <c r="Z94" s="349"/>
      <c r="AA94" s="349"/>
      <c r="AB94" s="349"/>
      <c r="AC94" s="349"/>
      <c r="AD94" s="349"/>
      <c r="AE94" s="349"/>
      <c r="AF94" s="349"/>
      <c r="AG94" s="352"/>
      <c r="AH94" s="1"/>
    </row>
    <row r="95" spans="1:40" ht="22.35" customHeight="1">
      <c r="A95" s="2957">
        <v>2</v>
      </c>
      <c r="B95" s="2805"/>
      <c r="C95" s="2875"/>
      <c r="D95" s="2875"/>
      <c r="E95" s="2875"/>
      <c r="F95" s="2798"/>
      <c r="G95" s="2798"/>
      <c r="H95" s="2798"/>
      <c r="I95" s="2798"/>
      <c r="J95" s="2798"/>
      <c r="K95" s="2798"/>
      <c r="L95" s="2798"/>
      <c r="M95" s="2798"/>
      <c r="N95" s="2798"/>
      <c r="O95" s="2798"/>
      <c r="P95" s="2798"/>
      <c r="Q95" s="2798"/>
      <c r="R95" s="2955"/>
      <c r="S95" s="2955"/>
      <c r="T95" s="2955"/>
      <c r="U95" s="2955"/>
      <c r="V95" s="2955"/>
      <c r="W95" s="2875"/>
      <c r="X95" s="2875"/>
      <c r="Y95" s="2955"/>
      <c r="Z95" s="2955"/>
      <c r="AA95" s="2955"/>
      <c r="AB95" s="2955"/>
      <c r="AC95" s="2955"/>
      <c r="AD95" s="2875"/>
      <c r="AE95" s="2875"/>
      <c r="AF95" s="2955"/>
      <c r="AG95" s="2956"/>
      <c r="AH95" s="1"/>
    </row>
    <row r="96" spans="1:40" ht="22.35" customHeight="1">
      <c r="A96" s="2957">
        <v>3</v>
      </c>
      <c r="B96" s="2805"/>
      <c r="C96" s="2875"/>
      <c r="D96" s="2875"/>
      <c r="E96" s="2875"/>
      <c r="F96" s="2875"/>
      <c r="G96" s="2875"/>
      <c r="H96" s="2875"/>
      <c r="I96" s="2875"/>
      <c r="J96" s="2875"/>
      <c r="K96" s="2875"/>
      <c r="L96" s="2875"/>
      <c r="M96" s="2875"/>
      <c r="N96" s="2875"/>
      <c r="O96" s="2875"/>
      <c r="P96" s="2875"/>
      <c r="Q96" s="2875"/>
      <c r="R96" s="2875"/>
      <c r="S96" s="2875"/>
      <c r="T96" s="2875"/>
      <c r="U96" s="2875"/>
      <c r="V96" s="2875"/>
      <c r="W96" s="2875"/>
      <c r="X96" s="2875"/>
      <c r="Y96" s="2875"/>
      <c r="Z96" s="2875"/>
      <c r="AA96" s="2875"/>
      <c r="AB96" s="2875"/>
      <c r="AC96" s="2875"/>
      <c r="AD96" s="2875"/>
      <c r="AE96" s="2875"/>
      <c r="AF96" s="2875"/>
      <c r="AG96" s="2861"/>
      <c r="AH96" s="1"/>
    </row>
    <row r="97" spans="1:35" ht="22.35" customHeight="1" thickBot="1">
      <c r="A97" s="2909">
        <v>4</v>
      </c>
      <c r="B97" s="2863"/>
      <c r="C97" s="2958"/>
      <c r="D97" s="2958"/>
      <c r="E97" s="2958"/>
      <c r="F97" s="2958"/>
      <c r="G97" s="2958"/>
      <c r="H97" s="2958"/>
      <c r="I97" s="2958"/>
      <c r="J97" s="2958"/>
      <c r="K97" s="2958"/>
      <c r="L97" s="2958"/>
      <c r="M97" s="2958"/>
      <c r="N97" s="2958"/>
      <c r="O97" s="2958"/>
      <c r="P97" s="2958"/>
      <c r="Q97" s="2958"/>
      <c r="R97" s="2958"/>
      <c r="S97" s="2958"/>
      <c r="T97" s="2958"/>
      <c r="U97" s="2958"/>
      <c r="V97" s="2958"/>
      <c r="W97" s="2958"/>
      <c r="X97" s="2958"/>
      <c r="Y97" s="2958"/>
      <c r="Z97" s="2958"/>
      <c r="AA97" s="2958"/>
      <c r="AB97" s="2958"/>
      <c r="AC97" s="2958"/>
      <c r="AD97" s="2958"/>
      <c r="AE97" s="2958"/>
      <c r="AF97" s="2958"/>
      <c r="AG97" s="2790"/>
      <c r="AH97" s="1"/>
    </row>
    <row r="98" spans="1:35" ht="22.35" customHeight="1">
      <c r="A98" s="209"/>
      <c r="B98" s="210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Z98" s="211"/>
      <c r="AA98" s="211"/>
      <c r="AB98" s="211"/>
      <c r="AC98" s="211"/>
      <c r="AD98" s="211"/>
      <c r="AE98" s="211"/>
      <c r="AF98" s="211"/>
      <c r="AG98" s="211"/>
      <c r="AH98" s="1"/>
    </row>
    <row r="99" spans="1:35" ht="22.35" customHeight="1">
      <c r="A99" s="209"/>
      <c r="B99" s="210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  <c r="AA99" s="211"/>
      <c r="AB99" s="211"/>
      <c r="AC99" s="211"/>
      <c r="AD99" s="211"/>
      <c r="AE99" s="211"/>
      <c r="AF99" s="211"/>
      <c r="AG99" s="211"/>
      <c r="AH99" s="1"/>
    </row>
    <row r="100" spans="1:35" ht="22.35" customHeight="1" thickBot="1">
      <c r="A100" t="s">
        <v>145</v>
      </c>
    </row>
    <row r="101" spans="1:35" ht="22.35" customHeight="1" thickBot="1">
      <c r="A101" s="2954"/>
      <c r="B101" s="323" t="s">
        <v>146</v>
      </c>
      <c r="C101" s="252"/>
      <c r="D101" s="314" t="s">
        <v>94</v>
      </c>
      <c r="E101" s="314"/>
      <c r="F101" s="279"/>
      <c r="G101" s="252"/>
      <c r="H101" s="314" t="s">
        <v>95</v>
      </c>
      <c r="I101" s="314"/>
      <c r="J101" s="279"/>
      <c r="K101" s="252"/>
      <c r="L101" s="314" t="s">
        <v>96</v>
      </c>
      <c r="M101" s="314"/>
      <c r="N101" s="279"/>
      <c r="O101" s="252"/>
      <c r="P101" s="314" t="s">
        <v>97</v>
      </c>
      <c r="Q101" s="314"/>
      <c r="R101" s="279"/>
      <c r="S101" s="252"/>
      <c r="T101" s="314" t="s">
        <v>98</v>
      </c>
      <c r="U101" s="314"/>
      <c r="V101" s="279"/>
      <c r="W101" s="252"/>
      <c r="X101" s="314" t="s">
        <v>99</v>
      </c>
      <c r="Y101" s="314"/>
      <c r="Z101" s="279"/>
      <c r="AA101" s="252"/>
      <c r="AB101" s="314" t="s">
        <v>100</v>
      </c>
      <c r="AC101" s="314"/>
      <c r="AD101" s="314"/>
      <c r="AE101" s="314" t="s">
        <v>147</v>
      </c>
      <c r="AF101" s="314"/>
      <c r="AG101" s="314"/>
      <c r="AH101" s="314"/>
      <c r="AI101" s="267"/>
    </row>
    <row r="102" spans="1:35" ht="22.35" customHeight="1">
      <c r="B102" s="441" t="s">
        <v>148</v>
      </c>
      <c r="C102" s="368" t="s">
        <v>149</v>
      </c>
      <c r="D102" s="314"/>
      <c r="E102" s="357"/>
      <c r="F102" s="372"/>
      <c r="G102" s="738" t="s">
        <v>149</v>
      </c>
      <c r="H102" s="357"/>
      <c r="I102" s="357"/>
      <c r="J102" s="372"/>
      <c r="K102" s="235" t="s">
        <v>149</v>
      </c>
      <c r="L102" s="314"/>
      <c r="M102" s="314"/>
      <c r="N102" s="279"/>
      <c r="O102" s="235" t="s">
        <v>150</v>
      </c>
      <c r="P102" s="314"/>
      <c r="Q102" s="357"/>
      <c r="R102" s="372"/>
      <c r="S102" s="738" t="s">
        <v>151</v>
      </c>
      <c r="T102" s="357"/>
      <c r="U102" s="357"/>
      <c r="V102" s="357"/>
      <c r="W102" s="523"/>
      <c r="X102" s="524"/>
      <c r="Y102" s="524"/>
      <c r="Z102" s="525"/>
      <c r="AA102" s="357"/>
      <c r="AB102" s="357"/>
      <c r="AC102" s="357"/>
      <c r="AD102" s="357"/>
      <c r="AE102" s="368">
        <v>37</v>
      </c>
      <c r="AF102" s="314"/>
      <c r="AG102" s="357"/>
      <c r="AH102" s="357"/>
      <c r="AI102" s="358"/>
    </row>
    <row r="103" spans="1:35" ht="22.35" customHeight="1">
      <c r="B103" s="2959" t="s">
        <v>152</v>
      </c>
      <c r="C103" s="2685" t="s">
        <v>153</v>
      </c>
      <c r="D103" s="2844"/>
      <c r="E103" s="2844"/>
      <c r="F103" s="2687"/>
      <c r="G103" s="2685" t="s">
        <v>154</v>
      </c>
      <c r="H103" s="2770"/>
      <c r="I103" s="2770"/>
      <c r="J103" s="2778"/>
      <c r="K103" s="2960" t="s">
        <v>155</v>
      </c>
      <c r="L103" s="2770" t="s">
        <v>156</v>
      </c>
      <c r="M103" s="2770"/>
      <c r="N103" s="2778"/>
      <c r="O103" s="2960" t="s">
        <v>155</v>
      </c>
      <c r="P103" s="2770" t="s">
        <v>156</v>
      </c>
      <c r="Q103" s="2770"/>
      <c r="R103" s="2778"/>
      <c r="S103" s="2685" t="s">
        <v>154</v>
      </c>
      <c r="T103" s="2770" t="s">
        <v>157</v>
      </c>
      <c r="U103" s="2770"/>
      <c r="V103" s="2778"/>
      <c r="W103" s="8" t="s">
        <v>109</v>
      </c>
      <c r="X103" s="14" t="s">
        <v>158</v>
      </c>
      <c r="Y103" s="14"/>
      <c r="Z103" s="14"/>
      <c r="AA103" s="2960" t="s">
        <v>109</v>
      </c>
      <c r="AB103" s="2770" t="s">
        <v>158</v>
      </c>
      <c r="AC103" s="2960"/>
      <c r="AD103" s="2960"/>
      <c r="AE103" s="2960">
        <v>68</v>
      </c>
      <c r="AF103" s="2770"/>
      <c r="AG103" s="2770"/>
      <c r="AH103" s="2770"/>
      <c r="AI103" s="2779"/>
    </row>
    <row r="104" spans="1:35" ht="22.35" customHeight="1">
      <c r="B104" s="2959" t="s">
        <v>159</v>
      </c>
      <c r="C104" s="2961" t="s">
        <v>160</v>
      </c>
      <c r="D104" s="2770"/>
      <c r="E104" s="2770"/>
      <c r="F104" s="2778"/>
      <c r="G104" s="2770" t="s">
        <v>160</v>
      </c>
      <c r="H104" s="2770"/>
      <c r="I104" s="2770"/>
      <c r="J104" s="2778"/>
      <c r="K104" s="2770" t="s">
        <v>160</v>
      </c>
      <c r="L104" s="2770"/>
      <c r="M104" s="2770"/>
      <c r="N104" s="2778"/>
      <c r="O104" s="2770" t="s">
        <v>160</v>
      </c>
      <c r="P104" s="2770"/>
      <c r="Q104" s="2770"/>
      <c r="R104" s="2778"/>
      <c r="S104" s="2770" t="s">
        <v>160</v>
      </c>
      <c r="T104" s="2770"/>
      <c r="U104" s="2770"/>
      <c r="V104" s="2778"/>
      <c r="W104" s="2960"/>
      <c r="X104" s="2770"/>
      <c r="Y104" s="2770"/>
      <c r="Z104" s="2778"/>
      <c r="AA104" s="2960"/>
      <c r="AB104" s="2770"/>
      <c r="AC104" s="2770"/>
      <c r="AD104" s="2770"/>
      <c r="AE104" s="2960">
        <v>0</v>
      </c>
      <c r="AF104" s="2770"/>
      <c r="AG104" s="2770"/>
      <c r="AH104" s="2770"/>
      <c r="AI104" s="2779"/>
    </row>
    <row r="105" spans="1:35" ht="22.35" customHeight="1" thickBot="1">
      <c r="B105" s="2962" t="s">
        <v>161</v>
      </c>
      <c r="C105" s="2692" t="s">
        <v>149</v>
      </c>
      <c r="D105" s="516"/>
      <c r="E105" s="2847"/>
      <c r="F105" s="2849"/>
      <c r="G105" s="2692" t="s">
        <v>149</v>
      </c>
      <c r="H105" s="516"/>
      <c r="I105" s="2847"/>
      <c r="J105" s="2849"/>
      <c r="K105" s="2692" t="s">
        <v>149</v>
      </c>
      <c r="L105" s="516"/>
      <c r="M105" s="2847"/>
      <c r="N105" s="2849"/>
      <c r="O105" s="2692" t="s">
        <v>150</v>
      </c>
      <c r="P105" s="2847"/>
      <c r="Q105" s="2847"/>
      <c r="R105" s="2849"/>
      <c r="S105" s="2692" t="s">
        <v>151</v>
      </c>
      <c r="T105" s="2847"/>
      <c r="U105" s="2847"/>
      <c r="V105" s="2847"/>
      <c r="W105" s="2964"/>
      <c r="X105" s="2847"/>
      <c r="Y105" s="2847"/>
      <c r="Z105" s="2965"/>
      <c r="AA105" s="2847"/>
      <c r="AB105" s="2847"/>
      <c r="AC105" s="2847"/>
      <c r="AD105" s="2847"/>
      <c r="AE105" s="2963">
        <v>37</v>
      </c>
      <c r="AF105" s="2847"/>
      <c r="AG105" s="2847"/>
      <c r="AH105" s="2847"/>
      <c r="AI105" s="2854"/>
    </row>
    <row r="106" spans="1:35" ht="22.35" customHeight="1">
      <c r="D106" s="14"/>
    </row>
    <row r="107" spans="1:35" ht="22.35" customHeight="1" thickBot="1">
      <c r="A107" s="2892"/>
      <c r="B107" s="2892" t="s">
        <v>29</v>
      </c>
      <c r="C107" s="2788">
        <v>1</v>
      </c>
      <c r="D107" s="2789">
        <v>2</v>
      </c>
      <c r="E107" s="2789">
        <v>3</v>
      </c>
      <c r="F107" s="2788">
        <v>4</v>
      </c>
      <c r="G107" s="2788">
        <v>5</v>
      </c>
      <c r="H107" s="2788">
        <v>6</v>
      </c>
      <c r="I107" s="2788">
        <v>7</v>
      </c>
      <c r="J107" s="2788">
        <v>8</v>
      </c>
      <c r="K107" s="2789">
        <v>9</v>
      </c>
      <c r="L107" s="2789">
        <v>10</v>
      </c>
      <c r="M107" s="2788">
        <v>11</v>
      </c>
      <c r="N107" s="2788">
        <v>12</v>
      </c>
      <c r="O107" s="2788">
        <v>13</v>
      </c>
      <c r="P107" s="2789">
        <v>14</v>
      </c>
      <c r="Q107" s="2789">
        <v>15</v>
      </c>
      <c r="R107" s="2789">
        <v>16</v>
      </c>
      <c r="S107" s="2789">
        <v>17</v>
      </c>
      <c r="T107" s="2789">
        <v>18</v>
      </c>
      <c r="U107" s="2788">
        <v>19</v>
      </c>
      <c r="V107" s="2788">
        <v>20</v>
      </c>
      <c r="W107" s="2788">
        <v>21</v>
      </c>
      <c r="X107" s="2788">
        <v>22</v>
      </c>
      <c r="Y107" s="2789">
        <v>23</v>
      </c>
      <c r="Z107" s="2789">
        <v>24</v>
      </c>
      <c r="AA107" s="2788">
        <v>25</v>
      </c>
      <c r="AB107" s="2788">
        <v>26</v>
      </c>
      <c r="AC107" s="2788">
        <v>27</v>
      </c>
      <c r="AD107" s="2788">
        <v>28</v>
      </c>
      <c r="AE107" s="2788">
        <v>29</v>
      </c>
      <c r="AF107" s="2789">
        <v>30</v>
      </c>
      <c r="AG107" s="2790"/>
      <c r="AH107" s="176"/>
      <c r="AI107" s="177"/>
    </row>
    <row r="108" spans="1:35" ht="22.35" customHeight="1">
      <c r="A108" s="367">
        <v>1</v>
      </c>
      <c r="B108" s="526" t="s">
        <v>162</v>
      </c>
      <c r="C108" s="349" t="s">
        <v>108</v>
      </c>
      <c r="D108" s="349" t="s">
        <v>109</v>
      </c>
      <c r="E108" s="349" t="s">
        <v>109</v>
      </c>
      <c r="F108" s="349" t="s">
        <v>36</v>
      </c>
      <c r="G108" s="349" t="s">
        <v>36</v>
      </c>
      <c r="H108" s="349" t="s">
        <v>36</v>
      </c>
      <c r="I108" s="349" t="s">
        <v>36</v>
      </c>
      <c r="J108" s="349" t="s">
        <v>36</v>
      </c>
      <c r="K108" s="349"/>
      <c r="L108" s="349"/>
      <c r="M108" s="349" t="s">
        <v>163</v>
      </c>
      <c r="N108" s="349" t="s">
        <v>163</v>
      </c>
      <c r="O108" s="349" t="s">
        <v>163</v>
      </c>
      <c r="P108" s="511" t="s">
        <v>163</v>
      </c>
      <c r="Q108" s="349" t="s">
        <v>163</v>
      </c>
      <c r="R108" s="349"/>
      <c r="S108" s="349"/>
      <c r="T108" s="349" t="s">
        <v>163</v>
      </c>
      <c r="U108" s="349" t="s">
        <v>163</v>
      </c>
      <c r="V108" s="349" t="s">
        <v>163</v>
      </c>
      <c r="W108" s="349" t="s">
        <v>163</v>
      </c>
      <c r="X108" s="349" t="s">
        <v>163</v>
      </c>
      <c r="Y108" s="512"/>
      <c r="Z108" s="512"/>
      <c r="AA108" s="512" t="s">
        <v>108</v>
      </c>
      <c r="AB108" s="349" t="s">
        <v>108</v>
      </c>
      <c r="AC108" s="349" t="s">
        <v>108</v>
      </c>
      <c r="AD108" s="349" t="s">
        <v>108</v>
      </c>
      <c r="AE108" s="349" t="s">
        <v>108</v>
      </c>
      <c r="AF108" s="349" t="s">
        <v>109</v>
      </c>
      <c r="AG108" s="352"/>
      <c r="AH108" s="181"/>
      <c r="AI108" s="182"/>
    </row>
    <row r="109" spans="1:35" ht="22.35" customHeight="1">
      <c r="A109" s="2966">
        <v>2</v>
      </c>
      <c r="B109" s="2967" t="s">
        <v>164</v>
      </c>
      <c r="C109" s="2968" t="s">
        <v>118</v>
      </c>
      <c r="D109" s="2968"/>
      <c r="E109" s="2968"/>
      <c r="F109" s="2968" t="s">
        <v>108</v>
      </c>
      <c r="G109" s="2968" t="s">
        <v>108</v>
      </c>
      <c r="H109" s="2968" t="s">
        <v>108</v>
      </c>
      <c r="I109" s="2820" t="s">
        <v>108</v>
      </c>
      <c r="J109" s="2820" t="s">
        <v>108</v>
      </c>
      <c r="K109" s="2820" t="s">
        <v>109</v>
      </c>
      <c r="L109" s="2820" t="s">
        <v>109</v>
      </c>
      <c r="M109" s="2820" t="s">
        <v>36</v>
      </c>
      <c r="N109" s="2875" t="s">
        <v>36</v>
      </c>
      <c r="O109" s="2875" t="s">
        <v>36</v>
      </c>
      <c r="P109" s="2875" t="s">
        <v>36</v>
      </c>
      <c r="Q109" s="2875" t="s">
        <v>36</v>
      </c>
      <c r="R109" s="2875"/>
      <c r="S109" s="2875"/>
      <c r="T109" s="2875" t="s">
        <v>163</v>
      </c>
      <c r="U109" s="2875" t="s">
        <v>118</v>
      </c>
      <c r="V109" s="2875" t="s">
        <v>118</v>
      </c>
      <c r="W109" s="2871" t="s">
        <v>118</v>
      </c>
      <c r="X109" s="2871" t="s">
        <v>118</v>
      </c>
      <c r="Y109" s="2875"/>
      <c r="Z109" s="2875"/>
      <c r="AA109" s="2875" t="s">
        <v>132</v>
      </c>
      <c r="AB109" s="2875" t="s">
        <v>132</v>
      </c>
      <c r="AC109" s="2875" t="s">
        <v>132</v>
      </c>
      <c r="AD109" s="2875" t="s">
        <v>132</v>
      </c>
      <c r="AE109" s="2968" t="s">
        <v>132</v>
      </c>
      <c r="AF109" s="2968"/>
      <c r="AG109" s="2970"/>
      <c r="AH109" s="181"/>
      <c r="AI109" s="182"/>
    </row>
    <row r="110" spans="1:35" ht="22.35" customHeight="1" thickBot="1">
      <c r="A110" s="2966">
        <v>3</v>
      </c>
      <c r="B110" s="2967" t="s">
        <v>165</v>
      </c>
      <c r="C110" s="2875" t="s">
        <v>141</v>
      </c>
      <c r="D110" s="2971"/>
      <c r="E110" s="2803"/>
      <c r="F110" s="2872" t="s">
        <v>124</v>
      </c>
      <c r="G110" s="2872" t="s">
        <v>124</v>
      </c>
      <c r="H110" s="2872" t="s">
        <v>124</v>
      </c>
      <c r="I110" s="2872" t="s">
        <v>124</v>
      </c>
      <c r="J110" s="2872" t="s">
        <v>124</v>
      </c>
      <c r="K110" s="2968"/>
      <c r="L110" s="2918" t="s">
        <v>32</v>
      </c>
      <c r="M110" s="2968" t="s">
        <v>108</v>
      </c>
      <c r="N110" s="2875" t="s">
        <v>108</v>
      </c>
      <c r="O110" s="2875" t="s">
        <v>108</v>
      </c>
      <c r="P110" s="2875" t="s">
        <v>109</v>
      </c>
      <c r="Q110" s="2875" t="s">
        <v>109</v>
      </c>
      <c r="R110" s="2875" t="s">
        <v>32</v>
      </c>
      <c r="S110" s="2875" t="s">
        <v>109</v>
      </c>
      <c r="T110" s="2875" t="s">
        <v>36</v>
      </c>
      <c r="U110" s="2875" t="s">
        <v>36</v>
      </c>
      <c r="V110" s="2875" t="s">
        <v>36</v>
      </c>
      <c r="W110" s="2875" t="s">
        <v>36</v>
      </c>
      <c r="X110" s="2875" t="s">
        <v>36</v>
      </c>
      <c r="Y110" s="2875"/>
      <c r="Z110" s="2918" t="s">
        <v>32</v>
      </c>
      <c r="AA110" s="2864">
        <v>89</v>
      </c>
      <c r="AB110" s="2958">
        <v>89</v>
      </c>
      <c r="AC110" s="2958">
        <v>89</v>
      </c>
      <c r="AD110" s="2958">
        <v>89</v>
      </c>
      <c r="AE110" s="2875" t="s">
        <v>242</v>
      </c>
      <c r="AF110" s="2971"/>
      <c r="AG110" s="2861"/>
      <c r="AH110" s="181"/>
      <c r="AI110" s="182"/>
    </row>
    <row r="111" spans="1:35" ht="22.35" customHeight="1" thickBot="1">
      <c r="A111" s="2973">
        <v>4</v>
      </c>
      <c r="B111" s="2974" t="s">
        <v>162</v>
      </c>
      <c r="C111" s="2923" t="s">
        <v>36</v>
      </c>
      <c r="D111" s="2923"/>
      <c r="E111" s="2923"/>
      <c r="F111" s="2923" t="s">
        <v>163</v>
      </c>
      <c r="G111" s="2923" t="s">
        <v>163</v>
      </c>
      <c r="H111" s="2923" t="s">
        <v>163</v>
      </c>
      <c r="I111" s="2923" t="s">
        <v>163</v>
      </c>
      <c r="J111" s="2923" t="s">
        <v>163</v>
      </c>
      <c r="K111" s="2923"/>
      <c r="L111" s="2923"/>
      <c r="M111" s="2923" t="s">
        <v>163</v>
      </c>
      <c r="N111" s="2923" t="s">
        <v>163</v>
      </c>
      <c r="O111" s="2923" t="s">
        <v>163</v>
      </c>
      <c r="P111" s="2923" t="s">
        <v>163</v>
      </c>
      <c r="Q111" s="2923" t="s">
        <v>163</v>
      </c>
      <c r="R111" s="2923" t="s">
        <v>0</v>
      </c>
      <c r="S111" s="2923" t="s">
        <v>0</v>
      </c>
      <c r="T111" s="2923" t="s">
        <v>108</v>
      </c>
      <c r="U111" s="2923" t="s">
        <v>108</v>
      </c>
      <c r="V111" s="2923" t="s">
        <v>108</v>
      </c>
      <c r="W111" s="2923" t="s">
        <v>108</v>
      </c>
      <c r="X111" s="2923" t="s">
        <v>108</v>
      </c>
      <c r="Y111" s="2923" t="s">
        <v>109</v>
      </c>
      <c r="Z111" s="2923" t="s">
        <v>109</v>
      </c>
      <c r="AA111" s="2788" t="s">
        <v>36</v>
      </c>
      <c r="AB111" s="2788" t="s">
        <v>36</v>
      </c>
      <c r="AC111" s="2788" t="s">
        <v>36</v>
      </c>
      <c r="AD111" s="2788" t="s">
        <v>36</v>
      </c>
      <c r="AE111" s="2923" t="s">
        <v>36</v>
      </c>
      <c r="AF111" s="2923"/>
      <c r="AG111" s="2790"/>
      <c r="AH111" s="181"/>
      <c r="AI111" s="182"/>
    </row>
    <row r="112" spans="1:35" ht="22.35" customHeight="1" thickBot="1">
      <c r="A112" s="212"/>
      <c r="B112" s="200"/>
      <c r="C112" s="213"/>
      <c r="D112" s="213"/>
      <c r="E112" s="213"/>
      <c r="F112" s="213"/>
      <c r="G112" s="213"/>
      <c r="H112" s="213"/>
      <c r="I112" s="213"/>
      <c r="J112" s="213"/>
      <c r="K112" s="213"/>
      <c r="L112" s="213"/>
      <c r="M112" s="213"/>
      <c r="N112" s="213"/>
      <c r="O112" s="213"/>
      <c r="P112" s="213"/>
      <c r="Q112" s="213"/>
      <c r="R112" s="213"/>
      <c r="S112" s="213"/>
      <c r="T112" s="213"/>
      <c r="U112" s="21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13"/>
      <c r="AF112" s="213"/>
      <c r="AG112" s="214"/>
      <c r="AH112" s="215"/>
      <c r="AI112" s="182"/>
    </row>
    <row r="113" spans="1:35" ht="22.35" customHeight="1">
      <c r="A113" s="72"/>
      <c r="B113" s="248" t="s">
        <v>167</v>
      </c>
      <c r="C113" s="368"/>
      <c r="D113" s="369" t="s">
        <v>94</v>
      </c>
      <c r="E113" s="370"/>
      <c r="F113" s="368"/>
      <c r="G113" s="371" t="s">
        <v>95</v>
      </c>
      <c r="H113" s="372"/>
      <c r="I113" s="373"/>
      <c r="J113" s="371" t="s">
        <v>96</v>
      </c>
      <c r="K113" s="374"/>
      <c r="L113" s="373"/>
      <c r="M113" s="375" t="s">
        <v>97</v>
      </c>
      <c r="N113" s="374"/>
      <c r="O113" s="373"/>
      <c r="P113" s="371" t="s">
        <v>98</v>
      </c>
      <c r="Q113" s="376"/>
      <c r="R113" s="373"/>
      <c r="S113" s="371" t="s">
        <v>99</v>
      </c>
      <c r="T113" s="377"/>
      <c r="U113" s="373"/>
      <c r="V113" s="371" t="s">
        <v>100</v>
      </c>
      <c r="W113" s="376"/>
      <c r="X113" s="378" t="s">
        <v>147</v>
      </c>
      <c r="Y113" s="379"/>
      <c r="Z113" s="379"/>
      <c r="AA113" s="380"/>
      <c r="AB113" s="235" t="s">
        <v>101</v>
      </c>
      <c r="AC113" s="236"/>
      <c r="AD113" s="236"/>
      <c r="AE113" s="237"/>
      <c r="AF113" s="237"/>
      <c r="AG113" s="238"/>
      <c r="AH113" s="215"/>
      <c r="AI113" s="182"/>
    </row>
    <row r="114" spans="1:35" ht="22.35" customHeight="1">
      <c r="A114" s="72"/>
      <c r="B114" s="2975" t="s">
        <v>169</v>
      </c>
      <c r="C114" s="2976" t="s">
        <v>170</v>
      </c>
      <c r="D114" s="2772"/>
      <c r="E114" s="2773"/>
      <c r="F114" s="2976" t="s">
        <v>170</v>
      </c>
      <c r="G114" s="2772"/>
      <c r="H114" s="2773"/>
      <c r="I114" s="2976" t="s">
        <v>170</v>
      </c>
      <c r="J114" s="2772"/>
      <c r="K114" s="2773"/>
      <c r="L114" s="2976" t="s">
        <v>170</v>
      </c>
      <c r="M114" s="2772"/>
      <c r="N114" s="2773"/>
      <c r="O114" s="2976" t="s">
        <v>171</v>
      </c>
      <c r="P114" s="2772"/>
      <c r="Q114" s="2773"/>
      <c r="R114" s="2976"/>
      <c r="S114" s="2772"/>
      <c r="T114" s="2773"/>
      <c r="U114" s="2976"/>
      <c r="V114" s="2772"/>
      <c r="W114" s="2773"/>
      <c r="X114" s="2976"/>
      <c r="Y114" s="2977"/>
      <c r="Z114" s="2977"/>
      <c r="AA114" s="2977"/>
      <c r="AB114" s="2769"/>
      <c r="AC114" s="2977"/>
      <c r="AD114" s="2977"/>
      <c r="AE114" s="2977"/>
      <c r="AF114" s="2977"/>
      <c r="AG114" s="2978"/>
      <c r="AH114" s="215"/>
      <c r="AI114" s="182"/>
    </row>
    <row r="115" spans="1:35" ht="22.35" customHeight="1">
      <c r="A115" s="72"/>
      <c r="B115" s="17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215"/>
      <c r="AI115" s="182"/>
    </row>
    <row r="116" spans="1:35" ht="22.35" customHeight="1" thickBot="1">
      <c r="A116" s="2954" t="s">
        <v>28</v>
      </c>
      <c r="B116" s="2856" t="s">
        <v>29</v>
      </c>
      <c r="C116" s="2788">
        <v>1</v>
      </c>
      <c r="D116" s="2789">
        <v>2</v>
      </c>
      <c r="E116" s="2789">
        <v>3</v>
      </c>
      <c r="F116" s="2788">
        <v>4</v>
      </c>
      <c r="G116" s="2788">
        <v>5</v>
      </c>
      <c r="H116" s="2788">
        <v>6</v>
      </c>
      <c r="I116" s="2788">
        <v>7</v>
      </c>
      <c r="J116" s="2788">
        <v>8</v>
      </c>
      <c r="K116" s="2789">
        <v>9</v>
      </c>
      <c r="L116" s="2789">
        <v>10</v>
      </c>
      <c r="M116" s="2788">
        <v>11</v>
      </c>
      <c r="N116" s="2788">
        <v>12</v>
      </c>
      <c r="O116" s="2788">
        <v>13</v>
      </c>
      <c r="P116" s="2789">
        <v>14</v>
      </c>
      <c r="Q116" s="2789">
        <v>15</v>
      </c>
      <c r="R116" s="2789">
        <v>16</v>
      </c>
      <c r="S116" s="2789">
        <v>17</v>
      </c>
      <c r="T116" s="2789">
        <v>18</v>
      </c>
      <c r="U116" s="2788">
        <v>19</v>
      </c>
      <c r="V116" s="2788">
        <v>20</v>
      </c>
      <c r="W116" s="2788">
        <v>21</v>
      </c>
      <c r="X116" s="2788">
        <v>22</v>
      </c>
      <c r="Y116" s="2789">
        <v>23</v>
      </c>
      <c r="Z116" s="2789">
        <v>24</v>
      </c>
      <c r="AA116" s="2788">
        <v>25</v>
      </c>
      <c r="AB116" s="2788">
        <v>26</v>
      </c>
      <c r="AC116" s="2788">
        <v>27</v>
      </c>
      <c r="AD116" s="2788">
        <v>28</v>
      </c>
      <c r="AE116" s="2788">
        <v>29</v>
      </c>
      <c r="AF116" s="2789">
        <v>30</v>
      </c>
      <c r="AG116" s="2790"/>
      <c r="AH116" s="215"/>
      <c r="AI116" s="182"/>
    </row>
    <row r="117" spans="1:35" ht="22.35" customHeight="1">
      <c r="A117" s="381">
        <v>8520</v>
      </c>
      <c r="B117" s="382" t="s">
        <v>172</v>
      </c>
      <c r="C117" s="664" t="s">
        <v>173</v>
      </c>
      <c r="D117" s="349"/>
      <c r="E117" s="349"/>
      <c r="F117" s="349" t="s">
        <v>173</v>
      </c>
      <c r="G117" s="349" t="s">
        <v>173</v>
      </c>
      <c r="H117" s="349" t="s">
        <v>173</v>
      </c>
      <c r="I117" s="349" t="s">
        <v>173</v>
      </c>
      <c r="J117" s="349" t="s">
        <v>173</v>
      </c>
      <c r="K117" s="349"/>
      <c r="L117" s="349"/>
      <c r="M117" s="349" t="s">
        <v>173</v>
      </c>
      <c r="N117" s="349" t="s">
        <v>173</v>
      </c>
      <c r="O117" s="546" t="s">
        <v>173</v>
      </c>
      <c r="P117" s="349"/>
      <c r="Q117" s="349"/>
      <c r="R117" s="349"/>
      <c r="S117" s="349"/>
      <c r="T117" s="349"/>
      <c r="U117" s="349" t="s">
        <v>173</v>
      </c>
      <c r="V117" s="349" t="s">
        <v>173</v>
      </c>
      <c r="W117" s="349" t="s">
        <v>173</v>
      </c>
      <c r="X117" s="349" t="s">
        <v>173</v>
      </c>
      <c r="Y117" s="349"/>
      <c r="Z117" s="349"/>
      <c r="AA117" s="349" t="s">
        <v>173</v>
      </c>
      <c r="AB117" s="349" t="s">
        <v>173</v>
      </c>
      <c r="AC117" s="349" t="s">
        <v>173</v>
      </c>
      <c r="AD117" s="349" t="s">
        <v>173</v>
      </c>
      <c r="AE117" s="349" t="s">
        <v>173</v>
      </c>
      <c r="AF117" s="349"/>
      <c r="AG117" s="352"/>
      <c r="AH117" s="215"/>
      <c r="AI117" s="182"/>
    </row>
    <row r="118" spans="1:35" ht="22.35" customHeight="1">
      <c r="A118" s="221"/>
      <c r="B118" s="220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1"/>
      <c r="S118" s="211"/>
      <c r="T118" s="211"/>
      <c r="U118" s="211"/>
      <c r="V118" s="211"/>
      <c r="W118" s="211"/>
      <c r="X118" s="211"/>
      <c r="Y118" s="211"/>
      <c r="Z118" s="211"/>
      <c r="AA118" s="211"/>
      <c r="AB118" s="211"/>
      <c r="AC118" s="211"/>
      <c r="AD118" s="211"/>
      <c r="AE118" s="211"/>
      <c r="AF118" s="211"/>
      <c r="AG118" s="211"/>
      <c r="AH118" s="215"/>
      <c r="AI118" s="182"/>
    </row>
    <row r="119" spans="1:35" ht="22.35" customHeight="1">
      <c r="AH119" s="107"/>
      <c r="AI119" s="107"/>
    </row>
    <row r="120" spans="1:35" ht="22.35" customHeight="1" thickBot="1">
      <c r="A120" s="172" t="s">
        <v>174</v>
      </c>
      <c r="B120" s="173"/>
      <c r="C120" s="173"/>
      <c r="D120" s="174"/>
      <c r="E120" s="174"/>
      <c r="F120" s="174"/>
      <c r="G120" s="105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>
      <c r="A121" s="172"/>
      <c r="B121" s="248" t="s">
        <v>175</v>
      </c>
      <c r="C121" s="383"/>
      <c r="D121" s="384" t="s">
        <v>94</v>
      </c>
      <c r="E121" s="385"/>
      <c r="F121" s="386"/>
      <c r="G121" s="383"/>
      <c r="H121" s="384" t="s">
        <v>95</v>
      </c>
      <c r="I121" s="385"/>
      <c r="J121" s="386"/>
      <c r="K121" s="383"/>
      <c r="L121" s="384" t="s">
        <v>96</v>
      </c>
      <c r="M121" s="385"/>
      <c r="N121" s="386"/>
      <c r="O121" s="383"/>
      <c r="P121" s="384" t="s">
        <v>97</v>
      </c>
      <c r="Q121" s="385"/>
      <c r="R121" s="386"/>
      <c r="S121" s="383"/>
      <c r="T121" s="384" t="s">
        <v>98</v>
      </c>
      <c r="U121" s="385"/>
      <c r="V121" s="386"/>
      <c r="W121" s="383"/>
      <c r="X121" s="384" t="s">
        <v>99</v>
      </c>
      <c r="Y121" s="385"/>
      <c r="Z121" s="386"/>
      <c r="AA121" s="383"/>
      <c r="AB121" s="384" t="s">
        <v>100</v>
      </c>
      <c r="AC121" s="385"/>
      <c r="AD121" s="385"/>
      <c r="AE121" s="387" t="s">
        <v>101</v>
      </c>
      <c r="AF121" s="385"/>
      <c r="AG121" s="385"/>
      <c r="AH121" s="385"/>
      <c r="AI121" s="388"/>
    </row>
    <row r="122" spans="1:35" ht="22.35" customHeight="1">
      <c r="A122" s="172"/>
      <c r="B122" s="2979" t="s">
        <v>148</v>
      </c>
      <c r="C122" s="2980">
        <v>69</v>
      </c>
      <c r="D122" s="2981" t="s">
        <v>176</v>
      </c>
      <c r="E122" s="2981"/>
      <c r="F122" s="2982"/>
      <c r="G122" s="2980">
        <v>69</v>
      </c>
      <c r="H122" s="2981" t="s">
        <v>176</v>
      </c>
      <c r="I122" s="2981"/>
      <c r="J122" s="2982"/>
      <c r="K122" s="2980">
        <v>69</v>
      </c>
      <c r="L122" s="2981" t="s">
        <v>176</v>
      </c>
      <c r="M122" s="2981"/>
      <c r="N122" s="2982"/>
      <c r="O122" s="2980">
        <v>69</v>
      </c>
      <c r="P122" s="2981" t="s">
        <v>176</v>
      </c>
      <c r="Q122" s="2981"/>
      <c r="R122" s="2982"/>
      <c r="S122" s="2980">
        <v>69</v>
      </c>
      <c r="T122" s="2981" t="s">
        <v>176</v>
      </c>
      <c r="U122" s="2981"/>
      <c r="V122" s="2982"/>
      <c r="W122" s="2980"/>
      <c r="X122" s="2983"/>
      <c r="Y122" s="2983"/>
      <c r="Z122" s="2984"/>
      <c r="AA122" s="2980"/>
      <c r="AB122" s="2981"/>
      <c r="AC122" s="2981"/>
      <c r="AD122" s="2899"/>
      <c r="AE122" s="2985">
        <v>35</v>
      </c>
      <c r="AF122" s="2981"/>
      <c r="AG122" s="2981"/>
      <c r="AH122" s="2899"/>
      <c r="AI122" s="2986"/>
    </row>
    <row r="123" spans="1:35" ht="22.35" customHeight="1">
      <c r="A123" s="172"/>
      <c r="B123" s="2979" t="s">
        <v>152</v>
      </c>
      <c r="C123" s="2980">
        <v>79</v>
      </c>
      <c r="D123" s="2981" t="s">
        <v>177</v>
      </c>
      <c r="E123" s="2981"/>
      <c r="F123" s="2982"/>
      <c r="G123" s="2980">
        <v>79</v>
      </c>
      <c r="H123" s="2981" t="s">
        <v>177</v>
      </c>
      <c r="I123" s="2981"/>
      <c r="J123" s="2982"/>
      <c r="K123" s="2980">
        <v>79</v>
      </c>
      <c r="L123" s="2981" t="s">
        <v>177</v>
      </c>
      <c r="M123" s="2981"/>
      <c r="N123" s="2982"/>
      <c r="O123" s="2980">
        <v>79</v>
      </c>
      <c r="P123" s="2981" t="s">
        <v>177</v>
      </c>
      <c r="Q123" s="2981"/>
      <c r="R123" s="2982"/>
      <c r="S123" s="2980">
        <v>79</v>
      </c>
      <c r="T123" s="2981" t="s">
        <v>177</v>
      </c>
      <c r="U123" s="2981"/>
      <c r="V123" s="2982"/>
      <c r="W123" s="2980"/>
      <c r="X123" s="2981"/>
      <c r="Y123" s="2981"/>
      <c r="Z123" s="2982"/>
      <c r="AA123" s="2981"/>
      <c r="AB123" s="2981"/>
      <c r="AC123" s="2981"/>
      <c r="AD123" s="2899"/>
      <c r="AE123" s="2985">
        <v>40</v>
      </c>
      <c r="AF123" s="2981"/>
      <c r="AG123" s="2981"/>
      <c r="AH123" s="2899"/>
      <c r="AI123" s="2986"/>
    </row>
    <row r="124" spans="1:35" ht="22.35" customHeight="1">
      <c r="A124" s="172"/>
      <c r="B124" s="2979" t="s">
        <v>159</v>
      </c>
      <c r="C124" s="2980">
        <v>89</v>
      </c>
      <c r="D124" s="2981" t="s">
        <v>178</v>
      </c>
      <c r="E124" s="2981"/>
      <c r="F124" s="2982"/>
      <c r="G124" s="2980">
        <v>89</v>
      </c>
      <c r="H124" s="2981" t="s">
        <v>178</v>
      </c>
      <c r="I124" s="2981"/>
      <c r="J124" s="2982"/>
      <c r="K124" s="2980">
        <v>89</v>
      </c>
      <c r="L124" s="2981" t="s">
        <v>178</v>
      </c>
      <c r="M124" s="2981"/>
      <c r="N124" s="2982"/>
      <c r="O124" s="2980">
        <v>89</v>
      </c>
      <c r="P124" s="2981" t="s">
        <v>178</v>
      </c>
      <c r="Q124" s="2981"/>
      <c r="R124" s="2982"/>
      <c r="S124" s="2980">
        <v>89</v>
      </c>
      <c r="T124" s="2981" t="s">
        <v>178</v>
      </c>
      <c r="U124" s="2981"/>
      <c r="V124" s="2982"/>
      <c r="W124" s="2987"/>
      <c r="X124" s="2988" t="s">
        <v>180</v>
      </c>
      <c r="Y124" s="2988"/>
      <c r="Z124" s="2989"/>
      <c r="AA124" s="2987"/>
      <c r="AB124" s="2988"/>
      <c r="AC124" s="2988"/>
      <c r="AD124" s="2901"/>
      <c r="AE124" s="2985">
        <v>44</v>
      </c>
      <c r="AF124" s="2981"/>
      <c r="AG124" s="2981"/>
      <c r="AH124" s="2899"/>
      <c r="AI124" s="2986"/>
    </row>
    <row r="125" spans="1:35" ht="22.35" customHeight="1">
      <c r="A125" s="172"/>
      <c r="B125" s="38" t="s">
        <v>161</v>
      </c>
      <c r="C125" s="2987">
        <v>99</v>
      </c>
      <c r="D125" s="2988" t="s">
        <v>181</v>
      </c>
      <c r="E125" s="2988"/>
      <c r="F125" s="2989"/>
      <c r="G125" s="2987">
        <v>99</v>
      </c>
      <c r="H125" s="2988" t="s">
        <v>181</v>
      </c>
      <c r="I125" s="2988"/>
      <c r="J125" s="2989"/>
      <c r="K125" s="2987">
        <v>99</v>
      </c>
      <c r="L125" s="2988" t="s">
        <v>181</v>
      </c>
      <c r="M125" s="2988"/>
      <c r="N125" s="2989"/>
      <c r="O125" s="2987">
        <v>99</v>
      </c>
      <c r="P125" s="2988" t="s">
        <v>181</v>
      </c>
      <c r="Q125" s="2988"/>
      <c r="R125" s="2989"/>
      <c r="S125" s="2987">
        <v>99</v>
      </c>
      <c r="T125" s="2988" t="s">
        <v>160</v>
      </c>
      <c r="U125" s="2988"/>
      <c r="V125" s="2901"/>
      <c r="W125" s="2900"/>
      <c r="X125" s="2901"/>
      <c r="Y125" s="2988"/>
      <c r="Z125" s="2989"/>
      <c r="AA125" s="2900"/>
      <c r="AB125" s="2901"/>
      <c r="AC125" s="2988"/>
      <c r="AD125" s="2989"/>
      <c r="AE125" s="2990">
        <v>28</v>
      </c>
      <c r="AF125" s="2988"/>
      <c r="AG125" s="2988"/>
      <c r="AH125" s="2901"/>
      <c r="AI125" s="2991"/>
    </row>
    <row r="126" spans="1:35" ht="22.35" customHeight="1" thickBot="1">
      <c r="A126" s="172"/>
      <c r="B126" s="2992" t="s">
        <v>182</v>
      </c>
      <c r="C126" s="2993" t="s">
        <v>183</v>
      </c>
      <c r="D126" s="2994" t="s">
        <v>184</v>
      </c>
      <c r="E126" s="2995"/>
      <c r="F126" s="2849"/>
      <c r="G126" s="2993" t="s">
        <v>183</v>
      </c>
      <c r="H126" s="2994" t="s">
        <v>184</v>
      </c>
      <c r="I126" s="2847"/>
      <c r="J126" s="2995"/>
      <c r="K126" s="2993" t="s">
        <v>183</v>
      </c>
      <c r="L126" s="2994" t="s">
        <v>184</v>
      </c>
      <c r="M126" s="2995"/>
      <c r="N126" s="2996"/>
      <c r="O126" s="2993" t="s">
        <v>183</v>
      </c>
      <c r="P126" s="2994" t="s">
        <v>184</v>
      </c>
      <c r="Q126" s="2995"/>
      <c r="R126" s="2994"/>
      <c r="S126" s="2993" t="s">
        <v>183</v>
      </c>
      <c r="T126" s="2851" t="s">
        <v>185</v>
      </c>
      <c r="U126" s="2994"/>
      <c r="V126" s="2996"/>
      <c r="W126" s="2995"/>
      <c r="X126" s="2994"/>
      <c r="Y126" s="2994"/>
      <c r="Z126" s="2994"/>
      <c r="AA126" s="2997"/>
      <c r="AB126" s="2998"/>
      <c r="AC126" s="2994"/>
      <c r="AD126" s="2999"/>
      <c r="AE126" s="2994"/>
      <c r="AF126" s="2994"/>
      <c r="AG126" s="2994"/>
      <c r="AH126" s="3000"/>
      <c r="AI126" s="3001"/>
    </row>
    <row r="127" spans="1:35" ht="22.35" customHeight="1">
      <c r="A127" s="108"/>
      <c r="B127" s="172"/>
      <c r="C127" s="174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/>
      <c r="Y127" s="174"/>
      <c r="Z127" s="174"/>
      <c r="AA127" s="174"/>
      <c r="AB127" s="174"/>
      <c r="AC127" s="174"/>
      <c r="AD127" s="174"/>
      <c r="AE127" s="174"/>
      <c r="AF127" s="174"/>
      <c r="AG127" s="174"/>
      <c r="AH127" s="173"/>
      <c r="AI127" s="173"/>
    </row>
    <row r="128" spans="1:35" ht="22.35" customHeight="1" thickBot="1">
      <c r="A128" s="2954"/>
      <c r="B128" s="2856" t="s">
        <v>29</v>
      </c>
      <c r="C128" s="2788">
        <v>1</v>
      </c>
      <c r="D128" s="2789">
        <v>2</v>
      </c>
      <c r="E128" s="2789">
        <v>3</v>
      </c>
      <c r="F128" s="2788">
        <v>4</v>
      </c>
      <c r="G128" s="2788">
        <v>5</v>
      </c>
      <c r="H128" s="2788">
        <v>6</v>
      </c>
      <c r="I128" s="2788">
        <v>7</v>
      </c>
      <c r="J128" s="2788">
        <v>8</v>
      </c>
      <c r="K128" s="2789">
        <v>9</v>
      </c>
      <c r="L128" s="2789">
        <v>10</v>
      </c>
      <c r="M128" s="2788">
        <v>11</v>
      </c>
      <c r="N128" s="2788">
        <v>12</v>
      </c>
      <c r="O128" s="2788">
        <v>13</v>
      </c>
      <c r="P128" s="2789">
        <v>14</v>
      </c>
      <c r="Q128" s="2789">
        <v>15</v>
      </c>
      <c r="R128" s="2789">
        <v>16</v>
      </c>
      <c r="S128" s="2789">
        <v>17</v>
      </c>
      <c r="T128" s="2789">
        <v>18</v>
      </c>
      <c r="U128" s="2788">
        <v>19</v>
      </c>
      <c r="V128" s="2788">
        <v>20</v>
      </c>
      <c r="W128" s="2788">
        <v>21</v>
      </c>
      <c r="X128" s="2788">
        <v>22</v>
      </c>
      <c r="Y128" s="2789">
        <v>23</v>
      </c>
      <c r="Z128" s="2789">
        <v>24</v>
      </c>
      <c r="AA128" s="2788">
        <v>25</v>
      </c>
      <c r="AB128" s="2788">
        <v>26</v>
      </c>
      <c r="AC128" s="2788">
        <v>27</v>
      </c>
      <c r="AD128" s="2788">
        <v>28</v>
      </c>
      <c r="AE128" s="2788">
        <v>29</v>
      </c>
      <c r="AF128" s="2789">
        <v>30</v>
      </c>
      <c r="AG128" s="2790"/>
      <c r="AH128" s="176"/>
      <c r="AI128" s="177"/>
    </row>
    <row r="129" spans="1:35" ht="22.35" customHeight="1">
      <c r="A129" s="367">
        <v>1</v>
      </c>
      <c r="B129" s="389" t="s">
        <v>186</v>
      </c>
      <c r="C129" s="361" t="s">
        <v>183</v>
      </c>
      <c r="D129" s="361"/>
      <c r="E129" s="349"/>
      <c r="F129" s="546">
        <v>69</v>
      </c>
      <c r="G129" s="621">
        <v>69</v>
      </c>
      <c r="H129" s="620">
        <v>69</v>
      </c>
      <c r="I129" s="621">
        <v>69</v>
      </c>
      <c r="J129" s="621">
        <v>69</v>
      </c>
      <c r="K129" s="620"/>
      <c r="L129" s="621"/>
      <c r="M129" s="349">
        <v>79</v>
      </c>
      <c r="N129" s="361">
        <v>79</v>
      </c>
      <c r="O129" s="361">
        <v>79</v>
      </c>
      <c r="P129" s="361">
        <v>79</v>
      </c>
      <c r="Q129" s="361">
        <v>79</v>
      </c>
      <c r="R129" s="361"/>
      <c r="S129" s="349"/>
      <c r="T129" s="349">
        <v>89</v>
      </c>
      <c r="U129" s="361">
        <v>89</v>
      </c>
      <c r="V129" s="361">
        <v>89</v>
      </c>
      <c r="W129" s="361">
        <v>89</v>
      </c>
      <c r="X129" s="361">
        <v>89</v>
      </c>
      <c r="Y129" s="539">
        <v>89</v>
      </c>
      <c r="Z129" s="361"/>
      <c r="AA129" s="350">
        <v>99</v>
      </c>
      <c r="AB129" s="361">
        <v>99</v>
      </c>
      <c r="AC129" s="361">
        <v>99</v>
      </c>
      <c r="AD129" s="361">
        <v>99</v>
      </c>
      <c r="AE129" s="361" t="s">
        <v>36</v>
      </c>
      <c r="AF129" s="350"/>
      <c r="AG129" s="362"/>
      <c r="AH129" s="201"/>
      <c r="AI129" s="107"/>
    </row>
    <row r="130" spans="1:35" ht="22.35" customHeight="1">
      <c r="A130" s="2966">
        <v>2</v>
      </c>
      <c r="B130" s="3002" t="s">
        <v>188</v>
      </c>
      <c r="C130" s="2802">
        <v>69</v>
      </c>
      <c r="D130" s="2870"/>
      <c r="E130" s="2875"/>
      <c r="F130" s="2875">
        <v>79</v>
      </c>
      <c r="G130" s="2870">
        <v>79</v>
      </c>
      <c r="H130" s="2870">
        <v>79</v>
      </c>
      <c r="I130" s="2810">
        <v>79</v>
      </c>
      <c r="J130" s="2870">
        <v>79</v>
      </c>
      <c r="K130" s="2810"/>
      <c r="L130" s="2875"/>
      <c r="M130" s="2875">
        <v>89</v>
      </c>
      <c r="N130" s="2870">
        <v>89</v>
      </c>
      <c r="O130" s="2870">
        <v>89</v>
      </c>
      <c r="P130" s="2870">
        <v>89</v>
      </c>
      <c r="Q130" s="2870">
        <v>89</v>
      </c>
      <c r="R130" s="2802">
        <v>89</v>
      </c>
      <c r="S130" s="2870"/>
      <c r="T130" s="2875">
        <v>99</v>
      </c>
      <c r="U130" s="2870">
        <v>99</v>
      </c>
      <c r="V130" s="2870">
        <v>99</v>
      </c>
      <c r="W130" s="2870">
        <v>99</v>
      </c>
      <c r="X130" s="2870" t="s">
        <v>36</v>
      </c>
      <c r="Y130" s="2870"/>
      <c r="Z130" s="2875"/>
      <c r="AA130" s="2792" t="s">
        <v>183</v>
      </c>
      <c r="AB130" s="2792" t="s">
        <v>183</v>
      </c>
      <c r="AC130" s="2792" t="s">
        <v>183</v>
      </c>
      <c r="AD130" s="2792" t="s">
        <v>183</v>
      </c>
      <c r="AE130" s="2792" t="s">
        <v>183</v>
      </c>
      <c r="AF130" s="2871"/>
      <c r="AG130" s="3003"/>
      <c r="AH130" s="202"/>
      <c r="AI130" s="171"/>
    </row>
    <row r="131" spans="1:35" ht="22.35" customHeight="1">
      <c r="A131" s="2966">
        <v>3</v>
      </c>
      <c r="B131" s="3002" t="s">
        <v>189</v>
      </c>
      <c r="C131" s="2972">
        <v>79</v>
      </c>
      <c r="D131" s="2810"/>
      <c r="E131" s="2972"/>
      <c r="F131" s="2972">
        <v>89</v>
      </c>
      <c r="G131" s="2972">
        <v>89</v>
      </c>
      <c r="H131" s="2810">
        <v>89</v>
      </c>
      <c r="I131" s="2810">
        <v>89</v>
      </c>
      <c r="J131" s="2972">
        <v>89</v>
      </c>
      <c r="K131" s="2972">
        <v>89</v>
      </c>
      <c r="L131" s="2972"/>
      <c r="M131" s="2792">
        <v>99</v>
      </c>
      <c r="N131" s="2792">
        <v>99</v>
      </c>
      <c r="O131" s="3071">
        <v>99</v>
      </c>
      <c r="P131" s="2972">
        <v>99</v>
      </c>
      <c r="Q131" s="2972" t="s">
        <v>36</v>
      </c>
      <c r="R131" s="2810"/>
      <c r="S131" s="2972"/>
      <c r="T131" s="2972" t="s">
        <v>183</v>
      </c>
      <c r="U131" s="3072" t="s">
        <v>403</v>
      </c>
      <c r="V131" s="3004" t="s">
        <v>403</v>
      </c>
      <c r="W131" s="3004" t="s">
        <v>403</v>
      </c>
      <c r="X131" s="3073" t="s">
        <v>403</v>
      </c>
      <c r="Y131" s="3073"/>
      <c r="Z131" s="2972"/>
      <c r="AA131" s="2972">
        <v>69</v>
      </c>
      <c r="AB131" s="2972">
        <v>69</v>
      </c>
      <c r="AC131" s="2972">
        <v>69</v>
      </c>
      <c r="AD131" s="2972">
        <v>69</v>
      </c>
      <c r="AE131" s="2972">
        <v>69</v>
      </c>
      <c r="AF131" s="2972"/>
      <c r="AG131" s="3006"/>
      <c r="AH131" s="201"/>
      <c r="AI131" s="107"/>
    </row>
    <row r="132" spans="1:35" ht="22.35" customHeight="1">
      <c r="A132" s="2966">
        <v>4</v>
      </c>
      <c r="B132" s="3002" t="s">
        <v>359</v>
      </c>
      <c r="C132" s="2875">
        <v>89</v>
      </c>
      <c r="D132" s="2875">
        <v>89</v>
      </c>
      <c r="E132" s="2875"/>
      <c r="F132" s="2875">
        <v>99</v>
      </c>
      <c r="G132" s="2875">
        <v>99</v>
      </c>
      <c r="H132" s="2810">
        <v>99</v>
      </c>
      <c r="I132" s="2810">
        <v>99</v>
      </c>
      <c r="J132" s="2875" t="s">
        <v>36</v>
      </c>
      <c r="K132" s="2875"/>
      <c r="L132" s="2875"/>
      <c r="M132" s="2875" t="s">
        <v>183</v>
      </c>
      <c r="N132" s="2875" t="s">
        <v>183</v>
      </c>
      <c r="O132" s="2875" t="s">
        <v>183</v>
      </c>
      <c r="P132" s="2875" t="s">
        <v>343</v>
      </c>
      <c r="Q132" s="2955" t="s">
        <v>343</v>
      </c>
      <c r="R132" s="2810"/>
      <c r="S132" s="2875"/>
      <c r="T132" s="2875">
        <v>69</v>
      </c>
      <c r="U132" s="2875">
        <v>69</v>
      </c>
      <c r="V132" s="2875">
        <v>69</v>
      </c>
      <c r="W132" s="2875">
        <v>69</v>
      </c>
      <c r="X132" s="2875">
        <v>69</v>
      </c>
      <c r="Y132" s="2955"/>
      <c r="Z132" s="2871"/>
      <c r="AA132" s="2875">
        <v>79</v>
      </c>
      <c r="AB132" s="2875">
        <v>79</v>
      </c>
      <c r="AC132" s="2875">
        <v>79</v>
      </c>
      <c r="AD132" s="2875">
        <v>79</v>
      </c>
      <c r="AE132" s="2875">
        <v>79</v>
      </c>
      <c r="AF132" s="2955"/>
      <c r="AG132" s="3007"/>
      <c r="AH132" s="201"/>
      <c r="AI132" s="107"/>
    </row>
    <row r="133" spans="1:35" ht="22.35" customHeight="1" thickBot="1">
      <c r="A133" s="2973">
        <v>5</v>
      </c>
      <c r="B133" s="3008" t="s">
        <v>190</v>
      </c>
      <c r="C133" s="2958" t="s">
        <v>36</v>
      </c>
      <c r="D133" s="2918" t="s">
        <v>0</v>
      </c>
      <c r="E133" s="2958"/>
      <c r="F133" s="2788" t="s">
        <v>183</v>
      </c>
      <c r="G133" s="2833" t="s">
        <v>183</v>
      </c>
      <c r="H133" s="2889" t="s">
        <v>183</v>
      </c>
      <c r="I133" s="2889" t="s">
        <v>183</v>
      </c>
      <c r="J133" s="2833" t="s">
        <v>183</v>
      </c>
      <c r="K133" s="3074"/>
      <c r="L133" s="3074"/>
      <c r="M133" s="2788">
        <v>69</v>
      </c>
      <c r="N133" s="2958">
        <v>69</v>
      </c>
      <c r="O133" s="2958">
        <v>69</v>
      </c>
      <c r="P133" s="2958">
        <v>69</v>
      </c>
      <c r="Q133" s="2958">
        <v>69</v>
      </c>
      <c r="R133" s="2918" t="s">
        <v>0</v>
      </c>
      <c r="S133" s="2918" t="s">
        <v>0</v>
      </c>
      <c r="T133" s="3075">
        <v>79</v>
      </c>
      <c r="U133" s="2958">
        <v>79</v>
      </c>
      <c r="V133" s="2958">
        <v>79</v>
      </c>
      <c r="W133" s="2958">
        <v>79</v>
      </c>
      <c r="X133" s="2958">
        <v>79</v>
      </c>
      <c r="Y133" s="2958"/>
      <c r="Z133" s="2864"/>
      <c r="AA133" s="3073" t="s">
        <v>403</v>
      </c>
      <c r="AB133" s="3004" t="s">
        <v>403</v>
      </c>
      <c r="AC133" s="3004" t="s">
        <v>403</v>
      </c>
      <c r="AD133" s="3004" t="s">
        <v>403</v>
      </c>
      <c r="AE133" s="2958">
        <v>89</v>
      </c>
      <c r="AF133" s="2958">
        <v>89</v>
      </c>
      <c r="AG133" s="3011"/>
      <c r="AH133" s="201"/>
      <c r="AI133" s="107"/>
    </row>
    <row r="134" spans="1:35" ht="22.35" customHeight="1">
      <c r="A134" s="212"/>
      <c r="B134" s="229"/>
      <c r="C134" s="230"/>
      <c r="D134" s="230"/>
      <c r="E134" s="230"/>
      <c r="F134" s="211"/>
      <c r="G134" s="228"/>
      <c r="H134" s="228"/>
      <c r="I134" s="228"/>
      <c r="J134" s="228"/>
      <c r="K134" s="228"/>
      <c r="L134" s="211"/>
      <c r="M134" s="211"/>
      <c r="N134" s="230"/>
      <c r="O134" s="230"/>
      <c r="P134" s="230"/>
      <c r="Q134" s="230"/>
      <c r="R134" s="230"/>
      <c r="S134" s="211"/>
      <c r="T134" s="231"/>
      <c r="U134" s="230"/>
      <c r="V134" s="230"/>
      <c r="W134" s="230"/>
      <c r="X134" s="230"/>
      <c r="Y134" s="230"/>
      <c r="Z134" s="232"/>
      <c r="AA134" s="232"/>
      <c r="AB134" s="230"/>
      <c r="AC134" s="230"/>
      <c r="AD134" s="230"/>
      <c r="AE134" s="230"/>
      <c r="AF134" s="230"/>
      <c r="AG134" s="232"/>
      <c r="AH134" s="201"/>
      <c r="AI134" s="107"/>
    </row>
    <row r="135" spans="1:35" ht="22.35" customHeight="1">
      <c r="A135" s="109"/>
      <c r="B135" s="110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7"/>
      <c r="AI135" s="107"/>
    </row>
    <row r="136" spans="1:35" ht="22.35" customHeight="1" thickBot="1">
      <c r="A136" s="172" t="s">
        <v>191</v>
      </c>
      <c r="B136" s="173"/>
      <c r="C136" s="173"/>
      <c r="D136" s="174"/>
      <c r="E136" s="174"/>
      <c r="F136" s="174"/>
      <c r="G136" s="105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>
      <c r="A137" s="172"/>
      <c r="B137" s="248" t="s">
        <v>175</v>
      </c>
      <c r="C137" s="383"/>
      <c r="D137" s="384" t="s">
        <v>94</v>
      </c>
      <c r="E137" s="385"/>
      <c r="F137" s="386"/>
      <c r="G137" s="383"/>
      <c r="H137" s="384" t="s">
        <v>95</v>
      </c>
      <c r="I137" s="385"/>
      <c r="J137" s="386"/>
      <c r="K137" s="383"/>
      <c r="L137" s="384" t="s">
        <v>96</v>
      </c>
      <c r="M137" s="385"/>
      <c r="N137" s="386"/>
      <c r="O137" s="383"/>
      <c r="P137" s="384" t="s">
        <v>97</v>
      </c>
      <c r="Q137" s="385"/>
      <c r="R137" s="386"/>
      <c r="S137" s="383"/>
      <c r="T137" s="384" t="s">
        <v>98</v>
      </c>
      <c r="U137" s="385"/>
      <c r="V137" s="386"/>
      <c r="W137" s="383"/>
      <c r="X137" s="384" t="s">
        <v>99</v>
      </c>
      <c r="Y137" s="385"/>
      <c r="Z137" s="386"/>
      <c r="AA137" s="383"/>
      <c r="AB137" s="384" t="s">
        <v>100</v>
      </c>
      <c r="AC137" s="385"/>
      <c r="AD137" s="385"/>
      <c r="AE137" s="387" t="s">
        <v>101</v>
      </c>
      <c r="AF137" s="385"/>
      <c r="AG137" s="385"/>
      <c r="AH137" s="385"/>
      <c r="AI137" s="388"/>
    </row>
    <row r="138" spans="1:35" ht="22.35" customHeight="1">
      <c r="A138" s="172"/>
      <c r="B138" s="2979" t="s">
        <v>192</v>
      </c>
      <c r="C138" s="2898" t="s">
        <v>193</v>
      </c>
      <c r="D138" s="2981"/>
      <c r="E138" s="2981"/>
      <c r="F138" s="2982"/>
      <c r="G138" s="2898" t="s">
        <v>193</v>
      </c>
      <c r="H138" s="2981"/>
      <c r="I138" s="2981"/>
      <c r="J138" s="2982"/>
      <c r="K138" s="2898" t="s">
        <v>193</v>
      </c>
      <c r="L138" s="2981"/>
      <c r="M138" s="2981"/>
      <c r="N138" s="2982"/>
      <c r="O138" s="2898" t="s">
        <v>193</v>
      </c>
      <c r="P138" s="2981"/>
      <c r="Q138" s="2981"/>
      <c r="R138" s="2982"/>
      <c r="S138" s="2898" t="s">
        <v>193</v>
      </c>
      <c r="T138" s="2981"/>
      <c r="U138" s="2981"/>
      <c r="V138" s="2982"/>
      <c r="W138" s="2898" t="s">
        <v>194</v>
      </c>
      <c r="X138" s="2983"/>
      <c r="Y138" s="2983"/>
      <c r="Z138" s="2984"/>
      <c r="AA138" s="2898" t="s">
        <v>194</v>
      </c>
      <c r="AB138" s="2981"/>
      <c r="AC138" s="2981"/>
      <c r="AD138" s="2899"/>
      <c r="AE138" s="2985">
        <v>69</v>
      </c>
      <c r="AF138" s="194"/>
      <c r="AG138" s="194"/>
      <c r="AH138" s="194"/>
      <c r="AI138" s="195"/>
    </row>
    <row r="139" spans="1:35" ht="22.35" customHeight="1">
      <c r="A139" s="172"/>
      <c r="B139" s="2979" t="s">
        <v>152</v>
      </c>
      <c r="C139" s="2898" t="s">
        <v>160</v>
      </c>
      <c r="D139" s="2981"/>
      <c r="E139" s="2981"/>
      <c r="F139" s="2982"/>
      <c r="G139" s="2898" t="s">
        <v>160</v>
      </c>
      <c r="H139" s="2981"/>
      <c r="I139" s="2981"/>
      <c r="J139" s="2982"/>
      <c r="K139" s="2898" t="s">
        <v>160</v>
      </c>
      <c r="L139" s="2981"/>
      <c r="M139" s="2981"/>
      <c r="N139" s="2982"/>
      <c r="O139" s="2898" t="s">
        <v>160</v>
      </c>
      <c r="P139" s="2981"/>
      <c r="Q139" s="2981"/>
      <c r="R139" s="2982"/>
      <c r="S139" s="2898" t="s">
        <v>160</v>
      </c>
      <c r="T139" s="2981"/>
      <c r="U139" s="2981"/>
      <c r="V139" s="2982"/>
      <c r="W139" s="2898" t="s">
        <v>160</v>
      </c>
      <c r="X139" s="2981"/>
      <c r="Y139" s="2981"/>
      <c r="Z139" s="2982"/>
      <c r="AA139" s="2981" t="s">
        <v>160</v>
      </c>
      <c r="AB139" s="2981"/>
      <c r="AC139" s="2981"/>
      <c r="AD139" s="2899"/>
      <c r="AE139" s="2985">
        <v>0</v>
      </c>
      <c r="AF139" s="194"/>
      <c r="AG139" s="194"/>
      <c r="AH139" s="194"/>
      <c r="AI139" s="195"/>
    </row>
    <row r="140" spans="1:35" ht="22.35" customHeight="1">
      <c r="A140" s="172"/>
      <c r="B140" s="2979" t="s">
        <v>195</v>
      </c>
      <c r="C140" s="2898" t="s">
        <v>193</v>
      </c>
      <c r="D140" s="2981"/>
      <c r="E140" s="2981"/>
      <c r="F140" s="2982"/>
      <c r="G140" s="2898" t="s">
        <v>193</v>
      </c>
      <c r="H140" s="2981"/>
      <c r="I140" s="2981"/>
      <c r="J140" s="2982"/>
      <c r="K140" s="2898" t="s">
        <v>193</v>
      </c>
      <c r="L140" s="2981"/>
      <c r="M140" s="2981"/>
      <c r="N140" s="2982"/>
      <c r="O140" s="2898" t="s">
        <v>193</v>
      </c>
      <c r="P140" s="2981"/>
      <c r="Q140" s="2981"/>
      <c r="R140" s="2982"/>
      <c r="S140" s="2898" t="s">
        <v>193</v>
      </c>
      <c r="T140" s="2981"/>
      <c r="U140" s="2981"/>
      <c r="V140" s="2982"/>
      <c r="W140" s="2898" t="s">
        <v>194</v>
      </c>
      <c r="X140" s="2983"/>
      <c r="Y140" s="2983"/>
      <c r="Z140" s="2984"/>
      <c r="AA140" s="2898" t="s">
        <v>194</v>
      </c>
      <c r="AB140" s="2981"/>
      <c r="AC140" s="2981"/>
      <c r="AD140" s="2899"/>
      <c r="AE140" s="2985">
        <v>69</v>
      </c>
      <c r="AF140" s="2981"/>
      <c r="AG140" s="2981" t="s">
        <v>0</v>
      </c>
      <c r="AH140" s="2899"/>
      <c r="AI140" s="2986"/>
    </row>
    <row r="141" spans="1:35" ht="22.35" customHeight="1">
      <c r="A141" s="172"/>
      <c r="B141" s="2979" t="s">
        <v>161</v>
      </c>
      <c r="C141" s="2898" t="s">
        <v>160</v>
      </c>
      <c r="D141" s="2981"/>
      <c r="E141" s="2981"/>
      <c r="F141" s="2982"/>
      <c r="G141" s="2898" t="s">
        <v>160</v>
      </c>
      <c r="H141" s="2981"/>
      <c r="I141" s="2981"/>
      <c r="J141" s="2982"/>
      <c r="K141" s="2898" t="s">
        <v>160</v>
      </c>
      <c r="L141" s="2981"/>
      <c r="M141" s="2981"/>
      <c r="N141" s="2982"/>
      <c r="O141" s="2898" t="s">
        <v>160</v>
      </c>
      <c r="P141" s="2981"/>
      <c r="Q141" s="2981"/>
      <c r="R141" s="2982"/>
      <c r="S141" s="2898" t="s">
        <v>160</v>
      </c>
      <c r="T141" s="2981"/>
      <c r="U141" s="2981"/>
      <c r="V141" s="2982"/>
      <c r="W141" s="2898" t="s">
        <v>160</v>
      </c>
      <c r="X141" s="2981"/>
      <c r="Y141" s="2981"/>
      <c r="Z141" s="2982"/>
      <c r="AA141" s="2981" t="s">
        <v>160</v>
      </c>
      <c r="AB141" s="2981"/>
      <c r="AC141" s="2981"/>
      <c r="AD141" s="2899"/>
      <c r="AE141" s="2985">
        <v>0</v>
      </c>
      <c r="AF141" s="2981"/>
      <c r="AG141" s="2981"/>
      <c r="AH141" s="2899"/>
      <c r="AI141" s="2986"/>
    </row>
    <row r="142" spans="1:35" ht="22.35" customHeight="1">
      <c r="A142" s="172"/>
      <c r="B142" s="2979" t="s">
        <v>196</v>
      </c>
      <c r="C142" s="2898" t="s">
        <v>193</v>
      </c>
      <c r="D142" s="2981"/>
      <c r="E142" s="2981"/>
      <c r="F142" s="2982"/>
      <c r="G142" s="2898" t="s">
        <v>193</v>
      </c>
      <c r="H142" s="2981"/>
      <c r="I142" s="2981"/>
      <c r="J142" s="2982"/>
      <c r="K142" s="2898" t="s">
        <v>193</v>
      </c>
      <c r="L142" s="2981"/>
      <c r="M142" s="2981"/>
      <c r="N142" s="2982"/>
      <c r="O142" s="2898" t="s">
        <v>193</v>
      </c>
      <c r="P142" s="2981"/>
      <c r="Q142" s="2981"/>
      <c r="R142" s="2982"/>
      <c r="S142" s="2898" t="s">
        <v>193</v>
      </c>
      <c r="T142" s="2981"/>
      <c r="U142" s="2981"/>
      <c r="V142" s="2982"/>
      <c r="W142" s="2898" t="s">
        <v>197</v>
      </c>
      <c r="X142" s="2988"/>
      <c r="Y142" s="2988"/>
      <c r="Z142" s="2989"/>
      <c r="AA142" s="2898" t="s">
        <v>197</v>
      </c>
      <c r="AB142" s="2988"/>
      <c r="AC142" s="2988"/>
      <c r="AD142" s="2901"/>
      <c r="AE142" s="2985">
        <v>66</v>
      </c>
      <c r="AF142" s="2981"/>
      <c r="AG142" s="2981"/>
      <c r="AH142" s="2899"/>
      <c r="AI142" s="2986"/>
    </row>
    <row r="143" spans="1:35" ht="22.35" customHeight="1" thickBot="1">
      <c r="A143" s="172"/>
      <c r="B143" s="2979" t="s">
        <v>198</v>
      </c>
      <c r="C143" s="3012" t="s">
        <v>160</v>
      </c>
      <c r="D143" s="3013"/>
      <c r="E143" s="3013"/>
      <c r="F143" s="3014"/>
      <c r="G143" s="3012" t="s">
        <v>160</v>
      </c>
      <c r="H143" s="3013"/>
      <c r="I143" s="3013"/>
      <c r="J143" s="3014"/>
      <c r="K143" s="3012" t="s">
        <v>160</v>
      </c>
      <c r="L143" s="3013"/>
      <c r="M143" s="3013"/>
      <c r="N143" s="3014"/>
      <c r="O143" s="3012" t="s">
        <v>160</v>
      </c>
      <c r="P143" s="3013"/>
      <c r="Q143" s="3013"/>
      <c r="R143" s="3014"/>
      <c r="S143" s="3012" t="s">
        <v>160</v>
      </c>
      <c r="T143" s="3013"/>
      <c r="U143" s="3013"/>
      <c r="V143" s="3000"/>
      <c r="W143" s="3012" t="s">
        <v>160</v>
      </c>
      <c r="X143" s="3000"/>
      <c r="Y143" s="3013"/>
      <c r="Z143" s="3014"/>
      <c r="AA143" s="3012" t="s">
        <v>160</v>
      </c>
      <c r="AB143" s="3000"/>
      <c r="AC143" s="3013"/>
      <c r="AD143" s="3014"/>
      <c r="AE143" s="3015" t="s">
        <v>168</v>
      </c>
      <c r="AF143" s="3013"/>
      <c r="AG143" s="3013"/>
      <c r="AH143" s="3000"/>
      <c r="AI143" s="3001"/>
    </row>
    <row r="144" spans="1:35" ht="22.35" customHeight="1">
      <c r="A144" s="108"/>
      <c r="B144" s="172"/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4"/>
      <c r="W144" s="174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174"/>
      <c r="AH144" s="173"/>
      <c r="AI144" s="173"/>
    </row>
    <row r="145" spans="1:35" ht="22.35" customHeight="1" thickBot="1">
      <c r="A145" s="2954"/>
      <c r="B145" s="2787" t="s">
        <v>29</v>
      </c>
      <c r="C145" s="2788">
        <v>1</v>
      </c>
      <c r="D145" s="2789">
        <v>2</v>
      </c>
      <c r="E145" s="2789">
        <v>3</v>
      </c>
      <c r="F145" s="2788">
        <v>4</v>
      </c>
      <c r="G145" s="2788">
        <v>5</v>
      </c>
      <c r="H145" s="2788">
        <v>6</v>
      </c>
      <c r="I145" s="2788">
        <v>7</v>
      </c>
      <c r="J145" s="2788">
        <v>8</v>
      </c>
      <c r="K145" s="2789">
        <v>9</v>
      </c>
      <c r="L145" s="2789">
        <v>10</v>
      </c>
      <c r="M145" s="2788">
        <v>11</v>
      </c>
      <c r="N145" s="2788">
        <v>12</v>
      </c>
      <c r="O145" s="2788">
        <v>13</v>
      </c>
      <c r="P145" s="2789">
        <v>14</v>
      </c>
      <c r="Q145" s="2789">
        <v>15</v>
      </c>
      <c r="R145" s="2789">
        <v>16</v>
      </c>
      <c r="S145" s="2789">
        <v>17</v>
      </c>
      <c r="T145" s="2789">
        <v>18</v>
      </c>
      <c r="U145" s="2788">
        <v>19</v>
      </c>
      <c r="V145" s="2788">
        <v>20</v>
      </c>
      <c r="W145" s="2788">
        <v>21</v>
      </c>
      <c r="X145" s="2788">
        <v>22</v>
      </c>
      <c r="Y145" s="2789">
        <v>23</v>
      </c>
      <c r="Z145" s="2789">
        <v>24</v>
      </c>
      <c r="AA145" s="2788">
        <v>25</v>
      </c>
      <c r="AB145" s="2788">
        <v>26</v>
      </c>
      <c r="AC145" s="2788">
        <v>27</v>
      </c>
      <c r="AD145" s="2788">
        <v>28</v>
      </c>
      <c r="AE145" s="2788">
        <v>29</v>
      </c>
      <c r="AF145" s="2789">
        <v>30</v>
      </c>
      <c r="AG145" s="2790"/>
      <c r="AH145" s="176"/>
      <c r="AI145" s="177"/>
    </row>
    <row r="146" spans="1:35" ht="22.35" customHeight="1">
      <c r="A146" s="317">
        <v>1</v>
      </c>
      <c r="B146" s="227" t="s">
        <v>199</v>
      </c>
      <c r="C146" s="309">
        <v>23</v>
      </c>
      <c r="D146" s="309">
        <v>23</v>
      </c>
      <c r="E146" s="309">
        <v>23</v>
      </c>
      <c r="F146" s="309" t="s">
        <v>36</v>
      </c>
      <c r="G146" s="312" t="s">
        <v>36</v>
      </c>
      <c r="H146" s="309" t="s">
        <v>36</v>
      </c>
      <c r="I146" s="310" t="s">
        <v>36</v>
      </c>
      <c r="J146" s="312" t="s">
        <v>36</v>
      </c>
      <c r="K146" s="309"/>
      <c r="L146" s="310"/>
      <c r="M146" s="312">
        <v>21</v>
      </c>
      <c r="N146" s="2820">
        <v>21</v>
      </c>
      <c r="O146" s="309">
        <v>21</v>
      </c>
      <c r="P146" s="309">
        <v>21</v>
      </c>
      <c r="Q146" s="309">
        <v>21</v>
      </c>
      <c r="R146" s="309">
        <v>21</v>
      </c>
      <c r="S146" s="309">
        <v>21</v>
      </c>
      <c r="T146" s="309" t="s">
        <v>36</v>
      </c>
      <c r="U146" s="309" t="s">
        <v>36</v>
      </c>
      <c r="V146" s="309" t="s">
        <v>36</v>
      </c>
      <c r="W146" s="310" t="s">
        <v>36</v>
      </c>
      <c r="X146" s="309" t="s">
        <v>36</v>
      </c>
      <c r="Y146" s="309"/>
      <c r="Z146" s="310"/>
      <c r="AA146" s="309">
        <v>22</v>
      </c>
      <c r="AB146" s="309">
        <v>22</v>
      </c>
      <c r="AC146" s="309">
        <v>22</v>
      </c>
      <c r="AD146" s="309">
        <v>22</v>
      </c>
      <c r="AE146" s="309">
        <v>22</v>
      </c>
      <c r="AF146" s="309">
        <v>22</v>
      </c>
      <c r="AG146" s="311"/>
      <c r="AH146" s="107"/>
      <c r="AI146" s="107"/>
    </row>
    <row r="147" spans="1:35" ht="22.35" customHeight="1">
      <c r="A147" s="2627">
        <v>2</v>
      </c>
      <c r="B147" s="2797" t="s">
        <v>200</v>
      </c>
      <c r="C147" s="2820">
        <v>21</v>
      </c>
      <c r="D147" s="2820">
        <v>21</v>
      </c>
      <c r="E147" s="2820">
        <v>21</v>
      </c>
      <c r="F147" s="2820" t="s">
        <v>36</v>
      </c>
      <c r="G147" s="2820" t="s">
        <v>36</v>
      </c>
      <c r="H147" s="2820" t="s">
        <v>36</v>
      </c>
      <c r="I147" s="3070" t="s">
        <v>36</v>
      </c>
      <c r="J147" s="2820" t="s">
        <v>36</v>
      </c>
      <c r="K147" s="2820"/>
      <c r="L147" s="3070"/>
      <c r="M147" s="2825">
        <v>22</v>
      </c>
      <c r="N147" s="2820">
        <v>22</v>
      </c>
      <c r="O147" s="2825">
        <v>22</v>
      </c>
      <c r="P147" s="2825">
        <v>22</v>
      </c>
      <c r="Q147" s="2825">
        <v>22</v>
      </c>
      <c r="R147" s="2825">
        <v>22</v>
      </c>
      <c r="S147" s="2825">
        <v>22</v>
      </c>
      <c r="T147" s="2825" t="s">
        <v>36</v>
      </c>
      <c r="U147" s="2825" t="s">
        <v>36</v>
      </c>
      <c r="V147" s="2825" t="s">
        <v>36</v>
      </c>
      <c r="W147" s="3070" t="s">
        <v>36</v>
      </c>
      <c r="X147" s="2820" t="s">
        <v>36</v>
      </c>
      <c r="Y147" s="2820"/>
      <c r="Z147" s="3070"/>
      <c r="AA147" s="2825">
        <v>23</v>
      </c>
      <c r="AB147" s="2825">
        <v>23</v>
      </c>
      <c r="AC147" s="2825">
        <v>23</v>
      </c>
      <c r="AD147" s="2825">
        <v>23</v>
      </c>
      <c r="AE147" s="2825">
        <v>23</v>
      </c>
      <c r="AF147" s="2825">
        <v>23</v>
      </c>
      <c r="AG147" s="2823"/>
      <c r="AH147" s="107"/>
      <c r="AI147" s="107"/>
    </row>
    <row r="148" spans="1:35" ht="22.35" customHeight="1">
      <c r="A148" s="2627">
        <v>3</v>
      </c>
      <c r="B148" s="2797" t="s">
        <v>0</v>
      </c>
      <c r="C148" s="2820">
        <v>22</v>
      </c>
      <c r="D148" s="2820">
        <v>22</v>
      </c>
      <c r="E148" s="2820">
        <v>22</v>
      </c>
      <c r="F148" s="2820" t="s">
        <v>36</v>
      </c>
      <c r="G148" s="2825" t="s">
        <v>36</v>
      </c>
      <c r="H148" s="2825" t="s">
        <v>36</v>
      </c>
      <c r="I148" s="2826" t="s">
        <v>36</v>
      </c>
      <c r="J148" s="2826" t="s">
        <v>36</v>
      </c>
      <c r="K148" s="2826"/>
      <c r="L148" s="2826"/>
      <c r="M148" s="2826">
        <v>23</v>
      </c>
      <c r="N148" s="2820">
        <v>23</v>
      </c>
      <c r="O148" s="2826">
        <v>23</v>
      </c>
      <c r="P148" s="2820">
        <v>23</v>
      </c>
      <c r="Q148" s="2820">
        <v>23</v>
      </c>
      <c r="R148" s="2830">
        <v>23</v>
      </c>
      <c r="S148" s="2830">
        <v>23</v>
      </c>
      <c r="T148" s="2820" t="s">
        <v>36</v>
      </c>
      <c r="U148" s="2825" t="s">
        <v>36</v>
      </c>
      <c r="V148" s="2825" t="s">
        <v>36</v>
      </c>
      <c r="W148" s="3070" t="s">
        <v>36</v>
      </c>
      <c r="X148" s="2820" t="s">
        <v>36</v>
      </c>
      <c r="Y148" s="2820"/>
      <c r="Z148" s="3070"/>
      <c r="AA148" s="2820">
        <v>21</v>
      </c>
      <c r="AB148" s="2820">
        <v>21</v>
      </c>
      <c r="AC148" s="2820">
        <v>21</v>
      </c>
      <c r="AD148" s="2820">
        <v>21</v>
      </c>
      <c r="AE148" s="2820">
        <v>21</v>
      </c>
      <c r="AF148" s="2820">
        <v>21</v>
      </c>
      <c r="AG148" s="2823"/>
      <c r="AH148" s="107"/>
      <c r="AI148" s="107"/>
    </row>
    <row r="149" spans="1:35" ht="22.35" customHeight="1">
      <c r="A149" s="2627">
        <v>4</v>
      </c>
      <c r="B149" s="2797" t="s">
        <v>202</v>
      </c>
      <c r="C149" s="2820" t="s">
        <v>36</v>
      </c>
      <c r="D149" s="2820"/>
      <c r="E149" s="3070"/>
      <c r="F149" s="2820">
        <v>23</v>
      </c>
      <c r="G149" s="2820">
        <v>23</v>
      </c>
      <c r="H149" s="2820">
        <v>23</v>
      </c>
      <c r="I149" s="2820">
        <v>23</v>
      </c>
      <c r="J149" s="2820">
        <v>23</v>
      </c>
      <c r="K149" s="2820">
        <v>23</v>
      </c>
      <c r="L149" s="2820">
        <v>23</v>
      </c>
      <c r="M149" s="2820" t="s">
        <v>36</v>
      </c>
      <c r="N149" s="2820" t="s">
        <v>36</v>
      </c>
      <c r="O149" s="2631" t="s">
        <v>36</v>
      </c>
      <c r="P149" s="2826" t="s">
        <v>36</v>
      </c>
      <c r="Q149" s="2826" t="s">
        <v>36</v>
      </c>
      <c r="R149" s="2826"/>
      <c r="S149" s="2826"/>
      <c r="T149" s="2826">
        <v>21</v>
      </c>
      <c r="U149" s="2826">
        <v>21</v>
      </c>
      <c r="V149" s="2826">
        <v>21</v>
      </c>
      <c r="W149" s="2820">
        <v>21</v>
      </c>
      <c r="X149" s="2820">
        <v>21</v>
      </c>
      <c r="Y149" s="2820">
        <v>21</v>
      </c>
      <c r="Z149" s="2820">
        <v>21</v>
      </c>
      <c r="AA149" s="2820" t="s">
        <v>36</v>
      </c>
      <c r="AB149" s="2820" t="s">
        <v>36</v>
      </c>
      <c r="AC149" s="2820" t="s">
        <v>36</v>
      </c>
      <c r="AD149" s="3070" t="s">
        <v>36</v>
      </c>
      <c r="AE149" s="2820" t="s">
        <v>36</v>
      </c>
      <c r="AF149" s="2820"/>
      <c r="AG149" s="2632"/>
      <c r="AH149" s="107"/>
      <c r="AI149" s="107"/>
    </row>
    <row r="150" spans="1:35" ht="22.35" customHeight="1">
      <c r="A150" s="2627">
        <v>5</v>
      </c>
      <c r="B150" s="2797" t="s">
        <v>203</v>
      </c>
      <c r="C150" s="2820" t="s">
        <v>36</v>
      </c>
      <c r="D150" s="2820"/>
      <c r="E150" s="3070"/>
      <c r="F150" s="2825">
        <v>21</v>
      </c>
      <c r="G150" s="2820">
        <v>21</v>
      </c>
      <c r="H150" s="2820">
        <v>21</v>
      </c>
      <c r="I150" s="2820">
        <v>21</v>
      </c>
      <c r="J150" s="2820">
        <v>21</v>
      </c>
      <c r="K150" s="2820">
        <v>21</v>
      </c>
      <c r="L150" s="2820">
        <v>21</v>
      </c>
      <c r="M150" s="2820" t="s">
        <v>36</v>
      </c>
      <c r="N150" s="2820" t="s">
        <v>36</v>
      </c>
      <c r="O150" s="2820" t="s">
        <v>36</v>
      </c>
      <c r="P150" s="3070" t="s">
        <v>36</v>
      </c>
      <c r="Q150" s="2820" t="s">
        <v>36</v>
      </c>
      <c r="R150" s="2820"/>
      <c r="S150" s="3070"/>
      <c r="T150" s="2820">
        <v>22</v>
      </c>
      <c r="U150" s="2820">
        <v>22</v>
      </c>
      <c r="V150" s="2820">
        <v>22</v>
      </c>
      <c r="W150" s="2820">
        <v>22</v>
      </c>
      <c r="X150" s="2820">
        <v>22</v>
      </c>
      <c r="Y150" s="2820">
        <v>22</v>
      </c>
      <c r="Z150" s="2820">
        <v>22</v>
      </c>
      <c r="AA150" s="2820" t="s">
        <v>36</v>
      </c>
      <c r="AB150" s="2820" t="s">
        <v>36</v>
      </c>
      <c r="AC150" s="2825" t="s">
        <v>36</v>
      </c>
      <c r="AD150" s="2825" t="s">
        <v>36</v>
      </c>
      <c r="AE150" s="2825" t="s">
        <v>36</v>
      </c>
      <c r="AF150" s="2820"/>
      <c r="AG150" s="2632"/>
      <c r="AH150" s="107"/>
      <c r="AI150" s="107"/>
    </row>
    <row r="151" spans="1:35" ht="22.35" customHeight="1" thickBot="1">
      <c r="A151" s="1068">
        <v>6</v>
      </c>
      <c r="B151" s="1069" t="s">
        <v>204</v>
      </c>
      <c r="C151" s="996" t="s">
        <v>36</v>
      </c>
      <c r="D151" s="996"/>
      <c r="E151" s="998"/>
      <c r="F151" s="2633">
        <v>22</v>
      </c>
      <c r="G151" s="2633">
        <v>22</v>
      </c>
      <c r="H151" s="3076">
        <v>22</v>
      </c>
      <c r="I151" s="3044">
        <v>22</v>
      </c>
      <c r="J151" s="3076">
        <v>22</v>
      </c>
      <c r="K151" s="3076">
        <v>22</v>
      </c>
      <c r="L151" s="3076" t="s">
        <v>361</v>
      </c>
      <c r="M151" s="1070" t="s">
        <v>36</v>
      </c>
      <c r="N151" s="1072" t="s">
        <v>36</v>
      </c>
      <c r="O151" s="1072" t="s">
        <v>36</v>
      </c>
      <c r="P151" s="998" t="s">
        <v>36</v>
      </c>
      <c r="Q151" s="996" t="s">
        <v>36</v>
      </c>
      <c r="R151" s="996"/>
      <c r="S151" s="998"/>
      <c r="T151" s="996">
        <v>23</v>
      </c>
      <c r="U151" s="996">
        <v>23</v>
      </c>
      <c r="V151" s="996">
        <v>23</v>
      </c>
      <c r="W151" s="996">
        <v>23</v>
      </c>
      <c r="X151" s="996">
        <v>23</v>
      </c>
      <c r="Y151" s="996">
        <v>23</v>
      </c>
      <c r="Z151" s="996">
        <v>23</v>
      </c>
      <c r="AA151" s="996" t="s">
        <v>36</v>
      </c>
      <c r="AB151" s="1072" t="s">
        <v>36</v>
      </c>
      <c r="AC151" s="1072" t="s">
        <v>36</v>
      </c>
      <c r="AD151" s="998" t="s">
        <v>36</v>
      </c>
      <c r="AE151" s="996" t="s">
        <v>36</v>
      </c>
      <c r="AF151" s="996"/>
      <c r="AG151" s="1074"/>
      <c r="AH151" s="107"/>
      <c r="AI151" s="107"/>
    </row>
    <row r="152" spans="1:35" ht="22.35" customHeight="1">
      <c r="A152" s="212"/>
      <c r="B152" s="210"/>
      <c r="C152" s="211"/>
      <c r="D152" s="211"/>
      <c r="E152" s="228"/>
      <c r="F152" s="211"/>
      <c r="G152" s="211"/>
      <c r="H152" s="233"/>
      <c r="I152" s="233"/>
      <c r="J152" s="233"/>
      <c r="K152" s="233"/>
      <c r="L152" s="233"/>
      <c r="M152" s="233"/>
      <c r="N152" s="202"/>
      <c r="O152" s="202"/>
      <c r="P152" s="228"/>
      <c r="Q152" s="211"/>
      <c r="R152" s="211"/>
      <c r="S152" s="228"/>
      <c r="T152" s="211"/>
      <c r="U152" s="211"/>
      <c r="V152" s="211"/>
      <c r="W152" s="211"/>
      <c r="X152" s="211"/>
      <c r="Y152" s="211"/>
      <c r="Z152" s="211"/>
      <c r="AA152" s="211"/>
      <c r="AB152" s="202"/>
      <c r="AC152" s="202"/>
      <c r="AD152" s="228"/>
      <c r="AE152" s="211"/>
      <c r="AF152" s="211"/>
      <c r="AG152" s="228"/>
      <c r="AH152" s="107"/>
      <c r="AI152" s="107"/>
    </row>
    <row r="153" spans="1:35" ht="22.35" customHeight="1">
      <c r="A153" s="109"/>
      <c r="B153" s="110"/>
      <c r="C153" s="192"/>
      <c r="D153" s="192"/>
      <c r="E153" s="171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71"/>
      <c r="Q153" s="192"/>
      <c r="R153" s="192"/>
      <c r="S153" s="171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3"/>
      <c r="AD153" s="193"/>
      <c r="AE153" s="193"/>
      <c r="AF153" s="192"/>
      <c r="AG153" s="171"/>
      <c r="AH153" s="107"/>
      <c r="AI153" s="107"/>
    </row>
    <row r="154" spans="1:35" ht="22.35" customHeight="1" thickBot="1">
      <c r="A154" s="161" t="s">
        <v>205</v>
      </c>
      <c r="D154" s="72"/>
      <c r="E154" s="72"/>
      <c r="F154" s="72"/>
      <c r="G154" s="105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</row>
    <row r="155" spans="1:35" ht="22.35" customHeight="1">
      <c r="A155" s="1"/>
      <c r="B155" s="248" t="s">
        <v>175</v>
      </c>
      <c r="C155" s="368"/>
      <c r="D155" s="384" t="s">
        <v>94</v>
      </c>
      <c r="E155" s="357"/>
      <c r="F155" s="372"/>
      <c r="G155" s="368"/>
      <c r="H155" s="384" t="s">
        <v>95</v>
      </c>
      <c r="I155" s="357"/>
      <c r="J155" s="372"/>
      <c r="K155" s="368"/>
      <c r="L155" s="384" t="s">
        <v>96</v>
      </c>
      <c r="M155" s="357"/>
      <c r="N155" s="372"/>
      <c r="O155" s="368"/>
      <c r="P155" s="384" t="s">
        <v>97</v>
      </c>
      <c r="Q155" s="357"/>
      <c r="R155" s="372"/>
      <c r="S155" s="368"/>
      <c r="T155" s="384" t="s">
        <v>98</v>
      </c>
      <c r="U155" s="357"/>
      <c r="V155" s="372"/>
      <c r="W155" s="368"/>
      <c r="X155" s="384" t="s">
        <v>99</v>
      </c>
      <c r="Y155" s="357"/>
      <c r="Z155" s="372"/>
      <c r="AA155" s="368"/>
      <c r="AB155" s="384" t="s">
        <v>100</v>
      </c>
      <c r="AC155" s="357"/>
      <c r="AD155" s="357"/>
      <c r="AE155" s="387" t="s">
        <v>101</v>
      </c>
      <c r="AF155" s="357"/>
      <c r="AG155" s="357"/>
      <c r="AH155" s="357"/>
      <c r="AI155" s="358"/>
    </row>
    <row r="156" spans="1:35" ht="22.35" customHeight="1">
      <c r="A156" s="1"/>
      <c r="B156" s="2979" t="s">
        <v>148</v>
      </c>
      <c r="C156" s="2898" t="s">
        <v>176</v>
      </c>
      <c r="D156" s="2770"/>
      <c r="E156" s="2770"/>
      <c r="F156" s="2982"/>
      <c r="G156" s="2898" t="s">
        <v>176</v>
      </c>
      <c r="H156" s="2770"/>
      <c r="I156" s="2770"/>
      <c r="J156" s="2982"/>
      <c r="K156" s="2898" t="s">
        <v>176</v>
      </c>
      <c r="L156" s="2770"/>
      <c r="M156" s="2770"/>
      <c r="N156" s="2982"/>
      <c r="O156" s="2898" t="s">
        <v>206</v>
      </c>
      <c r="P156" s="2770"/>
      <c r="Q156" s="2770"/>
      <c r="R156" s="2982"/>
      <c r="S156" s="2898" t="s">
        <v>160</v>
      </c>
      <c r="T156" s="2770"/>
      <c r="U156" s="2770"/>
      <c r="V156" s="2982"/>
      <c r="W156" s="3016"/>
      <c r="X156" s="3017"/>
      <c r="Y156" s="3017"/>
      <c r="Z156" s="2984"/>
      <c r="AA156" s="2980"/>
      <c r="AB156" s="2770"/>
      <c r="AC156" s="2770"/>
      <c r="AD156" s="2899"/>
      <c r="AE156" s="2985">
        <v>27</v>
      </c>
      <c r="AF156" s="2770"/>
      <c r="AG156" s="2770"/>
      <c r="AH156" s="2899"/>
      <c r="AI156" s="2779"/>
    </row>
    <row r="157" spans="1:35" ht="22.35" customHeight="1">
      <c r="A157" s="1"/>
      <c r="B157" s="2979" t="s">
        <v>152</v>
      </c>
      <c r="C157" s="2898" t="s">
        <v>207</v>
      </c>
      <c r="D157" s="2770"/>
      <c r="E157" s="2770"/>
      <c r="F157" s="2982"/>
      <c r="G157" s="2898" t="s">
        <v>207</v>
      </c>
      <c r="H157" s="2770"/>
      <c r="I157" s="2770"/>
      <c r="J157" s="2982"/>
      <c r="K157" s="2898" t="s">
        <v>207</v>
      </c>
      <c r="L157" s="2770"/>
      <c r="M157" s="2770"/>
      <c r="N157" s="2982"/>
      <c r="O157" s="2898" t="s">
        <v>207</v>
      </c>
      <c r="P157" s="2770"/>
      <c r="Q157" s="2770"/>
      <c r="R157" s="2982"/>
      <c r="S157" s="2898" t="s">
        <v>176</v>
      </c>
      <c r="T157" s="2770"/>
      <c r="U157" s="2770"/>
      <c r="V157" s="2982"/>
      <c r="W157" s="2898"/>
      <c r="X157" s="2770"/>
      <c r="Y157" s="2770"/>
      <c r="Z157" s="2982"/>
      <c r="AA157" s="2770"/>
      <c r="AB157" s="2770"/>
      <c r="AC157" s="2770"/>
      <c r="AD157" s="2899"/>
      <c r="AE157" s="2985">
        <v>39</v>
      </c>
      <c r="AF157" s="2770"/>
      <c r="AG157" s="2770"/>
      <c r="AH157" s="2899"/>
      <c r="AI157" s="2779"/>
    </row>
    <row r="158" spans="1:35" ht="22.35" customHeight="1">
      <c r="A158" s="1"/>
      <c r="B158" s="2979" t="s">
        <v>159</v>
      </c>
      <c r="C158" s="2898" t="s">
        <v>207</v>
      </c>
      <c r="D158" s="2770"/>
      <c r="E158" s="2770"/>
      <c r="F158" s="2982"/>
      <c r="G158" s="2898" t="s">
        <v>207</v>
      </c>
      <c r="H158" s="2770"/>
      <c r="I158" s="2770"/>
      <c r="J158" s="2982"/>
      <c r="K158" s="2898" t="s">
        <v>207</v>
      </c>
      <c r="L158" s="2770"/>
      <c r="M158" s="2770"/>
      <c r="N158" s="2982"/>
      <c r="O158" s="2898" t="s">
        <v>207</v>
      </c>
      <c r="P158" s="2770"/>
      <c r="Q158" s="2770"/>
      <c r="R158" s="2982"/>
      <c r="S158" s="2898" t="s">
        <v>207</v>
      </c>
      <c r="T158" s="2770"/>
      <c r="U158" s="2770"/>
      <c r="V158" s="2982"/>
      <c r="W158" s="2900" t="s">
        <v>208</v>
      </c>
      <c r="X158" s="2783"/>
      <c r="Y158" s="2783"/>
      <c r="Z158" s="2989"/>
      <c r="AA158" s="2987"/>
      <c r="AB158" s="2783"/>
      <c r="AC158" s="2783"/>
      <c r="AD158" s="2901"/>
      <c r="AE158" s="2985">
        <v>45</v>
      </c>
      <c r="AF158" s="2770"/>
      <c r="AG158" s="2770"/>
      <c r="AH158" s="2899"/>
      <c r="AI158" s="2779"/>
    </row>
    <row r="159" spans="1:35" ht="22.35" customHeight="1" thickBot="1">
      <c r="A159" s="1"/>
      <c r="B159" s="454" t="s">
        <v>161</v>
      </c>
      <c r="C159" s="3012"/>
      <c r="D159" s="2847"/>
      <c r="E159" s="2847"/>
      <c r="F159" s="3014"/>
      <c r="G159" s="3012"/>
      <c r="H159" s="2847"/>
      <c r="I159" s="2847"/>
      <c r="J159" s="3014"/>
      <c r="K159" s="3012"/>
      <c r="L159" s="2847"/>
      <c r="M159" s="2847"/>
      <c r="N159" s="3014"/>
      <c r="O159" s="3012"/>
      <c r="P159" s="2847"/>
      <c r="Q159" s="2847"/>
      <c r="R159" s="3014"/>
      <c r="S159" s="3012"/>
      <c r="T159" s="2847"/>
      <c r="U159" s="2847"/>
      <c r="V159" s="3000"/>
      <c r="W159" s="3012"/>
      <c r="X159" s="3000"/>
      <c r="Y159" s="2847"/>
      <c r="Z159" s="3014"/>
      <c r="AA159" s="3012"/>
      <c r="AB159" s="3000"/>
      <c r="AC159" s="2847"/>
      <c r="AD159" s="3014"/>
      <c r="AE159" s="3018"/>
      <c r="AF159" s="2847"/>
      <c r="AG159" s="2847"/>
      <c r="AH159" s="3000"/>
      <c r="AI159" s="2854"/>
    </row>
    <row r="160" spans="1:35" ht="22.35" customHeight="1">
      <c r="A160" s="108"/>
      <c r="B160" s="1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</row>
    <row r="161" spans="1:38" ht="22.35" customHeight="1" thickBot="1">
      <c r="A161" s="2954"/>
      <c r="B161" s="2856" t="s">
        <v>29</v>
      </c>
      <c r="C161" s="2788">
        <v>1</v>
      </c>
      <c r="D161" s="2789">
        <v>2</v>
      </c>
      <c r="E161" s="2789">
        <v>3</v>
      </c>
      <c r="F161" s="2788">
        <v>4</v>
      </c>
      <c r="G161" s="2788">
        <v>5</v>
      </c>
      <c r="H161" s="2788">
        <v>6</v>
      </c>
      <c r="I161" s="2788">
        <v>7</v>
      </c>
      <c r="J161" s="2788">
        <v>8</v>
      </c>
      <c r="K161" s="2789">
        <v>9</v>
      </c>
      <c r="L161" s="2789">
        <v>10</v>
      </c>
      <c r="M161" s="2788">
        <v>11</v>
      </c>
      <c r="N161" s="2788">
        <v>12</v>
      </c>
      <c r="O161" s="2788">
        <v>13</v>
      </c>
      <c r="P161" s="2789">
        <v>14</v>
      </c>
      <c r="Q161" s="2789">
        <v>15</v>
      </c>
      <c r="R161" s="2789">
        <v>16</v>
      </c>
      <c r="S161" s="2789">
        <v>17</v>
      </c>
      <c r="T161" s="2789">
        <v>18</v>
      </c>
      <c r="U161" s="2788">
        <v>19</v>
      </c>
      <c r="V161" s="2788">
        <v>20</v>
      </c>
      <c r="W161" s="2788">
        <v>21</v>
      </c>
      <c r="X161" s="2788">
        <v>22</v>
      </c>
      <c r="Y161" s="2789">
        <v>23</v>
      </c>
      <c r="Z161" s="2789">
        <v>24</v>
      </c>
      <c r="AA161" s="2788">
        <v>25</v>
      </c>
      <c r="AB161" s="2788">
        <v>26</v>
      </c>
      <c r="AC161" s="2788">
        <v>27</v>
      </c>
      <c r="AD161" s="2788">
        <v>28</v>
      </c>
      <c r="AE161" s="2788">
        <v>29</v>
      </c>
      <c r="AF161" s="2789">
        <v>30</v>
      </c>
      <c r="AG161" s="2790"/>
      <c r="AH161" s="176"/>
      <c r="AI161" s="177"/>
    </row>
    <row r="162" spans="1:38" ht="22.35" customHeight="1">
      <c r="A162" s="367">
        <v>1</v>
      </c>
      <c r="B162" s="390" t="s">
        <v>209</v>
      </c>
      <c r="C162" s="552" t="s">
        <v>32</v>
      </c>
      <c r="D162" s="552"/>
      <c r="E162" s="552" t="s">
        <v>315</v>
      </c>
      <c r="F162" s="349" t="s">
        <v>32</v>
      </c>
      <c r="G162" s="349" t="s">
        <v>32</v>
      </c>
      <c r="H162" s="349" t="s">
        <v>32</v>
      </c>
      <c r="I162" s="574" t="s">
        <v>32</v>
      </c>
      <c r="J162" s="539" t="s">
        <v>32</v>
      </c>
      <c r="K162" s="349"/>
      <c r="L162" s="349"/>
      <c r="M162" s="539" t="s">
        <v>32</v>
      </c>
      <c r="N162" s="539" t="s">
        <v>32</v>
      </c>
      <c r="O162" s="539" t="s">
        <v>32</v>
      </c>
      <c r="P162" s="349"/>
      <c r="Q162" s="349"/>
      <c r="R162" s="349"/>
      <c r="S162" s="349"/>
      <c r="T162" s="350"/>
      <c r="U162" s="400" t="s">
        <v>32</v>
      </c>
      <c r="V162" s="349" t="s">
        <v>32</v>
      </c>
      <c r="W162" s="350" t="s">
        <v>32</v>
      </c>
      <c r="X162" s="350" t="s">
        <v>32</v>
      </c>
      <c r="Y162" s="350"/>
      <c r="Z162" s="349"/>
      <c r="AA162" s="351" t="s">
        <v>32</v>
      </c>
      <c r="AB162" s="350" t="s">
        <v>32</v>
      </c>
      <c r="AC162" s="349" t="s">
        <v>32</v>
      </c>
      <c r="AD162" s="351" t="s">
        <v>32</v>
      </c>
      <c r="AE162" s="351" t="s">
        <v>32</v>
      </c>
      <c r="AF162" s="351"/>
      <c r="AG162" s="352"/>
      <c r="AH162" s="215"/>
      <c r="AI162" s="182"/>
    </row>
    <row r="163" spans="1:38" ht="22.35" customHeight="1">
      <c r="A163" s="2966">
        <v>2</v>
      </c>
      <c r="B163" s="3019" t="s">
        <v>210</v>
      </c>
      <c r="C163" s="2875" t="s">
        <v>212</v>
      </c>
      <c r="D163" s="2875" t="s">
        <v>212</v>
      </c>
      <c r="E163" s="2875"/>
      <c r="F163" s="2875" t="s">
        <v>213</v>
      </c>
      <c r="G163" s="2875" t="s">
        <v>213</v>
      </c>
      <c r="H163" s="2875" t="s">
        <v>213</v>
      </c>
      <c r="I163" s="2875" t="s">
        <v>213</v>
      </c>
      <c r="J163" s="2870" t="s">
        <v>36</v>
      </c>
      <c r="K163" s="2875"/>
      <c r="L163" s="2875"/>
      <c r="M163" s="2792" t="s">
        <v>211</v>
      </c>
      <c r="N163" s="2792" t="s">
        <v>211</v>
      </c>
      <c r="O163" s="2792" t="s">
        <v>211</v>
      </c>
      <c r="P163" s="2875"/>
      <c r="Q163" s="2875"/>
      <c r="R163" s="2875"/>
      <c r="S163" s="2875"/>
      <c r="T163" s="2875"/>
      <c r="U163" s="2875" t="s">
        <v>212</v>
      </c>
      <c r="V163" s="2875" t="s">
        <v>212</v>
      </c>
      <c r="W163" s="2875" t="s">
        <v>212</v>
      </c>
      <c r="X163" s="2875" t="s">
        <v>212</v>
      </c>
      <c r="Y163" s="2875" t="s">
        <v>212</v>
      </c>
      <c r="Z163" s="2875"/>
      <c r="AA163" s="2875" t="s">
        <v>213</v>
      </c>
      <c r="AB163" s="2875" t="s">
        <v>213</v>
      </c>
      <c r="AC163" s="2875" t="s">
        <v>213</v>
      </c>
      <c r="AD163" s="2875" t="s">
        <v>213</v>
      </c>
      <c r="AE163" s="2875" t="s">
        <v>36</v>
      </c>
      <c r="AF163" s="2875"/>
      <c r="AG163" s="2861"/>
      <c r="AH163" s="215"/>
      <c r="AI163" s="182"/>
    </row>
    <row r="164" spans="1:38" ht="22.35" customHeight="1">
      <c r="A164" s="2966">
        <v>3</v>
      </c>
      <c r="B164" s="3020" t="s">
        <v>404</v>
      </c>
      <c r="C164" s="2875" t="s">
        <v>36</v>
      </c>
      <c r="D164" s="2875"/>
      <c r="E164" s="2875"/>
      <c r="F164" s="2875" t="s">
        <v>211</v>
      </c>
      <c r="G164" s="2875" t="s">
        <v>211</v>
      </c>
      <c r="H164" s="2875" t="s">
        <v>211</v>
      </c>
      <c r="I164" s="2875" t="s">
        <v>211</v>
      </c>
      <c r="J164" s="2875" t="s">
        <v>211</v>
      </c>
      <c r="K164" s="2875"/>
      <c r="L164" s="2875"/>
      <c r="M164" s="2875" t="s">
        <v>212</v>
      </c>
      <c r="N164" s="2875" t="s">
        <v>212</v>
      </c>
      <c r="O164" s="2875" t="s">
        <v>212</v>
      </c>
      <c r="P164" s="2875"/>
      <c r="Q164" s="2875"/>
      <c r="R164" s="2875" t="s">
        <v>212</v>
      </c>
      <c r="S164" s="2875"/>
      <c r="T164" s="2875"/>
      <c r="U164" s="2875" t="s">
        <v>213</v>
      </c>
      <c r="V164" s="2875" t="s">
        <v>213</v>
      </c>
      <c r="W164" s="2875" t="s">
        <v>213</v>
      </c>
      <c r="X164" s="2875" t="s">
        <v>213</v>
      </c>
      <c r="Y164" s="2870" t="s">
        <v>36</v>
      </c>
      <c r="Z164" s="2875"/>
      <c r="AA164" s="2875" t="s">
        <v>211</v>
      </c>
      <c r="AB164" s="2875" t="s">
        <v>211</v>
      </c>
      <c r="AC164" s="2875" t="s">
        <v>211</v>
      </c>
      <c r="AD164" s="2875" t="s">
        <v>211</v>
      </c>
      <c r="AE164" s="2875" t="s">
        <v>211</v>
      </c>
      <c r="AF164" s="2875"/>
      <c r="AG164" s="2861"/>
      <c r="AH164" s="215"/>
      <c r="AI164" s="182"/>
      <c r="AL164" t="s">
        <v>0</v>
      </c>
    </row>
    <row r="165" spans="1:38" ht="22.35" customHeight="1">
      <c r="A165" s="2966">
        <v>4</v>
      </c>
      <c r="B165" s="3020" t="s">
        <v>215</v>
      </c>
      <c r="C165" s="2875" t="s">
        <v>32</v>
      </c>
      <c r="D165" s="2875"/>
      <c r="E165" s="2875"/>
      <c r="F165" s="2875"/>
      <c r="G165" s="2875" t="s">
        <v>125</v>
      </c>
      <c r="H165" s="2875"/>
      <c r="I165" s="2875"/>
      <c r="J165" s="2875" t="s">
        <v>32</v>
      </c>
      <c r="K165" s="2875" t="s">
        <v>212</v>
      </c>
      <c r="L165" s="2875"/>
      <c r="M165" s="2875"/>
      <c r="N165" s="2875" t="s">
        <v>125</v>
      </c>
      <c r="O165" s="2875" t="s">
        <v>32</v>
      </c>
      <c r="P165" s="2875"/>
      <c r="Q165" s="2798"/>
      <c r="R165" s="2798"/>
      <c r="S165" s="2798"/>
      <c r="T165" s="2798"/>
      <c r="U165" s="2798" t="s">
        <v>125</v>
      </c>
      <c r="V165" s="2875" t="s">
        <v>32</v>
      </c>
      <c r="W165" s="2875"/>
      <c r="X165" s="2875" t="s">
        <v>32</v>
      </c>
      <c r="Y165" s="2875"/>
      <c r="Z165" s="2875"/>
      <c r="AA165" s="2875"/>
      <c r="AB165" s="2875" t="s">
        <v>125</v>
      </c>
      <c r="AC165" s="2875"/>
      <c r="AD165" s="2875"/>
      <c r="AE165" s="2875" t="s">
        <v>32</v>
      </c>
      <c r="AF165" s="2875" t="s">
        <v>212</v>
      </c>
      <c r="AG165" s="2861"/>
      <c r="AH165" s="215"/>
      <c r="AI165" s="182"/>
    </row>
    <row r="166" spans="1:38" ht="22.35" customHeight="1" thickBot="1">
      <c r="A166" s="2966">
        <v>5</v>
      </c>
      <c r="B166" s="3020" t="s">
        <v>216</v>
      </c>
      <c r="C166" s="2875"/>
      <c r="D166" s="2875"/>
      <c r="E166" s="2875"/>
      <c r="F166" s="2875" t="s">
        <v>125</v>
      </c>
      <c r="G166" s="2875"/>
      <c r="H166" s="2875"/>
      <c r="I166" s="2875" t="s">
        <v>32</v>
      </c>
      <c r="J166" s="2875"/>
      <c r="K166" s="2875"/>
      <c r="L166" s="2875"/>
      <c r="M166" s="2859" t="s">
        <v>125</v>
      </c>
      <c r="N166" s="2859"/>
      <c r="O166" s="2859"/>
      <c r="P166" s="2859"/>
      <c r="Q166" s="2859"/>
      <c r="R166" s="2859"/>
      <c r="S166" s="2859"/>
      <c r="T166" s="2859"/>
      <c r="U166" s="2859"/>
      <c r="V166" s="2859"/>
      <c r="W166" s="2859" t="s">
        <v>32</v>
      </c>
      <c r="X166" s="2859"/>
      <c r="Y166" s="2859"/>
      <c r="Z166" s="2859"/>
      <c r="AA166" s="2859" t="s">
        <v>125</v>
      </c>
      <c r="AB166" s="2859"/>
      <c r="AC166" s="2859"/>
      <c r="AD166" s="2859" t="s">
        <v>32</v>
      </c>
      <c r="AE166" s="2859"/>
      <c r="AF166" s="2859"/>
      <c r="AG166" s="3077"/>
      <c r="AH166" s="215"/>
      <c r="AI166" s="182"/>
    </row>
    <row r="167" spans="1:38" ht="22.35" customHeight="1">
      <c r="A167" s="2966">
        <v>6</v>
      </c>
      <c r="B167" s="2805" t="s">
        <v>217</v>
      </c>
      <c r="C167" s="2801" t="s">
        <v>32</v>
      </c>
      <c r="D167" s="2875"/>
      <c r="E167" s="2875"/>
      <c r="F167" s="2875" t="s">
        <v>32</v>
      </c>
      <c r="G167" s="2875" t="s">
        <v>32</v>
      </c>
      <c r="H167" s="2875" t="s">
        <v>32</v>
      </c>
      <c r="I167" s="2810" t="s">
        <v>32</v>
      </c>
      <c r="J167" s="2802" t="s">
        <v>32</v>
      </c>
      <c r="K167" s="2875"/>
      <c r="L167" s="2875"/>
      <c r="M167" s="2875" t="s">
        <v>32</v>
      </c>
      <c r="N167" s="2875" t="s">
        <v>32</v>
      </c>
      <c r="O167" s="3021" t="s">
        <v>32</v>
      </c>
      <c r="P167" s="2875"/>
      <c r="Q167" s="571"/>
      <c r="R167" s="571"/>
      <c r="S167" s="2875"/>
      <c r="T167" s="571"/>
      <c r="U167" s="3021" t="s">
        <v>32</v>
      </c>
      <c r="V167" s="3021" t="s">
        <v>32</v>
      </c>
      <c r="W167" s="3021" t="s">
        <v>32</v>
      </c>
      <c r="X167" s="3021" t="s">
        <v>32</v>
      </c>
      <c r="Y167" s="2860"/>
      <c r="Z167" s="2860"/>
      <c r="AA167" s="2860" t="s">
        <v>32</v>
      </c>
      <c r="AB167" s="2875" t="s">
        <v>32</v>
      </c>
      <c r="AC167" s="2875" t="s">
        <v>32</v>
      </c>
      <c r="AD167" s="2875" t="s">
        <v>32</v>
      </c>
      <c r="AE167" s="2875" t="s">
        <v>32</v>
      </c>
      <c r="AF167" s="2875"/>
      <c r="AG167" s="2861"/>
      <c r="AH167" s="201"/>
      <c r="AI167" s="107"/>
    </row>
    <row r="168" spans="1:38" ht="22.35" customHeight="1" thickBot="1">
      <c r="A168" s="2973"/>
      <c r="B168" s="2863"/>
      <c r="C168" s="2788"/>
      <c r="D168" s="2788"/>
      <c r="E168" s="2788"/>
      <c r="F168" s="2788"/>
      <c r="G168" s="2788"/>
      <c r="H168" s="2788"/>
      <c r="I168" s="2788"/>
      <c r="J168" s="2788"/>
      <c r="K168" s="2788"/>
      <c r="L168" s="2788"/>
      <c r="M168" s="2788"/>
      <c r="N168" s="2788"/>
      <c r="O168" s="2788"/>
      <c r="P168" s="2788"/>
      <c r="Q168" s="2788"/>
      <c r="R168" s="2788"/>
      <c r="S168" s="2788"/>
      <c r="T168" s="2788"/>
      <c r="U168" s="2788"/>
      <c r="V168" s="2788"/>
      <c r="W168" s="2788"/>
      <c r="X168" s="2788"/>
      <c r="Y168" s="2788"/>
      <c r="Z168" s="2788"/>
      <c r="AA168" s="2788"/>
      <c r="AB168" s="2788"/>
      <c r="AC168" s="2788"/>
      <c r="AD168" s="2788"/>
      <c r="AE168" s="2788"/>
      <c r="AF168" s="2788"/>
      <c r="AG168" s="2790"/>
      <c r="AH168" s="107"/>
      <c r="AI168" s="107"/>
    </row>
    <row r="169" spans="1:38" ht="22.35" customHeight="1">
      <c r="A169" s="212"/>
      <c r="B169" s="210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107"/>
      <c r="AI169" s="107"/>
    </row>
    <row r="170" spans="1:38" ht="22.35" customHeight="1">
      <c r="A170" s="212"/>
      <c r="B170" s="210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  <c r="AA170" s="211"/>
      <c r="AB170" s="211"/>
      <c r="AC170" s="211"/>
      <c r="AD170" s="211"/>
      <c r="AE170" s="211"/>
      <c r="AF170" s="211"/>
      <c r="AG170" s="211"/>
      <c r="AH170" s="107"/>
      <c r="AI170" s="107"/>
    </row>
    <row r="171" spans="1:38" ht="22.35" customHeight="1" thickBot="1">
      <c r="A171" s="150" t="s">
        <v>218</v>
      </c>
      <c r="B171" s="72"/>
      <c r="C171" s="106" t="s">
        <v>219</v>
      </c>
      <c r="D171" s="72"/>
      <c r="E171" s="72"/>
      <c r="F171" s="106" t="s">
        <v>219</v>
      </c>
      <c r="G171" s="72"/>
      <c r="H171" s="72"/>
      <c r="I171" s="106" t="s">
        <v>219</v>
      </c>
      <c r="J171" s="106"/>
      <c r="K171" s="72"/>
      <c r="L171" s="106" t="s">
        <v>219</v>
      </c>
      <c r="M171" s="72"/>
      <c r="N171" s="72"/>
      <c r="O171" s="106" t="s">
        <v>219</v>
      </c>
      <c r="P171" s="72"/>
      <c r="Q171" s="106"/>
      <c r="R171" s="106" t="s">
        <v>219</v>
      </c>
      <c r="S171" s="72"/>
      <c r="T171" s="72"/>
      <c r="U171" s="106" t="s">
        <v>219</v>
      </c>
      <c r="V171" s="72"/>
      <c r="W171" s="106"/>
      <c r="X171" s="106"/>
      <c r="Y171" s="72"/>
      <c r="Z171" s="72"/>
      <c r="AA171" s="72"/>
      <c r="AB171" s="72"/>
      <c r="AC171" s="72"/>
      <c r="AD171" s="72"/>
      <c r="AE171" s="106"/>
      <c r="AF171" s="72"/>
      <c r="AG171" s="72"/>
      <c r="AH171" s="107"/>
      <c r="AI171" s="107"/>
    </row>
    <row r="172" spans="1:38" ht="22.35" customHeight="1">
      <c r="A172" s="109"/>
      <c r="B172" s="239" t="s">
        <v>220</v>
      </c>
      <c r="C172" s="240"/>
      <c r="D172" s="241" t="s">
        <v>94</v>
      </c>
      <c r="E172" s="242"/>
      <c r="F172" s="243"/>
      <c r="G172" s="244"/>
      <c r="H172" s="241" t="s">
        <v>95</v>
      </c>
      <c r="I172" s="242"/>
      <c r="J172" s="243"/>
      <c r="K172" s="244"/>
      <c r="L172" s="241" t="s">
        <v>96</v>
      </c>
      <c r="M172" s="242"/>
      <c r="N172" s="243"/>
      <c r="O172" s="244"/>
      <c r="P172" s="241" t="s">
        <v>97</v>
      </c>
      <c r="Q172" s="242"/>
      <c r="R172" s="243"/>
      <c r="S172" s="244"/>
      <c r="T172" s="241" t="s">
        <v>98</v>
      </c>
      <c r="U172" s="242"/>
      <c r="V172" s="243"/>
      <c r="W172" s="244"/>
      <c r="X172" s="241" t="s">
        <v>99</v>
      </c>
      <c r="Y172" s="242"/>
      <c r="Z172" s="243"/>
      <c r="AA172" s="244"/>
      <c r="AB172" s="241" t="s">
        <v>100</v>
      </c>
      <c r="AC172" s="242"/>
      <c r="AD172" s="242"/>
      <c r="AE172" s="245" t="s">
        <v>101</v>
      </c>
      <c r="AF172" s="242"/>
      <c r="AG172" s="242"/>
      <c r="AH172" s="242"/>
      <c r="AI172" s="246"/>
    </row>
    <row r="173" spans="1:38" ht="22.35" customHeight="1">
      <c r="A173" s="109"/>
      <c r="B173" s="2641" t="s">
        <v>221</v>
      </c>
      <c r="C173" s="2642" t="s">
        <v>113</v>
      </c>
      <c r="D173" s="3025" t="s">
        <v>222</v>
      </c>
      <c r="E173" s="3026"/>
      <c r="F173" s="3027"/>
      <c r="G173" s="2646"/>
      <c r="H173" s="3025" t="s">
        <v>222</v>
      </c>
      <c r="I173" s="3026"/>
      <c r="J173" s="3027"/>
      <c r="K173" s="2646"/>
      <c r="L173" s="3025" t="s">
        <v>222</v>
      </c>
      <c r="M173" s="3026"/>
      <c r="N173" s="3027"/>
      <c r="O173" s="2646"/>
      <c r="P173" s="3025" t="s">
        <v>223</v>
      </c>
      <c r="Q173" s="3026"/>
      <c r="R173" s="3027"/>
      <c r="S173" s="2646"/>
      <c r="T173" s="3025" t="s">
        <v>224</v>
      </c>
      <c r="U173" s="3027"/>
      <c r="V173" s="3027"/>
      <c r="W173" s="2647"/>
      <c r="X173" s="3028"/>
      <c r="Y173" s="3028"/>
      <c r="Z173" s="3029"/>
      <c r="AA173" s="2647"/>
      <c r="AB173" s="3028"/>
      <c r="AC173" s="3028"/>
      <c r="AD173" s="3028"/>
      <c r="AE173" s="2647"/>
      <c r="AF173" s="3028"/>
      <c r="AG173" s="3028"/>
      <c r="AH173" s="3030"/>
      <c r="AI173" s="2651"/>
    </row>
    <row r="174" spans="1:38" ht="22.35" customHeight="1">
      <c r="A174" s="109"/>
      <c r="B174" s="2641" t="s">
        <v>221</v>
      </c>
      <c r="C174" s="2642" t="s">
        <v>118</v>
      </c>
      <c r="D174" s="3025" t="s">
        <v>222</v>
      </c>
      <c r="E174" s="3026"/>
      <c r="F174" s="3027"/>
      <c r="G174" s="2646"/>
      <c r="H174" s="3025" t="s">
        <v>222</v>
      </c>
      <c r="I174" s="3026"/>
      <c r="J174" s="3027"/>
      <c r="K174" s="2646"/>
      <c r="L174" s="3025" t="s">
        <v>222</v>
      </c>
      <c r="M174" s="3026"/>
      <c r="N174" s="3027"/>
      <c r="O174" s="2646"/>
      <c r="P174" s="3025" t="s">
        <v>223</v>
      </c>
      <c r="Q174" s="3026"/>
      <c r="R174" s="3027"/>
      <c r="S174" s="2646"/>
      <c r="T174" s="3025" t="s">
        <v>224</v>
      </c>
      <c r="U174" s="3027"/>
      <c r="V174" s="3027"/>
      <c r="W174" s="2647"/>
      <c r="X174" s="3028"/>
      <c r="Y174" s="3028"/>
      <c r="Z174" s="3029"/>
      <c r="AA174" s="2647"/>
      <c r="AB174" s="3028"/>
      <c r="AC174" s="3028"/>
      <c r="AD174" s="3028"/>
      <c r="AE174" s="2647"/>
      <c r="AF174" s="3028"/>
      <c r="AG174" s="3028"/>
      <c r="AH174" s="3030"/>
      <c r="AI174" s="2651"/>
    </row>
    <row r="175" spans="1:38" ht="22.35" customHeight="1">
      <c r="A175" s="109"/>
      <c r="B175" s="2641" t="s">
        <v>225</v>
      </c>
      <c r="C175" s="2642" t="s">
        <v>126</v>
      </c>
      <c r="D175" s="3025" t="s">
        <v>222</v>
      </c>
      <c r="E175" s="3026"/>
      <c r="F175" s="3027"/>
      <c r="G175" s="2646"/>
      <c r="H175" s="3025" t="s">
        <v>222</v>
      </c>
      <c r="I175" s="3026"/>
      <c r="J175" s="3027"/>
      <c r="K175" s="2646"/>
      <c r="L175" s="3025" t="s">
        <v>222</v>
      </c>
      <c r="M175" s="3026"/>
      <c r="N175" s="3027"/>
      <c r="O175" s="2646"/>
      <c r="P175" s="3025" t="s">
        <v>223</v>
      </c>
      <c r="Q175" s="3026"/>
      <c r="R175" s="3027"/>
      <c r="S175" s="2646"/>
      <c r="T175" s="3025" t="s">
        <v>224</v>
      </c>
      <c r="U175" s="3027"/>
      <c r="V175" s="3027"/>
      <c r="W175" s="2647"/>
      <c r="X175" s="3028"/>
      <c r="Y175" s="3028"/>
      <c r="Z175" s="3029"/>
      <c r="AA175" s="2647"/>
      <c r="AB175" s="3028"/>
      <c r="AC175" s="3028"/>
      <c r="AD175" s="3028"/>
      <c r="AE175" s="2647"/>
      <c r="AF175" s="3028"/>
      <c r="AG175" s="3028"/>
      <c r="AH175" s="3030"/>
      <c r="AI175" s="2651"/>
    </row>
    <row r="176" spans="1:38" ht="22.35" customHeight="1">
      <c r="A176" s="109"/>
      <c r="B176" s="2641" t="s">
        <v>226</v>
      </c>
      <c r="C176" s="2642" t="s">
        <v>50</v>
      </c>
      <c r="D176" s="3025" t="s">
        <v>222</v>
      </c>
      <c r="E176" s="3026"/>
      <c r="F176" s="3027"/>
      <c r="G176" s="2646"/>
      <c r="H176" s="3025" t="s">
        <v>222</v>
      </c>
      <c r="I176" s="3026"/>
      <c r="J176" s="3027"/>
      <c r="K176" s="2646"/>
      <c r="L176" s="3025" t="s">
        <v>222</v>
      </c>
      <c r="M176" s="3026"/>
      <c r="N176" s="3027"/>
      <c r="O176" s="2646"/>
      <c r="P176" s="3025" t="s">
        <v>223</v>
      </c>
      <c r="Q176" s="3026"/>
      <c r="R176" s="3027"/>
      <c r="S176" s="2646"/>
      <c r="T176" s="3025" t="s">
        <v>224</v>
      </c>
      <c r="U176" s="3027"/>
      <c r="V176" s="3027"/>
      <c r="W176" s="2647"/>
      <c r="X176" s="3028"/>
      <c r="Y176" s="3028"/>
      <c r="Z176" s="3029"/>
      <c r="AA176" s="2647"/>
      <c r="AB176" s="3028"/>
      <c r="AC176" s="3028"/>
      <c r="AD176" s="3028"/>
      <c r="AE176" s="2647"/>
      <c r="AF176" s="3028"/>
      <c r="AG176" s="3028"/>
      <c r="AH176" s="3030"/>
      <c r="AI176" s="2651"/>
    </row>
    <row r="177" spans="1:36" ht="22.35" customHeight="1">
      <c r="A177" s="109"/>
      <c r="B177" s="2641" t="s">
        <v>231</v>
      </c>
      <c r="C177" s="2642" t="s">
        <v>115</v>
      </c>
      <c r="D177" s="3025" t="s">
        <v>232</v>
      </c>
      <c r="E177" s="3026"/>
      <c r="F177" s="3027"/>
      <c r="G177" s="2646"/>
      <c r="H177" s="3025" t="s">
        <v>232</v>
      </c>
      <c r="I177" s="3026"/>
      <c r="J177" s="3027"/>
      <c r="K177" s="2646"/>
      <c r="L177" s="3025" t="s">
        <v>233</v>
      </c>
      <c r="M177" s="3026"/>
      <c r="N177" s="3027"/>
      <c r="O177" s="2646"/>
      <c r="P177" s="3025" t="s">
        <v>234</v>
      </c>
      <c r="Q177" s="3026"/>
      <c r="R177" s="3027"/>
      <c r="S177" s="2646"/>
      <c r="T177" s="3025" t="s">
        <v>235</v>
      </c>
      <c r="U177" s="3027"/>
      <c r="V177" s="3027"/>
      <c r="W177" s="2647"/>
      <c r="X177" s="3028"/>
      <c r="Y177" s="3028"/>
      <c r="Z177" s="3029"/>
      <c r="AA177" s="2647"/>
      <c r="AB177" s="3028"/>
      <c r="AC177" s="3028"/>
      <c r="AD177" s="3028"/>
      <c r="AE177" s="2647"/>
      <c r="AF177" s="3028"/>
      <c r="AG177" s="3028"/>
      <c r="AH177" s="3030"/>
      <c r="AI177" s="2651"/>
    </row>
    <row r="178" spans="1:36" ht="22.35" customHeight="1">
      <c r="A178" s="109"/>
      <c r="B178" s="2641" t="s">
        <v>236</v>
      </c>
      <c r="C178" s="2642" t="s">
        <v>132</v>
      </c>
      <c r="D178" s="3025" t="s">
        <v>222</v>
      </c>
      <c r="E178" s="3026"/>
      <c r="F178" s="3027"/>
      <c r="G178" s="2646"/>
      <c r="H178" s="3025" t="s">
        <v>222</v>
      </c>
      <c r="I178" s="3026"/>
      <c r="J178" s="3027"/>
      <c r="K178" s="2646"/>
      <c r="L178" s="3025" t="s">
        <v>222</v>
      </c>
      <c r="M178" s="3026"/>
      <c r="N178" s="3027"/>
      <c r="O178" s="2646"/>
      <c r="P178" s="3025" t="s">
        <v>222</v>
      </c>
      <c r="Q178" s="3026"/>
      <c r="R178" s="3027"/>
      <c r="S178" s="2646"/>
      <c r="T178" s="3025" t="s">
        <v>232</v>
      </c>
      <c r="U178" s="3027"/>
      <c r="V178" s="3027"/>
      <c r="W178" s="2647"/>
      <c r="X178" s="3028"/>
      <c r="Y178" s="3028"/>
      <c r="Z178" s="3029"/>
      <c r="AA178" s="2647"/>
      <c r="AB178" s="3028"/>
      <c r="AC178" s="3028"/>
      <c r="AD178" s="3028"/>
      <c r="AE178" s="2647"/>
      <c r="AF178" s="3028"/>
      <c r="AG178" s="3028"/>
      <c r="AH178" s="3030"/>
      <c r="AI178" s="2651"/>
    </row>
    <row r="179" spans="1:36" ht="22.35" customHeight="1">
      <c r="A179" s="109"/>
      <c r="B179" s="2641" t="s">
        <v>237</v>
      </c>
      <c r="C179" s="2642" t="s">
        <v>135</v>
      </c>
      <c r="D179" s="3025" t="s">
        <v>222</v>
      </c>
      <c r="E179" s="3026"/>
      <c r="F179" s="3027"/>
      <c r="G179" s="2646"/>
      <c r="H179" s="3025" t="s">
        <v>222</v>
      </c>
      <c r="I179" s="3026"/>
      <c r="J179" s="3027"/>
      <c r="K179" s="2646"/>
      <c r="L179" s="3025" t="s">
        <v>222</v>
      </c>
      <c r="M179" s="3026"/>
      <c r="N179" s="3027"/>
      <c r="O179" s="2646"/>
      <c r="P179" s="3025" t="s">
        <v>223</v>
      </c>
      <c r="Q179" s="3026"/>
      <c r="R179" s="3027"/>
      <c r="S179" s="2646"/>
      <c r="T179" s="3025" t="s">
        <v>224</v>
      </c>
      <c r="U179" s="3027"/>
      <c r="V179" s="3027"/>
      <c r="W179" s="2647"/>
      <c r="X179" s="3028"/>
      <c r="Y179" s="3028"/>
      <c r="Z179" s="3029"/>
      <c r="AA179" s="2647"/>
      <c r="AB179" s="3028"/>
      <c r="AC179" s="3028"/>
      <c r="AD179" s="3028"/>
      <c r="AE179" s="2647"/>
      <c r="AF179" s="3028"/>
      <c r="AG179" s="3028"/>
      <c r="AH179" s="3030"/>
      <c r="AI179" s="2651"/>
    </row>
    <row r="180" spans="1:36" ht="22.35" customHeight="1">
      <c r="A180" s="109"/>
      <c r="B180" s="2641" t="s">
        <v>237</v>
      </c>
      <c r="C180" s="2642" t="s">
        <v>52</v>
      </c>
      <c r="D180" s="3025" t="s">
        <v>222</v>
      </c>
      <c r="E180" s="3026"/>
      <c r="F180" s="3027"/>
      <c r="G180" s="2646"/>
      <c r="H180" s="3025" t="s">
        <v>222</v>
      </c>
      <c r="I180" s="3026"/>
      <c r="J180" s="3027"/>
      <c r="K180" s="2646"/>
      <c r="L180" s="3025" t="s">
        <v>222</v>
      </c>
      <c r="M180" s="3026"/>
      <c r="N180" s="3027"/>
      <c r="O180" s="2646"/>
      <c r="P180" s="3025" t="s">
        <v>223</v>
      </c>
      <c r="Q180" s="3026"/>
      <c r="R180" s="3027"/>
      <c r="S180" s="2646"/>
      <c r="T180" s="3025" t="s">
        <v>224</v>
      </c>
      <c r="U180" s="3027"/>
      <c r="V180" s="3027"/>
      <c r="W180" s="2647"/>
      <c r="X180" s="3028"/>
      <c r="Y180" s="3028"/>
      <c r="Z180" s="3029"/>
      <c r="AA180" s="2647"/>
      <c r="AB180" s="3028"/>
      <c r="AC180" s="3028"/>
      <c r="AD180" s="3028"/>
      <c r="AE180" s="2647"/>
      <c r="AF180" s="3028"/>
      <c r="AG180" s="3028"/>
      <c r="AH180" s="3030"/>
      <c r="AI180" s="2651"/>
      <c r="AJ180" s="200"/>
    </row>
    <row r="181" spans="1:36" ht="22.35" customHeight="1">
      <c r="A181" s="109"/>
      <c r="B181" s="2641" t="s">
        <v>238</v>
      </c>
      <c r="C181" s="2642" t="s">
        <v>141</v>
      </c>
      <c r="D181" s="3025" t="s">
        <v>222</v>
      </c>
      <c r="E181" s="3026"/>
      <c r="F181" s="3027"/>
      <c r="G181" s="2646"/>
      <c r="H181" s="3025" t="s">
        <v>222</v>
      </c>
      <c r="I181" s="3026"/>
      <c r="J181" s="3027"/>
      <c r="K181" s="2646"/>
      <c r="L181" s="3025" t="s">
        <v>222</v>
      </c>
      <c r="M181" s="3026"/>
      <c r="N181" s="3027"/>
      <c r="O181" s="2646"/>
      <c r="P181" s="3025" t="s">
        <v>239</v>
      </c>
      <c r="Q181" s="3026"/>
      <c r="R181" s="3027"/>
      <c r="S181" s="2646"/>
      <c r="T181" s="3025" t="s">
        <v>235</v>
      </c>
      <c r="U181" s="3027"/>
      <c r="V181" s="3027"/>
      <c r="W181" s="2647"/>
      <c r="X181" s="3028"/>
      <c r="Y181" s="3028"/>
      <c r="Z181" s="3029"/>
      <c r="AA181" s="2647"/>
      <c r="AB181" s="3028"/>
      <c r="AC181" s="3028"/>
      <c r="AD181" s="3028"/>
      <c r="AE181" s="2647"/>
      <c r="AF181" s="3028"/>
      <c r="AG181" s="3028"/>
      <c r="AH181" s="3030"/>
      <c r="AI181" s="2651"/>
      <c r="AJ181" s="200"/>
    </row>
    <row r="182" spans="1:36" ht="22.35" customHeight="1">
      <c r="A182" s="109"/>
      <c r="B182" s="2652" t="s">
        <v>240</v>
      </c>
      <c r="C182" s="2653" t="s">
        <v>124</v>
      </c>
      <c r="D182" s="2654" t="s">
        <v>222</v>
      </c>
      <c r="E182" s="2655"/>
      <c r="F182" s="2656"/>
      <c r="G182" s="2657"/>
      <c r="H182" s="2654" t="s">
        <v>222</v>
      </c>
      <c r="I182" s="2655"/>
      <c r="J182" s="2656"/>
      <c r="K182" s="2657"/>
      <c r="L182" s="2654" t="s">
        <v>222</v>
      </c>
      <c r="M182" s="2655"/>
      <c r="N182" s="2656"/>
      <c r="O182" s="2657"/>
      <c r="P182" s="2654" t="s">
        <v>223</v>
      </c>
      <c r="Q182" s="2655"/>
      <c r="R182" s="2656"/>
      <c r="S182" s="2657"/>
      <c r="T182" s="2654" t="s">
        <v>224</v>
      </c>
      <c r="U182" s="2656"/>
      <c r="V182" s="198"/>
      <c r="W182" s="2658"/>
      <c r="X182" s="197"/>
      <c r="Y182" s="197"/>
      <c r="Z182" s="198"/>
      <c r="AA182" s="2658"/>
      <c r="AB182" s="197"/>
      <c r="AC182" s="197"/>
      <c r="AD182" s="197"/>
      <c r="AE182" s="2658"/>
      <c r="AF182" s="197"/>
      <c r="AG182" s="197"/>
      <c r="AH182" s="199"/>
      <c r="AI182" s="2659"/>
      <c r="AJ182" s="200"/>
    </row>
    <row r="183" spans="1:36" ht="22.35" customHeight="1">
      <c r="A183" s="109"/>
      <c r="B183" s="2641" t="s">
        <v>241</v>
      </c>
      <c r="C183" s="2642" t="s">
        <v>242</v>
      </c>
      <c r="D183" s="3025" t="s">
        <v>222</v>
      </c>
      <c r="E183" s="3026"/>
      <c r="F183" s="3027"/>
      <c r="G183" s="2646"/>
      <c r="H183" s="3025" t="s">
        <v>222</v>
      </c>
      <c r="I183" s="3026"/>
      <c r="J183" s="3027"/>
      <c r="K183" s="2646"/>
      <c r="L183" s="3025" t="s">
        <v>222</v>
      </c>
      <c r="M183" s="3026"/>
      <c r="N183" s="3027"/>
      <c r="O183" s="2646"/>
      <c r="P183" s="3025" t="s">
        <v>223</v>
      </c>
      <c r="Q183" s="3026"/>
      <c r="R183" s="3027"/>
      <c r="S183" s="2646"/>
      <c r="T183" s="3025" t="s">
        <v>224</v>
      </c>
      <c r="U183" s="3027"/>
      <c r="V183" s="3026"/>
      <c r="W183" s="2647"/>
      <c r="X183" s="3028"/>
      <c r="Y183" s="3028"/>
      <c r="Z183" s="3028"/>
      <c r="AA183" s="2647"/>
      <c r="AB183" s="3028"/>
      <c r="AC183" s="3028"/>
      <c r="AD183" s="3028"/>
      <c r="AE183" s="2647"/>
      <c r="AF183" s="3028"/>
      <c r="AG183" s="3028"/>
      <c r="AH183" s="3030"/>
      <c r="AI183" s="2651"/>
      <c r="AJ183" s="200"/>
    </row>
    <row r="184" spans="1:36" ht="22.35" customHeight="1">
      <c r="A184" s="109"/>
      <c r="B184" s="2641" t="s">
        <v>243</v>
      </c>
      <c r="C184" s="2642" t="s">
        <v>122</v>
      </c>
      <c r="D184" s="3025" t="s">
        <v>244</v>
      </c>
      <c r="E184" s="3026"/>
      <c r="F184" s="3027"/>
      <c r="G184" s="2646"/>
      <c r="H184" s="3025" t="s">
        <v>244</v>
      </c>
      <c r="I184" s="3026"/>
      <c r="J184" s="3027"/>
      <c r="K184" s="2646"/>
      <c r="L184" s="3025" t="s">
        <v>244</v>
      </c>
      <c r="M184" s="3026"/>
      <c r="N184" s="3026"/>
      <c r="O184" s="2646"/>
      <c r="P184" s="3025" t="s">
        <v>244</v>
      </c>
      <c r="Q184" s="3026"/>
      <c r="R184" s="3026"/>
      <c r="S184" s="2646"/>
      <c r="T184" s="3025" t="s">
        <v>235</v>
      </c>
      <c r="U184" s="3027"/>
      <c r="V184" s="3026"/>
      <c r="W184" s="2660"/>
      <c r="X184" s="3028"/>
      <c r="Y184" s="3028"/>
      <c r="Z184" s="3028"/>
      <c r="AA184" s="2647"/>
      <c r="AB184" s="3028"/>
      <c r="AC184" s="3028"/>
      <c r="AD184" s="3028"/>
      <c r="AE184" s="2647"/>
      <c r="AF184" s="3028"/>
      <c r="AG184" s="3028"/>
      <c r="AH184" s="3030"/>
      <c r="AI184" s="2651"/>
      <c r="AJ184" s="200"/>
    </row>
    <row r="185" spans="1:36" ht="22.35" customHeight="1">
      <c r="A185" s="109"/>
      <c r="B185" s="2641" t="s">
        <v>245</v>
      </c>
      <c r="C185" s="2642" t="s">
        <v>246</v>
      </c>
      <c r="D185" s="3025" t="s">
        <v>244</v>
      </c>
      <c r="E185" s="3026"/>
      <c r="F185" s="3027"/>
      <c r="G185" s="2646"/>
      <c r="H185" s="3025" t="s">
        <v>244</v>
      </c>
      <c r="I185" s="3026"/>
      <c r="J185" s="3027"/>
      <c r="K185" s="2646"/>
      <c r="L185" s="3025" t="s">
        <v>244</v>
      </c>
      <c r="M185" s="3026"/>
      <c r="N185" s="3026"/>
      <c r="O185" s="2646"/>
      <c r="P185" s="3025" t="s">
        <v>244</v>
      </c>
      <c r="Q185" s="3026"/>
      <c r="R185" s="3026"/>
      <c r="S185" s="2646"/>
      <c r="T185" s="3025" t="s">
        <v>235</v>
      </c>
      <c r="U185" s="3027"/>
      <c r="V185" s="3026"/>
      <c r="W185" s="2660"/>
      <c r="X185" s="3028"/>
      <c r="Y185" s="3028"/>
      <c r="Z185" s="3029"/>
      <c r="AA185" s="2661"/>
      <c r="AB185" s="3028"/>
      <c r="AC185" s="3028"/>
      <c r="AD185" s="3028"/>
      <c r="AE185" s="2647"/>
      <c r="AF185" s="3028"/>
      <c r="AG185" s="3028"/>
      <c r="AH185" s="3030"/>
      <c r="AI185" s="2651"/>
      <c r="AJ185" s="200"/>
    </row>
    <row r="186" spans="1:36" ht="22.35" customHeight="1" thickBot="1">
      <c r="A186" s="109"/>
      <c r="B186" s="1100" t="s">
        <v>247</v>
      </c>
      <c r="C186" s="1101" t="s">
        <v>127</v>
      </c>
      <c r="D186" s="2662" t="s">
        <v>244</v>
      </c>
      <c r="E186" s="2663"/>
      <c r="F186" s="1104"/>
      <c r="G186" s="1105"/>
      <c r="H186" s="2662" t="s">
        <v>244</v>
      </c>
      <c r="I186" s="2663"/>
      <c r="J186" s="1104"/>
      <c r="K186" s="1105"/>
      <c r="L186" s="2662" t="s">
        <v>244</v>
      </c>
      <c r="M186" s="2663"/>
      <c r="N186" s="2663"/>
      <c r="O186" s="1105"/>
      <c r="P186" s="2662" t="s">
        <v>244</v>
      </c>
      <c r="Q186" s="2663"/>
      <c r="R186" s="2663"/>
      <c r="S186" s="1105"/>
      <c r="T186" s="2662" t="s">
        <v>235</v>
      </c>
      <c r="U186" s="1104"/>
      <c r="V186" s="2663"/>
      <c r="W186" s="1106"/>
      <c r="X186" s="2664"/>
      <c r="Y186" s="2664"/>
      <c r="Z186" s="1108"/>
      <c r="AA186" s="2665"/>
      <c r="AB186" s="2664"/>
      <c r="AC186" s="2664"/>
      <c r="AD186" s="2664"/>
      <c r="AE186" s="1110"/>
      <c r="AF186" s="2664"/>
      <c r="AG186" s="2664"/>
      <c r="AH186" s="2666"/>
      <c r="AI186" s="1112"/>
    </row>
    <row r="187" spans="1:36" ht="22.35" customHeight="1">
      <c r="A187" s="109"/>
      <c r="B187" s="218"/>
      <c r="C187" s="219"/>
      <c r="D187" s="220"/>
      <c r="E187" s="221"/>
      <c r="F187" s="221"/>
      <c r="G187" s="222"/>
      <c r="H187" s="220"/>
      <c r="I187" s="221"/>
      <c r="J187" s="221"/>
      <c r="K187" s="222"/>
      <c r="L187" s="220"/>
      <c r="M187" s="221"/>
      <c r="N187" s="221"/>
      <c r="O187" s="222"/>
      <c r="P187" s="210"/>
      <c r="Q187" s="221"/>
      <c r="R187" s="221"/>
      <c r="S187" s="222"/>
      <c r="T187" s="210"/>
      <c r="U187" s="221"/>
      <c r="V187" s="221"/>
      <c r="W187" s="221"/>
      <c r="X187" s="221"/>
      <c r="Y187" s="221"/>
      <c r="Z187" s="221"/>
      <c r="AA187" s="222"/>
      <c r="AB187" s="221"/>
      <c r="AC187" s="221"/>
      <c r="AD187" s="221"/>
      <c r="AE187" s="222"/>
      <c r="AF187" s="221"/>
      <c r="AG187" s="221"/>
      <c r="AH187" s="201"/>
      <c r="AI187" s="201"/>
    </row>
    <row r="188" spans="1:36" ht="22.35" customHeight="1" thickBot="1">
      <c r="A188" s="148"/>
      <c r="B188" s="2667" t="s">
        <v>29</v>
      </c>
      <c r="C188" s="2788">
        <v>1</v>
      </c>
      <c r="D188" s="2789">
        <v>2</v>
      </c>
      <c r="E188" s="2789">
        <v>3</v>
      </c>
      <c r="F188" s="2788">
        <v>4</v>
      </c>
      <c r="G188" s="2788">
        <v>5</v>
      </c>
      <c r="H188" s="2788">
        <v>6</v>
      </c>
      <c r="I188" s="2788">
        <v>7</v>
      </c>
      <c r="J188" s="2788">
        <v>8</v>
      </c>
      <c r="K188" s="2789">
        <v>9</v>
      </c>
      <c r="L188" s="2789">
        <v>10</v>
      </c>
      <c r="M188" s="2788">
        <v>11</v>
      </c>
      <c r="N188" s="2788">
        <v>12</v>
      </c>
      <c r="O188" s="2788">
        <v>13</v>
      </c>
      <c r="P188" s="2789">
        <v>14</v>
      </c>
      <c r="Q188" s="2789">
        <v>15</v>
      </c>
      <c r="R188" s="2789">
        <v>16</v>
      </c>
      <c r="S188" s="2789">
        <v>17</v>
      </c>
      <c r="T188" s="2789">
        <v>18</v>
      </c>
      <c r="U188" s="2788">
        <v>19</v>
      </c>
      <c r="V188" s="2788">
        <v>20</v>
      </c>
      <c r="W188" s="2788">
        <v>21</v>
      </c>
      <c r="X188" s="2788">
        <v>22</v>
      </c>
      <c r="Y188" s="2789">
        <v>23</v>
      </c>
      <c r="Z188" s="2789">
        <v>24</v>
      </c>
      <c r="AA188" s="2788">
        <v>25</v>
      </c>
      <c r="AB188" s="2788">
        <v>26</v>
      </c>
      <c r="AC188" s="2788">
        <v>27</v>
      </c>
      <c r="AD188" s="2788">
        <v>28</v>
      </c>
      <c r="AE188" s="2788">
        <v>29</v>
      </c>
      <c r="AF188" s="2789">
        <v>30</v>
      </c>
      <c r="AG188" s="2790"/>
      <c r="AH188" s="183"/>
      <c r="AI188" s="177"/>
    </row>
    <row r="189" spans="1:36" ht="22.35" customHeight="1" thickBot="1">
      <c r="A189" s="109"/>
      <c r="B189" s="318" t="s">
        <v>248</v>
      </c>
      <c r="C189" s="640" t="s">
        <v>113</v>
      </c>
      <c r="D189" s="640"/>
      <c r="E189" s="640"/>
      <c r="F189" s="640" t="s">
        <v>113</v>
      </c>
      <c r="G189" s="514" t="s">
        <v>113</v>
      </c>
      <c r="H189" s="514" t="s">
        <v>113</v>
      </c>
      <c r="I189" s="514" t="s">
        <v>113</v>
      </c>
      <c r="J189" s="514" t="s">
        <v>113</v>
      </c>
      <c r="K189" s="514"/>
      <c r="L189" s="514"/>
      <c r="M189" s="514" t="s">
        <v>113</v>
      </c>
      <c r="N189" s="514" t="s">
        <v>113</v>
      </c>
      <c r="O189" s="514" t="s">
        <v>113</v>
      </c>
      <c r="P189" s="514"/>
      <c r="Q189" s="514"/>
      <c r="R189" s="514"/>
      <c r="S189" s="514"/>
      <c r="T189" s="514"/>
      <c r="U189" s="514" t="s">
        <v>113</v>
      </c>
      <c r="V189" s="514" t="s">
        <v>113</v>
      </c>
      <c r="W189" s="514" t="s">
        <v>113</v>
      </c>
      <c r="X189" s="514" t="s">
        <v>113</v>
      </c>
      <c r="Y189" s="514"/>
      <c r="Z189" s="514"/>
      <c r="AA189" s="514" t="s">
        <v>113</v>
      </c>
      <c r="AB189" s="514" t="s">
        <v>113</v>
      </c>
      <c r="AC189" s="514" t="s">
        <v>113</v>
      </c>
      <c r="AD189" s="514" t="s">
        <v>113</v>
      </c>
      <c r="AE189" s="514" t="s">
        <v>113</v>
      </c>
      <c r="AF189" s="514"/>
      <c r="AG189" s="515"/>
      <c r="AH189" s="182"/>
      <c r="AI189" s="182"/>
    </row>
    <row r="190" spans="1:36" ht="22.35" customHeight="1" thickBot="1">
      <c r="A190" s="109"/>
      <c r="B190" s="2668" t="s">
        <v>249</v>
      </c>
      <c r="C190" s="2669" t="s">
        <v>113</v>
      </c>
      <c r="D190" s="571"/>
      <c r="E190" s="2669"/>
      <c r="F190" s="2669" t="s">
        <v>113</v>
      </c>
      <c r="G190" s="2669" t="s">
        <v>113</v>
      </c>
      <c r="H190" s="2669" t="s">
        <v>113</v>
      </c>
      <c r="I190" s="2669" t="s">
        <v>113</v>
      </c>
      <c r="J190" s="2669" t="s">
        <v>113</v>
      </c>
      <c r="K190" s="2669"/>
      <c r="L190" s="2669"/>
      <c r="M190" s="2669" t="s">
        <v>113</v>
      </c>
      <c r="N190" s="2669" t="s">
        <v>113</v>
      </c>
      <c r="O190" s="2669" t="s">
        <v>113</v>
      </c>
      <c r="P190" s="2669"/>
      <c r="Q190" s="2669"/>
      <c r="R190" s="2669"/>
      <c r="S190" s="2669"/>
      <c r="T190" s="571"/>
      <c r="U190" s="2669" t="s">
        <v>113</v>
      </c>
      <c r="V190" s="2669" t="s">
        <v>113</v>
      </c>
      <c r="W190" s="2669" t="s">
        <v>113</v>
      </c>
      <c r="X190" s="2669" t="s">
        <v>113</v>
      </c>
      <c r="Y190" s="2669"/>
      <c r="Z190" s="2669"/>
      <c r="AA190" s="2672" t="s">
        <v>113</v>
      </c>
      <c r="AB190" s="2672" t="s">
        <v>113</v>
      </c>
      <c r="AC190" s="2672" t="s">
        <v>113</v>
      </c>
      <c r="AD190" s="2672" t="s">
        <v>113</v>
      </c>
      <c r="AE190" s="2672" t="s">
        <v>113</v>
      </c>
      <c r="AF190" s="2672"/>
      <c r="AG190" s="3078"/>
      <c r="AH190" s="182"/>
      <c r="AI190" s="182"/>
    </row>
    <row r="191" spans="1:36" ht="22.35" customHeight="1">
      <c r="A191" s="109"/>
      <c r="B191" s="2668" t="s">
        <v>250</v>
      </c>
      <c r="C191" s="2669" t="s">
        <v>118</v>
      </c>
      <c r="D191" s="2669"/>
      <c r="E191" s="2669"/>
      <c r="F191" s="571" t="s">
        <v>118</v>
      </c>
      <c r="G191" s="2669" t="s">
        <v>118</v>
      </c>
      <c r="H191" s="2669" t="s">
        <v>118</v>
      </c>
      <c r="I191" s="2669" t="s">
        <v>118</v>
      </c>
      <c r="J191" s="2669" t="s">
        <v>118</v>
      </c>
      <c r="K191" s="2669"/>
      <c r="L191" s="2669"/>
      <c r="M191" s="2672" t="s">
        <v>118</v>
      </c>
      <c r="N191" s="2672" t="s">
        <v>118</v>
      </c>
      <c r="O191" s="2672" t="s">
        <v>118</v>
      </c>
      <c r="P191" s="2672"/>
      <c r="Q191" s="2672"/>
      <c r="R191" s="2672"/>
      <c r="S191" s="2672"/>
      <c r="T191" s="2672"/>
      <c r="U191" s="2672" t="s">
        <v>118</v>
      </c>
      <c r="V191" s="2672" t="s">
        <v>118</v>
      </c>
      <c r="W191" s="2672" t="s">
        <v>118</v>
      </c>
      <c r="X191" s="2672" t="s">
        <v>118</v>
      </c>
      <c r="Y191" s="2672"/>
      <c r="Z191" s="2672"/>
      <c r="AA191" s="2678" t="s">
        <v>118</v>
      </c>
      <c r="AB191" s="2669" t="s">
        <v>118</v>
      </c>
      <c r="AC191" s="2672" t="s">
        <v>118</v>
      </c>
      <c r="AD191" s="2669" t="s">
        <v>118</v>
      </c>
      <c r="AE191" s="2669" t="s">
        <v>118</v>
      </c>
      <c r="AF191" s="2669"/>
      <c r="AG191" s="2671"/>
      <c r="AH191" s="182"/>
      <c r="AI191" s="182"/>
    </row>
    <row r="192" spans="1:36" ht="22.35" customHeight="1">
      <c r="A192" s="109"/>
      <c r="B192" s="2668" t="s">
        <v>251</v>
      </c>
      <c r="C192" s="2669" t="s">
        <v>126</v>
      </c>
      <c r="D192" s="2669"/>
      <c r="E192" s="2669"/>
      <c r="F192" s="2669" t="s">
        <v>126</v>
      </c>
      <c r="G192" s="2669" t="s">
        <v>126</v>
      </c>
      <c r="H192" s="2669" t="s">
        <v>126</v>
      </c>
      <c r="I192" s="2669" t="s">
        <v>126</v>
      </c>
      <c r="J192" s="2669" t="s">
        <v>126</v>
      </c>
      <c r="K192" s="2669"/>
      <c r="L192" s="2669"/>
      <c r="M192" s="2669" t="s">
        <v>126</v>
      </c>
      <c r="N192" s="2669" t="s">
        <v>126</v>
      </c>
      <c r="O192" s="2669" t="s">
        <v>126</v>
      </c>
      <c r="P192" s="2669"/>
      <c r="Q192" s="2669"/>
      <c r="R192" s="2669"/>
      <c r="S192" s="2669"/>
      <c r="T192" s="2669"/>
      <c r="U192" s="2669" t="s">
        <v>126</v>
      </c>
      <c r="V192" s="2669" t="s">
        <v>126</v>
      </c>
      <c r="W192" s="2678" t="s">
        <v>126</v>
      </c>
      <c r="X192" s="2669" t="s">
        <v>126</v>
      </c>
      <c r="Y192" s="2669"/>
      <c r="Z192" s="2669"/>
      <c r="AA192" s="2669" t="s">
        <v>126</v>
      </c>
      <c r="AB192" s="2669" t="s">
        <v>126</v>
      </c>
      <c r="AC192" s="2669" t="s">
        <v>126</v>
      </c>
      <c r="AD192" s="3079" t="s">
        <v>126</v>
      </c>
      <c r="AE192" s="2669" t="s">
        <v>126</v>
      </c>
      <c r="AF192" s="2669"/>
      <c r="AG192" s="2671"/>
      <c r="AH192" s="182"/>
      <c r="AI192" s="182"/>
    </row>
    <row r="193" spans="1:35" ht="22.35" customHeight="1">
      <c r="A193" s="109"/>
      <c r="B193" s="2797" t="s">
        <v>133</v>
      </c>
      <c r="C193" s="2669" t="s">
        <v>50</v>
      </c>
      <c r="D193" s="2669"/>
      <c r="E193" s="2669"/>
      <c r="F193" s="2669" t="s">
        <v>50</v>
      </c>
      <c r="G193" s="2669" t="s">
        <v>50</v>
      </c>
      <c r="H193" s="2669" t="s">
        <v>50</v>
      </c>
      <c r="I193" s="2669" t="s">
        <v>50</v>
      </c>
      <c r="J193" s="2669" t="s">
        <v>50</v>
      </c>
      <c r="K193" s="2669"/>
      <c r="L193" s="2669"/>
      <c r="M193" s="2669" t="s">
        <v>50</v>
      </c>
      <c r="N193" s="2669" t="s">
        <v>50</v>
      </c>
      <c r="O193" s="2669" t="s">
        <v>50</v>
      </c>
      <c r="P193" s="2669"/>
      <c r="Q193" s="2669"/>
      <c r="R193" s="2669"/>
      <c r="S193" s="2669"/>
      <c r="T193" s="2669"/>
      <c r="U193" s="2669" t="s">
        <v>50</v>
      </c>
      <c r="V193" s="2669" t="s">
        <v>50</v>
      </c>
      <c r="W193" s="2669" t="s">
        <v>50</v>
      </c>
      <c r="X193" s="2669" t="s">
        <v>50</v>
      </c>
      <c r="Y193" s="2669"/>
      <c r="Z193" s="2669"/>
      <c r="AA193" s="2669" t="s">
        <v>50</v>
      </c>
      <c r="AB193" s="2669" t="s">
        <v>50</v>
      </c>
      <c r="AC193" s="2669" t="s">
        <v>50</v>
      </c>
      <c r="AD193" s="2669" t="s">
        <v>50</v>
      </c>
      <c r="AE193" s="2669" t="s">
        <v>50</v>
      </c>
      <c r="AF193" s="2669"/>
      <c r="AG193" s="2671"/>
      <c r="AH193" s="182"/>
      <c r="AI193" s="182"/>
    </row>
    <row r="194" spans="1:35" ht="22.35" customHeight="1">
      <c r="A194" s="109"/>
      <c r="B194" s="2668" t="s">
        <v>253</v>
      </c>
      <c r="C194" s="2676" t="s">
        <v>132</v>
      </c>
      <c r="D194" s="2676"/>
      <c r="E194" s="2676"/>
      <c r="F194" s="2676" t="s">
        <v>132</v>
      </c>
      <c r="G194" s="2676" t="s">
        <v>132</v>
      </c>
      <c r="H194" s="2676" t="s">
        <v>132</v>
      </c>
      <c r="I194" s="2676" t="s">
        <v>132</v>
      </c>
      <c r="J194" s="2676" t="s">
        <v>132</v>
      </c>
      <c r="K194" s="2676"/>
      <c r="L194" s="2676"/>
      <c r="M194" s="2676" t="s">
        <v>132</v>
      </c>
      <c r="N194" s="2676" t="s">
        <v>132</v>
      </c>
      <c r="O194" s="2676" t="s">
        <v>132</v>
      </c>
      <c r="P194" s="2676"/>
      <c r="Q194" s="2676"/>
      <c r="R194" s="2676"/>
      <c r="S194" s="2676"/>
      <c r="T194" s="2677"/>
      <c r="U194" s="2677" t="s">
        <v>132</v>
      </c>
      <c r="V194" s="2677" t="s">
        <v>132</v>
      </c>
      <c r="W194" s="2677" t="s">
        <v>132</v>
      </c>
      <c r="X194" s="2677" t="s">
        <v>132</v>
      </c>
      <c r="Y194" s="2677"/>
      <c r="Z194" s="2677"/>
      <c r="AA194" s="3080" t="s">
        <v>132</v>
      </c>
      <c r="AB194" s="3080" t="s">
        <v>132</v>
      </c>
      <c r="AC194" s="3080" t="s">
        <v>132</v>
      </c>
      <c r="AD194" s="3080" t="s">
        <v>132</v>
      </c>
      <c r="AE194" s="3080" t="s">
        <v>132</v>
      </c>
      <c r="AF194" s="2676"/>
      <c r="AG194" s="2671"/>
      <c r="AH194" s="182"/>
      <c r="AI194" s="182"/>
    </row>
    <row r="195" spans="1:35" ht="22.35" customHeight="1">
      <c r="A195" s="109"/>
      <c r="B195" s="2874"/>
      <c r="C195" s="2669" t="s">
        <v>135</v>
      </c>
      <c r="D195" s="2669"/>
      <c r="E195" s="2669"/>
      <c r="F195" s="2669" t="s">
        <v>135</v>
      </c>
      <c r="G195" s="2669" t="s">
        <v>135</v>
      </c>
      <c r="H195" s="2669" t="s">
        <v>135</v>
      </c>
      <c r="I195" s="2669" t="s">
        <v>135</v>
      </c>
      <c r="J195" s="2669" t="s">
        <v>135</v>
      </c>
      <c r="K195" s="2669"/>
      <c r="L195" s="2669"/>
      <c r="M195" s="2669" t="s">
        <v>135</v>
      </c>
      <c r="N195" s="2669" t="s">
        <v>135</v>
      </c>
      <c r="O195" s="2669" t="s">
        <v>135</v>
      </c>
      <c r="P195" s="2669"/>
      <c r="Q195" s="2669"/>
      <c r="R195" s="2669"/>
      <c r="S195" s="2669"/>
      <c r="T195" s="2669"/>
      <c r="U195" s="2669" t="s">
        <v>135</v>
      </c>
      <c r="V195" s="2669" t="s">
        <v>135</v>
      </c>
      <c r="W195" s="2669" t="s">
        <v>135</v>
      </c>
      <c r="X195" s="2669" t="s">
        <v>135</v>
      </c>
      <c r="Y195" s="2669"/>
      <c r="Z195" s="2669"/>
      <c r="AA195" s="2669" t="s">
        <v>135</v>
      </c>
      <c r="AB195" s="2669" t="s">
        <v>135</v>
      </c>
      <c r="AC195" s="2669" t="s">
        <v>135</v>
      </c>
      <c r="AD195" s="2669" t="s">
        <v>135</v>
      </c>
      <c r="AE195" s="2669" t="s">
        <v>135</v>
      </c>
      <c r="AF195" s="2669"/>
      <c r="AG195" s="2671"/>
      <c r="AH195" s="182"/>
      <c r="AI195" s="182"/>
    </row>
    <row r="196" spans="1:35" ht="22.35" customHeight="1">
      <c r="A196" s="109"/>
      <c r="B196" s="2668" t="s">
        <v>255</v>
      </c>
      <c r="C196" s="522" t="s">
        <v>52</v>
      </c>
      <c r="D196" s="735"/>
      <c r="E196" s="522"/>
      <c r="F196" s="522" t="s">
        <v>52</v>
      </c>
      <c r="G196" s="522" t="s">
        <v>52</v>
      </c>
      <c r="H196" s="522" t="s">
        <v>52</v>
      </c>
      <c r="I196" s="522" t="s">
        <v>52</v>
      </c>
      <c r="J196" s="522" t="s">
        <v>52</v>
      </c>
      <c r="K196" s="735"/>
      <c r="L196" s="522"/>
      <c r="M196" s="522" t="s">
        <v>52</v>
      </c>
      <c r="N196" s="522" t="s">
        <v>52</v>
      </c>
      <c r="O196" s="522" t="s">
        <v>52</v>
      </c>
      <c r="P196" s="522"/>
      <c r="Q196" s="522"/>
      <c r="R196" s="522"/>
      <c r="S196" s="522"/>
      <c r="T196" s="522"/>
      <c r="U196" s="522" t="s">
        <v>52</v>
      </c>
      <c r="V196" s="522" t="s">
        <v>52</v>
      </c>
      <c r="W196" s="522" t="s">
        <v>52</v>
      </c>
      <c r="X196" s="522" t="s">
        <v>52</v>
      </c>
      <c r="Y196" s="522"/>
      <c r="Z196" s="522"/>
      <c r="AA196" s="522" t="s">
        <v>52</v>
      </c>
      <c r="AB196" s="522" t="s">
        <v>52</v>
      </c>
      <c r="AC196" s="522" t="s">
        <v>52</v>
      </c>
      <c r="AD196" s="522" t="s">
        <v>52</v>
      </c>
      <c r="AE196" s="522" t="s">
        <v>52</v>
      </c>
      <c r="AF196" s="522"/>
      <c r="AG196" s="513"/>
      <c r="AH196" s="182"/>
      <c r="AI196" s="182"/>
    </row>
    <row r="197" spans="1:35" ht="22.35" customHeight="1">
      <c r="A197" s="109"/>
      <c r="B197" s="2668" t="s">
        <v>257</v>
      </c>
      <c r="C197" s="3032" t="s">
        <v>258</v>
      </c>
      <c r="D197" s="3070"/>
      <c r="E197" s="3070"/>
      <c r="F197" s="3070" t="s">
        <v>141</v>
      </c>
      <c r="G197" s="3070" t="s">
        <v>141</v>
      </c>
      <c r="H197" s="3070" t="s">
        <v>141</v>
      </c>
      <c r="I197" s="3070" t="s">
        <v>141</v>
      </c>
      <c r="J197" s="3070" t="s">
        <v>141</v>
      </c>
      <c r="K197" s="3070"/>
      <c r="L197" s="3070"/>
      <c r="M197" s="3070" t="s">
        <v>141</v>
      </c>
      <c r="N197" s="3070" t="s">
        <v>141</v>
      </c>
      <c r="O197" s="3070" t="s">
        <v>141</v>
      </c>
      <c r="P197" s="3070"/>
      <c r="Q197" s="3070"/>
      <c r="R197" s="3070"/>
      <c r="S197" s="3070"/>
      <c r="T197" s="3070"/>
      <c r="U197" s="3070" t="s">
        <v>141</v>
      </c>
      <c r="V197" s="3070" t="s">
        <v>141</v>
      </c>
      <c r="W197" s="3070" t="s">
        <v>141</v>
      </c>
      <c r="X197" s="3070" t="s">
        <v>141</v>
      </c>
      <c r="Y197" s="3070"/>
      <c r="Z197" s="3070"/>
      <c r="AA197" s="3070" t="s">
        <v>141</v>
      </c>
      <c r="AB197" s="3070" t="s">
        <v>141</v>
      </c>
      <c r="AC197" s="3070" t="s">
        <v>141</v>
      </c>
      <c r="AD197" s="3070" t="s">
        <v>141</v>
      </c>
      <c r="AE197" s="3070" t="s">
        <v>141</v>
      </c>
      <c r="AF197" s="3070"/>
      <c r="AG197" s="2632"/>
      <c r="AH197" s="182"/>
      <c r="AI197" s="182"/>
    </row>
    <row r="198" spans="1:35" ht="22.35" customHeight="1">
      <c r="A198" s="109"/>
      <c r="B198" s="2874" t="s">
        <v>259</v>
      </c>
      <c r="C198" s="3070" t="s">
        <v>124</v>
      </c>
      <c r="D198" s="3070"/>
      <c r="E198" s="3070"/>
      <c r="F198" s="2831" t="s">
        <v>124</v>
      </c>
      <c r="G198" s="2831" t="s">
        <v>124</v>
      </c>
      <c r="H198" s="2831" t="s">
        <v>124</v>
      </c>
      <c r="I198" s="2831" t="s">
        <v>124</v>
      </c>
      <c r="J198" s="2831" t="s">
        <v>124</v>
      </c>
      <c r="K198" s="2831"/>
      <c r="L198" s="2831"/>
      <c r="M198" s="2628" t="s">
        <v>124</v>
      </c>
      <c r="N198" s="2628" t="s">
        <v>124</v>
      </c>
      <c r="O198" s="2628" t="s">
        <v>124</v>
      </c>
      <c r="P198" s="3070"/>
      <c r="Q198" s="3070"/>
      <c r="R198" s="3070"/>
      <c r="S198" s="3070"/>
      <c r="T198" s="3070"/>
      <c r="U198" s="3070" t="s">
        <v>124</v>
      </c>
      <c r="V198" s="3070" t="s">
        <v>124</v>
      </c>
      <c r="W198" s="3070" t="s">
        <v>124</v>
      </c>
      <c r="X198" s="3070" t="s">
        <v>124</v>
      </c>
      <c r="Y198" s="3070"/>
      <c r="Z198" s="3070"/>
      <c r="AA198" s="3070" t="s">
        <v>124</v>
      </c>
      <c r="AB198" s="3070" t="s">
        <v>124</v>
      </c>
      <c r="AC198" s="3070" t="s">
        <v>124</v>
      </c>
      <c r="AD198" s="3070" t="s">
        <v>124</v>
      </c>
      <c r="AE198" s="3070" t="s">
        <v>124</v>
      </c>
      <c r="AF198" s="3070"/>
      <c r="AG198" s="2632"/>
      <c r="AH198" s="182"/>
      <c r="AI198" s="182"/>
    </row>
    <row r="199" spans="1:35" ht="22.35" customHeight="1">
      <c r="A199" s="109"/>
      <c r="B199" s="2668" t="s">
        <v>261</v>
      </c>
      <c r="C199" s="3070" t="s">
        <v>242</v>
      </c>
      <c r="D199" s="3070"/>
      <c r="E199" s="3070"/>
      <c r="F199" s="3070" t="s">
        <v>242</v>
      </c>
      <c r="G199" s="3070" t="s">
        <v>242</v>
      </c>
      <c r="H199" s="3070" t="s">
        <v>242</v>
      </c>
      <c r="I199" s="3070" t="s">
        <v>242</v>
      </c>
      <c r="J199" s="3070" t="s">
        <v>242</v>
      </c>
      <c r="K199" s="3070"/>
      <c r="L199" s="3070"/>
      <c r="M199" s="3070" t="s">
        <v>242</v>
      </c>
      <c r="N199" s="3070" t="s">
        <v>242</v>
      </c>
      <c r="O199" s="3070" t="s">
        <v>242</v>
      </c>
      <c r="P199" s="3070"/>
      <c r="Q199" s="3070"/>
      <c r="R199" s="3070"/>
      <c r="S199" s="3070"/>
      <c r="T199" s="3070"/>
      <c r="U199" s="3070" t="s">
        <v>242</v>
      </c>
      <c r="V199" s="3070" t="s">
        <v>242</v>
      </c>
      <c r="W199" s="3070" t="s">
        <v>242</v>
      </c>
      <c r="X199" s="3070" t="s">
        <v>242</v>
      </c>
      <c r="Y199" s="3070"/>
      <c r="Z199" s="3070"/>
      <c r="AA199" s="3070" t="s">
        <v>242</v>
      </c>
      <c r="AB199" s="3070" t="s">
        <v>242</v>
      </c>
      <c r="AC199" s="3070" t="s">
        <v>242</v>
      </c>
      <c r="AD199" s="3070" t="s">
        <v>242</v>
      </c>
      <c r="AE199" s="3032" t="s">
        <v>242</v>
      </c>
      <c r="AF199" s="3070"/>
      <c r="AG199" s="2632"/>
      <c r="AH199" s="182"/>
      <c r="AI199" s="182"/>
    </row>
    <row r="200" spans="1:35" ht="21" customHeight="1">
      <c r="A200" s="109"/>
      <c r="B200" s="2874"/>
      <c r="C200" s="3070" t="s">
        <v>122</v>
      </c>
      <c r="D200" s="3070"/>
      <c r="E200" s="3070"/>
      <c r="F200" s="3070" t="s">
        <v>122</v>
      </c>
      <c r="G200" s="3070" t="s">
        <v>122</v>
      </c>
      <c r="H200" s="3070" t="s">
        <v>122</v>
      </c>
      <c r="I200" s="3070" t="s">
        <v>122</v>
      </c>
      <c r="J200" s="3070" t="s">
        <v>122</v>
      </c>
      <c r="K200" s="3070"/>
      <c r="L200" s="3070"/>
      <c r="M200" s="3070" t="s">
        <v>122</v>
      </c>
      <c r="N200" s="3070" t="s">
        <v>122</v>
      </c>
      <c r="O200" s="3070" t="s">
        <v>122</v>
      </c>
      <c r="P200" s="3070"/>
      <c r="Q200" s="3070"/>
      <c r="R200" s="3070"/>
      <c r="S200" s="3070"/>
      <c r="T200" s="3070"/>
      <c r="U200" s="3070" t="s">
        <v>122</v>
      </c>
      <c r="V200" s="3070" t="s">
        <v>122</v>
      </c>
      <c r="W200" s="3070" t="s">
        <v>122</v>
      </c>
      <c r="X200" s="3070" t="s">
        <v>122</v>
      </c>
      <c r="Y200" s="3070"/>
      <c r="Z200" s="3070"/>
      <c r="AA200" s="3070" t="s">
        <v>122</v>
      </c>
      <c r="AB200" s="3070" t="s">
        <v>122</v>
      </c>
      <c r="AC200" s="3070" t="s">
        <v>122</v>
      </c>
      <c r="AD200" s="3070" t="s">
        <v>122</v>
      </c>
      <c r="AE200" s="3070" t="s">
        <v>122</v>
      </c>
      <c r="AF200" s="3070"/>
      <c r="AG200" s="2632"/>
      <c r="AH200" s="182"/>
      <c r="AI200" s="182"/>
    </row>
    <row r="201" spans="1:35" ht="21" customHeight="1">
      <c r="A201" s="109"/>
      <c r="B201" s="2874" t="s">
        <v>262</v>
      </c>
      <c r="C201" s="3070" t="s">
        <v>246</v>
      </c>
      <c r="D201" s="3070"/>
      <c r="E201" s="3070"/>
      <c r="F201" s="3033" t="s">
        <v>246</v>
      </c>
      <c r="G201" s="3070" t="s">
        <v>246</v>
      </c>
      <c r="H201" s="3070" t="s">
        <v>246</v>
      </c>
      <c r="I201" s="3070" t="s">
        <v>246</v>
      </c>
      <c r="J201" s="3070" t="s">
        <v>246</v>
      </c>
      <c r="K201" s="3070"/>
      <c r="L201" s="3070"/>
      <c r="M201" s="2915" t="s">
        <v>246</v>
      </c>
      <c r="N201" s="2915" t="s">
        <v>246</v>
      </c>
      <c r="O201" s="2915" t="s">
        <v>246</v>
      </c>
      <c r="P201" s="2915"/>
      <c r="Q201" s="2915"/>
      <c r="R201" s="2915"/>
      <c r="S201" s="2915"/>
      <c r="T201" s="3070"/>
      <c r="U201" s="3070" t="s">
        <v>246</v>
      </c>
      <c r="V201" s="3070" t="s">
        <v>246</v>
      </c>
      <c r="W201" s="3070" t="s">
        <v>246</v>
      </c>
      <c r="X201" s="3070" t="s">
        <v>246</v>
      </c>
      <c r="Y201" s="3070"/>
      <c r="Z201" s="3070"/>
      <c r="AA201" s="3070" t="s">
        <v>246</v>
      </c>
      <c r="AB201" s="3070" t="s">
        <v>246</v>
      </c>
      <c r="AC201" s="3070" t="s">
        <v>246</v>
      </c>
      <c r="AD201" s="3070" t="s">
        <v>246</v>
      </c>
      <c r="AE201" s="3070" t="s">
        <v>246</v>
      </c>
      <c r="AF201" s="3070"/>
      <c r="AG201" s="2632"/>
      <c r="AH201" s="107"/>
      <c r="AI201" s="107"/>
    </row>
    <row r="202" spans="1:35" ht="22.35" customHeight="1" thickBot="1">
      <c r="A202" s="148"/>
      <c r="B202" s="995" t="s">
        <v>263</v>
      </c>
      <c r="C202" s="998" t="s">
        <v>127</v>
      </c>
      <c r="D202" s="998"/>
      <c r="E202" s="998"/>
      <c r="F202" s="1564" t="s">
        <v>127</v>
      </c>
      <c r="G202" s="1564" t="s">
        <v>127</v>
      </c>
      <c r="H202" s="1564" t="s">
        <v>127</v>
      </c>
      <c r="I202" s="1564" t="s">
        <v>127</v>
      </c>
      <c r="J202" s="1564" t="s">
        <v>127</v>
      </c>
      <c r="K202" s="1564"/>
      <c r="L202" s="1564"/>
      <c r="M202" s="1128" t="s">
        <v>127</v>
      </c>
      <c r="N202" s="1128" t="s">
        <v>127</v>
      </c>
      <c r="O202" s="1128" t="s">
        <v>127</v>
      </c>
      <c r="P202" s="998"/>
      <c r="Q202" s="998"/>
      <c r="R202" s="998"/>
      <c r="S202" s="998"/>
      <c r="T202" s="998"/>
      <c r="U202" s="998" t="s">
        <v>127</v>
      </c>
      <c r="V202" s="998" t="s">
        <v>127</v>
      </c>
      <c r="W202" s="998" t="s">
        <v>127</v>
      </c>
      <c r="X202" s="998" t="s">
        <v>127</v>
      </c>
      <c r="Y202" s="998"/>
      <c r="Z202" s="998"/>
      <c r="AA202" s="998" t="s">
        <v>127</v>
      </c>
      <c r="AB202" s="998" t="s">
        <v>127</v>
      </c>
      <c r="AC202" s="998" t="s">
        <v>127</v>
      </c>
      <c r="AD202" s="998" t="s">
        <v>127</v>
      </c>
      <c r="AE202" s="1072" t="s">
        <v>127</v>
      </c>
      <c r="AF202" s="1072"/>
      <c r="AG202" s="1074"/>
      <c r="AH202" s="115"/>
    </row>
    <row r="203" spans="1:35" ht="22.35" customHeight="1">
      <c r="A203" s="148"/>
      <c r="B203" s="229"/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M203" s="228"/>
      <c r="N203" s="228"/>
      <c r="O203" s="228"/>
      <c r="P203" s="228"/>
      <c r="Q203" s="228"/>
      <c r="R203" s="228"/>
      <c r="S203" s="228"/>
      <c r="T203" s="228"/>
      <c r="U203" s="228"/>
      <c r="V203" s="228"/>
      <c r="W203" s="228"/>
      <c r="X203" s="228"/>
      <c r="Y203" s="228"/>
      <c r="Z203" s="228"/>
      <c r="AA203" s="228"/>
      <c r="AB203" s="228"/>
      <c r="AC203" s="228"/>
      <c r="AD203" s="228"/>
      <c r="AE203" s="228"/>
      <c r="AF203" s="228"/>
      <c r="AG203" s="228"/>
      <c r="AH203" s="115"/>
    </row>
    <row r="204" spans="1:35" ht="22.35" customHeight="1"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</row>
    <row r="205" spans="1:35" ht="22.35" customHeight="1" thickBot="1">
      <c r="A205" s="1" t="s">
        <v>265</v>
      </c>
      <c r="B205" s="59"/>
    </row>
    <row r="206" spans="1:35" ht="22.35" customHeight="1">
      <c r="A206" s="1"/>
      <c r="B206" s="3037" t="s">
        <v>266</v>
      </c>
      <c r="C206" s="391" t="s">
        <v>94</v>
      </c>
      <c r="D206" s="391"/>
      <c r="E206" s="391"/>
      <c r="F206" s="391"/>
      <c r="G206" s="392" t="s">
        <v>95</v>
      </c>
      <c r="H206" s="391"/>
      <c r="I206" s="391"/>
      <c r="J206" s="391"/>
      <c r="K206" s="392" t="s">
        <v>96</v>
      </c>
      <c r="L206" s="391"/>
      <c r="M206" s="391"/>
      <c r="N206" s="391"/>
      <c r="O206" s="392" t="s">
        <v>97</v>
      </c>
      <c r="P206" s="391"/>
      <c r="Q206" s="391"/>
      <c r="R206" s="391"/>
      <c r="S206" s="392" t="s">
        <v>98</v>
      </c>
      <c r="T206" s="391"/>
      <c r="U206" s="391"/>
      <c r="V206" s="391"/>
      <c r="W206" s="393" t="s">
        <v>99</v>
      </c>
      <c r="X206" s="357"/>
      <c r="Y206" s="391"/>
      <c r="Z206" s="394"/>
      <c r="AA206" s="393" t="s">
        <v>100</v>
      </c>
      <c r="AB206" s="357"/>
      <c r="AC206" s="391"/>
      <c r="AD206" s="394"/>
      <c r="AE206" s="395" t="s">
        <v>101</v>
      </c>
      <c r="AF206" s="391"/>
      <c r="AG206" s="391"/>
      <c r="AH206" s="391"/>
      <c r="AI206" s="358"/>
    </row>
    <row r="207" spans="1:35" ht="22.35" customHeight="1">
      <c r="A207" s="1"/>
      <c r="B207" s="2684">
        <v>3701</v>
      </c>
      <c r="C207" s="110" t="s">
        <v>267</v>
      </c>
      <c r="D207" s="110"/>
      <c r="E207" s="110"/>
      <c r="F207" s="110"/>
      <c r="G207" s="742" t="s">
        <v>268</v>
      </c>
      <c r="H207" s="110"/>
      <c r="I207" s="110"/>
      <c r="J207" s="110"/>
      <c r="K207" s="742" t="s">
        <v>268</v>
      </c>
      <c r="L207" s="110"/>
      <c r="M207" s="110"/>
      <c r="N207" s="110"/>
      <c r="O207" s="742" t="s">
        <v>268</v>
      </c>
      <c r="P207" s="110"/>
      <c r="Q207" s="110"/>
      <c r="R207" s="110"/>
      <c r="S207" s="742" t="s">
        <v>269</v>
      </c>
      <c r="T207" s="110"/>
      <c r="U207" s="110"/>
      <c r="V207" s="110"/>
      <c r="W207" s="2685"/>
      <c r="X207" s="2686"/>
      <c r="Y207" s="2844"/>
      <c r="Z207" s="2687"/>
      <c r="AA207" s="2685"/>
      <c r="AB207" s="2686"/>
      <c r="AC207" s="2844"/>
      <c r="AD207" s="2687"/>
      <c r="AE207" s="2980"/>
      <c r="AF207" s="2844"/>
      <c r="AG207" s="2844"/>
      <c r="AH207" s="2844"/>
      <c r="AI207" s="2779"/>
    </row>
    <row r="208" spans="1:35" ht="22.35" customHeight="1">
      <c r="B208" s="3037">
        <v>3700</v>
      </c>
      <c r="C208" s="2844" t="s">
        <v>170</v>
      </c>
      <c r="D208" s="2844"/>
      <c r="E208" s="2844"/>
      <c r="F208" s="2844"/>
      <c r="G208" s="2688" t="s">
        <v>170</v>
      </c>
      <c r="H208" s="2844"/>
      <c r="I208" s="2844"/>
      <c r="J208" s="2844"/>
      <c r="K208" s="2688" t="s">
        <v>170</v>
      </c>
      <c r="L208" s="2844"/>
      <c r="M208" s="2844"/>
      <c r="N208" s="2844"/>
      <c r="O208" s="2688" t="s">
        <v>170</v>
      </c>
      <c r="P208" s="2844"/>
      <c r="Q208" s="2844"/>
      <c r="R208" s="2844"/>
      <c r="S208" s="2688" t="s">
        <v>171</v>
      </c>
      <c r="T208" s="2844"/>
      <c r="U208" s="2844"/>
      <c r="V208" s="2844"/>
      <c r="W208" s="2844"/>
      <c r="X208" s="2688"/>
      <c r="Y208" s="2844"/>
      <c r="Z208" s="2982"/>
      <c r="AA208" s="2980"/>
      <c r="AB208" s="2844"/>
      <c r="AC208" s="2844"/>
      <c r="AD208" s="2899"/>
      <c r="AE208" s="2689"/>
      <c r="AF208" s="2844"/>
      <c r="AG208" s="2844"/>
      <c r="AH208" s="2899"/>
      <c r="AI208" s="2779"/>
    </row>
    <row r="209" spans="1:35" ht="22.35" customHeight="1">
      <c r="A209" s="1"/>
      <c r="B209" s="3037">
        <v>8514</v>
      </c>
      <c r="C209" s="2844" t="s">
        <v>268</v>
      </c>
      <c r="D209" s="2844"/>
      <c r="E209" s="2844"/>
      <c r="F209" s="2844"/>
      <c r="G209" s="2688" t="s">
        <v>268</v>
      </c>
      <c r="H209" s="2844"/>
      <c r="I209" s="2844"/>
      <c r="J209" s="2844"/>
      <c r="K209" s="2688" t="s">
        <v>268</v>
      </c>
      <c r="L209" s="2844"/>
      <c r="M209" s="2844"/>
      <c r="N209" s="2844"/>
      <c r="O209" s="2688" t="s">
        <v>268</v>
      </c>
      <c r="P209" s="2844"/>
      <c r="Q209" s="2844"/>
      <c r="R209" s="2844"/>
      <c r="S209" s="2688" t="s">
        <v>270</v>
      </c>
      <c r="T209" s="2844"/>
      <c r="U209" s="2844"/>
      <c r="V209" s="2844"/>
      <c r="W209" s="2844"/>
      <c r="X209" s="2688"/>
      <c r="Y209" s="2844"/>
      <c r="Z209" s="2982"/>
      <c r="AA209" s="2898"/>
      <c r="AB209" s="2844"/>
      <c r="AC209" s="2844"/>
      <c r="AD209" s="2899"/>
      <c r="AE209" s="2898"/>
      <c r="AF209" s="2844"/>
      <c r="AG209" s="2844"/>
      <c r="AH209" s="2899"/>
      <c r="AI209" s="2779"/>
    </row>
    <row r="210" spans="1:35" ht="22.35" customHeight="1">
      <c r="A210" s="1"/>
      <c r="B210" s="3037">
        <v>8500</v>
      </c>
      <c r="C210" s="165" t="s">
        <v>271</v>
      </c>
      <c r="D210" s="165"/>
      <c r="E210" s="165"/>
      <c r="F210" s="165"/>
      <c r="G210" s="166" t="s">
        <v>271</v>
      </c>
      <c r="H210" s="165"/>
      <c r="I210" s="165"/>
      <c r="J210" s="165"/>
      <c r="K210" s="166" t="s">
        <v>271</v>
      </c>
      <c r="L210" s="165"/>
      <c r="M210" s="165"/>
      <c r="N210" s="165"/>
      <c r="O210" s="166" t="s">
        <v>271</v>
      </c>
      <c r="P210" s="165"/>
      <c r="Q210" s="165"/>
      <c r="R210" s="165"/>
      <c r="S210" s="166" t="s">
        <v>272</v>
      </c>
      <c r="T210" s="165"/>
      <c r="U210" s="165"/>
      <c r="V210" s="165"/>
      <c r="W210" s="165"/>
      <c r="X210" s="166"/>
      <c r="Y210" s="165"/>
      <c r="Z210" s="121"/>
      <c r="AA210" s="120"/>
      <c r="AB210" s="165"/>
      <c r="AC210" s="165"/>
      <c r="AD210" s="121"/>
      <c r="AE210" s="120"/>
      <c r="AF210" s="165"/>
      <c r="AG210" s="165"/>
      <c r="AH210" s="113"/>
      <c r="AI210" s="119"/>
    </row>
    <row r="211" spans="1:35" ht="22.35" customHeight="1">
      <c r="A211" s="1"/>
      <c r="B211" s="3037">
        <v>8514</v>
      </c>
      <c r="C211" s="168" t="s">
        <v>268</v>
      </c>
      <c r="D211" s="168"/>
      <c r="E211" s="168"/>
      <c r="F211" s="168"/>
      <c r="G211" s="169" t="s">
        <v>268</v>
      </c>
      <c r="H211" s="168"/>
      <c r="I211" s="168"/>
      <c r="J211" s="168"/>
      <c r="K211" s="169" t="s">
        <v>268</v>
      </c>
      <c r="L211" s="168"/>
      <c r="M211" s="168"/>
      <c r="N211" s="168"/>
      <c r="O211" s="169" t="s">
        <v>268</v>
      </c>
      <c r="P211" s="168"/>
      <c r="Q211" s="168"/>
      <c r="R211" s="168"/>
      <c r="S211" s="169" t="s">
        <v>270</v>
      </c>
      <c r="T211" s="168"/>
      <c r="U211" s="168"/>
      <c r="V211" s="168"/>
      <c r="W211" s="168"/>
      <c r="X211" s="149"/>
      <c r="Y211" s="165"/>
      <c r="Z211" s="167"/>
      <c r="AA211" s="156"/>
      <c r="AB211" s="117"/>
      <c r="AC211" s="165"/>
      <c r="AD211" s="165"/>
      <c r="AE211" s="118"/>
      <c r="AF211" s="165"/>
      <c r="AG211" s="165"/>
      <c r="AH211" s="165"/>
      <c r="AI211" s="119"/>
    </row>
    <row r="212" spans="1:35" ht="22.35" customHeight="1" thickBot="1">
      <c r="A212" s="1"/>
      <c r="B212" s="3038" t="s">
        <v>273</v>
      </c>
      <c r="C212" s="2851" t="s">
        <v>274</v>
      </c>
      <c r="D212" s="2851"/>
      <c r="E212" s="2851"/>
      <c r="F212" s="2851"/>
      <c r="G212" s="2691" t="s">
        <v>274</v>
      </c>
      <c r="H212" s="2851"/>
      <c r="I212" s="2851"/>
      <c r="J212" s="2851"/>
      <c r="K212" s="2692" t="s">
        <v>274</v>
      </c>
      <c r="L212" s="2851"/>
      <c r="M212" s="2851"/>
      <c r="N212" s="2851"/>
      <c r="O212" s="2691" t="s">
        <v>274</v>
      </c>
      <c r="P212" s="2851"/>
      <c r="Q212" s="2851"/>
      <c r="R212" s="2851"/>
      <c r="S212" s="2691" t="s">
        <v>275</v>
      </c>
      <c r="T212" s="2851"/>
      <c r="U212" s="2851"/>
      <c r="V212" s="2851"/>
      <c r="W212" s="2851"/>
      <c r="X212" s="2691"/>
      <c r="Y212" s="2851"/>
      <c r="Z212" s="3014"/>
      <c r="AA212" s="2993"/>
      <c r="AB212" s="2851"/>
      <c r="AC212" s="2851"/>
      <c r="AD212" s="3000"/>
      <c r="AE212" s="2693"/>
      <c r="AF212" s="2851"/>
      <c r="AG212" s="2851"/>
      <c r="AH212" s="3000"/>
      <c r="AI212" s="2854"/>
    </row>
    <row r="213" spans="1:35" ht="22.35" customHeight="1">
      <c r="A213" s="1"/>
      <c r="B213" s="18"/>
      <c r="C213" s="64"/>
      <c r="D213" s="110"/>
      <c r="E213" s="110"/>
      <c r="F213" s="69"/>
      <c r="G213" s="64"/>
      <c r="H213" s="110"/>
      <c r="I213" s="110"/>
      <c r="J213" s="69"/>
      <c r="K213" s="64"/>
      <c r="L213" s="110"/>
      <c r="M213" s="110"/>
      <c r="N213" s="69"/>
      <c r="O213" s="64"/>
      <c r="P213" s="110"/>
      <c r="Q213" s="110"/>
      <c r="R213" s="69"/>
      <c r="S213" s="64"/>
      <c r="T213" s="110"/>
      <c r="U213" s="110"/>
      <c r="V213" s="69"/>
      <c r="W213" s="69"/>
      <c r="Z213" s="69"/>
      <c r="AA213" s="69"/>
      <c r="AD213" s="69"/>
      <c r="AE213" s="69"/>
      <c r="AH213" s="69"/>
    </row>
    <row r="214" spans="1:35" ht="22.35" customHeight="1">
      <c r="A214" s="1" t="s">
        <v>276</v>
      </c>
      <c r="B214" s="18"/>
      <c r="C214" s="64"/>
      <c r="D214" s="110"/>
      <c r="E214" s="110"/>
      <c r="F214" s="69"/>
      <c r="G214" s="64"/>
      <c r="H214" s="110"/>
      <c r="I214" s="110"/>
      <c r="J214" s="69"/>
      <c r="K214" s="64"/>
      <c r="L214" s="110"/>
      <c r="M214" s="110"/>
      <c r="N214" s="69"/>
      <c r="O214" s="64"/>
      <c r="P214" s="110"/>
      <c r="Q214" s="110"/>
      <c r="R214" s="69"/>
      <c r="S214" s="64"/>
      <c r="T214" s="110"/>
      <c r="U214" s="110"/>
      <c r="V214" s="69"/>
      <c r="W214" s="69"/>
      <c r="Z214" s="69"/>
      <c r="AA214" s="69"/>
      <c r="AD214" s="69"/>
      <c r="AE214" s="69"/>
      <c r="AH214" s="69"/>
    </row>
    <row r="215" spans="1:35" ht="22.35" customHeight="1" thickBot="1">
      <c r="A215" s="2954"/>
      <c r="B215" s="2856" t="s">
        <v>29</v>
      </c>
      <c r="C215" s="2788">
        <v>1</v>
      </c>
      <c r="D215" s="2789">
        <v>2</v>
      </c>
      <c r="E215" s="2789">
        <v>3</v>
      </c>
      <c r="F215" s="2788">
        <v>4</v>
      </c>
      <c r="G215" s="2788">
        <v>5</v>
      </c>
      <c r="H215" s="2788">
        <v>6</v>
      </c>
      <c r="I215" s="2788">
        <v>7</v>
      </c>
      <c r="J215" s="2788">
        <v>8</v>
      </c>
      <c r="K215" s="2789">
        <v>9</v>
      </c>
      <c r="L215" s="2789">
        <v>10</v>
      </c>
      <c r="M215" s="2788">
        <v>11</v>
      </c>
      <c r="N215" s="2788">
        <v>12</v>
      </c>
      <c r="O215" s="2788">
        <v>13</v>
      </c>
      <c r="P215" s="2789">
        <v>14</v>
      </c>
      <c r="Q215" s="2789">
        <v>15</v>
      </c>
      <c r="R215" s="2789">
        <v>16</v>
      </c>
      <c r="S215" s="2789">
        <v>17</v>
      </c>
      <c r="T215" s="2789">
        <v>18</v>
      </c>
      <c r="U215" s="2788">
        <v>19</v>
      </c>
      <c r="V215" s="2788">
        <v>20</v>
      </c>
      <c r="W215" s="2788">
        <v>21</v>
      </c>
      <c r="X215" s="2788">
        <v>22</v>
      </c>
      <c r="Y215" s="2789">
        <v>23</v>
      </c>
      <c r="Z215" s="2789">
        <v>24</v>
      </c>
      <c r="AA215" s="2788">
        <v>25</v>
      </c>
      <c r="AB215" s="2788">
        <v>26</v>
      </c>
      <c r="AC215" s="2788">
        <v>27</v>
      </c>
      <c r="AD215" s="2788">
        <v>28</v>
      </c>
      <c r="AE215" s="2788">
        <v>29</v>
      </c>
      <c r="AF215" s="2789">
        <v>30</v>
      </c>
      <c r="AG215" s="2790"/>
      <c r="AH215" s="176"/>
      <c r="AI215" s="177"/>
    </row>
    <row r="216" spans="1:35" ht="22.35" customHeight="1">
      <c r="A216" s="249"/>
      <c r="B216" s="540" t="s">
        <v>277</v>
      </c>
      <c r="C216" s="2820" t="s">
        <v>32</v>
      </c>
      <c r="D216" s="2820"/>
      <c r="E216" s="2820"/>
      <c r="F216" s="2820" t="s">
        <v>32</v>
      </c>
      <c r="G216" s="2820" t="s">
        <v>32</v>
      </c>
      <c r="H216" s="2820" t="s">
        <v>32</v>
      </c>
      <c r="I216" s="3081" t="s">
        <v>32</v>
      </c>
      <c r="J216" s="2820" t="s">
        <v>32</v>
      </c>
      <c r="K216" s="2820"/>
      <c r="L216" s="2820"/>
      <c r="M216" s="3082" t="s">
        <v>32</v>
      </c>
      <c r="N216" s="2628" t="s">
        <v>32</v>
      </c>
      <c r="O216" s="2628" t="s">
        <v>32</v>
      </c>
      <c r="P216" s="2826"/>
      <c r="Q216" s="2825"/>
      <c r="R216" s="2826"/>
      <c r="S216" s="2826"/>
      <c r="T216" s="2820"/>
      <c r="U216" s="2826" t="s">
        <v>32</v>
      </c>
      <c r="V216" s="2826" t="s">
        <v>32</v>
      </c>
      <c r="W216" s="2826" t="s">
        <v>32</v>
      </c>
      <c r="X216" s="2820" t="s">
        <v>32</v>
      </c>
      <c r="Y216" s="2826"/>
      <c r="Z216" s="2820"/>
      <c r="AA216" s="2820" t="s">
        <v>32</v>
      </c>
      <c r="AB216" s="2820" t="s">
        <v>32</v>
      </c>
      <c r="AC216" s="2820" t="s">
        <v>32</v>
      </c>
      <c r="AD216" s="2820" t="s">
        <v>32</v>
      </c>
      <c r="AE216" s="2820" t="s">
        <v>32</v>
      </c>
      <c r="AF216" s="2820"/>
      <c r="AG216" s="234"/>
      <c r="AH216" s="176"/>
      <c r="AI216" s="177"/>
    </row>
    <row r="217" spans="1:35" ht="21" customHeight="1">
      <c r="A217" s="2694"/>
      <c r="B217" s="2695" t="s">
        <v>279</v>
      </c>
      <c r="C217" s="2820" t="s">
        <v>32</v>
      </c>
      <c r="D217" s="2820"/>
      <c r="E217" s="2820"/>
      <c r="F217" s="2820" t="s">
        <v>32</v>
      </c>
      <c r="G217" s="2820" t="s">
        <v>32</v>
      </c>
      <c r="H217" s="2820" t="s">
        <v>32</v>
      </c>
      <c r="I217" s="2820" t="s">
        <v>32</v>
      </c>
      <c r="J217" s="2820" t="s">
        <v>32</v>
      </c>
      <c r="K217" s="2820"/>
      <c r="L217" s="2820"/>
      <c r="M217" s="2820" t="s">
        <v>32</v>
      </c>
      <c r="N217" s="2826" t="s">
        <v>32</v>
      </c>
      <c r="O217" s="2826" t="s">
        <v>32</v>
      </c>
      <c r="P217" s="2826"/>
      <c r="Q217" s="2825"/>
      <c r="R217" s="2826"/>
      <c r="S217" s="2820"/>
      <c r="T217" s="2820"/>
      <c r="U217" s="2826" t="s">
        <v>32</v>
      </c>
      <c r="V217" s="2826" t="s">
        <v>32</v>
      </c>
      <c r="W217" s="2826" t="s">
        <v>32</v>
      </c>
      <c r="X217" s="2820" t="s">
        <v>32</v>
      </c>
      <c r="Y217" s="2826"/>
      <c r="Z217" s="2820"/>
      <c r="AA217" s="2820" t="s">
        <v>32</v>
      </c>
      <c r="AB217" s="2820" t="s">
        <v>32</v>
      </c>
      <c r="AC217" s="2820" t="s">
        <v>32</v>
      </c>
      <c r="AD217" s="2825" t="s">
        <v>32</v>
      </c>
      <c r="AE217" s="2825" t="s">
        <v>32</v>
      </c>
      <c r="AF217" s="2825"/>
      <c r="AG217" s="2697"/>
      <c r="AH217" s="176"/>
      <c r="AI217" s="177"/>
    </row>
    <row r="218" spans="1:35" ht="21" customHeight="1">
      <c r="A218" s="2698">
        <v>8514</v>
      </c>
      <c r="B218" s="2699" t="s">
        <v>280</v>
      </c>
      <c r="C218" s="2820" t="s">
        <v>32</v>
      </c>
      <c r="D218" s="2820"/>
      <c r="E218" s="2820"/>
      <c r="F218" s="2820" t="s">
        <v>32</v>
      </c>
      <c r="G218" s="2820" t="s">
        <v>32</v>
      </c>
      <c r="H218" s="2820" t="s">
        <v>32</v>
      </c>
      <c r="I218" s="2820" t="s">
        <v>32</v>
      </c>
      <c r="J218" s="2820" t="s">
        <v>32</v>
      </c>
      <c r="K218" s="2820"/>
      <c r="L218" s="2820"/>
      <c r="M218" s="2820" t="s">
        <v>32</v>
      </c>
      <c r="N218" s="2628" t="s">
        <v>32</v>
      </c>
      <c r="O218" s="2628" t="s">
        <v>32</v>
      </c>
      <c r="P218" s="2826"/>
      <c r="Q218" s="2825"/>
      <c r="R218" s="2826"/>
      <c r="S218" s="2820"/>
      <c r="T218" s="2820"/>
      <c r="U218" s="2826" t="s">
        <v>32</v>
      </c>
      <c r="V218" s="2826" t="s">
        <v>32</v>
      </c>
      <c r="W218" s="2826" t="s">
        <v>32</v>
      </c>
      <c r="X218" s="2826" t="s">
        <v>32</v>
      </c>
      <c r="Y218" s="2826"/>
      <c r="Z218" s="2820"/>
      <c r="AA218" s="2820" t="s">
        <v>32</v>
      </c>
      <c r="AB218" s="2820" t="s">
        <v>32</v>
      </c>
      <c r="AC218" s="2820" t="s">
        <v>32</v>
      </c>
      <c r="AD218" s="2825" t="s">
        <v>32</v>
      </c>
      <c r="AE218" s="2825" t="s">
        <v>32</v>
      </c>
      <c r="AF218" s="2825"/>
      <c r="AG218" s="2697"/>
      <c r="AH218" s="181"/>
      <c r="AI218" s="182"/>
    </row>
    <row r="219" spans="1:35" ht="21" customHeight="1" thickBot="1">
      <c r="A219" s="2698">
        <v>3701</v>
      </c>
      <c r="B219" s="2700" t="s">
        <v>281</v>
      </c>
      <c r="C219" s="2820" t="s">
        <v>32</v>
      </c>
      <c r="D219" s="2820"/>
      <c r="E219" s="2820"/>
      <c r="F219" s="2820" t="s">
        <v>32</v>
      </c>
      <c r="G219" s="2820" t="s">
        <v>32</v>
      </c>
      <c r="H219" s="2820" t="s">
        <v>32</v>
      </c>
      <c r="I219" s="2820" t="s">
        <v>32</v>
      </c>
      <c r="J219" s="2820" t="s">
        <v>32</v>
      </c>
      <c r="K219" s="2820"/>
      <c r="L219" s="2820"/>
      <c r="M219" s="2820" t="s">
        <v>32</v>
      </c>
      <c r="N219" s="2826" t="s">
        <v>32</v>
      </c>
      <c r="O219" s="2826" t="s">
        <v>32</v>
      </c>
      <c r="P219" s="2826"/>
      <c r="Q219" s="2825"/>
      <c r="R219" s="2826"/>
      <c r="S219" s="2820"/>
      <c r="T219" s="2820"/>
      <c r="U219" s="2826" t="s">
        <v>32</v>
      </c>
      <c r="V219" s="2826" t="s">
        <v>32</v>
      </c>
      <c r="W219" s="2826" t="s">
        <v>32</v>
      </c>
      <c r="X219" s="2820" t="s">
        <v>32</v>
      </c>
      <c r="Y219" s="2826"/>
      <c r="Z219" s="2820"/>
      <c r="AA219" s="2820" t="s">
        <v>32</v>
      </c>
      <c r="AB219" s="2820" t="s">
        <v>32</v>
      </c>
      <c r="AC219" s="2820" t="s">
        <v>32</v>
      </c>
      <c r="AD219" s="2826" t="s">
        <v>32</v>
      </c>
      <c r="AE219" s="2826" t="s">
        <v>32</v>
      </c>
      <c r="AF219" s="2826"/>
      <c r="AG219" s="2697"/>
      <c r="AH219" s="181"/>
      <c r="AI219" s="182"/>
    </row>
    <row r="220" spans="1:35" ht="21" customHeight="1" thickBot="1">
      <c r="A220" s="2698">
        <v>3701</v>
      </c>
      <c r="B220" s="2824" t="s">
        <v>282</v>
      </c>
      <c r="C220" s="2701" t="s">
        <v>32</v>
      </c>
      <c r="D220" s="2820"/>
      <c r="E220" s="2820"/>
      <c r="F220" s="2820" t="s">
        <v>32</v>
      </c>
      <c r="G220" s="2701" t="s">
        <v>32</v>
      </c>
      <c r="H220" s="2820" t="s">
        <v>32</v>
      </c>
      <c r="I220" s="2701" t="s">
        <v>32</v>
      </c>
      <c r="J220" s="2918" t="s">
        <v>32</v>
      </c>
      <c r="K220" s="2820"/>
      <c r="L220" s="2820"/>
      <c r="M220" s="2628" t="s">
        <v>32</v>
      </c>
      <c r="N220" s="2701" t="s">
        <v>32</v>
      </c>
      <c r="O220" s="2831" t="s">
        <v>32</v>
      </c>
      <c r="P220" s="2826"/>
      <c r="Q220" s="571"/>
      <c r="R220" s="571"/>
      <c r="S220" s="2820"/>
      <c r="T220" s="571"/>
      <c r="U220" s="2831" t="s">
        <v>32</v>
      </c>
      <c r="V220" s="2826" t="s">
        <v>32</v>
      </c>
      <c r="W220" s="2826" t="s">
        <v>32</v>
      </c>
      <c r="X220" s="2826" t="s">
        <v>32</v>
      </c>
      <c r="Y220" s="2826"/>
      <c r="Z220" s="2820"/>
      <c r="AA220" s="2820" t="s">
        <v>32</v>
      </c>
      <c r="AB220" s="2820" t="s">
        <v>32</v>
      </c>
      <c r="AC220" s="2820" t="s">
        <v>32</v>
      </c>
      <c r="AD220" s="2826" t="s">
        <v>32</v>
      </c>
      <c r="AE220" s="2826" t="s">
        <v>32</v>
      </c>
      <c r="AF220" s="2826"/>
      <c r="AG220" s="2697"/>
      <c r="AH220" s="181"/>
      <c r="AI220" s="182"/>
    </row>
    <row r="221" spans="1:35" ht="22.35" customHeight="1">
      <c r="A221" s="2698">
        <v>3701</v>
      </c>
      <c r="B221" s="2824" t="s">
        <v>407</v>
      </c>
      <c r="C221" s="2701" t="s">
        <v>32</v>
      </c>
      <c r="D221" s="2918"/>
      <c r="E221" s="2918"/>
      <c r="F221" s="2820" t="s">
        <v>32</v>
      </c>
      <c r="G221" s="2918" t="s">
        <v>32</v>
      </c>
      <c r="H221" s="2820" t="s">
        <v>32</v>
      </c>
      <c r="I221" s="2820" t="s">
        <v>32</v>
      </c>
      <c r="J221" s="2820" t="s">
        <v>32</v>
      </c>
      <c r="K221" s="571"/>
      <c r="L221" s="598" t="s">
        <v>0</v>
      </c>
      <c r="M221" s="2918" t="s">
        <v>32</v>
      </c>
      <c r="N221" s="2918" t="s">
        <v>32</v>
      </c>
      <c r="O221" s="2918" t="s">
        <v>32</v>
      </c>
      <c r="P221" s="2826"/>
      <c r="Q221" s="2825"/>
      <c r="R221" s="2918"/>
      <c r="S221" s="2918"/>
      <c r="T221" s="2918"/>
      <c r="U221" s="2918" t="s">
        <v>32</v>
      </c>
      <c r="V221" s="2826" t="s">
        <v>32</v>
      </c>
      <c r="W221" s="2826" t="s">
        <v>32</v>
      </c>
      <c r="X221" s="2701" t="s">
        <v>32</v>
      </c>
      <c r="Y221" s="598" t="s">
        <v>0</v>
      </c>
      <c r="Z221" s="598" t="s">
        <v>0</v>
      </c>
      <c r="AA221" s="2820" t="s">
        <v>32</v>
      </c>
      <c r="AB221" s="2820" t="s">
        <v>32</v>
      </c>
      <c r="AC221" s="2820" t="s">
        <v>32</v>
      </c>
      <c r="AD221" s="2830" t="s">
        <v>32</v>
      </c>
      <c r="AE221" s="2825" t="s">
        <v>32</v>
      </c>
      <c r="AF221" s="571"/>
      <c r="AG221" s="571"/>
      <c r="AH221" s="181"/>
      <c r="AI221" s="182"/>
    </row>
    <row r="222" spans="1:35" ht="22.35" customHeight="1">
      <c r="A222" s="2698">
        <v>3701</v>
      </c>
      <c r="B222" s="2824" t="s">
        <v>283</v>
      </c>
      <c r="C222" s="2821" t="s">
        <v>32</v>
      </c>
      <c r="D222" s="2821"/>
      <c r="E222" s="2821"/>
      <c r="F222" s="2821" t="s">
        <v>32</v>
      </c>
      <c r="G222" s="2821" t="s">
        <v>32</v>
      </c>
      <c r="H222" s="2821" t="s">
        <v>32</v>
      </c>
      <c r="I222" s="2821" t="s">
        <v>32</v>
      </c>
      <c r="J222" s="2821" t="s">
        <v>411</v>
      </c>
      <c r="K222" s="2820"/>
      <c r="L222" s="2820"/>
      <c r="M222" s="2820" t="s">
        <v>32</v>
      </c>
      <c r="N222" s="2826" t="s">
        <v>32</v>
      </c>
      <c r="O222" s="2826" t="s">
        <v>32</v>
      </c>
      <c r="P222" s="2826"/>
      <c r="Q222" s="2825"/>
      <c r="R222" s="2826"/>
      <c r="S222" s="2820"/>
      <c r="T222" s="2820"/>
      <c r="U222" s="2826" t="s">
        <v>32</v>
      </c>
      <c r="V222" s="2826" t="s">
        <v>32</v>
      </c>
      <c r="W222" s="2826" t="s">
        <v>32</v>
      </c>
      <c r="X222" s="2820" t="s">
        <v>32</v>
      </c>
      <c r="Y222" s="2826"/>
      <c r="Z222" s="2820"/>
      <c r="AA222" s="2820" t="s">
        <v>32</v>
      </c>
      <c r="AB222" s="2820" t="s">
        <v>32</v>
      </c>
      <c r="AC222" s="2820" t="s">
        <v>32</v>
      </c>
      <c r="AD222" s="2825" t="s">
        <v>32</v>
      </c>
      <c r="AE222" s="2825" t="s">
        <v>32</v>
      </c>
      <c r="AF222" s="2825"/>
      <c r="AG222" s="2697"/>
      <c r="AH222" s="181"/>
      <c r="AI222" s="182"/>
    </row>
    <row r="223" spans="1:35" ht="22.35" customHeight="1">
      <c r="A223" s="2698">
        <v>3701</v>
      </c>
      <c r="B223" s="2700" t="s">
        <v>284</v>
      </c>
      <c r="C223" s="2820"/>
      <c r="D223" s="2820"/>
      <c r="E223" s="2820"/>
      <c r="F223" s="2820"/>
      <c r="G223" s="2820"/>
      <c r="H223" s="2820"/>
      <c r="I223" s="2820"/>
      <c r="J223" s="2820"/>
      <c r="K223" s="2820"/>
      <c r="L223" s="2820"/>
      <c r="M223" s="2820"/>
      <c r="N223" s="2826"/>
      <c r="O223" s="2826"/>
      <c r="P223" s="2826"/>
      <c r="Q223" s="2825"/>
      <c r="R223" s="2826"/>
      <c r="S223" s="2820"/>
      <c r="T223" s="2820"/>
      <c r="U223" s="2826"/>
      <c r="V223" s="2826"/>
      <c r="W223" s="2826"/>
      <c r="X223" s="2820"/>
      <c r="Y223" s="2826"/>
      <c r="Z223" s="2820"/>
      <c r="AA223" s="2820"/>
      <c r="AB223" s="2820"/>
      <c r="AC223" s="2820"/>
      <c r="AD223" s="2826"/>
      <c r="AE223" s="2826"/>
      <c r="AF223" s="2826"/>
      <c r="AG223" s="2697"/>
      <c r="AH223" s="181"/>
      <c r="AI223" s="182"/>
    </row>
    <row r="224" spans="1:35" ht="22.35" customHeight="1" thickBot="1">
      <c r="A224" s="2698">
        <v>3701</v>
      </c>
      <c r="B224" s="2824" t="s">
        <v>285</v>
      </c>
      <c r="C224" s="3044" t="s">
        <v>278</v>
      </c>
      <c r="D224" s="2820"/>
      <c r="E224" s="2820"/>
      <c r="F224" s="2820" t="s">
        <v>32</v>
      </c>
      <c r="G224" s="2820" t="s">
        <v>32</v>
      </c>
      <c r="H224" s="2820" t="s">
        <v>32</v>
      </c>
      <c r="I224" s="2820" t="s">
        <v>32</v>
      </c>
      <c r="J224" s="2820" t="s">
        <v>32</v>
      </c>
      <c r="K224" s="2820"/>
      <c r="L224" s="2820"/>
      <c r="M224" s="2820" t="s">
        <v>32</v>
      </c>
      <c r="N224" s="2826" t="s">
        <v>32</v>
      </c>
      <c r="O224" s="2826" t="s">
        <v>32</v>
      </c>
      <c r="P224" s="2826"/>
      <c r="Q224" s="2825"/>
      <c r="R224" s="2826"/>
      <c r="S224" s="2820"/>
      <c r="T224" s="2820"/>
      <c r="U224" s="2826" t="s">
        <v>32</v>
      </c>
      <c r="V224" s="2826" t="s">
        <v>32</v>
      </c>
      <c r="W224" s="2826" t="s">
        <v>32</v>
      </c>
      <c r="X224" s="2820" t="s">
        <v>32</v>
      </c>
      <c r="Y224" s="2826"/>
      <c r="Z224" s="2820"/>
      <c r="AA224" s="2820" t="s">
        <v>32</v>
      </c>
      <c r="AB224" s="2820" t="s">
        <v>32</v>
      </c>
      <c r="AC224" s="2820" t="s">
        <v>32</v>
      </c>
      <c r="AD224" s="2826" t="s">
        <v>32</v>
      </c>
      <c r="AE224" s="2826" t="s">
        <v>32</v>
      </c>
      <c r="AF224" s="2826"/>
      <c r="AG224" s="2697"/>
      <c r="AH224" s="181"/>
      <c r="AI224" s="182"/>
    </row>
    <row r="225" spans="1:35" ht="22.35" customHeight="1">
      <c r="A225" s="2698">
        <v>3701</v>
      </c>
      <c r="B225" s="2824" t="s">
        <v>286</v>
      </c>
      <c r="C225" s="2820" t="s">
        <v>32</v>
      </c>
      <c r="D225" s="2820"/>
      <c r="E225" s="2820"/>
      <c r="F225" s="2820" t="s">
        <v>32</v>
      </c>
      <c r="G225" s="2820" t="s">
        <v>32</v>
      </c>
      <c r="H225" s="2820" t="s">
        <v>32</v>
      </c>
      <c r="I225" s="2820" t="s">
        <v>32</v>
      </c>
      <c r="J225" s="2820" t="s">
        <v>32</v>
      </c>
      <c r="K225" s="2820"/>
      <c r="L225" s="2820"/>
      <c r="M225" s="2820" t="s">
        <v>32</v>
      </c>
      <c r="N225" s="2826" t="s">
        <v>32</v>
      </c>
      <c r="O225" s="2826" t="s">
        <v>32</v>
      </c>
      <c r="P225" s="2826"/>
      <c r="Q225" s="2825"/>
      <c r="R225" s="2826"/>
      <c r="S225" s="2826"/>
      <c r="T225" s="2820"/>
      <c r="U225" s="2826" t="s">
        <v>32</v>
      </c>
      <c r="V225" s="2826" t="s">
        <v>32</v>
      </c>
      <c r="W225" s="2826" t="s">
        <v>32</v>
      </c>
      <c r="X225" s="2820" t="s">
        <v>32</v>
      </c>
      <c r="Y225" s="2826"/>
      <c r="Z225" s="2820"/>
      <c r="AA225" s="2820" t="s">
        <v>32</v>
      </c>
      <c r="AB225" s="2820" t="s">
        <v>32</v>
      </c>
      <c r="AC225" s="2820" t="s">
        <v>32</v>
      </c>
      <c r="AD225" s="2820" t="s">
        <v>32</v>
      </c>
      <c r="AE225" s="2820" t="s">
        <v>32</v>
      </c>
      <c r="AF225" s="2820"/>
      <c r="AG225" s="234"/>
      <c r="AH225" s="181"/>
      <c r="AI225" s="182"/>
    </row>
    <row r="226" spans="1:35" ht="22.35" customHeight="1">
      <c r="A226" s="2702">
        <v>3701</v>
      </c>
      <c r="B226" s="2824" t="s">
        <v>287</v>
      </c>
      <c r="C226" s="2820" t="s">
        <v>32</v>
      </c>
      <c r="D226" s="2820"/>
      <c r="E226" s="2820"/>
      <c r="F226" s="2820" t="s">
        <v>32</v>
      </c>
      <c r="G226" s="2820" t="s">
        <v>32</v>
      </c>
      <c r="H226" s="2820" t="s">
        <v>32</v>
      </c>
      <c r="I226" s="2820" t="s">
        <v>32</v>
      </c>
      <c r="J226" s="2701" t="s">
        <v>32</v>
      </c>
      <c r="K226" s="2820"/>
      <c r="L226" s="2820"/>
      <c r="M226" s="2701" t="s">
        <v>32</v>
      </c>
      <c r="N226" s="2826" t="s">
        <v>32</v>
      </c>
      <c r="O226" s="2826" t="s">
        <v>32</v>
      </c>
      <c r="P226" s="2826"/>
      <c r="Q226" s="2825"/>
      <c r="R226" s="2826"/>
      <c r="S226" s="2820"/>
      <c r="T226" s="2820"/>
      <c r="U226" s="2826" t="s">
        <v>32</v>
      </c>
      <c r="V226" s="2826" t="s">
        <v>32</v>
      </c>
      <c r="W226" s="2826" t="s">
        <v>32</v>
      </c>
      <c r="X226" s="2820" t="s">
        <v>32</v>
      </c>
      <c r="Y226" s="2826"/>
      <c r="Z226" s="2820"/>
      <c r="AA226" s="2820" t="s">
        <v>32</v>
      </c>
      <c r="AB226" s="2820" t="s">
        <v>32</v>
      </c>
      <c r="AC226" s="2820" t="s">
        <v>32</v>
      </c>
      <c r="AD226" s="2826" t="s">
        <v>32</v>
      </c>
      <c r="AE226" s="2826" t="s">
        <v>32</v>
      </c>
      <c r="AF226" s="2826"/>
      <c r="AG226" s="2697"/>
      <c r="AH226" s="181"/>
      <c r="AI226" s="182"/>
    </row>
    <row r="227" spans="1:35" ht="22.35" customHeight="1">
      <c r="A227" s="2698">
        <v>3701</v>
      </c>
      <c r="B227" s="2824" t="s">
        <v>288</v>
      </c>
      <c r="C227" s="3044" t="s">
        <v>32</v>
      </c>
      <c r="D227" s="2629"/>
      <c r="E227" s="2629"/>
      <c r="F227" s="2629" t="s">
        <v>125</v>
      </c>
      <c r="G227" s="2629" t="s">
        <v>32</v>
      </c>
      <c r="H227" s="2629" t="s">
        <v>32</v>
      </c>
      <c r="I227" s="2629" t="s">
        <v>32</v>
      </c>
      <c r="J227" s="2629" t="s">
        <v>32</v>
      </c>
      <c r="K227" s="2629"/>
      <c r="L227" s="2629"/>
      <c r="M227" s="2629" t="s">
        <v>32</v>
      </c>
      <c r="N227" s="2629" t="s">
        <v>32</v>
      </c>
      <c r="O227" s="2629" t="s">
        <v>32</v>
      </c>
      <c r="P227" s="2629"/>
      <c r="Q227" s="2629"/>
      <c r="R227" s="2629"/>
      <c r="S227" s="2629"/>
      <c r="T227" s="2629"/>
      <c r="U227" s="2629" t="s">
        <v>32</v>
      </c>
      <c r="V227" s="2629" t="s">
        <v>32</v>
      </c>
      <c r="W227" s="2629" t="s">
        <v>32</v>
      </c>
      <c r="X227" s="2629" t="s">
        <v>32</v>
      </c>
      <c r="Y227" s="2629"/>
      <c r="Z227" s="2629"/>
      <c r="AA227" s="2629" t="s">
        <v>32</v>
      </c>
      <c r="AB227" s="2629" t="s">
        <v>32</v>
      </c>
      <c r="AC227" s="2629" t="s">
        <v>32</v>
      </c>
      <c r="AD227" s="2629" t="s">
        <v>32</v>
      </c>
      <c r="AE227" s="2629" t="s">
        <v>32</v>
      </c>
      <c r="AF227" s="2629"/>
      <c r="AG227" s="3043"/>
      <c r="AH227" s="181"/>
      <c r="AI227" s="182"/>
    </row>
    <row r="228" spans="1:35" ht="22.35" customHeight="1" thickBot="1">
      <c r="A228" s="2698">
        <v>3701</v>
      </c>
      <c r="B228" s="2824" t="s">
        <v>289</v>
      </c>
      <c r="C228" s="2820" t="s">
        <v>32</v>
      </c>
      <c r="D228" s="2820"/>
      <c r="E228" s="2820"/>
      <c r="F228" s="2820" t="s">
        <v>32</v>
      </c>
      <c r="G228" s="2820" t="s">
        <v>32</v>
      </c>
      <c r="H228" s="2820" t="s">
        <v>32</v>
      </c>
      <c r="I228" s="2820" t="s">
        <v>32</v>
      </c>
      <c r="J228" s="2820" t="s">
        <v>32</v>
      </c>
      <c r="K228" s="2820"/>
      <c r="L228" s="2820"/>
      <c r="M228" s="2831" t="s">
        <v>32</v>
      </c>
      <c r="N228" s="2831" t="s">
        <v>32</v>
      </c>
      <c r="O228" s="2831" t="s">
        <v>32</v>
      </c>
      <c r="P228" s="2826"/>
      <c r="Q228" s="2825"/>
      <c r="R228" s="2826"/>
      <c r="S228" s="2820"/>
      <c r="T228" s="2820"/>
      <c r="U228" s="2826" t="s">
        <v>32</v>
      </c>
      <c r="V228" s="2826" t="s">
        <v>32</v>
      </c>
      <c r="W228" s="2826" t="s">
        <v>32</v>
      </c>
      <c r="X228" s="2820" t="s">
        <v>32</v>
      </c>
      <c r="Y228" s="2826"/>
      <c r="Z228" s="2820"/>
      <c r="AA228" s="2820" t="s">
        <v>32</v>
      </c>
      <c r="AB228" s="2820" t="s">
        <v>32</v>
      </c>
      <c r="AC228" s="2820" t="s">
        <v>32</v>
      </c>
      <c r="AD228" s="2826" t="s">
        <v>32</v>
      </c>
      <c r="AE228" s="2826" t="s">
        <v>32</v>
      </c>
      <c r="AF228" s="2826"/>
      <c r="AG228" s="2705"/>
      <c r="AH228" s="181"/>
      <c r="AI228" s="182"/>
    </row>
    <row r="229" spans="1:35" ht="22.35" customHeight="1">
      <c r="A229" s="2698"/>
      <c r="B229" s="2824"/>
      <c r="C229" s="2820" t="s">
        <v>32</v>
      </c>
      <c r="D229" s="2820"/>
      <c r="E229" s="2820"/>
      <c r="F229" s="2820" t="s">
        <v>32</v>
      </c>
      <c r="G229" s="2820" t="s">
        <v>32</v>
      </c>
      <c r="H229" s="2820" t="s">
        <v>32</v>
      </c>
      <c r="I229" s="2820" t="s">
        <v>32</v>
      </c>
      <c r="J229" s="2820" t="s">
        <v>32</v>
      </c>
      <c r="K229" s="2820"/>
      <c r="L229" s="2820"/>
      <c r="M229" s="2820" t="s">
        <v>32</v>
      </c>
      <c r="N229" s="2826" t="s">
        <v>32</v>
      </c>
      <c r="O229" s="2826" t="s">
        <v>32</v>
      </c>
      <c r="P229" s="2826"/>
      <c r="Q229" s="2825"/>
      <c r="R229" s="2826"/>
      <c r="S229" s="2826"/>
      <c r="T229" s="2820"/>
      <c r="U229" s="2696" t="s">
        <v>32</v>
      </c>
      <c r="V229" s="2696" t="s">
        <v>32</v>
      </c>
      <c r="W229" s="2696" t="s">
        <v>32</v>
      </c>
      <c r="X229" s="2696" t="s">
        <v>32</v>
      </c>
      <c r="Y229" s="2696"/>
      <c r="Z229" s="2696"/>
      <c r="AA229" s="2696" t="s">
        <v>32</v>
      </c>
      <c r="AB229" s="2820" t="s">
        <v>32</v>
      </c>
      <c r="AC229" s="2820" t="s">
        <v>32</v>
      </c>
      <c r="AD229" s="2820" t="s">
        <v>32</v>
      </c>
      <c r="AE229" s="2820" t="s">
        <v>32</v>
      </c>
      <c r="AF229" s="2820"/>
      <c r="AG229" s="234"/>
      <c r="AH229" s="181"/>
      <c r="AI229" s="182"/>
    </row>
    <row r="230" spans="1:35" ht="22.35" customHeight="1">
      <c r="A230" s="2698"/>
      <c r="B230" s="2824" t="s">
        <v>291</v>
      </c>
      <c r="C230" s="2821" t="s">
        <v>32</v>
      </c>
      <c r="D230" s="2821"/>
      <c r="E230" s="2821"/>
      <c r="F230" s="2821" t="s">
        <v>32</v>
      </c>
      <c r="G230" s="2821" t="s">
        <v>32</v>
      </c>
      <c r="H230" s="2821" t="s">
        <v>32</v>
      </c>
      <c r="I230" s="2821" t="s">
        <v>32</v>
      </c>
      <c r="J230" s="2821" t="s">
        <v>32</v>
      </c>
      <c r="K230" s="2821"/>
      <c r="L230" s="2821"/>
      <c r="M230" s="2821" t="s">
        <v>278</v>
      </c>
      <c r="N230" s="2826" t="s">
        <v>32</v>
      </c>
      <c r="O230" s="2826" t="s">
        <v>32</v>
      </c>
      <c r="P230" s="2826"/>
      <c r="Q230" s="2825"/>
      <c r="R230" s="2826"/>
      <c r="S230" s="2820"/>
      <c r="T230" s="2820"/>
      <c r="U230" s="3083" t="s">
        <v>32</v>
      </c>
      <c r="V230" s="3083" t="s">
        <v>32</v>
      </c>
      <c r="W230" s="3083" t="s">
        <v>32</v>
      </c>
      <c r="X230" s="3083" t="s">
        <v>32</v>
      </c>
      <c r="Y230" s="3083"/>
      <c r="Z230" s="3083"/>
      <c r="AA230" s="3083" t="s">
        <v>32</v>
      </c>
      <c r="AB230" s="2820" t="s">
        <v>32</v>
      </c>
      <c r="AC230" s="2820" t="s">
        <v>32</v>
      </c>
      <c r="AD230" s="2820" t="s">
        <v>32</v>
      </c>
      <c r="AE230" s="2830" t="s">
        <v>32</v>
      </c>
      <c r="AF230" s="2820"/>
      <c r="AG230" s="2697"/>
      <c r="AH230" s="181"/>
      <c r="AI230" s="182"/>
    </row>
    <row r="231" spans="1:35" ht="22.35" customHeight="1">
      <c r="A231" s="2698"/>
      <c r="B231" s="2700" t="s">
        <v>293</v>
      </c>
      <c r="C231" s="2820" t="s">
        <v>32</v>
      </c>
      <c r="D231" s="2820"/>
      <c r="E231" s="2820"/>
      <c r="F231" s="2820" t="s">
        <v>32</v>
      </c>
      <c r="G231" s="2820" t="s">
        <v>32</v>
      </c>
      <c r="H231" s="2820" t="s">
        <v>32</v>
      </c>
      <c r="I231" s="2820" t="s">
        <v>32</v>
      </c>
      <c r="J231" s="2820" t="s">
        <v>32</v>
      </c>
      <c r="K231" s="2820"/>
      <c r="L231" s="2820"/>
      <c r="M231" s="2820" t="s">
        <v>32</v>
      </c>
      <c r="N231" s="2826" t="s">
        <v>32</v>
      </c>
      <c r="O231" s="2826" t="s">
        <v>32</v>
      </c>
      <c r="P231" s="2826"/>
      <c r="Q231" s="2825"/>
      <c r="R231" s="2826"/>
      <c r="S231" s="2820"/>
      <c r="T231" s="2820"/>
      <c r="U231" s="2826" t="s">
        <v>32</v>
      </c>
      <c r="V231" s="2826" t="s">
        <v>32</v>
      </c>
      <c r="W231" s="2826" t="s">
        <v>32</v>
      </c>
      <c r="X231" s="2820" t="s">
        <v>32</v>
      </c>
      <c r="Y231" s="2826"/>
      <c r="Z231" s="2820"/>
      <c r="AA231" s="2820" t="s">
        <v>32</v>
      </c>
      <c r="AB231" s="2820" t="s">
        <v>32</v>
      </c>
      <c r="AC231" s="2820" t="s">
        <v>32</v>
      </c>
      <c r="AD231" s="2820" t="s">
        <v>32</v>
      </c>
      <c r="AE231" s="2820" t="s">
        <v>32</v>
      </c>
      <c r="AF231" s="2820"/>
      <c r="AG231" s="2697"/>
      <c r="AH231" s="181"/>
      <c r="AI231" s="182"/>
    </row>
    <row r="232" spans="1:35" ht="22.35" customHeight="1">
      <c r="A232" s="2698"/>
      <c r="B232" s="2824" t="s">
        <v>294</v>
      </c>
      <c r="C232" s="2820" t="s">
        <v>32</v>
      </c>
      <c r="D232" s="2820"/>
      <c r="E232" s="2820"/>
      <c r="F232" s="2820" t="s">
        <v>32</v>
      </c>
      <c r="G232" s="2820" t="s">
        <v>32</v>
      </c>
      <c r="H232" s="2820" t="s">
        <v>32</v>
      </c>
      <c r="I232" s="2820" t="s">
        <v>32</v>
      </c>
      <c r="J232" s="2820" t="s">
        <v>32</v>
      </c>
      <c r="K232" s="2820"/>
      <c r="L232" s="2820"/>
      <c r="M232" s="2820" t="s">
        <v>32</v>
      </c>
      <c r="N232" s="2826" t="s">
        <v>32</v>
      </c>
      <c r="O232" s="2826" t="s">
        <v>32</v>
      </c>
      <c r="P232" s="2826"/>
      <c r="Q232" s="2825"/>
      <c r="R232" s="2826"/>
      <c r="S232" s="2820"/>
      <c r="T232" s="2820"/>
      <c r="U232" s="2826" t="s">
        <v>32</v>
      </c>
      <c r="V232" s="2826" t="s">
        <v>32</v>
      </c>
      <c r="W232" s="2826" t="s">
        <v>32</v>
      </c>
      <c r="X232" s="2820" t="s">
        <v>32</v>
      </c>
      <c r="Y232" s="2826"/>
      <c r="Z232" s="2820"/>
      <c r="AA232" s="2820" t="s">
        <v>32</v>
      </c>
      <c r="AB232" s="2820" t="s">
        <v>32</v>
      </c>
      <c r="AC232" s="2820" t="s">
        <v>32</v>
      </c>
      <c r="AD232" s="2820" t="s">
        <v>32</v>
      </c>
      <c r="AE232" s="2820" t="s">
        <v>32</v>
      </c>
      <c r="AF232" s="2820"/>
      <c r="AG232" s="2697"/>
      <c r="AH232" s="181"/>
      <c r="AI232" s="182"/>
    </row>
    <row r="233" spans="1:35" ht="22.35" customHeight="1" thickBot="1">
      <c r="A233" s="2698"/>
      <c r="B233" s="2824" t="s">
        <v>295</v>
      </c>
      <c r="C233" s="2820" t="s">
        <v>32</v>
      </c>
      <c r="D233" s="2820"/>
      <c r="E233" s="2820"/>
      <c r="F233" s="2820" t="s">
        <v>32</v>
      </c>
      <c r="G233" s="2820" t="s">
        <v>32</v>
      </c>
      <c r="H233" s="2820" t="s">
        <v>32</v>
      </c>
      <c r="I233" s="2820" t="s">
        <v>32</v>
      </c>
      <c r="J233" s="2820" t="s">
        <v>32</v>
      </c>
      <c r="K233" s="2820"/>
      <c r="L233" s="2820"/>
      <c r="M233" s="2820" t="s">
        <v>32</v>
      </c>
      <c r="N233" s="2826" t="s">
        <v>32</v>
      </c>
      <c r="O233" s="2826" t="s">
        <v>32</v>
      </c>
      <c r="P233" s="2826"/>
      <c r="Q233" s="2825"/>
      <c r="R233" s="2826"/>
      <c r="S233" s="2820"/>
      <c r="T233" s="2820"/>
      <c r="U233" s="2831" t="s">
        <v>32</v>
      </c>
      <c r="V233" s="2831" t="s">
        <v>32</v>
      </c>
      <c r="W233" s="2831" t="s">
        <v>32</v>
      </c>
      <c r="X233" s="2831" t="s">
        <v>32</v>
      </c>
      <c r="Y233" s="2831"/>
      <c r="Z233" s="2831"/>
      <c r="AA233" s="2831" t="s">
        <v>32</v>
      </c>
      <c r="AB233" s="2831" t="s">
        <v>32</v>
      </c>
      <c r="AC233" s="2831" t="s">
        <v>32</v>
      </c>
      <c r="AD233" s="2831" t="s">
        <v>32</v>
      </c>
      <c r="AE233" s="2831" t="s">
        <v>32</v>
      </c>
      <c r="AF233" s="2831"/>
      <c r="AG233" s="3084"/>
      <c r="AH233" s="181"/>
      <c r="AI233" s="182"/>
    </row>
    <row r="234" spans="1:35" ht="22.35" customHeight="1" thickBot="1">
      <c r="A234" s="2698"/>
      <c r="B234" s="2824" t="s">
        <v>296</v>
      </c>
      <c r="C234" s="2820" t="s">
        <v>32</v>
      </c>
      <c r="D234" s="2820"/>
      <c r="E234" s="2820"/>
      <c r="F234" s="2820" t="s">
        <v>32</v>
      </c>
      <c r="G234" s="2820" t="s">
        <v>32</v>
      </c>
      <c r="H234" s="2820" t="s">
        <v>32</v>
      </c>
      <c r="I234" s="2820" t="s">
        <v>32</v>
      </c>
      <c r="J234" s="2820" t="s">
        <v>32</v>
      </c>
      <c r="K234" s="2820"/>
      <c r="L234" s="2820"/>
      <c r="M234" s="2831" t="s">
        <v>32</v>
      </c>
      <c r="N234" s="2831" t="s">
        <v>32</v>
      </c>
      <c r="O234" s="2831" t="s">
        <v>32</v>
      </c>
      <c r="P234" s="2826"/>
      <c r="Q234" s="2825"/>
      <c r="R234" s="2826"/>
      <c r="S234" s="2826"/>
      <c r="T234" s="2820"/>
      <c r="U234" s="2826" t="s">
        <v>32</v>
      </c>
      <c r="V234" s="2826" t="s">
        <v>32</v>
      </c>
      <c r="W234" s="2826" t="s">
        <v>32</v>
      </c>
      <c r="X234" s="2820" t="s">
        <v>32</v>
      </c>
      <c r="Y234" s="2826"/>
      <c r="Z234" s="2820"/>
      <c r="AA234" s="2820" t="s">
        <v>32</v>
      </c>
      <c r="AB234" s="2820" t="s">
        <v>32</v>
      </c>
      <c r="AC234" s="2820" t="s">
        <v>32</v>
      </c>
      <c r="AD234" s="2820" t="s">
        <v>32</v>
      </c>
      <c r="AE234" s="2820" t="s">
        <v>32</v>
      </c>
      <c r="AF234" s="2820"/>
      <c r="AG234" s="234"/>
      <c r="AH234" s="178"/>
      <c r="AI234" s="107"/>
    </row>
    <row r="235" spans="1:35" ht="22.35" customHeight="1">
      <c r="A235" s="2698"/>
      <c r="B235" s="2824" t="s">
        <v>297</v>
      </c>
      <c r="C235" s="2820" t="s">
        <v>32</v>
      </c>
      <c r="D235" s="2820"/>
      <c r="E235" s="2820"/>
      <c r="F235" s="2820" t="s">
        <v>32</v>
      </c>
      <c r="G235" s="2820" t="s">
        <v>32</v>
      </c>
      <c r="H235" s="2820" t="s">
        <v>32</v>
      </c>
      <c r="I235" s="2820" t="s">
        <v>32</v>
      </c>
      <c r="J235" s="2820" t="s">
        <v>32</v>
      </c>
      <c r="K235" s="2820"/>
      <c r="L235" s="2820"/>
      <c r="M235" s="2820" t="s">
        <v>32</v>
      </c>
      <c r="N235" s="2831" t="s">
        <v>32</v>
      </c>
      <c r="O235" s="2831" t="s">
        <v>32</v>
      </c>
      <c r="P235" s="2826"/>
      <c r="Q235" s="2825"/>
      <c r="R235" s="2826"/>
      <c r="S235" s="2826"/>
      <c r="T235" s="2820"/>
      <c r="U235" s="2826" t="s">
        <v>32</v>
      </c>
      <c r="V235" s="2826" t="s">
        <v>32</v>
      </c>
      <c r="W235" s="2826" t="s">
        <v>32</v>
      </c>
      <c r="X235" s="2820" t="s">
        <v>32</v>
      </c>
      <c r="Y235" s="2826"/>
      <c r="Z235" s="2820"/>
      <c r="AA235" s="2820" t="s">
        <v>32</v>
      </c>
      <c r="AB235" s="2820" t="s">
        <v>32</v>
      </c>
      <c r="AC235" s="2820" t="s">
        <v>32</v>
      </c>
      <c r="AD235" s="2820" t="s">
        <v>32</v>
      </c>
      <c r="AE235" s="2820" t="s">
        <v>32</v>
      </c>
      <c r="AF235" s="2820"/>
      <c r="AG235" s="234"/>
      <c r="AH235" s="178"/>
      <c r="AI235" s="107"/>
    </row>
    <row r="236" spans="1:35" ht="22.35" customHeight="1">
      <c r="A236" s="2915"/>
      <c r="B236" s="2706"/>
      <c r="C236" s="2820"/>
      <c r="D236" s="2820"/>
      <c r="E236" s="2820"/>
      <c r="F236" s="2820"/>
      <c r="G236" s="2820"/>
      <c r="H236" s="2820"/>
      <c r="I236" s="2820"/>
      <c r="J236" s="2820"/>
      <c r="K236" s="2820"/>
      <c r="L236" s="2820"/>
      <c r="M236" s="2820"/>
      <c r="N236" s="2820"/>
      <c r="O236" s="2820"/>
      <c r="P236" s="2820"/>
      <c r="Q236" s="2820"/>
      <c r="R236" s="2820"/>
      <c r="S236" s="2820"/>
      <c r="T236" s="2820"/>
      <c r="U236" s="2820"/>
      <c r="V236" s="2820"/>
      <c r="W236" s="2820"/>
      <c r="X236" s="2820"/>
      <c r="Y236" s="2820"/>
      <c r="Z236" s="2820"/>
      <c r="AA236" s="2820"/>
      <c r="AB236" s="2820"/>
      <c r="AC236" s="2820"/>
      <c r="AD236" s="2820"/>
      <c r="AE236" s="2820"/>
      <c r="AF236" s="2820"/>
      <c r="AG236" s="2697"/>
      <c r="AH236" s="178"/>
      <c r="AI236" s="107"/>
    </row>
    <row r="237" spans="1:35" ht="22.35" customHeight="1">
      <c r="A237" s="2915"/>
      <c r="B237" s="2824"/>
      <c r="C237" s="2820"/>
      <c r="D237" s="2820"/>
      <c r="E237" s="2820"/>
      <c r="F237" s="2820"/>
      <c r="G237" s="2820"/>
      <c r="H237" s="2820"/>
      <c r="I237" s="2820"/>
      <c r="J237" s="2820"/>
      <c r="K237" s="2820"/>
      <c r="L237" s="2820"/>
      <c r="M237" s="2820"/>
      <c r="N237" s="2826"/>
      <c r="O237" s="2826"/>
      <c r="P237" s="2826"/>
      <c r="Q237" s="2825"/>
      <c r="R237" s="2826"/>
      <c r="S237" s="2820"/>
      <c r="T237" s="2820"/>
      <c r="U237" s="2826"/>
      <c r="V237" s="2826"/>
      <c r="W237" s="2826"/>
      <c r="X237" s="2820"/>
      <c r="Y237" s="2826"/>
      <c r="Z237" s="2820"/>
      <c r="AA237" s="2820"/>
      <c r="AB237" s="2820"/>
      <c r="AC237" s="2820"/>
      <c r="AD237" s="2820"/>
      <c r="AE237" s="2820"/>
      <c r="AF237" s="2826"/>
      <c r="AG237" s="2709"/>
      <c r="AH237" s="178"/>
      <c r="AI237" s="107"/>
    </row>
    <row r="238" spans="1:35" ht="22.35" customHeight="1">
      <c r="A238" s="2915"/>
      <c r="B238" s="2915"/>
      <c r="C238" s="2820"/>
      <c r="D238" s="2820"/>
      <c r="E238" s="2820"/>
      <c r="F238" s="2820"/>
      <c r="G238" s="2820"/>
      <c r="H238" s="2820"/>
      <c r="I238" s="2820"/>
      <c r="J238" s="2820"/>
      <c r="K238" s="2820"/>
      <c r="L238" s="2820"/>
      <c r="M238" s="2820"/>
      <c r="N238" s="2820"/>
      <c r="O238" s="2820"/>
      <c r="P238" s="2820"/>
      <c r="Q238" s="2820"/>
      <c r="R238" s="2820"/>
      <c r="S238" s="2820"/>
      <c r="T238" s="2820"/>
      <c r="U238" s="2820"/>
      <c r="V238" s="2820"/>
      <c r="W238" s="2820"/>
      <c r="X238" s="2820"/>
      <c r="Y238" s="2820"/>
      <c r="Z238" s="2820"/>
      <c r="AA238" s="2820"/>
      <c r="AB238" s="2820"/>
      <c r="AC238" s="2820"/>
      <c r="AD238" s="2820"/>
      <c r="AE238" s="2820"/>
      <c r="AF238" s="2820"/>
      <c r="AG238" s="2697"/>
      <c r="AH238" s="178"/>
      <c r="AI238" s="107"/>
    </row>
    <row r="239" spans="1:35" ht="22.35" customHeight="1">
      <c r="A239" s="2915"/>
      <c r="B239" s="2915"/>
      <c r="C239" s="2820"/>
      <c r="D239" s="2820"/>
      <c r="E239" s="2820"/>
      <c r="F239" s="2820"/>
      <c r="G239" s="2820"/>
      <c r="H239" s="2710"/>
      <c r="I239" s="2820"/>
      <c r="J239" s="2820"/>
      <c r="K239" s="2820"/>
      <c r="L239" s="2820"/>
      <c r="M239" s="2820"/>
      <c r="N239" s="2820"/>
      <c r="O239" s="2820"/>
      <c r="P239" s="2820"/>
      <c r="Q239" s="2820"/>
      <c r="R239" s="2820"/>
      <c r="S239" s="2820"/>
      <c r="T239" s="2820"/>
      <c r="U239" s="2820"/>
      <c r="V239" s="2820"/>
      <c r="W239" s="2820"/>
      <c r="X239" s="2820"/>
      <c r="Y239" s="2820"/>
      <c r="Z239" s="2820"/>
      <c r="AA239" s="2820"/>
      <c r="AB239" s="2820"/>
      <c r="AC239" s="2820"/>
      <c r="AD239" s="2820"/>
      <c r="AE239" s="2820"/>
      <c r="AF239" s="2820"/>
      <c r="AG239" s="2709"/>
      <c r="AH239" s="178"/>
      <c r="AI239" s="107"/>
    </row>
    <row r="240" spans="1:35" ht="22.35" customHeight="1">
      <c r="A240" s="2698"/>
      <c r="B240" s="2711"/>
      <c r="C240" s="2820"/>
      <c r="D240" s="2820"/>
      <c r="E240" s="2820"/>
      <c r="F240" s="2820"/>
      <c r="G240" s="2820"/>
      <c r="H240" s="2820"/>
      <c r="I240" s="2820"/>
      <c r="J240" s="2820"/>
      <c r="K240" s="2820"/>
      <c r="L240" s="2820"/>
      <c r="M240" s="2820"/>
      <c r="N240" s="2820"/>
      <c r="O240" s="2820"/>
      <c r="P240" s="2820"/>
      <c r="Q240" s="2820"/>
      <c r="R240" s="2820"/>
      <c r="S240" s="2820"/>
      <c r="T240" s="2820"/>
      <c r="U240" s="2820"/>
      <c r="V240" s="2820"/>
      <c r="W240" s="2820"/>
      <c r="X240" s="2820"/>
      <c r="Y240" s="2820"/>
      <c r="Z240" s="2820"/>
      <c r="AA240" s="2820"/>
      <c r="AB240" s="2820"/>
      <c r="AC240" s="2820"/>
      <c r="AD240" s="2820"/>
      <c r="AE240" s="2820"/>
      <c r="AF240" s="2820"/>
      <c r="AG240" s="2709"/>
      <c r="AH240" s="178"/>
      <c r="AI240" s="107"/>
    </row>
    <row r="241" spans="1:35">
      <c r="A241" s="2698"/>
      <c r="B241" s="2712"/>
      <c r="C241" s="2820"/>
      <c r="D241" s="2820"/>
      <c r="E241" s="2820"/>
      <c r="F241" s="2820"/>
      <c r="G241" s="2820"/>
      <c r="H241" s="2820"/>
      <c r="I241" s="2820"/>
      <c r="J241" s="2820"/>
      <c r="K241" s="2820"/>
      <c r="L241" s="2820"/>
      <c r="M241" s="2820"/>
      <c r="N241" s="2820"/>
      <c r="O241" s="2820"/>
      <c r="P241" s="2820"/>
      <c r="Q241" s="2820"/>
      <c r="R241" s="2820"/>
      <c r="S241" s="2820"/>
      <c r="T241" s="2820"/>
      <c r="U241" s="2820"/>
      <c r="V241" s="2820"/>
      <c r="W241" s="2820"/>
      <c r="X241" s="2820"/>
      <c r="Y241" s="2820"/>
      <c r="Z241" s="2820"/>
      <c r="AA241" s="2820"/>
      <c r="AB241" s="2820"/>
      <c r="AC241" s="2820"/>
      <c r="AD241" s="2820"/>
      <c r="AE241" s="2820"/>
      <c r="AF241" s="2820"/>
      <c r="AG241" s="2709"/>
      <c r="AH241" s="178"/>
      <c r="AI241" s="107"/>
    </row>
    <row r="242" spans="1:35" ht="12.75">
      <c r="A242" s="108"/>
      <c r="B242" s="122"/>
      <c r="C242" s="106"/>
      <c r="D242" s="106"/>
      <c r="E242" s="106"/>
      <c r="F242" s="106"/>
      <c r="G242" s="106"/>
      <c r="H242" s="106"/>
      <c r="I242" s="106"/>
      <c r="J242" s="106"/>
      <c r="L242" s="106"/>
      <c r="M242" s="106"/>
      <c r="N242" s="106"/>
      <c r="O242" s="106"/>
      <c r="P242" s="72"/>
      <c r="Q242" s="72"/>
      <c r="R242" s="72"/>
      <c r="S242" s="106"/>
      <c r="T242" s="106"/>
      <c r="U242" s="106"/>
      <c r="V242" s="106"/>
      <c r="W242" s="106"/>
      <c r="X242" s="106"/>
      <c r="Y242" s="106"/>
      <c r="Z242" s="106"/>
      <c r="AA242" s="106"/>
      <c r="AB242" s="106"/>
      <c r="AC242" s="106"/>
      <c r="AD242" s="106"/>
      <c r="AE242" s="106"/>
      <c r="AF242" s="106"/>
      <c r="AG242" s="106"/>
      <c r="AH242" s="107"/>
      <c r="AI242" s="107"/>
    </row>
    <row r="244" spans="1:35" ht="21" customHeight="1"/>
    <row r="245" spans="1:35" ht="21" customHeight="1"/>
    <row r="246" spans="1:35" ht="21" customHeight="1" thickBot="1">
      <c r="A246" s="161" t="s">
        <v>298</v>
      </c>
    </row>
    <row r="247" spans="1:35" ht="21" customHeight="1">
      <c r="B247" s="396" t="s">
        <v>266</v>
      </c>
      <c r="C247" s="368"/>
      <c r="D247" s="384" t="s">
        <v>94</v>
      </c>
      <c r="E247" s="357"/>
      <c r="F247" s="372"/>
      <c r="G247" s="368"/>
      <c r="H247" s="384" t="s">
        <v>95</v>
      </c>
      <c r="I247" s="357"/>
      <c r="J247" s="372"/>
      <c r="K247" s="368"/>
      <c r="L247" s="384" t="s">
        <v>96</v>
      </c>
      <c r="M247" s="357"/>
      <c r="N247" s="372"/>
      <c r="O247" s="368"/>
      <c r="P247" s="384" t="s">
        <v>97</v>
      </c>
      <c r="Q247" s="357"/>
      <c r="R247" s="372"/>
      <c r="S247" s="368"/>
      <c r="T247" s="384" t="s">
        <v>98</v>
      </c>
      <c r="U247" s="357"/>
      <c r="V247" s="372"/>
      <c r="W247" s="368"/>
      <c r="X247" s="384" t="s">
        <v>99</v>
      </c>
      <c r="Y247" s="357"/>
      <c r="Z247" s="372"/>
      <c r="AA247" s="368"/>
      <c r="AB247" s="384" t="s">
        <v>100</v>
      </c>
      <c r="AC247" s="357"/>
      <c r="AD247" s="357"/>
      <c r="AE247" s="387" t="s">
        <v>101</v>
      </c>
      <c r="AF247" s="357"/>
      <c r="AG247" s="357"/>
      <c r="AH247" s="357"/>
      <c r="AI247" s="358"/>
    </row>
    <row r="248" spans="1:35" ht="21" customHeight="1">
      <c r="B248" s="3"/>
      <c r="C248" s="537" t="s">
        <v>299</v>
      </c>
      <c r="D248" s="117"/>
      <c r="E248" s="533"/>
      <c r="F248" s="534"/>
      <c r="G248" s="537" t="s">
        <v>299</v>
      </c>
      <c r="H248" s="117"/>
      <c r="I248" s="533"/>
      <c r="J248" s="534"/>
      <c r="K248" s="537" t="s">
        <v>299</v>
      </c>
      <c r="L248" s="117"/>
      <c r="M248" s="533"/>
      <c r="N248" s="534"/>
      <c r="O248" s="537" t="s">
        <v>299</v>
      </c>
      <c r="P248" s="532"/>
      <c r="Q248" s="533"/>
      <c r="R248" s="534"/>
      <c r="S248" s="538" t="s">
        <v>300</v>
      </c>
      <c r="T248" s="117"/>
      <c r="U248" s="533"/>
      <c r="V248" s="534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A249" s="110"/>
      <c r="B249" s="2713"/>
      <c r="C249" s="3016" t="s">
        <v>178</v>
      </c>
      <c r="D249" s="2714"/>
      <c r="E249" s="533"/>
      <c r="F249" s="534"/>
      <c r="G249" s="3016" t="s">
        <v>178</v>
      </c>
      <c r="H249" s="117"/>
      <c r="I249" s="533"/>
      <c r="J249" s="534"/>
      <c r="K249" s="3016" t="s">
        <v>178</v>
      </c>
      <c r="L249" s="117"/>
      <c r="M249" s="533"/>
      <c r="N249" s="534"/>
      <c r="O249" s="3016" t="s">
        <v>178</v>
      </c>
      <c r="P249" s="117"/>
      <c r="Q249" s="533"/>
      <c r="R249" s="534"/>
      <c r="S249" s="537" t="s">
        <v>301</v>
      </c>
      <c r="T249" s="117"/>
      <c r="U249" s="533"/>
      <c r="V249" s="534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>
      <c r="B250" s="2713"/>
      <c r="C250" s="3016" t="s">
        <v>181</v>
      </c>
      <c r="D250" s="2714"/>
      <c r="E250" s="533"/>
      <c r="F250" s="534"/>
      <c r="G250" s="3016" t="s">
        <v>181</v>
      </c>
      <c r="H250" s="117"/>
      <c r="I250" s="533"/>
      <c r="J250" s="534"/>
      <c r="K250" s="3016" t="s">
        <v>181</v>
      </c>
      <c r="L250" s="117"/>
      <c r="M250" s="533"/>
      <c r="N250" s="534"/>
      <c r="O250" s="3016" t="s">
        <v>181</v>
      </c>
      <c r="P250" s="117"/>
      <c r="Q250" s="533"/>
      <c r="R250" s="534"/>
      <c r="S250" s="3016" t="s">
        <v>176</v>
      </c>
      <c r="T250" s="117"/>
      <c r="U250" s="533"/>
      <c r="V250" s="534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>
      <c r="B251" s="2713"/>
      <c r="C251" s="2898"/>
      <c r="D251" s="2899"/>
      <c r="E251" s="165"/>
      <c r="F251" s="167"/>
      <c r="G251" s="2898"/>
      <c r="H251" s="2899"/>
      <c r="I251" s="165"/>
      <c r="J251" s="167"/>
      <c r="K251" s="2898"/>
      <c r="L251" s="2899"/>
      <c r="M251" s="165"/>
      <c r="N251" s="167"/>
      <c r="O251" s="2898"/>
      <c r="P251" s="2899"/>
      <c r="Q251" s="165"/>
      <c r="R251" s="167"/>
      <c r="S251" s="2898"/>
      <c r="T251" s="2899"/>
      <c r="U251" s="165"/>
      <c r="V251" s="167"/>
      <c r="W251" s="156"/>
      <c r="X251" s="117"/>
      <c r="Y251" s="165"/>
      <c r="Z251" s="167"/>
      <c r="AA251" s="156"/>
      <c r="AB251" s="117"/>
      <c r="AC251" s="165"/>
      <c r="AD251" s="165"/>
      <c r="AE251" s="118"/>
      <c r="AF251" s="165"/>
      <c r="AG251" s="14"/>
      <c r="AH251" s="14"/>
      <c r="AI251" s="119"/>
    </row>
    <row r="252" spans="1:35" ht="21" customHeight="1">
      <c r="B252" s="2713"/>
      <c r="C252" s="2980"/>
      <c r="D252" s="2899"/>
      <c r="E252" s="165"/>
      <c r="F252" s="167"/>
      <c r="G252" s="117"/>
      <c r="H252" s="117"/>
      <c r="I252" s="165"/>
      <c r="J252" s="167"/>
      <c r="K252" s="117"/>
      <c r="L252" s="117"/>
      <c r="M252" s="165"/>
      <c r="N252" s="167"/>
      <c r="O252" s="117"/>
      <c r="P252" s="117"/>
      <c r="Q252" s="165"/>
      <c r="R252" s="167"/>
      <c r="S252" s="117"/>
      <c r="T252" s="117"/>
      <c r="U252" s="165"/>
      <c r="V252" s="167"/>
      <c r="W252" s="156"/>
      <c r="X252" s="117"/>
      <c r="Y252" s="165"/>
      <c r="Z252" s="167"/>
      <c r="AA252" s="156"/>
      <c r="AB252" s="117"/>
      <c r="AC252" s="165"/>
      <c r="AD252" s="165"/>
      <c r="AE252" s="118"/>
      <c r="AF252" s="165"/>
      <c r="AG252" s="14"/>
      <c r="AH252" s="14"/>
      <c r="AI252" s="119"/>
    </row>
    <row r="253" spans="1:35" ht="21" customHeight="1">
      <c r="B253" s="2713" t="s">
        <v>148</v>
      </c>
      <c r="C253" s="2980" t="s">
        <v>302</v>
      </c>
      <c r="D253" s="2714"/>
      <c r="E253" s="533"/>
      <c r="F253" s="534"/>
      <c r="G253" s="2980" t="s">
        <v>302</v>
      </c>
      <c r="H253" s="2714"/>
      <c r="I253" s="533"/>
      <c r="J253" s="534"/>
      <c r="K253" s="2980" t="s">
        <v>302</v>
      </c>
      <c r="L253" s="2714"/>
      <c r="M253" s="533"/>
      <c r="N253" s="534"/>
      <c r="O253" s="2980" t="s">
        <v>302</v>
      </c>
      <c r="P253" s="2714"/>
      <c r="Q253" s="533"/>
      <c r="R253" s="534"/>
      <c r="S253" s="117" t="s">
        <v>303</v>
      </c>
      <c r="T253" s="117"/>
      <c r="U253" s="533"/>
      <c r="V253" s="534"/>
      <c r="W253" s="156"/>
      <c r="X253" s="117"/>
      <c r="Y253" s="165"/>
      <c r="Z253" s="167"/>
      <c r="AA253" s="156"/>
      <c r="AB253" s="117"/>
      <c r="AC253" s="165"/>
      <c r="AD253" s="165"/>
      <c r="AE253" s="118"/>
      <c r="AF253" s="165"/>
      <c r="AG253" s="14"/>
      <c r="AH253" s="14"/>
      <c r="AI253" s="119"/>
    </row>
    <row r="254" spans="1:35" ht="21" customHeight="1">
      <c r="B254" s="2713" t="s">
        <v>152</v>
      </c>
      <c r="C254" s="2980" t="s">
        <v>304</v>
      </c>
      <c r="D254" s="2714"/>
      <c r="E254" s="533"/>
      <c r="F254" s="534"/>
      <c r="G254" s="2980" t="s">
        <v>304</v>
      </c>
      <c r="H254" s="2714"/>
      <c r="I254" s="533"/>
      <c r="J254" s="534"/>
      <c r="K254" s="2980" t="s">
        <v>304</v>
      </c>
      <c r="L254" s="2714"/>
      <c r="M254" s="533"/>
      <c r="N254" s="534"/>
      <c r="O254" s="2980" t="s">
        <v>304</v>
      </c>
      <c r="P254" s="2714"/>
      <c r="Q254" s="533"/>
      <c r="R254" s="534"/>
      <c r="S254" s="117" t="s">
        <v>305</v>
      </c>
      <c r="T254" s="117"/>
      <c r="U254" s="533"/>
      <c r="V254" s="534"/>
      <c r="W254" s="156"/>
      <c r="X254" s="117"/>
      <c r="Y254" s="165"/>
      <c r="Z254" s="167"/>
      <c r="AA254" s="156"/>
      <c r="AB254" s="117"/>
      <c r="AC254" s="165"/>
      <c r="AD254" s="165"/>
      <c r="AE254" s="118"/>
      <c r="AF254" s="165"/>
      <c r="AG254" s="14"/>
      <c r="AH254" s="14"/>
      <c r="AI254" s="119"/>
    </row>
    <row r="255" spans="1:35" ht="21" customHeight="1" thickBot="1">
      <c r="B255" s="2715" t="s">
        <v>159</v>
      </c>
      <c r="C255" s="2993" t="s">
        <v>306</v>
      </c>
      <c r="D255" s="2716"/>
      <c r="E255" s="535"/>
      <c r="F255" s="536"/>
      <c r="G255" s="2993" t="s">
        <v>306</v>
      </c>
      <c r="H255" s="2716"/>
      <c r="I255" s="535"/>
      <c r="J255" s="536"/>
      <c r="K255" s="2993" t="s">
        <v>306</v>
      </c>
      <c r="L255" s="2716"/>
      <c r="M255" s="535"/>
      <c r="N255" s="536"/>
      <c r="O255" s="2993" t="s">
        <v>306</v>
      </c>
      <c r="P255" s="2716"/>
      <c r="Q255" s="535"/>
      <c r="R255" s="536"/>
      <c r="S255" s="456" t="s">
        <v>307</v>
      </c>
      <c r="T255" s="456"/>
      <c r="U255" s="535"/>
      <c r="V255" s="536"/>
      <c r="W255" s="517"/>
      <c r="X255" s="456"/>
      <c r="Y255" s="518"/>
      <c r="Z255" s="519"/>
      <c r="AA255" s="520"/>
      <c r="AB255" s="456"/>
      <c r="AC255" s="518"/>
      <c r="AD255" s="518"/>
      <c r="AE255" s="521"/>
      <c r="AF255" s="518"/>
      <c r="AG255" s="516"/>
      <c r="AH255" s="516"/>
      <c r="AI255" s="453"/>
    </row>
    <row r="256" spans="1:35" ht="21" customHeight="1">
      <c r="B256" s="59"/>
      <c r="C256" s="64"/>
      <c r="D256" s="18"/>
      <c r="G256" s="64"/>
      <c r="H256" s="18"/>
      <c r="K256" s="64"/>
      <c r="L256" s="18"/>
      <c r="O256" s="64"/>
      <c r="P256" s="18"/>
      <c r="S256" s="64"/>
      <c r="T256" s="64"/>
      <c r="X256" s="64"/>
      <c r="AB256" s="64"/>
      <c r="AE256" s="64"/>
    </row>
    <row r="257" spans="1:35" ht="21" customHeight="1">
      <c r="A257" s="123" t="s">
        <v>308</v>
      </c>
    </row>
    <row r="258" spans="1:35" ht="21" customHeight="1" thickBot="1">
      <c r="A258" s="2954"/>
      <c r="B258" s="2787" t="s">
        <v>29</v>
      </c>
      <c r="C258" s="2788">
        <v>1</v>
      </c>
      <c r="D258" s="2789">
        <v>2</v>
      </c>
      <c r="E258" s="2789">
        <v>3</v>
      </c>
      <c r="F258" s="2788">
        <v>4</v>
      </c>
      <c r="G258" s="2788">
        <v>5</v>
      </c>
      <c r="H258" s="2788">
        <v>6</v>
      </c>
      <c r="I258" s="2788">
        <v>7</v>
      </c>
      <c r="J258" s="2788">
        <v>8</v>
      </c>
      <c r="K258" s="2789">
        <v>9</v>
      </c>
      <c r="L258" s="2789">
        <v>10</v>
      </c>
      <c r="M258" s="2788">
        <v>11</v>
      </c>
      <c r="N258" s="2788">
        <v>12</v>
      </c>
      <c r="O258" s="2788">
        <v>13</v>
      </c>
      <c r="P258" s="2789">
        <v>14</v>
      </c>
      <c r="Q258" s="2789">
        <v>15</v>
      </c>
      <c r="R258" s="2789">
        <v>16</v>
      </c>
      <c r="S258" s="2789">
        <v>17</v>
      </c>
      <c r="T258" s="2789">
        <v>18</v>
      </c>
      <c r="U258" s="2788">
        <v>19</v>
      </c>
      <c r="V258" s="2788">
        <v>20</v>
      </c>
      <c r="W258" s="2788">
        <v>21</v>
      </c>
      <c r="X258" s="2788">
        <v>22</v>
      </c>
      <c r="Y258" s="2789">
        <v>23</v>
      </c>
      <c r="Z258" s="2789">
        <v>24</v>
      </c>
      <c r="AA258" s="2788">
        <v>25</v>
      </c>
      <c r="AB258" s="2788">
        <v>26</v>
      </c>
      <c r="AC258" s="2788">
        <v>27</v>
      </c>
      <c r="AD258" s="2788">
        <v>28</v>
      </c>
      <c r="AE258" s="2788">
        <v>29</v>
      </c>
      <c r="AF258" s="2789">
        <v>30</v>
      </c>
      <c r="AG258" s="2790"/>
      <c r="AH258" s="176"/>
      <c r="AI258" s="177"/>
    </row>
    <row r="259" spans="1:35" ht="21" customHeight="1">
      <c r="A259" s="2717">
        <v>3702</v>
      </c>
      <c r="B259" s="175" t="s">
        <v>309</v>
      </c>
      <c r="C259" s="2831" t="s">
        <v>32</v>
      </c>
      <c r="D259" s="2820"/>
      <c r="E259" s="2820"/>
      <c r="F259" s="2628" t="s">
        <v>32</v>
      </c>
      <c r="G259" s="2628" t="s">
        <v>32</v>
      </c>
      <c r="H259" s="2628" t="s">
        <v>32</v>
      </c>
      <c r="I259" s="2628" t="s">
        <v>32</v>
      </c>
      <c r="J259" s="2628" t="s">
        <v>32</v>
      </c>
      <c r="K259" s="2820"/>
      <c r="L259" s="2820"/>
      <c r="M259" s="2831" t="s">
        <v>32</v>
      </c>
      <c r="N259" s="2831" t="s">
        <v>32</v>
      </c>
      <c r="O259" s="2831" t="s">
        <v>32</v>
      </c>
      <c r="P259" s="2826"/>
      <c r="Q259" s="2825"/>
      <c r="R259" s="2826"/>
      <c r="S259" s="2820"/>
      <c r="T259" s="2820"/>
      <c r="U259" s="2831" t="s">
        <v>32</v>
      </c>
      <c r="V259" s="2831" t="s">
        <v>32</v>
      </c>
      <c r="W259" s="2831" t="s">
        <v>32</v>
      </c>
      <c r="X259" s="2831" t="s">
        <v>32</v>
      </c>
      <c r="Y259" s="2826"/>
      <c r="Z259" s="2820"/>
      <c r="AA259" s="2628" t="s">
        <v>32</v>
      </c>
      <c r="AB259" s="2628" t="s">
        <v>32</v>
      </c>
      <c r="AC259" s="2628" t="s">
        <v>32</v>
      </c>
      <c r="AD259" s="2628" t="s">
        <v>32</v>
      </c>
      <c r="AE259" s="2628" t="s">
        <v>32</v>
      </c>
      <c r="AF259" s="2826"/>
      <c r="AG259" s="362"/>
      <c r="AH259" s="181"/>
      <c r="AI259" s="182"/>
    </row>
    <row r="260" spans="1:35" ht="21" customHeight="1">
      <c r="A260" s="2796"/>
      <c r="B260" s="2967" t="s">
        <v>310</v>
      </c>
      <c r="C260" s="2820" t="s">
        <v>32</v>
      </c>
      <c r="D260" s="2820"/>
      <c r="E260" s="2820"/>
      <c r="F260" s="2820" t="s">
        <v>32</v>
      </c>
      <c r="G260" s="2820" t="s">
        <v>32</v>
      </c>
      <c r="H260" s="2820" t="s">
        <v>32</v>
      </c>
      <c r="I260" s="2820" t="s">
        <v>32</v>
      </c>
      <c r="J260" s="2820" t="s">
        <v>32</v>
      </c>
      <c r="K260" s="2820"/>
      <c r="L260" s="2820"/>
      <c r="M260" s="2820" t="s">
        <v>32</v>
      </c>
      <c r="N260" s="2826" t="s">
        <v>32</v>
      </c>
      <c r="O260" s="2826" t="s">
        <v>32</v>
      </c>
      <c r="P260" s="2826"/>
      <c r="Q260" s="2825"/>
      <c r="R260" s="2826"/>
      <c r="S260" s="2820"/>
      <c r="T260" s="2820"/>
      <c r="U260" s="2826" t="s">
        <v>32</v>
      </c>
      <c r="V260" s="2826" t="s">
        <v>32</v>
      </c>
      <c r="W260" s="2826" t="s">
        <v>32</v>
      </c>
      <c r="X260" s="2820" t="s">
        <v>32</v>
      </c>
      <c r="Y260" s="2826"/>
      <c r="Z260" s="2820"/>
      <c r="AA260" s="2820" t="s">
        <v>32</v>
      </c>
      <c r="AB260" s="2820" t="s">
        <v>32</v>
      </c>
      <c r="AC260" s="2820" t="s">
        <v>32</v>
      </c>
      <c r="AD260" s="2820" t="s">
        <v>32</v>
      </c>
      <c r="AE260" s="2820" t="s">
        <v>32</v>
      </c>
      <c r="AF260" s="2826"/>
      <c r="AG260" s="2873"/>
      <c r="AH260" s="181"/>
      <c r="AI260" s="182"/>
    </row>
    <row r="261" spans="1:35" ht="21" customHeight="1">
      <c r="A261" s="2718"/>
      <c r="B261" s="2967"/>
      <c r="C261" s="2820" t="s">
        <v>32</v>
      </c>
      <c r="D261" s="2820"/>
      <c r="E261" s="2820"/>
      <c r="F261" s="2820" t="s">
        <v>32</v>
      </c>
      <c r="G261" s="2820" t="s">
        <v>32</v>
      </c>
      <c r="H261" s="2820" t="s">
        <v>32</v>
      </c>
      <c r="I261" s="2820" t="s">
        <v>32</v>
      </c>
      <c r="J261" s="2820" t="s">
        <v>32</v>
      </c>
      <c r="K261" s="2820"/>
      <c r="L261" s="2820"/>
      <c r="M261" s="2915" t="s">
        <v>32</v>
      </c>
      <c r="N261" s="2915" t="s">
        <v>32</v>
      </c>
      <c r="O261" s="2915" t="s">
        <v>32</v>
      </c>
      <c r="P261" s="2696"/>
      <c r="Q261" s="2696"/>
      <c r="R261" s="2696"/>
      <c r="S261" s="2696"/>
      <c r="T261" s="2820"/>
      <c r="U261" s="2826" t="s">
        <v>32</v>
      </c>
      <c r="V261" s="2826" t="s">
        <v>32</v>
      </c>
      <c r="W261" s="2826" t="s">
        <v>32</v>
      </c>
      <c r="X261" s="2820" t="s">
        <v>32</v>
      </c>
      <c r="Y261" s="2826"/>
      <c r="Z261" s="2820"/>
      <c r="AA261" s="2820" t="s">
        <v>32</v>
      </c>
      <c r="AB261" s="2820" t="s">
        <v>32</v>
      </c>
      <c r="AC261" s="2820" t="s">
        <v>32</v>
      </c>
      <c r="AD261" s="2820" t="s">
        <v>32</v>
      </c>
      <c r="AE261" s="2820" t="s">
        <v>32</v>
      </c>
      <c r="AF261" s="2826"/>
      <c r="AG261" s="2873"/>
      <c r="AH261" s="181"/>
      <c r="AI261" s="182"/>
    </row>
    <row r="262" spans="1:35" ht="21" customHeight="1" thickBot="1">
      <c r="A262" s="2719"/>
      <c r="B262" s="2720"/>
      <c r="C262" s="2788"/>
      <c r="D262" s="2788"/>
      <c r="E262" s="2788"/>
      <c r="F262" s="2788"/>
      <c r="G262" s="2788"/>
      <c r="H262" s="2788"/>
      <c r="I262" s="2788"/>
      <c r="J262" s="2788"/>
      <c r="K262" s="2788"/>
      <c r="L262" s="2788"/>
      <c r="M262" s="2788"/>
      <c r="N262" s="2788"/>
      <c r="O262" s="2788"/>
      <c r="P262" s="2788"/>
      <c r="Q262" s="2788"/>
      <c r="R262" s="2788"/>
      <c r="S262" s="2788"/>
      <c r="T262" s="2788"/>
      <c r="U262" s="2788"/>
      <c r="V262" s="2788"/>
      <c r="W262" s="2788"/>
      <c r="X262" s="2788"/>
      <c r="Y262" s="2788"/>
      <c r="Z262" s="2788"/>
      <c r="AA262" s="2788"/>
      <c r="AB262" s="2788"/>
      <c r="AC262" s="2788"/>
      <c r="AD262" s="2788"/>
      <c r="AE262" s="2788"/>
      <c r="AF262" s="2788"/>
      <c r="AG262" s="2790"/>
      <c r="AH262" s="181"/>
      <c r="AI262" s="182"/>
    </row>
    <row r="263" spans="1:35" ht="21" customHeight="1">
      <c r="A263" s="226"/>
      <c r="B263" s="743" t="s">
        <v>312</v>
      </c>
      <c r="C263" s="744"/>
      <c r="D263" s="744"/>
      <c r="E263" s="744"/>
      <c r="F263" s="744"/>
      <c r="G263" s="744"/>
      <c r="H263" s="744"/>
      <c r="I263" s="744"/>
      <c r="J263" s="744"/>
      <c r="K263" s="744"/>
      <c r="L263" s="744"/>
      <c r="M263" s="744"/>
      <c r="N263" s="744"/>
      <c r="O263" s="744"/>
      <c r="P263" s="744"/>
      <c r="Q263" s="744"/>
      <c r="R263" s="744"/>
      <c r="S263" s="744"/>
      <c r="T263" s="744"/>
      <c r="U263" s="744"/>
      <c r="V263" s="744"/>
      <c r="W263" s="744"/>
      <c r="X263" s="744"/>
      <c r="Y263" s="744"/>
      <c r="Z263" s="744"/>
      <c r="AA263" s="744"/>
      <c r="AB263" s="744"/>
      <c r="AC263" s="744"/>
      <c r="AD263" s="744"/>
      <c r="AE263" s="744"/>
      <c r="AF263" s="744"/>
      <c r="AG263" s="745"/>
      <c r="AH263" s="179"/>
      <c r="AI263" s="180"/>
    </row>
    <row r="264" spans="1:35" ht="21" customHeight="1">
      <c r="A264" s="2717">
        <v>3702</v>
      </c>
      <c r="B264" s="2721" t="s">
        <v>313</v>
      </c>
      <c r="C264" s="2870" t="s">
        <v>314</v>
      </c>
      <c r="D264" s="2870"/>
      <c r="E264" s="2870"/>
      <c r="F264" s="2870" t="s">
        <v>314</v>
      </c>
      <c r="G264" s="2870" t="s">
        <v>314</v>
      </c>
      <c r="H264" s="2870" t="s">
        <v>314</v>
      </c>
      <c r="I264" s="2870" t="s">
        <v>314</v>
      </c>
      <c r="J264" s="2870" t="s">
        <v>314</v>
      </c>
      <c r="K264" s="2870"/>
      <c r="L264" s="2870"/>
      <c r="M264" s="2870" t="s">
        <v>314</v>
      </c>
      <c r="N264" s="2870" t="s">
        <v>314</v>
      </c>
      <c r="O264" s="2870" t="s">
        <v>314</v>
      </c>
      <c r="P264" s="2870"/>
      <c r="Q264" s="2870"/>
      <c r="R264" s="2870"/>
      <c r="S264" s="2870"/>
      <c r="T264" s="2860"/>
      <c r="U264" s="3021" t="s">
        <v>314</v>
      </c>
      <c r="V264" s="3021" t="s">
        <v>314</v>
      </c>
      <c r="W264" s="3021" t="s">
        <v>314</v>
      </c>
      <c r="X264" s="3021" t="s">
        <v>314</v>
      </c>
      <c r="Y264" s="3021"/>
      <c r="Z264" s="3021"/>
      <c r="AA264" s="3021" t="s">
        <v>314</v>
      </c>
      <c r="AB264" s="2870" t="s">
        <v>314</v>
      </c>
      <c r="AC264" s="2870" t="s">
        <v>314</v>
      </c>
      <c r="AD264" s="2870" t="s">
        <v>314</v>
      </c>
      <c r="AE264" s="2870" t="s">
        <v>314</v>
      </c>
      <c r="AF264" s="2870"/>
      <c r="AG264" s="2722"/>
      <c r="AH264" s="181"/>
      <c r="AI264" s="182"/>
    </row>
    <row r="265" spans="1:35" ht="21" customHeight="1">
      <c r="A265" s="2717"/>
      <c r="B265" s="2685" t="s">
        <v>316</v>
      </c>
      <c r="C265" s="2870" t="s">
        <v>317</v>
      </c>
      <c r="D265" s="2870"/>
      <c r="E265" s="2870"/>
      <c r="F265" s="2870" t="s">
        <v>317</v>
      </c>
      <c r="G265" s="2870" t="s">
        <v>317</v>
      </c>
      <c r="H265" s="2870" t="s">
        <v>317</v>
      </c>
      <c r="I265" s="2870" t="s">
        <v>317</v>
      </c>
      <c r="J265" s="2870" t="s">
        <v>317</v>
      </c>
      <c r="K265" s="2870"/>
      <c r="L265" s="2870"/>
      <c r="M265" s="2870" t="s">
        <v>317</v>
      </c>
      <c r="N265" s="2870" t="s">
        <v>317</v>
      </c>
      <c r="O265" s="2870" t="s">
        <v>317</v>
      </c>
      <c r="P265" s="2870"/>
      <c r="Q265" s="2870"/>
      <c r="R265" s="2870"/>
      <c r="S265" s="2870"/>
      <c r="T265" s="2870"/>
      <c r="U265" s="2870" t="s">
        <v>317</v>
      </c>
      <c r="V265" s="2870" t="s">
        <v>317</v>
      </c>
      <c r="W265" s="2870" t="s">
        <v>317</v>
      </c>
      <c r="X265" s="2870" t="s">
        <v>317</v>
      </c>
      <c r="Y265" s="2870"/>
      <c r="Z265" s="2870"/>
      <c r="AA265" s="2870" t="s">
        <v>317</v>
      </c>
      <c r="AB265" s="2870" t="s">
        <v>317</v>
      </c>
      <c r="AC265" s="2870" t="s">
        <v>317</v>
      </c>
      <c r="AD265" s="2870" t="s">
        <v>317</v>
      </c>
      <c r="AE265" s="2870" t="s">
        <v>317</v>
      </c>
      <c r="AF265" s="2802"/>
      <c r="AG265" s="2722"/>
      <c r="AH265" s="181"/>
      <c r="AI265" s="182"/>
    </row>
    <row r="266" spans="1:35" ht="24" customHeight="1" thickBot="1">
      <c r="A266" s="2723"/>
      <c r="B266" s="2724" t="s">
        <v>318</v>
      </c>
      <c r="C266" s="2833" t="s">
        <v>319</v>
      </c>
      <c r="D266" s="2833"/>
      <c r="E266" s="2833"/>
      <c r="F266" s="2833" t="s">
        <v>319</v>
      </c>
      <c r="G266" s="2833" t="s">
        <v>319</v>
      </c>
      <c r="H266" s="2725" t="s">
        <v>319</v>
      </c>
      <c r="I266" s="2833" t="s">
        <v>319</v>
      </c>
      <c r="J266" s="2833" t="s">
        <v>319</v>
      </c>
      <c r="K266" s="2833"/>
      <c r="L266" s="2833"/>
      <c r="M266" s="2725" t="s">
        <v>319</v>
      </c>
      <c r="N266" s="2725" t="s">
        <v>319</v>
      </c>
      <c r="O266" s="2725" t="s">
        <v>319</v>
      </c>
      <c r="P266" s="2833"/>
      <c r="Q266" s="2833"/>
      <c r="R266" s="2833"/>
      <c r="S266" s="2833"/>
      <c r="T266" s="2833"/>
      <c r="U266" s="2833" t="s">
        <v>319</v>
      </c>
      <c r="V266" s="2833" t="s">
        <v>319</v>
      </c>
      <c r="W266" s="2833" t="s">
        <v>319</v>
      </c>
      <c r="X266" s="2833" t="s">
        <v>319</v>
      </c>
      <c r="Y266" s="2833"/>
      <c r="Z266" s="2833"/>
      <c r="AA266" s="2833" t="s">
        <v>319</v>
      </c>
      <c r="AB266" s="2833" t="s">
        <v>319</v>
      </c>
      <c r="AC266" s="2833" t="s">
        <v>319</v>
      </c>
      <c r="AD266" s="2833" t="s">
        <v>319</v>
      </c>
      <c r="AE266" s="2833" t="s">
        <v>319</v>
      </c>
      <c r="AF266" s="2832"/>
      <c r="AG266" s="2726"/>
      <c r="AH266" s="181"/>
      <c r="AI266" s="182"/>
    </row>
    <row r="267" spans="1:35" ht="25.5" customHeight="1"/>
    <row r="268" spans="1:35" ht="21" customHeight="1"/>
    <row r="269" spans="1:35" ht="21" customHeight="1" thickBot="1">
      <c r="A269" s="161" t="s">
        <v>320</v>
      </c>
    </row>
    <row r="270" spans="1:35" ht="21" customHeight="1">
      <c r="A270" s="1"/>
      <c r="B270" s="396" t="s">
        <v>266</v>
      </c>
      <c r="C270" s="368"/>
      <c r="D270" s="384" t="s">
        <v>94</v>
      </c>
      <c r="E270" s="357"/>
      <c r="F270" s="372"/>
      <c r="G270" s="368"/>
      <c r="H270" s="384" t="s">
        <v>95</v>
      </c>
      <c r="I270" s="357"/>
      <c r="J270" s="372"/>
      <c r="K270" s="368"/>
      <c r="L270" s="384" t="s">
        <v>96</v>
      </c>
      <c r="M270" s="357"/>
      <c r="N270" s="372"/>
      <c r="O270" s="368"/>
      <c r="P270" s="384" t="s">
        <v>97</v>
      </c>
      <c r="Q270" s="357"/>
      <c r="R270" s="372"/>
      <c r="S270" s="368"/>
      <c r="T270" s="384" t="s">
        <v>98</v>
      </c>
      <c r="U270" s="357"/>
      <c r="V270" s="372"/>
      <c r="W270" s="368"/>
      <c r="X270" s="384" t="s">
        <v>99</v>
      </c>
      <c r="Y270" s="357"/>
      <c r="Z270" s="372"/>
      <c r="AA270" s="368"/>
      <c r="AB270" s="384" t="s">
        <v>100</v>
      </c>
      <c r="AC270" s="357"/>
      <c r="AD270" s="357"/>
      <c r="AE270" s="387" t="s">
        <v>101</v>
      </c>
      <c r="AF270" s="357"/>
      <c r="AG270" s="357"/>
      <c r="AH270" s="357"/>
      <c r="AI270" s="358"/>
    </row>
    <row r="271" spans="1:35" ht="21" customHeight="1">
      <c r="A271" s="1"/>
      <c r="B271" s="3"/>
      <c r="C271" s="8"/>
      <c r="D271" s="117"/>
      <c r="E271" s="14"/>
      <c r="F271" s="116"/>
      <c r="G271" s="8"/>
      <c r="H271" s="117"/>
      <c r="I271" s="14"/>
      <c r="J271" s="116"/>
      <c r="K271" s="8"/>
      <c r="L271" s="117"/>
      <c r="M271" s="14"/>
      <c r="N271" s="116"/>
      <c r="O271" s="8"/>
      <c r="P271" s="117"/>
      <c r="Q271" s="14"/>
      <c r="R271" s="116"/>
      <c r="S271" s="8"/>
      <c r="T271" s="117"/>
      <c r="U271" s="14"/>
      <c r="V271" s="116"/>
      <c r="W271" s="8"/>
      <c r="X271" s="117"/>
      <c r="Y271" s="14"/>
      <c r="Z271" s="116"/>
      <c r="AA271" s="8"/>
      <c r="AB271" s="117"/>
      <c r="AC271" s="14"/>
      <c r="AD271" s="14"/>
      <c r="AE271" s="118"/>
      <c r="AF271" s="14"/>
      <c r="AG271" s="14"/>
      <c r="AH271" s="14"/>
      <c r="AI271" s="119"/>
    </row>
    <row r="272" spans="1:35" ht="21" customHeight="1">
      <c r="A272" s="110"/>
      <c r="B272" s="2713"/>
      <c r="C272" s="2898"/>
      <c r="D272" s="2770"/>
      <c r="E272" s="2770"/>
      <c r="F272" s="2982"/>
      <c r="G272" s="2898"/>
      <c r="H272" s="2770"/>
      <c r="I272" s="2770"/>
      <c r="J272" s="2982"/>
      <c r="K272" s="2898"/>
      <c r="L272" s="2770"/>
      <c r="M272" s="2770"/>
      <c r="N272" s="2982"/>
      <c r="O272" s="2898"/>
      <c r="P272" s="2770"/>
      <c r="Q272" s="2770"/>
      <c r="R272" s="2982"/>
      <c r="S272" s="2898"/>
      <c r="T272" s="2770"/>
      <c r="U272" s="2770"/>
      <c r="V272" s="2982"/>
      <c r="W272" s="2898"/>
      <c r="X272" s="2770"/>
      <c r="Y272" s="2770"/>
      <c r="Z272" s="2982"/>
      <c r="AA272" s="2980"/>
      <c r="AB272" s="2770"/>
      <c r="AC272" s="2770"/>
      <c r="AD272" s="2899"/>
      <c r="AE272" s="2727"/>
      <c r="AF272" s="2770"/>
      <c r="AG272" s="2770"/>
      <c r="AH272" s="2899"/>
      <c r="AI272" s="2779"/>
    </row>
    <row r="273" spans="1:35" ht="33" customHeight="1" thickBot="1">
      <c r="A273" s="1"/>
      <c r="B273" s="2992"/>
      <c r="C273" s="2993"/>
      <c r="D273" s="2847"/>
      <c r="E273" s="2847"/>
      <c r="F273" s="3014"/>
      <c r="G273" s="2993"/>
      <c r="H273" s="2847"/>
      <c r="I273" s="2847"/>
      <c r="J273" s="3014"/>
      <c r="K273" s="2993"/>
      <c r="L273" s="2847"/>
      <c r="M273" s="2847"/>
      <c r="N273" s="3014"/>
      <c r="O273" s="2993"/>
      <c r="P273" s="2847"/>
      <c r="Q273" s="2847"/>
      <c r="R273" s="3014"/>
      <c r="S273" s="2993"/>
      <c r="T273" s="2847"/>
      <c r="U273" s="2847"/>
      <c r="V273" s="3014"/>
      <c r="W273" s="3012"/>
      <c r="X273" s="2847"/>
      <c r="Y273" s="2847"/>
      <c r="Z273" s="3014"/>
      <c r="AA273" s="3012"/>
      <c r="AB273" s="2847"/>
      <c r="AC273" s="2847"/>
      <c r="AD273" s="3000"/>
      <c r="AE273" s="3012"/>
      <c r="AF273" s="2847"/>
      <c r="AG273" s="2847"/>
      <c r="AH273" s="3000"/>
      <c r="AI273" s="2854"/>
    </row>
    <row r="274" spans="1:35" ht="21" customHeight="1">
      <c r="A274" s="1"/>
      <c r="B274" s="18"/>
      <c r="C274" s="64"/>
      <c r="F274" s="69"/>
      <c r="G274" s="64"/>
      <c r="J274" s="69"/>
      <c r="K274" s="64"/>
      <c r="N274" s="69"/>
      <c r="O274" s="64"/>
      <c r="R274" s="69"/>
      <c r="S274" s="64"/>
      <c r="V274" s="69"/>
      <c r="W274" s="69"/>
      <c r="Z274" s="69"/>
      <c r="AA274" s="69"/>
      <c r="AD274" s="69"/>
      <c r="AE274" s="69"/>
      <c r="AH274" s="69"/>
    </row>
    <row r="275" spans="1:35" ht="21" customHeight="1">
      <c r="A275" s="161" t="s">
        <v>321</v>
      </c>
      <c r="B275" s="18"/>
      <c r="C275" s="64"/>
      <c r="F275" s="69"/>
      <c r="G275" s="64"/>
      <c r="J275" s="69"/>
      <c r="K275" s="64"/>
      <c r="N275" s="69"/>
      <c r="O275" s="64"/>
      <c r="R275" s="69"/>
      <c r="S275" s="64"/>
      <c r="V275" s="69"/>
      <c r="W275" s="69"/>
      <c r="Z275" s="69"/>
      <c r="AA275" s="69"/>
      <c r="AD275" s="69"/>
      <c r="AE275" s="69"/>
      <c r="AH275" s="69"/>
    </row>
    <row r="276" spans="1:35" ht="21" customHeight="1" thickBot="1">
      <c r="A276" s="2728" t="s">
        <v>28</v>
      </c>
      <c r="B276" s="2729" t="s">
        <v>29</v>
      </c>
      <c r="C276" s="2788">
        <v>1</v>
      </c>
      <c r="D276" s="2789">
        <v>2</v>
      </c>
      <c r="E276" s="2789">
        <v>3</v>
      </c>
      <c r="F276" s="2788">
        <v>4</v>
      </c>
      <c r="G276" s="2788">
        <v>5</v>
      </c>
      <c r="H276" s="2788">
        <v>6</v>
      </c>
      <c r="I276" s="2788">
        <v>7</v>
      </c>
      <c r="J276" s="2788">
        <v>8</v>
      </c>
      <c r="K276" s="2789">
        <v>9</v>
      </c>
      <c r="L276" s="2789">
        <v>10</v>
      </c>
      <c r="M276" s="2788">
        <v>11</v>
      </c>
      <c r="N276" s="2788">
        <v>12</v>
      </c>
      <c r="O276" s="2788">
        <v>13</v>
      </c>
      <c r="P276" s="2789">
        <v>14</v>
      </c>
      <c r="Q276" s="2789">
        <v>15</v>
      </c>
      <c r="R276" s="2789">
        <v>16</v>
      </c>
      <c r="S276" s="2789">
        <v>17</v>
      </c>
      <c r="T276" s="2789">
        <v>18</v>
      </c>
      <c r="U276" s="2788">
        <v>19</v>
      </c>
      <c r="V276" s="2788">
        <v>20</v>
      </c>
      <c r="W276" s="2788">
        <v>21</v>
      </c>
      <c r="X276" s="2788">
        <v>22</v>
      </c>
      <c r="Y276" s="2789">
        <v>23</v>
      </c>
      <c r="Z276" s="2789">
        <v>24</v>
      </c>
      <c r="AA276" s="2788">
        <v>25</v>
      </c>
      <c r="AB276" s="2788">
        <v>26</v>
      </c>
      <c r="AC276" s="2788">
        <v>27</v>
      </c>
      <c r="AD276" s="2788">
        <v>28</v>
      </c>
      <c r="AE276" s="2788">
        <v>29</v>
      </c>
      <c r="AF276" s="2789">
        <v>30</v>
      </c>
      <c r="AG276" s="2790"/>
      <c r="AH276" s="186"/>
      <c r="AI276" s="177"/>
    </row>
    <row r="277" spans="1:35" ht="21" customHeight="1">
      <c r="A277" s="88"/>
      <c r="B277" s="157" t="s">
        <v>322</v>
      </c>
      <c r="C277" s="2829" t="s">
        <v>32</v>
      </c>
      <c r="D277" s="2829"/>
      <c r="E277" s="2829"/>
      <c r="F277" s="2629" t="s">
        <v>32</v>
      </c>
      <c r="G277" s="2629" t="s">
        <v>32</v>
      </c>
      <c r="H277" s="2629" t="s">
        <v>32</v>
      </c>
      <c r="I277" s="2629" t="s">
        <v>278</v>
      </c>
      <c r="J277" s="2696" t="s">
        <v>32</v>
      </c>
      <c r="K277" s="2820"/>
      <c r="L277" s="2820"/>
      <c r="M277" s="2820" t="s">
        <v>32</v>
      </c>
      <c r="N277" s="2826" t="s">
        <v>32</v>
      </c>
      <c r="O277" s="2826" t="s">
        <v>32</v>
      </c>
      <c r="P277" s="2826"/>
      <c r="Q277" s="2825"/>
      <c r="R277" s="2826"/>
      <c r="S277" s="2820"/>
      <c r="T277" s="2820"/>
      <c r="U277" s="2826" t="s">
        <v>32</v>
      </c>
      <c r="V277" s="2826" t="s">
        <v>32</v>
      </c>
      <c r="W277" s="2826" t="s">
        <v>32</v>
      </c>
      <c r="X277" s="2820" t="s">
        <v>32</v>
      </c>
      <c r="Y277" s="2826"/>
      <c r="Z277" s="2820"/>
      <c r="AA277" s="2820" t="s">
        <v>32</v>
      </c>
      <c r="AB277" s="2820" t="s">
        <v>32</v>
      </c>
      <c r="AC277" s="2820" t="s">
        <v>32</v>
      </c>
      <c r="AD277" s="2820" t="s">
        <v>32</v>
      </c>
      <c r="AE277" s="2820" t="s">
        <v>32</v>
      </c>
      <c r="AF277" s="2820"/>
      <c r="AG277" s="2820"/>
      <c r="AH277" s="187"/>
      <c r="AI277" s="184"/>
    </row>
    <row r="278" spans="1:35" ht="21" customHeight="1">
      <c r="A278" s="2730"/>
      <c r="B278" s="2731" t="s">
        <v>323</v>
      </c>
      <c r="C278" s="2701" t="s">
        <v>32</v>
      </c>
      <c r="D278" s="2820"/>
      <c r="E278" s="2820"/>
      <c r="F278" s="2820" t="s">
        <v>32</v>
      </c>
      <c r="G278" s="2820" t="s">
        <v>32</v>
      </c>
      <c r="H278" s="2820" t="s">
        <v>32</v>
      </c>
      <c r="I278" s="2820" t="s">
        <v>32</v>
      </c>
      <c r="J278" s="2820" t="s">
        <v>32</v>
      </c>
      <c r="K278" s="2820"/>
      <c r="L278" s="2820"/>
      <c r="M278" s="2696" t="s">
        <v>32</v>
      </c>
      <c r="N278" s="2696" t="s">
        <v>32</v>
      </c>
      <c r="O278" s="2696" t="s">
        <v>32</v>
      </c>
      <c r="P278" s="2826"/>
      <c r="Q278" s="2825"/>
      <c r="R278" s="2826"/>
      <c r="S278" s="2820"/>
      <c r="T278" s="2820"/>
      <c r="U278" s="2831" t="s">
        <v>32</v>
      </c>
      <c r="V278" s="2826" t="s">
        <v>32</v>
      </c>
      <c r="W278" s="2826" t="s">
        <v>32</v>
      </c>
      <c r="X278" s="2820" t="s">
        <v>32</v>
      </c>
      <c r="Y278" s="2826"/>
      <c r="Z278" s="2820"/>
      <c r="AA278" s="2820" t="s">
        <v>32</v>
      </c>
      <c r="AB278" s="2820" t="s">
        <v>32</v>
      </c>
      <c r="AC278" s="2820" t="s">
        <v>32</v>
      </c>
      <c r="AD278" s="2820" t="s">
        <v>32</v>
      </c>
      <c r="AE278" s="2825" t="s">
        <v>32</v>
      </c>
      <c r="AF278" s="2825"/>
      <c r="AG278" s="2820"/>
      <c r="AH278" s="187"/>
      <c r="AI278" s="184"/>
    </row>
    <row r="279" spans="1:35" ht="21" customHeight="1">
      <c r="A279" s="2717"/>
      <c r="B279" s="2731" t="s">
        <v>324</v>
      </c>
      <c r="C279" s="2820" t="s">
        <v>32</v>
      </c>
      <c r="D279" s="2820"/>
      <c r="E279" s="2820"/>
      <c r="F279" s="2820" t="s">
        <v>32</v>
      </c>
      <c r="G279" s="2820" t="s">
        <v>32</v>
      </c>
      <c r="H279" s="2820" t="s">
        <v>32</v>
      </c>
      <c r="I279" s="2820" t="s">
        <v>32</v>
      </c>
      <c r="J279" s="2820" t="s">
        <v>32</v>
      </c>
      <c r="K279" s="2820"/>
      <c r="L279" s="2820"/>
      <c r="M279" s="2820" t="s">
        <v>32</v>
      </c>
      <c r="N279" s="2826" t="s">
        <v>32</v>
      </c>
      <c r="O279" s="2826" t="s">
        <v>32</v>
      </c>
      <c r="P279" s="2826"/>
      <c r="Q279" s="2825"/>
      <c r="R279" s="2826"/>
      <c r="S279" s="2820"/>
      <c r="T279" s="2820"/>
      <c r="U279" s="2826" t="s">
        <v>32</v>
      </c>
      <c r="V279" s="2826" t="s">
        <v>32</v>
      </c>
      <c r="W279" s="2826" t="s">
        <v>32</v>
      </c>
      <c r="X279" s="2820" t="s">
        <v>32</v>
      </c>
      <c r="Y279" s="2826"/>
      <c r="Z279" s="2820"/>
      <c r="AA279" s="2820" t="s">
        <v>32</v>
      </c>
      <c r="AB279" s="2820" t="s">
        <v>32</v>
      </c>
      <c r="AC279" s="2820" t="s">
        <v>32</v>
      </c>
      <c r="AD279" s="2820" t="s">
        <v>32</v>
      </c>
      <c r="AE279" s="2820" t="s">
        <v>32</v>
      </c>
      <c r="AF279" s="2820"/>
      <c r="AG279" s="2820"/>
      <c r="AH279" s="187"/>
      <c r="AI279" s="184"/>
    </row>
    <row r="280" spans="1:35" ht="21" customHeight="1">
      <c r="A280" s="2717"/>
      <c r="B280" s="2731" t="s">
        <v>325</v>
      </c>
      <c r="C280" s="2831" t="s">
        <v>32</v>
      </c>
      <c r="D280" s="2820"/>
      <c r="E280" s="2820"/>
      <c r="F280" s="2820" t="s">
        <v>32</v>
      </c>
      <c r="G280" s="2820" t="s">
        <v>32</v>
      </c>
      <c r="H280" s="2820" t="s">
        <v>32</v>
      </c>
      <c r="I280" s="2820" t="s">
        <v>32</v>
      </c>
      <c r="J280" s="2820" t="s">
        <v>32</v>
      </c>
      <c r="K280" s="2820"/>
      <c r="L280" s="2820"/>
      <c r="M280" s="2820" t="s">
        <v>32</v>
      </c>
      <c r="N280" s="2826" t="s">
        <v>32</v>
      </c>
      <c r="O280" s="2826" t="s">
        <v>32</v>
      </c>
      <c r="P280" s="2826"/>
      <c r="Q280" s="2825"/>
      <c r="R280" s="2826"/>
      <c r="S280" s="2820"/>
      <c r="T280" s="2820"/>
      <c r="U280" s="2826" t="s">
        <v>32</v>
      </c>
      <c r="V280" s="2628" t="s">
        <v>32</v>
      </c>
      <c r="W280" s="2628" t="s">
        <v>32</v>
      </c>
      <c r="X280" s="2820" t="s">
        <v>32</v>
      </c>
      <c r="Y280" s="2826"/>
      <c r="Z280" s="2820"/>
      <c r="AA280" s="2820" t="s">
        <v>32</v>
      </c>
      <c r="AB280" s="2820" t="s">
        <v>32</v>
      </c>
      <c r="AC280" s="2820" t="s">
        <v>32</v>
      </c>
      <c r="AD280" s="2820" t="s">
        <v>32</v>
      </c>
      <c r="AE280" s="2820" t="s">
        <v>32</v>
      </c>
      <c r="AF280" s="2820"/>
      <c r="AG280" s="2820"/>
      <c r="AH280" s="187"/>
      <c r="AI280" s="184"/>
    </row>
    <row r="281" spans="1:35" ht="21" customHeight="1">
      <c r="A281" s="2717"/>
      <c r="B281" s="2731" t="s">
        <v>326</v>
      </c>
      <c r="C281" s="2820" t="s">
        <v>32</v>
      </c>
      <c r="D281" s="2820"/>
      <c r="E281" s="2820"/>
      <c r="F281" s="2820" t="s">
        <v>32</v>
      </c>
      <c r="G281" s="2820" t="s">
        <v>32</v>
      </c>
      <c r="H281" s="2820" t="s">
        <v>32</v>
      </c>
      <c r="I281" s="2831" t="s">
        <v>32</v>
      </c>
      <c r="J281" s="2831" t="s">
        <v>32</v>
      </c>
      <c r="K281" s="2820"/>
      <c r="L281" s="2820"/>
      <c r="M281" s="2831" t="s">
        <v>32</v>
      </c>
      <c r="N281" s="2831" t="s">
        <v>32</v>
      </c>
      <c r="O281" s="2831" t="s">
        <v>32</v>
      </c>
      <c r="P281" s="2826"/>
      <c r="Q281" s="2825"/>
      <c r="R281" s="2826"/>
      <c r="S281" s="2820"/>
      <c r="T281" s="2820"/>
      <c r="U281" s="2826" t="s">
        <v>32</v>
      </c>
      <c r="V281" s="2826" t="s">
        <v>32</v>
      </c>
      <c r="W281" s="2826" t="s">
        <v>32</v>
      </c>
      <c r="X281" s="2820" t="s">
        <v>32</v>
      </c>
      <c r="Y281" s="2826"/>
      <c r="Z281" s="2820"/>
      <c r="AA281" s="2820" t="s">
        <v>32</v>
      </c>
      <c r="AB281" s="2820" t="s">
        <v>32</v>
      </c>
      <c r="AC281" s="2820" t="s">
        <v>32</v>
      </c>
      <c r="AD281" s="2820" t="s">
        <v>32</v>
      </c>
      <c r="AE281" s="2820" t="s">
        <v>32</v>
      </c>
      <c r="AF281" s="2820"/>
      <c r="AG281" s="2870"/>
      <c r="AH281" s="187"/>
      <c r="AI281" s="184"/>
    </row>
    <row r="282" spans="1:35" ht="21" customHeight="1">
      <c r="A282" s="2717"/>
      <c r="B282" s="2731" t="s">
        <v>327</v>
      </c>
      <c r="C282" s="2820" t="s">
        <v>32</v>
      </c>
      <c r="D282" s="2820"/>
      <c r="E282" s="2820"/>
      <c r="F282" s="2820" t="s">
        <v>32</v>
      </c>
      <c r="G282" s="2820" t="s">
        <v>32</v>
      </c>
      <c r="H282" s="2820" t="s">
        <v>32</v>
      </c>
      <c r="I282" s="2820" t="s">
        <v>32</v>
      </c>
      <c r="J282" s="2820" t="s">
        <v>32</v>
      </c>
      <c r="K282" s="2820"/>
      <c r="L282" s="2820"/>
      <c r="M282" s="2831" t="s">
        <v>32</v>
      </c>
      <c r="N282" s="2831" t="s">
        <v>32</v>
      </c>
      <c r="O282" s="2831" t="s">
        <v>32</v>
      </c>
      <c r="P282" s="2826"/>
      <c r="Q282" s="2825"/>
      <c r="R282" s="2826"/>
      <c r="S282" s="2820"/>
      <c r="T282" s="2820"/>
      <c r="U282" s="2826" t="s">
        <v>32</v>
      </c>
      <c r="V282" s="2826" t="s">
        <v>32</v>
      </c>
      <c r="W282" s="2826" t="s">
        <v>32</v>
      </c>
      <c r="X282" s="2820" t="s">
        <v>32</v>
      </c>
      <c r="Y282" s="2826"/>
      <c r="Z282" s="2820"/>
      <c r="AA282" s="2820" t="s">
        <v>32</v>
      </c>
      <c r="AB282" s="2820" t="s">
        <v>32</v>
      </c>
      <c r="AC282" s="2820" t="s">
        <v>32</v>
      </c>
      <c r="AD282" s="2820" t="s">
        <v>32</v>
      </c>
      <c r="AE282" s="2820" t="s">
        <v>32</v>
      </c>
      <c r="AF282" s="2820"/>
      <c r="AG282" s="2870"/>
      <c r="AH282" s="187"/>
      <c r="AI282" s="184"/>
    </row>
    <row r="283" spans="1:35" ht="21" customHeight="1">
      <c r="A283" s="2717"/>
      <c r="B283" s="2731" t="s">
        <v>328</v>
      </c>
      <c r="C283" s="2831" t="s">
        <v>32</v>
      </c>
      <c r="D283" s="2820"/>
      <c r="E283" s="2820"/>
      <c r="F283" s="2820" t="s">
        <v>32</v>
      </c>
      <c r="G283" s="2820" t="s">
        <v>32</v>
      </c>
      <c r="H283" s="2915" t="s">
        <v>32</v>
      </c>
      <c r="I283" s="2915" t="s">
        <v>32</v>
      </c>
      <c r="J283" s="2820" t="s">
        <v>32</v>
      </c>
      <c r="K283" s="2820"/>
      <c r="L283" s="2820"/>
      <c r="M283" s="2831" t="s">
        <v>32</v>
      </c>
      <c r="N283" s="2831" t="s">
        <v>32</v>
      </c>
      <c r="O283" s="2831" t="s">
        <v>32</v>
      </c>
      <c r="P283" s="2826"/>
      <c r="Q283" s="2825"/>
      <c r="R283" s="2826"/>
      <c r="S283" s="2820"/>
      <c r="T283" s="2820"/>
      <c r="U283" s="2826" t="s">
        <v>32</v>
      </c>
      <c r="V283" s="2826" t="s">
        <v>32</v>
      </c>
      <c r="W283" s="2826" t="s">
        <v>32</v>
      </c>
      <c r="X283" s="2820" t="s">
        <v>32</v>
      </c>
      <c r="Y283" s="2826"/>
      <c r="Z283" s="2820"/>
      <c r="AA283" s="2820" t="s">
        <v>32</v>
      </c>
      <c r="AB283" s="2820" t="s">
        <v>32</v>
      </c>
      <c r="AC283" s="2820" t="s">
        <v>32</v>
      </c>
      <c r="AD283" s="2820" t="s">
        <v>32</v>
      </c>
      <c r="AE283" s="2820" t="s">
        <v>32</v>
      </c>
      <c r="AF283" s="2820"/>
      <c r="AG283" s="2870"/>
      <c r="AH283" s="187"/>
      <c r="AI283" s="184"/>
    </row>
    <row r="284" spans="1:35" ht="21" customHeight="1">
      <c r="A284" s="2717"/>
      <c r="B284" s="2731" t="s">
        <v>329</v>
      </c>
      <c r="C284" s="2820" t="s">
        <v>32</v>
      </c>
      <c r="D284" s="2820"/>
      <c r="E284" s="2820"/>
      <c r="F284" s="2820" t="s">
        <v>32</v>
      </c>
      <c r="G284" s="2820" t="s">
        <v>32</v>
      </c>
      <c r="H284" s="2820" t="s">
        <v>32</v>
      </c>
      <c r="I284" s="2820" t="s">
        <v>32</v>
      </c>
      <c r="J284" s="2820" t="s">
        <v>32</v>
      </c>
      <c r="K284" s="2820"/>
      <c r="L284" s="2820"/>
      <c r="M284" s="2820" t="s">
        <v>32</v>
      </c>
      <c r="N284" s="2826" t="s">
        <v>32</v>
      </c>
      <c r="O284" s="2826" t="s">
        <v>32</v>
      </c>
      <c r="P284" s="2826"/>
      <c r="Q284" s="2825"/>
      <c r="R284" s="2826"/>
      <c r="S284" s="2820"/>
      <c r="T284" s="2820"/>
      <c r="U284" s="2826" t="s">
        <v>32</v>
      </c>
      <c r="V284" s="2826" t="s">
        <v>32</v>
      </c>
      <c r="W284" s="2826" t="s">
        <v>32</v>
      </c>
      <c r="X284" s="2820" t="s">
        <v>32</v>
      </c>
      <c r="Y284" s="2826"/>
      <c r="Z284" s="2820"/>
      <c r="AA284" s="2820" t="s">
        <v>32</v>
      </c>
      <c r="AB284" s="2820" t="s">
        <v>32</v>
      </c>
      <c r="AC284" s="2820" t="s">
        <v>32</v>
      </c>
      <c r="AD284" s="2820" t="s">
        <v>32</v>
      </c>
      <c r="AE284" s="2820" t="s">
        <v>32</v>
      </c>
      <c r="AF284" s="2820"/>
      <c r="AG284" s="2870"/>
      <c r="AH284" s="187"/>
      <c r="AI284" s="184"/>
    </row>
    <row r="285" spans="1:35" ht="21" customHeight="1">
      <c r="A285" s="2717"/>
      <c r="B285" s="2732" t="s">
        <v>330</v>
      </c>
      <c r="C285" s="2820" t="s">
        <v>32</v>
      </c>
      <c r="D285" s="2820"/>
      <c r="E285" s="2820"/>
      <c r="F285" s="2820" t="s">
        <v>32</v>
      </c>
      <c r="G285" s="2820" t="s">
        <v>32</v>
      </c>
      <c r="H285" s="2820" t="s">
        <v>32</v>
      </c>
      <c r="I285" s="2820" t="s">
        <v>32</v>
      </c>
      <c r="J285" s="2820" t="s">
        <v>32</v>
      </c>
      <c r="K285" s="2820"/>
      <c r="L285" s="2820"/>
      <c r="M285" s="2831" t="s">
        <v>32</v>
      </c>
      <c r="N285" s="2831" t="s">
        <v>32</v>
      </c>
      <c r="O285" s="2831" t="s">
        <v>32</v>
      </c>
      <c r="P285" s="2826"/>
      <c r="Q285" s="2825"/>
      <c r="R285" s="2826"/>
      <c r="S285" s="2820"/>
      <c r="T285" s="2820"/>
      <c r="U285" s="2826" t="s">
        <v>32</v>
      </c>
      <c r="V285" s="2826" t="s">
        <v>32</v>
      </c>
      <c r="W285" s="2826" t="s">
        <v>32</v>
      </c>
      <c r="X285" s="2820" t="s">
        <v>32</v>
      </c>
      <c r="Y285" s="2826"/>
      <c r="Z285" s="2820"/>
      <c r="AA285" s="2820" t="s">
        <v>32</v>
      </c>
      <c r="AB285" s="2820" t="s">
        <v>32</v>
      </c>
      <c r="AC285" s="2820" t="s">
        <v>32</v>
      </c>
      <c r="AD285" s="2820" t="s">
        <v>32</v>
      </c>
      <c r="AE285" s="2820" t="s">
        <v>32</v>
      </c>
      <c r="AF285" s="2820"/>
      <c r="AG285" s="2870"/>
      <c r="AH285" s="187"/>
      <c r="AI285" s="184"/>
    </row>
    <row r="286" spans="1:35" ht="21" customHeight="1">
      <c r="A286" s="2717"/>
      <c r="B286" s="2733" t="s">
        <v>331</v>
      </c>
      <c r="C286" s="2820" t="s">
        <v>32</v>
      </c>
      <c r="D286" s="2820"/>
      <c r="E286" s="2820"/>
      <c r="F286" s="2820" t="s">
        <v>32</v>
      </c>
      <c r="G286" s="2820" t="s">
        <v>32</v>
      </c>
      <c r="H286" s="2820" t="s">
        <v>32</v>
      </c>
      <c r="I286" s="2820" t="s">
        <v>32</v>
      </c>
      <c r="J286" s="2820" t="s">
        <v>32</v>
      </c>
      <c r="K286" s="2820"/>
      <c r="L286" s="2820"/>
      <c r="M286" s="2820" t="s">
        <v>32</v>
      </c>
      <c r="N286" s="2826" t="s">
        <v>32</v>
      </c>
      <c r="O286" s="2826" t="s">
        <v>32</v>
      </c>
      <c r="P286" s="2826"/>
      <c r="Q286" s="2825"/>
      <c r="R286" s="2826"/>
      <c r="S286" s="2820"/>
      <c r="T286" s="2820"/>
      <c r="U286" s="2826" t="s">
        <v>32</v>
      </c>
      <c r="V286" s="2826" t="s">
        <v>32</v>
      </c>
      <c r="W286" s="2826" t="s">
        <v>32</v>
      </c>
      <c r="X286" s="2820" t="s">
        <v>32</v>
      </c>
      <c r="Y286" s="2734"/>
      <c r="Z286" s="2820"/>
      <c r="AA286" s="2820" t="s">
        <v>32</v>
      </c>
      <c r="AB286" s="2820" t="s">
        <v>32</v>
      </c>
      <c r="AC286" s="2820" t="s">
        <v>32</v>
      </c>
      <c r="AD286" s="2820" t="s">
        <v>32</v>
      </c>
      <c r="AE286" s="2826" t="s">
        <v>32</v>
      </c>
      <c r="AF286" s="2826"/>
      <c r="AG286" s="2870"/>
      <c r="AH286" s="187"/>
      <c r="AI286" s="184"/>
    </row>
    <row r="287" spans="1:35" ht="21" customHeight="1">
      <c r="A287" s="2717"/>
      <c r="B287" s="2824" t="s">
        <v>332</v>
      </c>
      <c r="C287" s="2820" t="s">
        <v>32</v>
      </c>
      <c r="D287" s="2820"/>
      <c r="E287" s="2820"/>
      <c r="F287" s="2820" t="s">
        <v>32</v>
      </c>
      <c r="G287" s="2820" t="s">
        <v>32</v>
      </c>
      <c r="H287" s="2820" t="s">
        <v>32</v>
      </c>
      <c r="I287" s="2820" t="s">
        <v>32</v>
      </c>
      <c r="J287" s="2820" t="s">
        <v>32</v>
      </c>
      <c r="K287" s="2820"/>
      <c r="L287" s="2820"/>
      <c r="M287" s="2820" t="s">
        <v>32</v>
      </c>
      <c r="N287" s="2826" t="s">
        <v>32</v>
      </c>
      <c r="O287" s="2826" t="s">
        <v>32</v>
      </c>
      <c r="P287" s="2826"/>
      <c r="Q287" s="2825"/>
      <c r="R287" s="2826"/>
      <c r="S287" s="2820"/>
      <c r="T287" s="2820"/>
      <c r="U287" s="2826" t="s">
        <v>32</v>
      </c>
      <c r="V287" s="2826" t="s">
        <v>32</v>
      </c>
      <c r="W287" s="2826" t="s">
        <v>32</v>
      </c>
      <c r="X287" s="2820" t="s">
        <v>32</v>
      </c>
      <c r="Y287" s="2826"/>
      <c r="Z287" s="2820"/>
      <c r="AA287" s="2820" t="s">
        <v>32</v>
      </c>
      <c r="AB287" s="2820" t="s">
        <v>32</v>
      </c>
      <c r="AC287" s="2820" t="s">
        <v>32</v>
      </c>
      <c r="AD287" s="2820" t="s">
        <v>32</v>
      </c>
      <c r="AE287" s="2820" t="s">
        <v>32</v>
      </c>
      <c r="AF287" s="2820"/>
      <c r="AG287" s="2870"/>
      <c r="AH287" s="187"/>
      <c r="AI287" s="184"/>
    </row>
    <row r="288" spans="1:35" ht="21" customHeight="1">
      <c r="A288" s="2717"/>
      <c r="B288" s="2733"/>
      <c r="C288" s="2820"/>
      <c r="D288" s="2736"/>
      <c r="E288" s="2820"/>
      <c r="F288" s="2820"/>
      <c r="G288" s="2820"/>
      <c r="H288" s="2820"/>
      <c r="I288" s="2820"/>
      <c r="J288" s="2820"/>
      <c r="K288" s="2820"/>
      <c r="L288" s="2820"/>
      <c r="M288" s="2820"/>
      <c r="N288" s="2820"/>
      <c r="O288" s="2820"/>
      <c r="P288" s="2820"/>
      <c r="Q288" s="2820"/>
      <c r="R288" s="2820"/>
      <c r="S288" s="2820"/>
      <c r="T288" s="2820"/>
      <c r="U288" s="2820"/>
      <c r="V288" s="2820"/>
      <c r="W288" s="2820"/>
      <c r="X288" s="2820"/>
      <c r="Y288" s="2820"/>
      <c r="Z288" s="2820"/>
      <c r="AA288" s="2820"/>
      <c r="AB288" s="2820"/>
      <c r="AC288" s="2820"/>
      <c r="AD288" s="2820"/>
      <c r="AE288" s="2820"/>
      <c r="AF288" s="2820"/>
      <c r="AG288" s="2870"/>
      <c r="AH288" s="187"/>
      <c r="AI288" s="184"/>
    </row>
    <row r="289" spans="1:35">
      <c r="A289" s="2892"/>
      <c r="B289" s="2733"/>
      <c r="C289" s="2870"/>
      <c r="D289" s="2870"/>
      <c r="E289" s="2870"/>
      <c r="F289" s="2870"/>
      <c r="G289" s="2870"/>
      <c r="H289" s="2870"/>
      <c r="I289" s="2870"/>
      <c r="J289" s="2870"/>
      <c r="K289" s="2870"/>
      <c r="L289" s="2870"/>
      <c r="M289" s="2870"/>
      <c r="N289" s="2875"/>
      <c r="O289" s="2875"/>
      <c r="P289" s="2870"/>
      <c r="Q289" s="2870"/>
      <c r="R289" s="2870"/>
      <c r="S289" s="2870"/>
      <c r="T289" s="2870"/>
      <c r="U289" s="2870"/>
      <c r="V289" s="2870"/>
      <c r="W289" s="2870"/>
      <c r="X289" s="2870"/>
      <c r="Y289" s="2870"/>
      <c r="Z289" s="2870"/>
      <c r="AA289" s="2870"/>
      <c r="AB289" s="2875"/>
      <c r="AC289" s="2875"/>
      <c r="AD289" s="2870"/>
      <c r="AE289" s="2870"/>
      <c r="AF289" s="2870"/>
      <c r="AG289" s="2870"/>
      <c r="AH289" s="187"/>
      <c r="AI289" s="185"/>
    </row>
    <row r="290" spans="1:35" ht="12.75" thickBot="1">
      <c r="A290" s="1126"/>
      <c r="B290" s="1188"/>
      <c r="C290" s="2737"/>
      <c r="D290" s="2738"/>
      <c r="E290" s="2738"/>
      <c r="F290" s="2738"/>
      <c r="G290" s="2738"/>
      <c r="H290" s="2738"/>
      <c r="I290" s="2738"/>
      <c r="J290" s="2738"/>
      <c r="K290" s="2738"/>
      <c r="L290" s="2738"/>
      <c r="M290" s="2738"/>
      <c r="N290" s="2739"/>
      <c r="O290" s="2739"/>
      <c r="P290" s="2738"/>
      <c r="Q290" s="2738"/>
      <c r="R290" s="2738"/>
      <c r="S290" s="2738"/>
      <c r="T290" s="2738"/>
      <c r="U290" s="2738"/>
      <c r="V290" s="2738"/>
      <c r="W290" s="2738"/>
      <c r="X290" s="2738"/>
      <c r="Y290" s="2738"/>
      <c r="Z290" s="2738"/>
      <c r="AA290" s="2738"/>
      <c r="AB290" s="2739"/>
      <c r="AC290" s="2739"/>
      <c r="AD290" s="2738"/>
      <c r="AE290" s="2738"/>
      <c r="AF290" s="2738"/>
      <c r="AG290" s="2738"/>
      <c r="AH290" s="187"/>
      <c r="AI290" s="185"/>
    </row>
  </sheetData>
  <protectedRanges>
    <protectedRange sqref="B129:B13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31:B134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BE3C-BE7F-4203-80AD-EB31932D5D5E}">
  <sheetPr codeName="Ark78"/>
  <dimension ref="A1:AN287"/>
  <sheetViews>
    <sheetView zoomScale="95" zoomScaleNormal="95" workbookViewId="0">
      <pane xSplit="2" ySplit="3" topLeftCell="C32" activePane="bottomRight" state="frozen"/>
      <selection pane="topRight" activeCell="AK175" sqref="AK175"/>
      <selection pane="bottomLeft" activeCell="AK175" sqref="AK175"/>
      <selection pane="bottomRight" activeCell="B236" sqref="B236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2740" t="s">
        <v>2</v>
      </c>
      <c r="C2" s="2741" t="s">
        <v>3</v>
      </c>
      <c r="D2" s="2742"/>
      <c r="E2" s="2743" t="s">
        <v>4</v>
      </c>
      <c r="F2" s="2744"/>
      <c r="G2" s="2745"/>
      <c r="H2" s="2745"/>
      <c r="I2" s="2745"/>
      <c r="J2" s="2745"/>
      <c r="K2" s="2746"/>
      <c r="L2" s="2747" t="s">
        <v>5</v>
      </c>
      <c r="M2" s="2748"/>
      <c r="N2" s="2749"/>
      <c r="O2" s="2750" t="s">
        <v>6</v>
      </c>
      <c r="P2" s="2751"/>
      <c r="Q2" s="2752"/>
      <c r="R2" s="2753"/>
      <c r="S2" s="2754" t="s">
        <v>7</v>
      </c>
      <c r="T2" s="2755"/>
      <c r="U2" s="2756"/>
      <c r="V2" s="2755"/>
      <c r="W2" s="2757" t="s">
        <v>8</v>
      </c>
      <c r="X2" s="2758"/>
      <c r="Y2" s="2759"/>
      <c r="Z2" s="163" t="s">
        <v>9</v>
      </c>
      <c r="AA2" s="2760"/>
      <c r="AB2" s="2761"/>
      <c r="AC2" s="2762"/>
      <c r="AD2" s="2763" t="s">
        <v>10</v>
      </c>
      <c r="AE2" s="2764"/>
      <c r="AF2" s="2764"/>
      <c r="AG2" s="2765"/>
    </row>
    <row r="3" spans="1:38" ht="13.35" customHeight="1">
      <c r="A3" s="1"/>
      <c r="B3" s="2766" t="s">
        <v>11</v>
      </c>
      <c r="C3" s="2767" t="s">
        <v>12</v>
      </c>
      <c r="D3" s="2768"/>
      <c r="E3" s="91"/>
      <c r="F3" s="92"/>
      <c r="G3" s="92"/>
      <c r="H3" s="164" t="s">
        <v>13</v>
      </c>
      <c r="I3" s="93"/>
      <c r="J3" s="93"/>
      <c r="K3" s="94"/>
      <c r="L3" s="2769" t="s">
        <v>14</v>
      </c>
      <c r="M3" s="2770"/>
      <c r="N3" s="2771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770"/>
      <c r="AA3" s="2770"/>
      <c r="AB3" s="2772"/>
      <c r="AC3" s="2773"/>
      <c r="AD3" s="2774" t="s">
        <v>17</v>
      </c>
      <c r="AE3" s="3085"/>
      <c r="AF3" s="2775"/>
      <c r="AG3" s="2776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2777" t="s">
        <v>20</v>
      </c>
      <c r="B6" s="2770"/>
      <c r="C6" s="2778"/>
      <c r="D6" s="2777" t="s">
        <v>21</v>
      </c>
      <c r="E6" s="2770"/>
      <c r="F6" s="2770"/>
      <c r="G6" s="2770"/>
      <c r="H6" s="2779"/>
      <c r="I6" s="2770"/>
      <c r="J6" s="2770"/>
      <c r="K6" s="2770"/>
      <c r="L6" s="2780" t="s">
        <v>22</v>
      </c>
      <c r="M6" s="2770"/>
      <c r="N6" s="2770"/>
      <c r="O6" s="2770"/>
      <c r="P6" s="2770"/>
      <c r="Q6" s="2770"/>
      <c r="R6" s="2770"/>
      <c r="S6" s="2778"/>
      <c r="T6" s="2781"/>
      <c r="U6" s="2770"/>
      <c r="V6" s="2770"/>
      <c r="W6" s="2770"/>
      <c r="X6" s="2770"/>
      <c r="Y6" s="2770"/>
      <c r="Z6" s="2770"/>
      <c r="AA6" s="2778"/>
      <c r="AB6" s="2782"/>
      <c r="AC6" s="2783"/>
      <c r="AD6" s="2783"/>
      <c r="AE6" s="2783"/>
      <c r="AF6" s="2783"/>
      <c r="AG6" s="2784"/>
    </row>
    <row r="7" spans="1:38" ht="22.35" customHeight="1">
      <c r="A7" s="2777" t="s">
        <v>23</v>
      </c>
      <c r="B7" s="2770"/>
      <c r="C7" s="2770"/>
      <c r="D7" s="2770"/>
      <c r="E7" s="2770"/>
      <c r="F7" s="2770"/>
      <c r="G7" s="2770"/>
      <c r="H7" s="2770"/>
      <c r="I7" s="2770"/>
      <c r="J7" s="2770"/>
      <c r="K7" s="2778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770"/>
      <c r="V7" s="2770"/>
      <c r="W7" s="2770"/>
      <c r="X7" s="2770"/>
      <c r="Y7" s="2770"/>
      <c r="Z7" s="2770"/>
      <c r="AA7" s="2770"/>
      <c r="AB7" s="2785"/>
      <c r="AC7" s="2770"/>
      <c r="AD7" s="2770"/>
      <c r="AE7" s="2770"/>
      <c r="AF7" s="2770"/>
      <c r="AG7" s="2778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2786" t="s">
        <v>28</v>
      </c>
      <c r="B11" s="2787" t="s">
        <v>29</v>
      </c>
      <c r="C11" s="2788">
        <v>1</v>
      </c>
      <c r="D11" s="2788">
        <v>2</v>
      </c>
      <c r="E11" s="2788">
        <v>3</v>
      </c>
      <c r="F11" s="2788">
        <v>4</v>
      </c>
      <c r="G11" s="2788">
        <v>5</v>
      </c>
      <c r="H11" s="2789">
        <v>6</v>
      </c>
      <c r="I11" s="2789">
        <v>7</v>
      </c>
      <c r="J11" s="2788">
        <v>8</v>
      </c>
      <c r="K11" s="2788">
        <v>9</v>
      </c>
      <c r="L11" s="2788">
        <v>10</v>
      </c>
      <c r="M11" s="2788">
        <v>11</v>
      </c>
      <c r="N11" s="2788">
        <v>12</v>
      </c>
      <c r="O11" s="2789">
        <v>13</v>
      </c>
      <c r="P11" s="2789">
        <v>14</v>
      </c>
      <c r="Q11" s="2788">
        <v>15</v>
      </c>
      <c r="R11" s="2788">
        <v>16</v>
      </c>
      <c r="S11" s="2788">
        <v>17</v>
      </c>
      <c r="T11" s="2788">
        <v>18</v>
      </c>
      <c r="U11" s="2788">
        <v>19</v>
      </c>
      <c r="V11" s="2789">
        <v>20</v>
      </c>
      <c r="W11" s="2789">
        <v>21</v>
      </c>
      <c r="X11" s="2788">
        <v>22</v>
      </c>
      <c r="Y11" s="2788">
        <v>23</v>
      </c>
      <c r="Z11" s="2788">
        <v>24</v>
      </c>
      <c r="AA11" s="2788">
        <v>25</v>
      </c>
      <c r="AB11" s="2788">
        <v>26</v>
      </c>
      <c r="AC11" s="2789">
        <v>27</v>
      </c>
      <c r="AD11" s="2789">
        <v>28</v>
      </c>
      <c r="AE11" s="2788">
        <v>29</v>
      </c>
      <c r="AF11" s="2788">
        <v>30</v>
      </c>
      <c r="AG11" s="2790"/>
      <c r="AH11" s="176"/>
      <c r="AI11" s="177"/>
      <c r="AJ11" s="2791" t="s">
        <v>30</v>
      </c>
    </row>
    <row r="12" spans="1:38" ht="22.35" customHeight="1">
      <c r="A12" s="506">
        <v>8500</v>
      </c>
      <c r="B12" s="389" t="s">
        <v>31</v>
      </c>
      <c r="C12" s="539" t="s">
        <v>32</v>
      </c>
      <c r="D12" s="539" t="s">
        <v>32</v>
      </c>
      <c r="E12" s="539" t="s">
        <v>32</v>
      </c>
      <c r="F12" s="400" t="s">
        <v>32</v>
      </c>
      <c r="G12" s="400" t="s">
        <v>32</v>
      </c>
      <c r="H12" s="349"/>
      <c r="I12" s="349"/>
      <c r="J12" s="349" t="s">
        <v>32</v>
      </c>
      <c r="K12" s="349" t="s">
        <v>32</v>
      </c>
      <c r="L12" s="349" t="s">
        <v>32</v>
      </c>
      <c r="M12" s="539" t="s">
        <v>32</v>
      </c>
      <c r="N12" s="539" t="s">
        <v>32</v>
      </c>
      <c r="O12" s="349"/>
      <c r="P12" s="349"/>
      <c r="Q12" s="349" t="s">
        <v>32</v>
      </c>
      <c r="R12" s="349" t="s">
        <v>32</v>
      </c>
      <c r="S12" s="349" t="s">
        <v>32</v>
      </c>
      <c r="T12" s="539" t="s">
        <v>32</v>
      </c>
      <c r="U12" s="539" t="s">
        <v>32</v>
      </c>
      <c r="V12" s="349"/>
      <c r="W12" s="349"/>
      <c r="X12" s="349" t="s">
        <v>32</v>
      </c>
      <c r="Y12" s="349" t="s">
        <v>32</v>
      </c>
      <c r="Z12" s="349" t="s">
        <v>32</v>
      </c>
      <c r="AA12" s="539" t="s">
        <v>32</v>
      </c>
      <c r="AB12" s="539" t="s">
        <v>32</v>
      </c>
      <c r="AC12" s="349"/>
      <c r="AD12" s="350"/>
      <c r="AE12" s="539" t="s">
        <v>32</v>
      </c>
      <c r="AF12" s="350" t="s">
        <v>32</v>
      </c>
      <c r="AG12" s="352"/>
      <c r="AH12" s="182"/>
      <c r="AI12" s="182"/>
      <c r="AJ12" s="2791">
        <v>160.33000000000001</v>
      </c>
    </row>
    <row r="13" spans="1:38" ht="22.35" customHeight="1" thickBot="1">
      <c r="A13" s="2793" t="s">
        <v>33</v>
      </c>
      <c r="B13" s="2794"/>
      <c r="C13" s="2794"/>
      <c r="D13" s="2794"/>
      <c r="E13" s="2794"/>
      <c r="F13" s="2794"/>
      <c r="G13" s="2794"/>
      <c r="H13" s="2794"/>
      <c r="I13" s="2794"/>
      <c r="J13" s="2794"/>
      <c r="K13" s="2794"/>
      <c r="L13" s="2794"/>
      <c r="M13" s="2794"/>
      <c r="N13" s="2794"/>
      <c r="O13" s="2794"/>
      <c r="P13" s="2794"/>
      <c r="Q13" s="2794"/>
      <c r="R13" s="2794"/>
      <c r="S13" s="2794"/>
      <c r="T13" s="3086"/>
      <c r="U13" s="2794"/>
      <c r="V13" s="2794"/>
      <c r="W13" s="2794"/>
      <c r="X13" s="2794"/>
      <c r="Y13" s="2794"/>
      <c r="Z13" s="2794"/>
      <c r="AA13" s="2794"/>
      <c r="AB13" s="2794"/>
      <c r="AC13" s="2794"/>
      <c r="AD13" s="2794"/>
      <c r="AE13" s="2794"/>
      <c r="AF13" s="2794"/>
      <c r="AG13" s="2795"/>
      <c r="AH13" s="180"/>
      <c r="AI13" s="180"/>
    </row>
    <row r="14" spans="1:38" ht="22.35" customHeight="1" thickBot="1">
      <c r="A14" s="2796">
        <v>8546</v>
      </c>
      <c r="B14" s="2808"/>
      <c r="C14" s="2798">
        <v>4</v>
      </c>
      <c r="D14" s="2798">
        <v>4</v>
      </c>
      <c r="E14" s="2798">
        <v>4</v>
      </c>
      <c r="F14" s="2798">
        <v>4</v>
      </c>
      <c r="G14" s="2798">
        <v>4</v>
      </c>
      <c r="H14" s="2799" t="s">
        <v>37</v>
      </c>
      <c r="I14" s="2799" t="s">
        <v>37</v>
      </c>
      <c r="J14" s="2799" t="s">
        <v>36</v>
      </c>
      <c r="K14" s="2807" t="s">
        <v>36</v>
      </c>
      <c r="L14" s="2799" t="s">
        <v>36</v>
      </c>
      <c r="M14" s="2875" t="s">
        <v>36</v>
      </c>
      <c r="N14" s="2798" t="s">
        <v>36</v>
      </c>
      <c r="O14" s="2798"/>
      <c r="P14" s="2802"/>
      <c r="Q14" s="2802">
        <v>1</v>
      </c>
      <c r="R14" s="349">
        <v>1</v>
      </c>
      <c r="S14" s="2803">
        <v>1</v>
      </c>
      <c r="T14" s="2860">
        <v>1</v>
      </c>
      <c r="U14" s="2802">
        <v>1</v>
      </c>
      <c r="V14" s="2799"/>
      <c r="W14" s="2799"/>
      <c r="X14" s="2799">
        <v>2</v>
      </c>
      <c r="Y14" s="2799">
        <v>2</v>
      </c>
      <c r="Z14" s="2799">
        <v>2</v>
      </c>
      <c r="AA14" s="2799">
        <v>2</v>
      </c>
      <c r="AB14" s="2799">
        <v>2</v>
      </c>
      <c r="AC14" s="2799" t="s">
        <v>35</v>
      </c>
      <c r="AD14" s="2802" t="s">
        <v>35</v>
      </c>
      <c r="AE14" s="2799" t="s">
        <v>36</v>
      </c>
      <c r="AF14" s="2799" t="s">
        <v>36</v>
      </c>
      <c r="AG14" s="2804"/>
      <c r="AH14" s="182"/>
      <c r="AI14" s="182"/>
    </row>
    <row r="15" spans="1:38" ht="22.35" customHeight="1">
      <c r="A15" s="2796">
        <v>8546</v>
      </c>
      <c r="B15" s="2805" t="s">
        <v>38</v>
      </c>
      <c r="C15" s="2807" t="s">
        <v>36</v>
      </c>
      <c r="D15" s="2799" t="s">
        <v>36</v>
      </c>
      <c r="E15" s="2799" t="s">
        <v>36</v>
      </c>
      <c r="F15" s="3087" t="s">
        <v>36</v>
      </c>
      <c r="G15" s="2802" t="s">
        <v>36</v>
      </c>
      <c r="H15" s="2802"/>
      <c r="I15" s="2799"/>
      <c r="J15" s="2806">
        <v>4</v>
      </c>
      <c r="K15" s="2806">
        <v>4</v>
      </c>
      <c r="L15" s="2806">
        <v>4</v>
      </c>
      <c r="M15" s="2806">
        <v>4</v>
      </c>
      <c r="N15" s="2799">
        <v>4</v>
      </c>
      <c r="O15" s="2799" t="s">
        <v>37</v>
      </c>
      <c r="P15" s="2799" t="s">
        <v>37</v>
      </c>
      <c r="Q15" s="2799" t="s">
        <v>36</v>
      </c>
      <c r="R15" s="349" t="s">
        <v>36</v>
      </c>
      <c r="S15" s="2799" t="s">
        <v>36</v>
      </c>
      <c r="T15" s="2860" t="s">
        <v>36</v>
      </c>
      <c r="U15" s="2799" t="s">
        <v>36</v>
      </c>
      <c r="V15" s="2799"/>
      <c r="W15" s="2799"/>
      <c r="X15" s="2799">
        <v>1</v>
      </c>
      <c r="Y15" s="2799">
        <v>1</v>
      </c>
      <c r="Z15" s="2799">
        <v>1</v>
      </c>
      <c r="AA15" s="2799">
        <v>1</v>
      </c>
      <c r="AB15" s="2799">
        <v>1</v>
      </c>
      <c r="AC15" s="2799"/>
      <c r="AD15" s="2799"/>
      <c r="AE15" s="2799">
        <v>2</v>
      </c>
      <c r="AF15" s="2799">
        <v>2</v>
      </c>
      <c r="AG15" s="2804"/>
      <c r="AH15" s="182"/>
      <c r="AI15" s="182"/>
      <c r="AL15" t="s">
        <v>0</v>
      </c>
    </row>
    <row r="16" spans="1:38" ht="22.35" customHeight="1">
      <c r="A16" s="2796">
        <v>8546</v>
      </c>
      <c r="B16" s="2808" t="s">
        <v>39</v>
      </c>
      <c r="C16" s="2802">
        <v>1</v>
      </c>
      <c r="D16" s="2799">
        <v>1</v>
      </c>
      <c r="E16" s="2799">
        <v>1</v>
      </c>
      <c r="F16" s="2799">
        <v>1</v>
      </c>
      <c r="G16" s="2799">
        <v>1</v>
      </c>
      <c r="H16" s="2799"/>
      <c r="I16" s="2799"/>
      <c r="J16" s="2799">
        <v>2</v>
      </c>
      <c r="K16" s="2799">
        <v>2</v>
      </c>
      <c r="L16" s="2799">
        <v>2</v>
      </c>
      <c r="M16" s="2799">
        <v>2</v>
      </c>
      <c r="N16" s="2802">
        <v>2</v>
      </c>
      <c r="O16" s="2802" t="s">
        <v>35</v>
      </c>
      <c r="P16" s="2802" t="s">
        <v>35</v>
      </c>
      <c r="Q16" s="2802" t="s">
        <v>36</v>
      </c>
      <c r="R16" s="2802" t="s">
        <v>36</v>
      </c>
      <c r="S16" s="2799" t="s">
        <v>36</v>
      </c>
      <c r="T16" s="2860" t="s">
        <v>36</v>
      </c>
      <c r="U16" s="2799" t="s">
        <v>36</v>
      </c>
      <c r="V16" s="2799"/>
      <c r="W16" s="2807"/>
      <c r="X16" s="2799">
        <v>4</v>
      </c>
      <c r="Y16" s="2802">
        <v>4</v>
      </c>
      <c r="Z16" s="2802">
        <v>4</v>
      </c>
      <c r="AA16" s="2802">
        <v>4</v>
      </c>
      <c r="AB16" s="2802">
        <v>4</v>
      </c>
      <c r="AC16" s="2802" t="s">
        <v>37</v>
      </c>
      <c r="AD16" s="2799" t="s">
        <v>37</v>
      </c>
      <c r="AE16" s="2799" t="s">
        <v>36</v>
      </c>
      <c r="AF16" s="2799" t="s">
        <v>36</v>
      </c>
      <c r="AG16" s="2804"/>
      <c r="AH16" s="182"/>
      <c r="AI16" s="182"/>
    </row>
    <row r="17" spans="1:40" ht="22.35" customHeight="1">
      <c r="A17" s="2796">
        <v>8546</v>
      </c>
      <c r="B17" s="2805" t="s">
        <v>40</v>
      </c>
      <c r="C17" s="2799" t="s">
        <v>36</v>
      </c>
      <c r="D17" s="2807" t="s">
        <v>36</v>
      </c>
      <c r="E17" s="2799" t="s">
        <v>36</v>
      </c>
      <c r="F17" s="3087" t="s">
        <v>36</v>
      </c>
      <c r="G17" s="2799" t="s">
        <v>36</v>
      </c>
      <c r="H17" s="2799"/>
      <c r="I17" s="2799"/>
      <c r="J17" s="2799">
        <v>1</v>
      </c>
      <c r="K17" s="2799">
        <v>1</v>
      </c>
      <c r="L17" s="2799">
        <v>1</v>
      </c>
      <c r="M17" s="2798">
        <v>1</v>
      </c>
      <c r="N17" s="2798">
        <v>1</v>
      </c>
      <c r="O17" s="2798"/>
      <c r="P17" s="2798"/>
      <c r="Q17" s="2798">
        <v>2</v>
      </c>
      <c r="R17" s="2798">
        <v>2</v>
      </c>
      <c r="S17" s="2798">
        <v>2</v>
      </c>
      <c r="T17" s="2860">
        <v>2</v>
      </c>
      <c r="U17" s="2799">
        <v>2</v>
      </c>
      <c r="V17" s="2799" t="s">
        <v>35</v>
      </c>
      <c r="W17" s="2799" t="s">
        <v>35</v>
      </c>
      <c r="X17" s="2807" t="s">
        <v>36</v>
      </c>
      <c r="Y17" s="2799" t="s">
        <v>36</v>
      </c>
      <c r="Z17" s="2799" t="s">
        <v>36</v>
      </c>
      <c r="AA17" s="2810">
        <v>3</v>
      </c>
      <c r="AB17" s="2811" t="s">
        <v>36</v>
      </c>
      <c r="AC17" s="2811"/>
      <c r="AD17" s="2811"/>
      <c r="AE17" s="2811">
        <v>4</v>
      </c>
      <c r="AF17" s="2811">
        <v>4</v>
      </c>
      <c r="AG17" s="2804"/>
      <c r="AH17" s="182"/>
      <c r="AI17" s="182"/>
    </row>
    <row r="18" spans="1:40" ht="22.35" customHeight="1">
      <c r="A18" s="2796">
        <v>8546</v>
      </c>
      <c r="B18" s="2808" t="s">
        <v>41</v>
      </c>
      <c r="C18" s="2799">
        <v>2</v>
      </c>
      <c r="D18" s="2807">
        <v>2</v>
      </c>
      <c r="E18" s="2799">
        <v>2</v>
      </c>
      <c r="F18" s="3088">
        <v>2</v>
      </c>
      <c r="G18" s="2799">
        <v>2</v>
      </c>
      <c r="H18" s="2799" t="s">
        <v>35</v>
      </c>
      <c r="I18" s="2799" t="s">
        <v>35</v>
      </c>
      <c r="J18" s="2802" t="s">
        <v>36</v>
      </c>
      <c r="K18" s="2802" t="s">
        <v>36</v>
      </c>
      <c r="L18" s="2799" t="s">
        <v>36</v>
      </c>
      <c r="M18" s="2802" t="s">
        <v>36</v>
      </c>
      <c r="N18" s="2802" t="s">
        <v>36</v>
      </c>
      <c r="O18" s="2799"/>
      <c r="P18" s="2802"/>
      <c r="Q18" s="2802">
        <v>4</v>
      </c>
      <c r="R18" s="2802">
        <v>4</v>
      </c>
      <c r="S18" s="2802">
        <v>4</v>
      </c>
      <c r="T18" s="2860">
        <v>4</v>
      </c>
      <c r="U18" s="2875">
        <v>4</v>
      </c>
      <c r="V18" s="2875" t="s">
        <v>37</v>
      </c>
      <c r="W18" s="2799" t="s">
        <v>37</v>
      </c>
      <c r="X18" s="2799" t="s">
        <v>36</v>
      </c>
      <c r="Y18" s="2799" t="s">
        <v>36</v>
      </c>
      <c r="Z18" s="2799" t="s">
        <v>36</v>
      </c>
      <c r="AA18" s="2799" t="s">
        <v>36</v>
      </c>
      <c r="AB18" s="2799" t="s">
        <v>36</v>
      </c>
      <c r="AC18" s="2812"/>
      <c r="AD18" s="2799"/>
      <c r="AE18" s="2799">
        <v>1</v>
      </c>
      <c r="AF18" s="2799">
        <v>1</v>
      </c>
      <c r="AG18" s="2804"/>
      <c r="AH18" s="182"/>
      <c r="AI18" s="182"/>
    </row>
    <row r="19" spans="1:40" ht="22.35" customHeight="1" thickBot="1">
      <c r="A19" s="2813" t="s">
        <v>42</v>
      </c>
      <c r="B19" s="2814"/>
      <c r="C19" s="2815"/>
      <c r="D19" s="2815"/>
      <c r="E19" s="2815"/>
      <c r="F19" s="3089"/>
      <c r="G19" s="2815"/>
      <c r="H19" s="2815"/>
      <c r="I19" s="2815"/>
      <c r="J19" s="2815"/>
      <c r="K19" s="2815"/>
      <c r="L19" s="2815"/>
      <c r="M19" s="2815"/>
      <c r="N19" s="2815"/>
      <c r="O19" s="2815"/>
      <c r="P19" s="2815"/>
      <c r="Q19" s="2815"/>
      <c r="R19" s="2815"/>
      <c r="S19" s="2815"/>
      <c r="T19" s="3090"/>
      <c r="U19" s="2815"/>
      <c r="V19" s="2815"/>
      <c r="W19" s="2815"/>
      <c r="X19" s="2815"/>
      <c r="Y19" s="2815"/>
      <c r="Z19" s="2815"/>
      <c r="AA19" s="2815"/>
      <c r="AB19" s="2815"/>
      <c r="AC19" s="2815"/>
      <c r="AD19" s="2815"/>
      <c r="AE19" s="2815"/>
      <c r="AF19" s="2815"/>
      <c r="AG19" s="2816"/>
      <c r="AH19" s="180"/>
      <c r="AI19" s="180"/>
      <c r="AJ19" s="2791" t="s">
        <v>30</v>
      </c>
      <c r="AK19" s="2791" t="s">
        <v>43</v>
      </c>
      <c r="AL19" s="2791" t="s">
        <v>44</v>
      </c>
      <c r="AM19" s="2791" t="s">
        <v>45</v>
      </c>
      <c r="AN19" s="2791" t="s">
        <v>46</v>
      </c>
    </row>
    <row r="20" spans="1:40" ht="22.35" customHeight="1" thickBot="1">
      <c r="A20" s="353">
        <v>8500</v>
      </c>
      <c r="B20" s="354" t="s">
        <v>48</v>
      </c>
      <c r="C20" s="2629" t="s">
        <v>32</v>
      </c>
      <c r="D20" s="552" t="s">
        <v>32</v>
      </c>
      <c r="E20" s="552" t="s">
        <v>32</v>
      </c>
      <c r="F20" s="552" t="s">
        <v>32</v>
      </c>
      <c r="G20" s="552" t="s">
        <v>278</v>
      </c>
      <c r="H20" s="349"/>
      <c r="I20" s="349"/>
      <c r="J20" s="349" t="s">
        <v>32</v>
      </c>
      <c r="K20" s="349" t="s">
        <v>32</v>
      </c>
      <c r="L20" s="349" t="s">
        <v>32</v>
      </c>
      <c r="M20" s="349" t="s">
        <v>32</v>
      </c>
      <c r="N20" s="349" t="s">
        <v>32</v>
      </c>
      <c r="O20" s="349"/>
      <c r="P20" s="349"/>
      <c r="Q20" s="349" t="s">
        <v>32</v>
      </c>
      <c r="R20" s="349" t="s">
        <v>32</v>
      </c>
      <c r="S20" s="349" t="s">
        <v>32</v>
      </c>
      <c r="T20" s="400" t="s">
        <v>32</v>
      </c>
      <c r="U20" s="349" t="s">
        <v>32</v>
      </c>
      <c r="V20" s="349"/>
      <c r="W20" s="349"/>
      <c r="X20" s="747" t="s">
        <v>32</v>
      </c>
      <c r="Y20" s="349" t="s">
        <v>32</v>
      </c>
      <c r="Z20" s="349" t="s">
        <v>32</v>
      </c>
      <c r="AA20" s="349" t="s">
        <v>32</v>
      </c>
      <c r="AB20" s="349" t="s">
        <v>32</v>
      </c>
      <c r="AC20" s="349"/>
      <c r="AD20" s="349"/>
      <c r="AE20" s="349" t="s">
        <v>32</v>
      </c>
      <c r="AF20" s="349" t="s">
        <v>32</v>
      </c>
      <c r="AG20" s="397"/>
      <c r="AH20" s="182"/>
      <c r="AI20" s="182"/>
      <c r="AJ20" s="2696"/>
      <c r="AK20" s="2696"/>
      <c r="AL20" s="2696" t="str">
        <f>IF(AJ20="","",SUM(AJ20:AK20))</f>
        <v/>
      </c>
      <c r="AM20" s="2818" t="str">
        <f>IF(AJ20="","",AL20-NormTid)</f>
        <v/>
      </c>
      <c r="AN20" s="2818" t="str">
        <f>IF(AM20="","",AM20+'Oktober 2021'!AN20)</f>
        <v/>
      </c>
    </row>
    <row r="21" spans="1:40" ht="22.35" customHeight="1">
      <c r="A21" s="2819">
        <v>8500</v>
      </c>
      <c r="B21" s="2797" t="s">
        <v>49</v>
      </c>
      <c r="C21" s="2820" t="s">
        <v>32</v>
      </c>
      <c r="D21" s="2820" t="s">
        <v>32</v>
      </c>
      <c r="E21" s="2820" t="s">
        <v>50</v>
      </c>
      <c r="F21" s="3091" t="s">
        <v>32</v>
      </c>
      <c r="G21" s="2820" t="s">
        <v>52</v>
      </c>
      <c r="H21" s="2820"/>
      <c r="I21" s="2820"/>
      <c r="J21" s="2798">
        <v>4</v>
      </c>
      <c r="K21" s="2798">
        <v>4</v>
      </c>
      <c r="L21" s="2929">
        <v>4</v>
      </c>
      <c r="M21" s="2929">
        <v>4</v>
      </c>
      <c r="N21" s="3044" t="s">
        <v>36</v>
      </c>
      <c r="O21" s="2629" t="s">
        <v>315</v>
      </c>
      <c r="P21" s="2820"/>
      <c r="Q21" s="2820" t="s">
        <v>32</v>
      </c>
      <c r="R21" s="349" t="s">
        <v>32</v>
      </c>
      <c r="S21" s="2820" t="s">
        <v>32</v>
      </c>
      <c r="T21" s="2820" t="s">
        <v>32</v>
      </c>
      <c r="U21" s="2820" t="s">
        <v>32</v>
      </c>
      <c r="V21" s="2820"/>
      <c r="W21" s="2820"/>
      <c r="X21" s="2799">
        <v>2</v>
      </c>
      <c r="Y21" s="2799">
        <v>2</v>
      </c>
      <c r="Z21" s="2799">
        <v>2</v>
      </c>
      <c r="AA21" s="2799">
        <v>2</v>
      </c>
      <c r="AB21" s="2799">
        <v>2</v>
      </c>
      <c r="AC21" s="2799" t="s">
        <v>35</v>
      </c>
      <c r="AD21" s="2820"/>
      <c r="AE21" s="2798" t="s">
        <v>36</v>
      </c>
      <c r="AF21" s="2798" t="s">
        <v>36</v>
      </c>
      <c r="AG21" s="2823"/>
      <c r="AH21" s="182"/>
      <c r="AI21" s="182"/>
      <c r="AJ21" s="2696">
        <v>175.25</v>
      </c>
      <c r="AK21" s="2696">
        <v>5.75</v>
      </c>
      <c r="AL21" s="2696">
        <f t="shared" ref="AL21:AL23" si="0">IF(AJ21="","",SUM(AJ21:AK21))</f>
        <v>181</v>
      </c>
      <c r="AM21" s="2818">
        <f>IF(AJ21="","",AL21-NormTid)</f>
        <v>20.669999999999987</v>
      </c>
      <c r="AN21" s="2818">
        <f>IF(AM21="","",AM21+'Oktober 2021'!AN21)</f>
        <v>151.2699999999999</v>
      </c>
    </row>
    <row r="22" spans="1:40" ht="22.35" customHeight="1">
      <c r="A22" s="2819">
        <v>8500</v>
      </c>
      <c r="B22" s="2797" t="s">
        <v>51</v>
      </c>
      <c r="C22" s="2798">
        <v>4</v>
      </c>
      <c r="D22" s="2798">
        <v>4</v>
      </c>
      <c r="E22" s="2798">
        <v>4</v>
      </c>
      <c r="F22" s="2798">
        <v>4</v>
      </c>
      <c r="G22" s="2798">
        <v>4</v>
      </c>
      <c r="H22" s="2799" t="s">
        <v>37</v>
      </c>
      <c r="I22" s="2799" t="s">
        <v>37</v>
      </c>
      <c r="J22" s="2802" t="s">
        <v>36</v>
      </c>
      <c r="K22" s="2802" t="s">
        <v>36</v>
      </c>
      <c r="L22" s="2802" t="s">
        <v>36</v>
      </c>
      <c r="M22" s="2802" t="s">
        <v>36</v>
      </c>
      <c r="N22" s="2802" t="s">
        <v>36</v>
      </c>
      <c r="O22" s="2826"/>
      <c r="P22" s="2826"/>
      <c r="Q22" s="2820">
        <v>1</v>
      </c>
      <c r="R22" s="2820">
        <v>1</v>
      </c>
      <c r="S22" s="2820">
        <v>1</v>
      </c>
      <c r="T22" s="2696">
        <v>1</v>
      </c>
      <c r="U22" s="2820">
        <v>1</v>
      </c>
      <c r="V22" s="2826"/>
      <c r="W22" s="2826"/>
      <c r="X22" s="2858" t="s">
        <v>36</v>
      </c>
      <c r="Y22" s="2858" t="s">
        <v>36</v>
      </c>
      <c r="Z22" s="2858" t="s">
        <v>36</v>
      </c>
      <c r="AA22" s="2858" t="s">
        <v>36</v>
      </c>
      <c r="AB22" s="2858" t="s">
        <v>36</v>
      </c>
      <c r="AC22" s="2820"/>
      <c r="AD22" s="2799" t="s">
        <v>35</v>
      </c>
      <c r="AE22" s="2798" t="s">
        <v>36</v>
      </c>
      <c r="AF22" s="2798" t="s">
        <v>36</v>
      </c>
      <c r="AG22" s="2823"/>
      <c r="AH22" s="182"/>
      <c r="AI22" s="182"/>
      <c r="AJ22" s="2696">
        <v>122.25</v>
      </c>
      <c r="AK22" s="2696">
        <v>6.25</v>
      </c>
      <c r="AL22" s="2696">
        <f t="shared" si="0"/>
        <v>128.5</v>
      </c>
      <c r="AM22" s="2818">
        <f>IF(AJ22="","",AL22-NormTid)</f>
        <v>-31.830000000000013</v>
      </c>
      <c r="AN22" s="2818">
        <f>IF(AM22="","",AM22+'Oktober 2021'!AN22)</f>
        <v>108.11999999999992</v>
      </c>
    </row>
    <row r="23" spans="1:40" ht="22.35" customHeight="1" thickBot="1">
      <c r="A23" s="2819"/>
      <c r="B23" s="2828"/>
      <c r="C23" s="2820"/>
      <c r="D23" s="2825"/>
      <c r="E23" s="2820"/>
      <c r="F23" s="2820"/>
      <c r="G23" s="2820"/>
      <c r="H23" s="2820"/>
      <c r="I23" s="2820"/>
      <c r="J23" s="2820"/>
      <c r="K23" s="2820"/>
      <c r="L23" s="2820"/>
      <c r="M23" s="2820"/>
      <c r="N23" s="2820"/>
      <c r="O23" s="2829"/>
      <c r="P23" s="2820"/>
      <c r="Q23" s="2820"/>
      <c r="R23" s="2830"/>
      <c r="S23" s="2830"/>
      <c r="T23" s="2820"/>
      <c r="U23" s="2820"/>
      <c r="V23" s="2820"/>
      <c r="W23" s="2820"/>
      <c r="X23" s="2820"/>
      <c r="Y23" s="2820" t="s">
        <v>0</v>
      </c>
      <c r="Z23" s="2820" t="s">
        <v>0</v>
      </c>
      <c r="AA23" s="2820" t="s">
        <v>0</v>
      </c>
      <c r="AB23" s="2820" t="s">
        <v>0</v>
      </c>
      <c r="AC23" s="2826"/>
      <c r="AD23" s="2826"/>
      <c r="AE23" s="2826"/>
      <c r="AF23" s="2826"/>
      <c r="AG23" s="2823"/>
      <c r="AJ23" s="2696"/>
      <c r="AK23" s="2696"/>
      <c r="AL23" s="2696" t="str">
        <f t="shared" si="0"/>
        <v/>
      </c>
      <c r="AM23" s="2818" t="str">
        <f>IF(AJ23="","",AL23-NormTid)</f>
        <v/>
      </c>
      <c r="AN23" s="2818" t="str">
        <f>IF(AM23="","",AM23+'Oktober 2021'!AN23)</f>
        <v/>
      </c>
    </row>
    <row r="24" spans="1:40" ht="22.35" customHeight="1" thickBot="1">
      <c r="A24" s="1283"/>
      <c r="B24" s="2824" t="s">
        <v>54</v>
      </c>
      <c r="C24" s="2820" t="s">
        <v>32</v>
      </c>
      <c r="D24" s="2820" t="s">
        <v>32</v>
      </c>
      <c r="E24" s="2820" t="s">
        <v>32</v>
      </c>
      <c r="F24" s="2820" t="s">
        <v>32</v>
      </c>
      <c r="G24" s="2820" t="s">
        <v>32</v>
      </c>
      <c r="H24" s="2820"/>
      <c r="I24" s="2817"/>
      <c r="J24" s="2820" t="s">
        <v>32</v>
      </c>
      <c r="K24" s="2820" t="s">
        <v>32</v>
      </c>
      <c r="L24" s="2820" t="s">
        <v>32</v>
      </c>
      <c r="M24" s="2820" t="s">
        <v>32</v>
      </c>
      <c r="N24" s="2827" t="s">
        <v>32</v>
      </c>
      <c r="O24" s="2826"/>
      <c r="P24" s="2826"/>
      <c r="Q24" s="2825" t="s">
        <v>32</v>
      </c>
      <c r="R24" s="349" t="s">
        <v>32</v>
      </c>
      <c r="S24" s="349" t="s">
        <v>32</v>
      </c>
      <c r="T24" s="2820" t="s">
        <v>32</v>
      </c>
      <c r="U24" s="2826" t="s">
        <v>32</v>
      </c>
      <c r="V24" s="2826"/>
      <c r="W24" s="2827"/>
      <c r="X24" s="2820" t="s">
        <v>32</v>
      </c>
      <c r="Y24" s="2826" t="s">
        <v>32</v>
      </c>
      <c r="Z24" s="2820" t="s">
        <v>32</v>
      </c>
      <c r="AA24" s="3044" t="s">
        <v>32</v>
      </c>
      <c r="AB24" s="3044" t="s">
        <v>346</v>
      </c>
      <c r="AC24" s="2820"/>
      <c r="AD24" s="2820"/>
      <c r="AE24" s="2820" t="s">
        <v>32</v>
      </c>
      <c r="AF24" s="2820" t="s">
        <v>32</v>
      </c>
      <c r="AG24" s="2823"/>
    </row>
    <row r="25" spans="1:40" ht="22.35" customHeight="1" thickBot="1">
      <c r="A25" s="102"/>
      <c r="C25" t="s">
        <v>0</v>
      </c>
      <c r="D25" t="s">
        <v>0</v>
      </c>
      <c r="F25" t="s">
        <v>0</v>
      </c>
      <c r="K25" t="s">
        <v>0</v>
      </c>
      <c r="L25" t="s">
        <v>0</v>
      </c>
      <c r="Q25" s="202"/>
      <c r="R25" t="s">
        <v>0</v>
      </c>
      <c r="S25" s="509" t="s">
        <v>242</v>
      </c>
      <c r="X25" t="s">
        <v>0</v>
      </c>
      <c r="Z25" t="s">
        <v>0</v>
      </c>
      <c r="AA25" s="211" t="s">
        <v>0</v>
      </c>
      <c r="AB25" s="211" t="s">
        <v>183</v>
      </c>
      <c r="AC25" t="s">
        <v>0</v>
      </c>
      <c r="AD25" t="s">
        <v>0</v>
      </c>
      <c r="AE25" t="s">
        <v>0</v>
      </c>
    </row>
    <row r="26" spans="1:40" ht="22.35" customHeight="1">
      <c r="A26" s="102"/>
      <c r="C26" t="s">
        <v>0</v>
      </c>
      <c r="K26" t="s">
        <v>0</v>
      </c>
      <c r="L26" t="s">
        <v>0</v>
      </c>
      <c r="M26" t="s">
        <v>0</v>
      </c>
      <c r="N26" t="s">
        <v>0</v>
      </c>
      <c r="Q26" t="s">
        <v>0</v>
      </c>
      <c r="R26" t="s">
        <v>0</v>
      </c>
      <c r="S26" t="s">
        <v>0</v>
      </c>
      <c r="T26" t="s">
        <v>0</v>
      </c>
      <c r="U26" t="s">
        <v>0</v>
      </c>
      <c r="Z26" t="s">
        <v>0</v>
      </c>
      <c r="AA26" t="s">
        <v>0</v>
      </c>
    </row>
    <row r="27" spans="1:40" ht="22.35" customHeight="1">
      <c r="A27" s="102"/>
      <c r="K27" t="s">
        <v>0</v>
      </c>
      <c r="Q27" t="s">
        <v>0</v>
      </c>
      <c r="R27" t="s">
        <v>0</v>
      </c>
      <c r="S27" t="s">
        <v>0</v>
      </c>
    </row>
    <row r="28" spans="1:40" ht="22.35" customHeight="1">
      <c r="A28" s="102"/>
      <c r="K28" t="s">
        <v>0</v>
      </c>
      <c r="L28" t="s">
        <v>0</v>
      </c>
      <c r="S28" t="s">
        <v>0</v>
      </c>
      <c r="T28" t="s">
        <v>0</v>
      </c>
      <c r="U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</row>
    <row r="29" spans="1:40" ht="22.35" customHeight="1">
      <c r="A29" s="102"/>
      <c r="Y29" t="s">
        <v>0</v>
      </c>
      <c r="Z29" t="s">
        <v>0</v>
      </c>
      <c r="AA29" t="s">
        <v>0</v>
      </c>
      <c r="AB29" t="s">
        <v>0</v>
      </c>
      <c r="AC29" t="s">
        <v>0</v>
      </c>
      <c r="AD29" t="s">
        <v>0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 t="s">
        <v>0</v>
      </c>
      <c r="Z30" s="72" t="s">
        <v>0</v>
      </c>
      <c r="AA30" s="72" t="s">
        <v>0</v>
      </c>
      <c r="AB30" t="s">
        <v>0</v>
      </c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2836" t="s">
        <v>61</v>
      </c>
      <c r="B32" s="2783"/>
      <c r="C32" s="2783"/>
      <c r="D32" s="2837" t="s">
        <v>62</v>
      </c>
      <c r="E32" s="2838"/>
      <c r="F32" s="2770"/>
      <c r="G32" s="2770"/>
      <c r="H32" s="2770"/>
      <c r="I32" s="2770"/>
      <c r="J32" s="2770"/>
      <c r="K32" s="2770"/>
      <c r="L32" s="2778"/>
      <c r="M32" s="2839" t="s">
        <v>63</v>
      </c>
      <c r="N32" s="2783"/>
      <c r="O32" s="2840"/>
      <c r="P32" s="2783"/>
      <c r="Q32" s="2783"/>
      <c r="R32" s="2783"/>
      <c r="S32" s="2841"/>
      <c r="T32" s="2837" t="s">
        <v>64</v>
      </c>
      <c r="U32" s="2770"/>
      <c r="V32" s="2838"/>
      <c r="W32" s="2770"/>
      <c r="X32" s="2770"/>
      <c r="Y32" s="2770"/>
      <c r="Z32" s="2778"/>
      <c r="AA32" s="162" t="s">
        <v>65</v>
      </c>
      <c r="AD32" s="100"/>
      <c r="AG32" s="103"/>
      <c r="AK32" s="1"/>
    </row>
    <row r="33" spans="1:38" ht="22.35" customHeight="1">
      <c r="A33" s="2842" t="s">
        <v>66</v>
      </c>
      <c r="B33" s="2770"/>
      <c r="C33" s="2770"/>
      <c r="D33" s="2843"/>
      <c r="E33" s="2770"/>
      <c r="F33" s="2770"/>
      <c r="G33" s="2778"/>
      <c r="H33" s="2785" t="s">
        <v>67</v>
      </c>
      <c r="I33" s="2770"/>
      <c r="J33" s="2770"/>
      <c r="K33" s="2770"/>
      <c r="L33" s="2770"/>
      <c r="M33" s="2844"/>
      <c r="N33" s="2770"/>
      <c r="O33" s="2770"/>
      <c r="P33" s="2770"/>
      <c r="Q33" s="2770"/>
      <c r="R33" s="2770"/>
      <c r="S33" s="2770"/>
      <c r="T33" s="2843"/>
      <c r="U33" s="161" t="s">
        <v>68</v>
      </c>
      <c r="AA33" s="2840"/>
      <c r="AB33" s="2783"/>
      <c r="AC33" s="2783"/>
      <c r="AD33" s="2783"/>
      <c r="AE33" s="2783"/>
      <c r="AF33" s="2783"/>
      <c r="AG33" s="2845"/>
      <c r="AK33" s="64"/>
    </row>
    <row r="34" spans="1:38" ht="22.35" customHeight="1" thickBot="1">
      <c r="A34" s="2846" t="s">
        <v>69</v>
      </c>
      <c r="B34" s="2847"/>
      <c r="C34" s="2847"/>
      <c r="D34" s="2848"/>
      <c r="E34" s="2847"/>
      <c r="F34" s="2847"/>
      <c r="G34" s="2849"/>
      <c r="H34" s="2850" t="s">
        <v>70</v>
      </c>
      <c r="I34" s="2849"/>
      <c r="J34" s="2847"/>
      <c r="K34" s="2847"/>
      <c r="L34" s="2847"/>
      <c r="M34" s="2851"/>
      <c r="N34" s="2847"/>
      <c r="O34" s="2847"/>
      <c r="P34" s="2847"/>
      <c r="Q34" s="2852"/>
      <c r="R34" s="2852"/>
      <c r="S34" s="2852"/>
      <c r="T34" s="2848"/>
      <c r="U34" s="2853" t="s">
        <v>71</v>
      </c>
      <c r="V34" s="2847"/>
      <c r="W34" s="2847"/>
      <c r="X34" s="2847"/>
      <c r="Y34" s="2847"/>
      <c r="Z34" s="2847"/>
      <c r="AA34" s="2847"/>
      <c r="AB34" s="2847"/>
      <c r="AC34" s="2847"/>
      <c r="AD34" s="2847"/>
      <c r="AE34" s="2847"/>
      <c r="AF34" s="2847"/>
      <c r="AG34" s="2854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2855" t="s">
        <v>28</v>
      </c>
      <c r="B36" s="2856" t="s">
        <v>29</v>
      </c>
      <c r="C36" s="2788">
        <v>1</v>
      </c>
      <c r="D36" s="2788">
        <v>2</v>
      </c>
      <c r="E36" s="2788">
        <v>3</v>
      </c>
      <c r="F36" s="2788">
        <v>4</v>
      </c>
      <c r="G36" s="2788">
        <v>5</v>
      </c>
      <c r="H36" s="2789">
        <v>6</v>
      </c>
      <c r="I36" s="2789">
        <v>7</v>
      </c>
      <c r="J36" s="2788">
        <v>8</v>
      </c>
      <c r="K36" s="2788">
        <v>9</v>
      </c>
      <c r="L36" s="2788">
        <v>10</v>
      </c>
      <c r="M36" s="2788">
        <v>11</v>
      </c>
      <c r="N36" s="2788">
        <v>12</v>
      </c>
      <c r="O36" s="2789">
        <v>13</v>
      </c>
      <c r="P36" s="2789">
        <v>14</v>
      </c>
      <c r="Q36" s="2788">
        <v>15</v>
      </c>
      <c r="R36" s="2788">
        <v>16</v>
      </c>
      <c r="S36" s="2788">
        <v>17</v>
      </c>
      <c r="T36" s="2788">
        <v>18</v>
      </c>
      <c r="U36" s="2788">
        <v>19</v>
      </c>
      <c r="V36" s="2789">
        <v>20</v>
      </c>
      <c r="W36" s="2789">
        <v>21</v>
      </c>
      <c r="X36" s="2788">
        <v>22</v>
      </c>
      <c r="Y36" s="2788">
        <v>23</v>
      </c>
      <c r="Z36" s="2788">
        <v>24</v>
      </c>
      <c r="AA36" s="2788">
        <v>25</v>
      </c>
      <c r="AB36" s="2788">
        <v>26</v>
      </c>
      <c r="AC36" s="2789">
        <v>27</v>
      </c>
      <c r="AD36" s="2789">
        <v>28</v>
      </c>
      <c r="AE36" s="2788">
        <v>29</v>
      </c>
      <c r="AF36" s="2788">
        <v>30</v>
      </c>
      <c r="AG36" s="2790"/>
      <c r="AH36" s="176"/>
      <c r="AI36" s="177"/>
      <c r="AL36" t="s">
        <v>0</v>
      </c>
    </row>
    <row r="37" spans="1:38" ht="22.35" customHeight="1" thickBot="1">
      <c r="A37" s="359">
        <v>1</v>
      </c>
      <c r="B37" s="360" t="s">
        <v>72</v>
      </c>
      <c r="C37" s="602">
        <v>5</v>
      </c>
      <c r="D37" s="571">
        <v>5</v>
      </c>
      <c r="E37" s="361">
        <v>5</v>
      </c>
      <c r="F37" s="602">
        <v>5</v>
      </c>
      <c r="G37" s="361">
        <v>5</v>
      </c>
      <c r="H37" s="361"/>
      <c r="I37" s="602"/>
      <c r="J37" s="349">
        <v>10</v>
      </c>
      <c r="K37" s="361">
        <v>10</v>
      </c>
      <c r="L37" s="361">
        <v>10</v>
      </c>
      <c r="M37" s="568">
        <v>10</v>
      </c>
      <c r="N37" s="568">
        <v>10</v>
      </c>
      <c r="O37" s="583" t="s">
        <v>77</v>
      </c>
      <c r="P37" s="568" t="s">
        <v>77</v>
      </c>
      <c r="Q37" s="350" t="s">
        <v>36</v>
      </c>
      <c r="R37" s="349" t="s">
        <v>36</v>
      </c>
      <c r="S37" s="361" t="s">
        <v>36</v>
      </c>
      <c r="T37" s="361" t="s">
        <v>36</v>
      </c>
      <c r="U37" s="361" t="s">
        <v>36</v>
      </c>
      <c r="V37" s="361" t="s">
        <v>80</v>
      </c>
      <c r="W37" s="361" t="s">
        <v>80</v>
      </c>
      <c r="X37" s="569">
        <v>7</v>
      </c>
      <c r="Y37" s="569">
        <v>7</v>
      </c>
      <c r="Z37" s="568">
        <v>7</v>
      </c>
      <c r="AA37" s="568">
        <v>7</v>
      </c>
      <c r="AB37" s="569" t="s">
        <v>367</v>
      </c>
      <c r="AC37" s="350"/>
      <c r="AD37" s="350"/>
      <c r="AE37" s="361">
        <v>4</v>
      </c>
      <c r="AF37" s="361">
        <v>4</v>
      </c>
      <c r="AG37" s="362"/>
      <c r="AH37" s="181"/>
      <c r="AI37" s="182"/>
    </row>
    <row r="38" spans="1:38" ht="22.35" customHeight="1" thickBot="1">
      <c r="A38" s="2857">
        <v>6</v>
      </c>
      <c r="B38" s="2824" t="s">
        <v>75</v>
      </c>
      <c r="C38" s="2798">
        <v>3</v>
      </c>
      <c r="D38" s="2798">
        <v>3</v>
      </c>
      <c r="E38" s="2798">
        <v>3</v>
      </c>
      <c r="F38" s="3092">
        <v>3</v>
      </c>
      <c r="G38" s="2798">
        <v>3</v>
      </c>
      <c r="H38" s="2798"/>
      <c r="I38" s="2798"/>
      <c r="J38" s="2798">
        <v>11</v>
      </c>
      <c r="K38" s="2798">
        <v>11</v>
      </c>
      <c r="L38" s="2798">
        <v>4</v>
      </c>
      <c r="M38" s="2798">
        <v>4</v>
      </c>
      <c r="N38" s="2801">
        <v>11</v>
      </c>
      <c r="O38" s="2801" t="s">
        <v>73</v>
      </c>
      <c r="P38" s="3093" t="s">
        <v>73</v>
      </c>
      <c r="Q38" s="2798" t="s">
        <v>36</v>
      </c>
      <c r="R38" s="349" t="s">
        <v>36</v>
      </c>
      <c r="S38" s="2798" t="s">
        <v>36</v>
      </c>
      <c r="T38" s="2798" t="s">
        <v>36</v>
      </c>
      <c r="U38" s="2798" t="s">
        <v>36</v>
      </c>
      <c r="V38" s="2798" t="s">
        <v>74</v>
      </c>
      <c r="W38" s="2798" t="s">
        <v>74</v>
      </c>
      <c r="X38" s="2798">
        <v>8</v>
      </c>
      <c r="Y38" s="2798">
        <v>8</v>
      </c>
      <c r="Z38" s="2798">
        <v>8</v>
      </c>
      <c r="AA38" s="2798">
        <v>8</v>
      </c>
      <c r="AB38" s="2798">
        <v>8</v>
      </c>
      <c r="AC38" s="2798"/>
      <c r="AD38" s="2798"/>
      <c r="AE38" s="2798" t="s">
        <v>36</v>
      </c>
      <c r="AF38" s="2798" t="s">
        <v>36</v>
      </c>
      <c r="AG38" s="2861"/>
      <c r="AH38" s="181"/>
      <c r="AI38" s="182"/>
    </row>
    <row r="39" spans="1:38" ht="22.35" customHeight="1" thickBot="1">
      <c r="A39" s="2862">
        <v>11</v>
      </c>
      <c r="B39" s="2863" t="s">
        <v>79</v>
      </c>
      <c r="C39" s="2883">
        <v>1</v>
      </c>
      <c r="D39" s="2883">
        <v>1</v>
      </c>
      <c r="E39" s="2882">
        <v>1</v>
      </c>
      <c r="F39" s="2882" t="s">
        <v>333</v>
      </c>
      <c r="G39" s="2883">
        <v>1</v>
      </c>
      <c r="H39" s="2883"/>
      <c r="I39" s="2883"/>
      <c r="J39" s="203">
        <v>1</v>
      </c>
      <c r="K39" s="650">
        <v>1</v>
      </c>
      <c r="L39" s="650" t="s">
        <v>333</v>
      </c>
      <c r="M39" s="207">
        <v>1</v>
      </c>
      <c r="N39" s="207">
        <v>1</v>
      </c>
      <c r="O39" s="2883" t="s">
        <v>0</v>
      </c>
      <c r="P39" s="2883" t="s">
        <v>0</v>
      </c>
      <c r="Q39" s="203">
        <v>1</v>
      </c>
      <c r="R39" s="207">
        <v>4</v>
      </c>
      <c r="S39" s="650">
        <v>1</v>
      </c>
      <c r="T39" s="650">
        <v>1</v>
      </c>
      <c r="U39" s="207">
        <v>1</v>
      </c>
      <c r="V39" s="2865" t="s">
        <v>0</v>
      </c>
      <c r="W39" s="2865" t="s">
        <v>0</v>
      </c>
      <c r="X39" s="2725">
        <v>6</v>
      </c>
      <c r="Y39" s="2725">
        <v>6</v>
      </c>
      <c r="Z39" s="2725">
        <v>6</v>
      </c>
      <c r="AA39" s="2725">
        <v>6</v>
      </c>
      <c r="AB39" s="2725">
        <v>6</v>
      </c>
      <c r="AC39" s="2725"/>
      <c r="AD39" s="2725"/>
      <c r="AE39" s="2833" t="s">
        <v>32</v>
      </c>
      <c r="AF39" s="2833" t="s">
        <v>32</v>
      </c>
      <c r="AG39" s="2834"/>
      <c r="AH39" s="181"/>
      <c r="AI39" s="182"/>
    </row>
    <row r="40" spans="1:38" ht="22.35" customHeight="1">
      <c r="A40" s="359">
        <v>2</v>
      </c>
      <c r="B40" s="175" t="s">
        <v>81</v>
      </c>
      <c r="C40" s="349">
        <v>10</v>
      </c>
      <c r="D40" s="349">
        <v>10</v>
      </c>
      <c r="E40" s="349">
        <v>10</v>
      </c>
      <c r="F40" s="349">
        <v>10</v>
      </c>
      <c r="G40" s="349">
        <v>10</v>
      </c>
      <c r="H40" s="361" t="s">
        <v>77</v>
      </c>
      <c r="I40" s="361" t="s">
        <v>77</v>
      </c>
      <c r="J40" s="349" t="s">
        <v>36</v>
      </c>
      <c r="K40" s="349" t="s">
        <v>36</v>
      </c>
      <c r="L40" s="361" t="s">
        <v>36</v>
      </c>
      <c r="M40" s="361" t="s">
        <v>36</v>
      </c>
      <c r="N40" s="361" t="s">
        <v>36</v>
      </c>
      <c r="O40" s="527" t="s">
        <v>80</v>
      </c>
      <c r="P40" s="586" t="s">
        <v>80</v>
      </c>
      <c r="Q40" s="350">
        <v>7</v>
      </c>
      <c r="R40" s="350">
        <v>7</v>
      </c>
      <c r="S40" s="349">
        <v>7</v>
      </c>
      <c r="T40" s="350">
        <v>7</v>
      </c>
      <c r="U40" s="350">
        <v>7</v>
      </c>
      <c r="V40" s="350"/>
      <c r="W40" s="350"/>
      <c r="X40" s="530">
        <v>4</v>
      </c>
      <c r="Y40" s="530">
        <v>4</v>
      </c>
      <c r="Z40" s="530">
        <v>4</v>
      </c>
      <c r="AA40" s="530">
        <v>4</v>
      </c>
      <c r="AB40" s="530">
        <v>4</v>
      </c>
      <c r="AC40" s="400"/>
      <c r="AD40" s="400"/>
      <c r="AE40" s="541">
        <v>3</v>
      </c>
      <c r="AF40" s="541">
        <v>3</v>
      </c>
      <c r="AG40" s="362"/>
      <c r="AH40" s="181"/>
      <c r="AI40" s="182"/>
    </row>
    <row r="41" spans="1:38" ht="22.35" customHeight="1">
      <c r="A41" s="2857">
        <v>7</v>
      </c>
      <c r="B41" s="2805" t="s">
        <v>82</v>
      </c>
      <c r="C41" s="2802">
        <v>11</v>
      </c>
      <c r="D41" s="2802">
        <v>11</v>
      </c>
      <c r="E41" s="2802">
        <v>11</v>
      </c>
      <c r="F41" s="2802">
        <v>11</v>
      </c>
      <c r="G41" s="2870">
        <v>11</v>
      </c>
      <c r="H41" s="2870" t="s">
        <v>73</v>
      </c>
      <c r="I41" s="2871" t="s">
        <v>73</v>
      </c>
      <c r="J41" s="2871" t="s">
        <v>36</v>
      </c>
      <c r="K41" s="2871" t="s">
        <v>36</v>
      </c>
      <c r="L41" s="2871" t="s">
        <v>36</v>
      </c>
      <c r="M41" s="2871" t="s">
        <v>36</v>
      </c>
      <c r="N41" s="2871" t="s">
        <v>36</v>
      </c>
      <c r="O41" s="3058" t="s">
        <v>74</v>
      </c>
      <c r="P41" s="3058" t="s">
        <v>74</v>
      </c>
      <c r="Q41" s="2802">
        <v>8</v>
      </c>
      <c r="R41" s="2802">
        <v>8</v>
      </c>
      <c r="S41" s="2802">
        <v>8</v>
      </c>
      <c r="T41" s="2860">
        <v>8</v>
      </c>
      <c r="U41" s="2872">
        <v>8</v>
      </c>
      <c r="V41" s="2872"/>
      <c r="W41" s="2872"/>
      <c r="X41" s="2870" t="s">
        <v>36</v>
      </c>
      <c r="Y41" s="2870" t="s">
        <v>36</v>
      </c>
      <c r="Z41" s="2870" t="s">
        <v>36</v>
      </c>
      <c r="AA41" s="2969">
        <v>7</v>
      </c>
      <c r="AB41" s="2870" t="s">
        <v>36</v>
      </c>
      <c r="AC41" s="2870"/>
      <c r="AD41" s="2870"/>
      <c r="AE41" s="2870">
        <v>1</v>
      </c>
      <c r="AF41" s="2870">
        <v>1</v>
      </c>
      <c r="AG41" s="2873"/>
      <c r="AH41" s="181"/>
      <c r="AI41" s="182"/>
    </row>
    <row r="42" spans="1:38" ht="22.35" customHeight="1" thickBot="1">
      <c r="A42" s="2862">
        <v>12</v>
      </c>
      <c r="B42" s="2974" t="s">
        <v>83</v>
      </c>
      <c r="C42" s="2864" t="s">
        <v>32</v>
      </c>
      <c r="D42" s="2833" t="s">
        <v>32</v>
      </c>
      <c r="E42" s="2864" t="s">
        <v>32</v>
      </c>
      <c r="F42" s="2788" t="s">
        <v>32</v>
      </c>
      <c r="G42" s="2864" t="s">
        <v>32</v>
      </c>
      <c r="H42" s="3094" t="s">
        <v>76</v>
      </c>
      <c r="I42" s="3094" t="s">
        <v>77</v>
      </c>
      <c r="J42" s="2864" t="s">
        <v>32</v>
      </c>
      <c r="K42" s="2833" t="s">
        <v>32</v>
      </c>
      <c r="L42" s="2864" t="s">
        <v>32</v>
      </c>
      <c r="M42" s="2788" t="s">
        <v>32</v>
      </c>
      <c r="N42" s="2864" t="s">
        <v>32</v>
      </c>
      <c r="O42" s="3094" t="s">
        <v>78</v>
      </c>
      <c r="P42" s="3094" t="s">
        <v>74</v>
      </c>
      <c r="Q42" s="2864" t="s">
        <v>32</v>
      </c>
      <c r="R42" s="2833" t="s">
        <v>32</v>
      </c>
      <c r="S42" s="2864" t="s">
        <v>32</v>
      </c>
      <c r="T42" s="2788" t="s">
        <v>32</v>
      </c>
      <c r="U42" s="2864" t="s">
        <v>32</v>
      </c>
      <c r="V42" s="3095"/>
      <c r="W42" s="3095"/>
      <c r="X42" s="3096" t="s">
        <v>32</v>
      </c>
      <c r="Y42" s="3097" t="s">
        <v>32</v>
      </c>
      <c r="Z42" s="3096" t="s">
        <v>32</v>
      </c>
      <c r="AA42" s="3098" t="s">
        <v>32</v>
      </c>
      <c r="AB42" s="3096" t="s">
        <v>32</v>
      </c>
      <c r="AC42" s="3095"/>
      <c r="AD42" s="3095"/>
      <c r="AE42" s="3095">
        <v>5</v>
      </c>
      <c r="AF42" s="3095">
        <v>5</v>
      </c>
      <c r="AG42" s="3099"/>
      <c r="AH42" s="181"/>
      <c r="AI42" s="182"/>
    </row>
    <row r="43" spans="1:38" ht="22.35" customHeight="1">
      <c r="A43" s="359">
        <v>3</v>
      </c>
      <c r="B43" s="363" t="s">
        <v>84</v>
      </c>
      <c r="C43" s="583" t="s">
        <v>36</v>
      </c>
      <c r="D43" s="569" t="s">
        <v>36</v>
      </c>
      <c r="E43" s="568" t="s">
        <v>36</v>
      </c>
      <c r="F43" s="568" t="s">
        <v>36</v>
      </c>
      <c r="G43" s="568" t="s">
        <v>36</v>
      </c>
      <c r="H43" s="568" t="s">
        <v>80</v>
      </c>
      <c r="I43" s="568" t="s">
        <v>80</v>
      </c>
      <c r="J43" s="569">
        <v>7</v>
      </c>
      <c r="K43" s="569">
        <v>7</v>
      </c>
      <c r="L43" s="569">
        <v>7</v>
      </c>
      <c r="M43" s="569">
        <v>7</v>
      </c>
      <c r="N43" s="552">
        <v>7</v>
      </c>
      <c r="O43" s="552"/>
      <c r="P43" s="552"/>
      <c r="Q43" s="552">
        <v>4</v>
      </c>
      <c r="R43" s="552">
        <v>4</v>
      </c>
      <c r="S43" s="552">
        <v>4</v>
      </c>
      <c r="T43" s="552">
        <v>4</v>
      </c>
      <c r="U43" s="655" t="s">
        <v>334</v>
      </c>
      <c r="V43" s="2915"/>
      <c r="W43" s="2915"/>
      <c r="X43" s="2915">
        <v>3</v>
      </c>
      <c r="Y43" s="2915">
        <v>3</v>
      </c>
      <c r="Z43" s="2915">
        <v>3</v>
      </c>
      <c r="AA43" s="2915">
        <v>3</v>
      </c>
      <c r="AB43" s="2915">
        <v>3</v>
      </c>
      <c r="AC43" s="2915"/>
      <c r="AD43" s="2915"/>
      <c r="AE43" s="2915">
        <v>11</v>
      </c>
      <c r="AF43" s="2915">
        <v>11</v>
      </c>
      <c r="AG43" s="2915"/>
      <c r="AH43" s="215"/>
      <c r="AI43" s="182"/>
    </row>
    <row r="44" spans="1:38" ht="22.35" customHeight="1">
      <c r="A44" s="2857">
        <v>8</v>
      </c>
      <c r="B44" s="2805" t="s">
        <v>85</v>
      </c>
      <c r="C44" s="2803" t="s">
        <v>36</v>
      </c>
      <c r="D44" s="2803" t="s">
        <v>36</v>
      </c>
      <c r="E44" s="2803" t="s">
        <v>36</v>
      </c>
      <c r="F44" s="2803" t="s">
        <v>36</v>
      </c>
      <c r="G44" s="2802" t="s">
        <v>36</v>
      </c>
      <c r="H44" s="2802" t="s">
        <v>74</v>
      </c>
      <c r="I44" s="2870" t="s">
        <v>74</v>
      </c>
      <c r="J44" s="2875">
        <v>8</v>
      </c>
      <c r="K44" s="2858">
        <v>8</v>
      </c>
      <c r="L44" s="2798">
        <v>8</v>
      </c>
      <c r="M44" s="2798">
        <v>8</v>
      </c>
      <c r="N44" s="2802">
        <v>8</v>
      </c>
      <c r="O44" s="2870"/>
      <c r="P44" s="2870"/>
      <c r="Q44" s="2870" t="s">
        <v>36</v>
      </c>
      <c r="R44" s="2870" t="s">
        <v>36</v>
      </c>
      <c r="S44" s="2870" t="s">
        <v>36</v>
      </c>
      <c r="T44" s="2870" t="s">
        <v>36</v>
      </c>
      <c r="U44" s="2870" t="s">
        <v>36</v>
      </c>
      <c r="V44" s="656"/>
      <c r="W44" s="656"/>
      <c r="X44" s="656">
        <v>1</v>
      </c>
      <c r="Y44" s="656">
        <v>1</v>
      </c>
      <c r="Z44" s="656">
        <v>1</v>
      </c>
      <c r="AA44" s="656">
        <v>1</v>
      </c>
      <c r="AB44" s="656">
        <v>1</v>
      </c>
      <c r="AC44" s="656"/>
      <c r="AD44" s="657"/>
      <c r="AE44" s="657">
        <v>9</v>
      </c>
      <c r="AF44" s="658">
        <v>9</v>
      </c>
      <c r="AG44" s="659"/>
      <c r="AH44" s="181"/>
      <c r="AI44" s="182"/>
    </row>
    <row r="45" spans="1:38" ht="22.35" customHeight="1" thickBot="1">
      <c r="A45" s="2862">
        <v>13</v>
      </c>
      <c r="B45" s="2863" t="s">
        <v>86</v>
      </c>
      <c r="C45" s="2788" t="s">
        <v>36</v>
      </c>
      <c r="D45" s="2884" t="s">
        <v>36</v>
      </c>
      <c r="E45" s="2833" t="s">
        <v>36</v>
      </c>
      <c r="F45" s="2833" t="s">
        <v>36</v>
      </c>
      <c r="G45" s="2833" t="s">
        <v>36</v>
      </c>
      <c r="H45" s="3100" t="s">
        <v>78</v>
      </c>
      <c r="I45" s="3100" t="s">
        <v>74</v>
      </c>
      <c r="J45" s="2788">
        <v>6</v>
      </c>
      <c r="K45" s="2833">
        <v>6</v>
      </c>
      <c r="L45" s="2832">
        <v>6</v>
      </c>
      <c r="M45" s="2833">
        <v>6</v>
      </c>
      <c r="N45" s="2832">
        <v>6</v>
      </c>
      <c r="O45" s="2832"/>
      <c r="P45" s="2832"/>
      <c r="Q45" s="2833" t="s">
        <v>36</v>
      </c>
      <c r="R45" s="2833" t="s">
        <v>36</v>
      </c>
      <c r="S45" s="2833" t="s">
        <v>36</v>
      </c>
      <c r="T45" s="2833" t="s">
        <v>36</v>
      </c>
      <c r="U45" s="2833" t="s">
        <v>36</v>
      </c>
      <c r="V45" s="2833"/>
      <c r="W45" s="2833"/>
      <c r="X45" s="3101">
        <v>5</v>
      </c>
      <c r="Y45" s="3101">
        <v>5</v>
      </c>
      <c r="Z45" s="3101">
        <v>5</v>
      </c>
      <c r="AA45" s="3101">
        <v>5</v>
      </c>
      <c r="AB45" s="3101">
        <v>5</v>
      </c>
      <c r="AC45" s="2833"/>
      <c r="AD45" s="2833"/>
      <c r="AE45" s="2788">
        <v>10</v>
      </c>
      <c r="AF45" s="2833">
        <v>10</v>
      </c>
      <c r="AG45" s="2834"/>
      <c r="AH45" s="181"/>
      <c r="AI45" s="182"/>
    </row>
    <row r="46" spans="1:38" ht="22.35" customHeight="1">
      <c r="A46" s="359">
        <v>4</v>
      </c>
      <c r="B46" s="360" t="s">
        <v>87</v>
      </c>
      <c r="C46" s="361">
        <v>7</v>
      </c>
      <c r="D46" s="350">
        <v>7</v>
      </c>
      <c r="E46" s="361">
        <v>7</v>
      </c>
      <c r="F46" s="349">
        <v>7</v>
      </c>
      <c r="G46" s="349">
        <v>7</v>
      </c>
      <c r="H46" s="349"/>
      <c r="I46" s="349"/>
      <c r="J46" s="349">
        <v>4</v>
      </c>
      <c r="K46" s="349">
        <v>4</v>
      </c>
      <c r="L46" s="349">
        <v>4</v>
      </c>
      <c r="M46" s="349">
        <v>4</v>
      </c>
      <c r="N46" s="349">
        <v>4</v>
      </c>
      <c r="O46" s="349"/>
      <c r="P46" s="349"/>
      <c r="Q46" s="349">
        <v>3</v>
      </c>
      <c r="R46" s="349">
        <v>3</v>
      </c>
      <c r="S46" s="349">
        <v>3</v>
      </c>
      <c r="T46" s="361">
        <v>3</v>
      </c>
      <c r="U46" s="361">
        <v>3</v>
      </c>
      <c r="V46" s="364"/>
      <c r="W46" s="361"/>
      <c r="X46" s="642">
        <v>11</v>
      </c>
      <c r="Y46" s="643">
        <v>11</v>
      </c>
      <c r="Z46" s="361">
        <v>11</v>
      </c>
      <c r="AA46" s="361">
        <v>11</v>
      </c>
      <c r="AB46" s="361">
        <v>11</v>
      </c>
      <c r="AC46" s="361" t="s">
        <v>73</v>
      </c>
      <c r="AD46" s="361" t="s">
        <v>73</v>
      </c>
      <c r="AE46" s="350" t="s">
        <v>36</v>
      </c>
      <c r="AF46" s="361" t="s">
        <v>36</v>
      </c>
      <c r="AG46" s="362"/>
      <c r="AH46" s="181"/>
      <c r="AI46" s="182"/>
    </row>
    <row r="47" spans="1:38" ht="22.35" customHeight="1">
      <c r="A47" s="2857">
        <v>9</v>
      </c>
      <c r="B47" s="2805" t="s">
        <v>88</v>
      </c>
      <c r="C47" s="2870">
        <v>8</v>
      </c>
      <c r="D47" s="2870">
        <v>8</v>
      </c>
      <c r="E47" s="2870">
        <v>8</v>
      </c>
      <c r="F47" s="2870">
        <v>8</v>
      </c>
      <c r="G47" s="2870">
        <v>8</v>
      </c>
      <c r="H47" s="2870"/>
      <c r="I47" s="2870"/>
      <c r="J47" s="2870" t="s">
        <v>36</v>
      </c>
      <c r="K47" s="2870" t="s">
        <v>36</v>
      </c>
      <c r="L47" s="2870" t="s">
        <v>36</v>
      </c>
      <c r="M47" s="2870" t="s">
        <v>36</v>
      </c>
      <c r="N47" s="2870" t="s">
        <v>36</v>
      </c>
      <c r="O47" s="2870"/>
      <c r="P47" s="2870"/>
      <c r="Q47" s="2875">
        <v>1</v>
      </c>
      <c r="R47" s="2875">
        <v>1</v>
      </c>
      <c r="S47" s="2875">
        <v>1</v>
      </c>
      <c r="T47" s="2870">
        <v>1</v>
      </c>
      <c r="U47" s="2870">
        <v>1</v>
      </c>
      <c r="V47" s="2870"/>
      <c r="W47" s="2870"/>
      <c r="X47" s="2870">
        <v>9</v>
      </c>
      <c r="Y47" s="2870">
        <v>9</v>
      </c>
      <c r="Z47" s="2870">
        <v>9</v>
      </c>
      <c r="AA47" s="2870">
        <v>9</v>
      </c>
      <c r="AB47" s="2870">
        <v>9</v>
      </c>
      <c r="AC47" s="2870" t="s">
        <v>76</v>
      </c>
      <c r="AD47" s="2870" t="s">
        <v>77</v>
      </c>
      <c r="AE47" s="2870" t="s">
        <v>36</v>
      </c>
      <c r="AF47" s="2870" t="s">
        <v>36</v>
      </c>
      <c r="AG47" s="2873"/>
      <c r="AH47" s="181"/>
      <c r="AI47" s="182"/>
    </row>
    <row r="48" spans="1:38" ht="22.35" customHeight="1" thickBot="1">
      <c r="A48" s="2862">
        <v>14</v>
      </c>
      <c r="B48" s="2863" t="s">
        <v>89</v>
      </c>
      <c r="C48" s="2788">
        <v>6</v>
      </c>
      <c r="D48" s="2833">
        <v>6</v>
      </c>
      <c r="E48" s="2833">
        <v>6</v>
      </c>
      <c r="F48" s="2833">
        <v>6</v>
      </c>
      <c r="G48" s="2832">
        <v>6</v>
      </c>
      <c r="H48" s="2832"/>
      <c r="I48" s="2832"/>
      <c r="J48" s="2833" t="s">
        <v>36</v>
      </c>
      <c r="K48" s="2833" t="s">
        <v>36</v>
      </c>
      <c r="L48" s="2833" t="s">
        <v>36</v>
      </c>
      <c r="M48" s="2833" t="s">
        <v>36</v>
      </c>
      <c r="N48" s="2833" t="s">
        <v>36</v>
      </c>
      <c r="O48" s="2788"/>
      <c r="P48" s="2833"/>
      <c r="Q48" s="2833">
        <v>5</v>
      </c>
      <c r="R48" s="2788">
        <v>8</v>
      </c>
      <c r="S48" s="2833">
        <v>5</v>
      </c>
      <c r="T48" s="2833">
        <v>5</v>
      </c>
      <c r="U48" s="2833">
        <v>5</v>
      </c>
      <c r="V48" s="2833"/>
      <c r="W48" s="2833"/>
      <c r="X48" s="2788">
        <v>10</v>
      </c>
      <c r="Y48" s="2833">
        <v>10</v>
      </c>
      <c r="Z48" s="2833">
        <v>10</v>
      </c>
      <c r="AA48" s="2833">
        <v>10</v>
      </c>
      <c r="AB48" s="2833">
        <v>10</v>
      </c>
      <c r="AC48" s="2788" t="s">
        <v>77</v>
      </c>
      <c r="AD48" s="2833" t="s">
        <v>77</v>
      </c>
      <c r="AE48" s="2833" t="s">
        <v>36</v>
      </c>
      <c r="AF48" s="2788" t="s">
        <v>36</v>
      </c>
      <c r="AG48" s="2790"/>
      <c r="AH48" s="181"/>
      <c r="AI48" s="182"/>
    </row>
    <row r="49" spans="1:40" ht="22.35" customHeight="1">
      <c r="A49" s="359">
        <v>5</v>
      </c>
      <c r="B49" s="2805" t="s">
        <v>90</v>
      </c>
      <c r="C49" s="350">
        <v>4</v>
      </c>
      <c r="D49" s="361">
        <v>4</v>
      </c>
      <c r="E49" s="361">
        <v>4</v>
      </c>
      <c r="F49" s="350">
        <v>4</v>
      </c>
      <c r="G49" s="350">
        <v>4</v>
      </c>
      <c r="H49" s="350"/>
      <c r="I49" s="350"/>
      <c r="J49" s="350">
        <v>3</v>
      </c>
      <c r="K49" s="2826" t="s">
        <v>126</v>
      </c>
      <c r="L49" s="361">
        <v>3</v>
      </c>
      <c r="M49" s="361">
        <v>3</v>
      </c>
      <c r="N49" s="641">
        <v>3</v>
      </c>
      <c r="O49" s="349"/>
      <c r="P49" s="361"/>
      <c r="Q49" s="361">
        <v>11</v>
      </c>
      <c r="R49" s="349">
        <v>11</v>
      </c>
      <c r="S49" s="361">
        <v>11</v>
      </c>
      <c r="T49" s="361">
        <v>11</v>
      </c>
      <c r="U49" s="350">
        <v>11</v>
      </c>
      <c r="V49" s="350" t="s">
        <v>73</v>
      </c>
      <c r="W49" s="350" t="s">
        <v>73</v>
      </c>
      <c r="X49" s="350" t="s">
        <v>36</v>
      </c>
      <c r="Y49" s="351" t="s">
        <v>36</v>
      </c>
      <c r="Z49" s="350" t="s">
        <v>36</v>
      </c>
      <c r="AA49" s="350" t="s">
        <v>36</v>
      </c>
      <c r="AB49" s="350" t="s">
        <v>36</v>
      </c>
      <c r="AC49" s="527" t="s">
        <v>74</v>
      </c>
      <c r="AD49" s="361" t="s">
        <v>74</v>
      </c>
      <c r="AE49" s="361">
        <v>8</v>
      </c>
      <c r="AF49" s="349">
        <v>8</v>
      </c>
      <c r="AG49" s="352"/>
      <c r="AH49" s="181"/>
      <c r="AI49" s="182"/>
    </row>
    <row r="50" spans="1:40" ht="22.35" customHeight="1">
      <c r="A50" s="2857">
        <v>10</v>
      </c>
      <c r="B50" s="2805" t="s">
        <v>91</v>
      </c>
      <c r="C50" s="2870" t="s">
        <v>36</v>
      </c>
      <c r="D50" s="2870" t="s">
        <v>36</v>
      </c>
      <c r="E50" s="2870" t="s">
        <v>36</v>
      </c>
      <c r="F50" s="2802" t="s">
        <v>36</v>
      </c>
      <c r="G50" s="2798" t="s">
        <v>36</v>
      </c>
      <c r="H50" s="2798"/>
      <c r="I50" s="2798"/>
      <c r="J50" s="2801">
        <v>1</v>
      </c>
      <c r="K50" s="2801">
        <v>1</v>
      </c>
      <c r="L50" s="2801">
        <v>1</v>
      </c>
      <c r="M50" s="2801">
        <v>1</v>
      </c>
      <c r="N50" s="2801">
        <v>1</v>
      </c>
      <c r="O50" s="2801"/>
      <c r="P50" s="2801"/>
      <c r="Q50" s="2798">
        <v>9</v>
      </c>
      <c r="R50" s="2798">
        <v>9</v>
      </c>
      <c r="S50" s="2798">
        <v>9</v>
      </c>
      <c r="T50" s="2798">
        <v>9</v>
      </c>
      <c r="U50" s="2798">
        <v>9</v>
      </c>
      <c r="V50" s="2798" t="s">
        <v>76</v>
      </c>
      <c r="W50" s="2802" t="s">
        <v>77</v>
      </c>
      <c r="X50" s="2870" t="s">
        <v>36</v>
      </c>
      <c r="Y50" s="2875" t="s">
        <v>36</v>
      </c>
      <c r="Z50" s="2870" t="s">
        <v>36</v>
      </c>
      <c r="AA50" s="2870" t="s">
        <v>36</v>
      </c>
      <c r="AB50" s="2870" t="s">
        <v>36</v>
      </c>
      <c r="AC50" s="2870" t="s">
        <v>78</v>
      </c>
      <c r="AD50" s="2870" t="s">
        <v>74</v>
      </c>
      <c r="AE50" s="2870">
        <v>6</v>
      </c>
      <c r="AF50" s="2870">
        <v>6</v>
      </c>
      <c r="AG50" s="2873"/>
      <c r="AH50" s="181"/>
      <c r="AI50" s="182"/>
    </row>
    <row r="51" spans="1:40" ht="22.35" customHeight="1" thickBot="1">
      <c r="A51" s="2862">
        <v>15</v>
      </c>
      <c r="B51" s="2863" t="s">
        <v>92</v>
      </c>
      <c r="C51" s="2833" t="s">
        <v>36</v>
      </c>
      <c r="D51" s="2833" t="s">
        <v>36</v>
      </c>
      <c r="E51" s="2833" t="s">
        <v>36</v>
      </c>
      <c r="F51" s="2832" t="s">
        <v>36</v>
      </c>
      <c r="G51" s="2832" t="s">
        <v>36</v>
      </c>
      <c r="H51" s="2832"/>
      <c r="I51" s="2832"/>
      <c r="J51" s="2832">
        <v>5</v>
      </c>
      <c r="K51" s="2788">
        <v>5</v>
      </c>
      <c r="L51" s="2833">
        <v>5</v>
      </c>
      <c r="M51" s="2833">
        <v>5</v>
      </c>
      <c r="N51" s="2833">
        <v>5</v>
      </c>
      <c r="O51" s="2833"/>
      <c r="P51" s="2833"/>
      <c r="Q51" s="2788">
        <v>10</v>
      </c>
      <c r="R51" s="2833">
        <v>10</v>
      </c>
      <c r="S51" s="2833">
        <v>10</v>
      </c>
      <c r="T51" s="2833">
        <v>10</v>
      </c>
      <c r="U51" s="2833">
        <v>10</v>
      </c>
      <c r="V51" s="2833" t="s">
        <v>77</v>
      </c>
      <c r="W51" s="2833" t="s">
        <v>77</v>
      </c>
      <c r="X51" s="2833" t="s">
        <v>36</v>
      </c>
      <c r="Y51" s="2788" t="s">
        <v>36</v>
      </c>
      <c r="Z51" s="2833" t="s">
        <v>36</v>
      </c>
      <c r="AA51" s="2833" t="s">
        <v>36</v>
      </c>
      <c r="AB51" s="2833" t="s">
        <v>36</v>
      </c>
      <c r="AC51" s="3059" t="s">
        <v>80</v>
      </c>
      <c r="AD51" s="3059" t="s">
        <v>80</v>
      </c>
      <c r="AE51" s="2788">
        <v>7</v>
      </c>
      <c r="AF51" s="2832">
        <v>7</v>
      </c>
      <c r="AG51" s="3060"/>
      <c r="AH51" s="181"/>
      <c r="AI51" s="182"/>
    </row>
    <row r="52" spans="1:40" ht="22.35" customHeight="1" thickBot="1">
      <c r="A52" s="102"/>
      <c r="C52" s="72"/>
      <c r="D52" s="72"/>
      <c r="E52" s="72"/>
      <c r="F52" s="72"/>
      <c r="G52" s="72"/>
      <c r="H52" s="2865"/>
      <c r="I52" s="2865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2890" t="s">
        <v>28</v>
      </c>
      <c r="B54" s="2890"/>
      <c r="C54" s="2860"/>
      <c r="D54" s="2890" t="s">
        <v>94</v>
      </c>
      <c r="E54" s="2891"/>
      <c r="F54" s="2860"/>
      <c r="G54" s="2890" t="s">
        <v>95</v>
      </c>
      <c r="H54" s="2891"/>
      <c r="I54" s="2860"/>
      <c r="J54" s="2890" t="s">
        <v>96</v>
      </c>
      <c r="K54" s="2891"/>
      <c r="L54" s="2860"/>
      <c r="M54" s="2890" t="s">
        <v>97</v>
      </c>
      <c r="N54" s="2891"/>
      <c r="O54" s="2860"/>
      <c r="P54" s="2890" t="s">
        <v>98</v>
      </c>
      <c r="Q54" s="2891"/>
      <c r="R54" s="2892"/>
      <c r="S54" s="2893" t="s">
        <v>99</v>
      </c>
      <c r="T54" s="2891"/>
      <c r="U54" s="2860"/>
      <c r="V54" s="2890" t="s">
        <v>100</v>
      </c>
      <c r="W54" s="2891"/>
      <c r="X54" s="2894" t="s">
        <v>101</v>
      </c>
      <c r="Y54" s="2891"/>
      <c r="Z54" s="2891"/>
      <c r="AA54" s="2895"/>
      <c r="AB54" s="2772"/>
      <c r="AC54" s="2772"/>
      <c r="AD54" s="2772"/>
      <c r="AE54" s="2772"/>
      <c r="AF54" s="2772"/>
      <c r="AG54" s="2773"/>
      <c r="AH54" s="1"/>
    </row>
    <row r="55" spans="1:40" ht="22.35" customHeight="1">
      <c r="A55" s="2896">
        <v>8517</v>
      </c>
      <c r="B55" s="2897" t="s">
        <v>381</v>
      </c>
      <c r="C55" s="2898" t="s">
        <v>382</v>
      </c>
      <c r="D55" s="2899"/>
      <c r="E55" s="2771"/>
      <c r="F55" s="2898" t="s">
        <v>382</v>
      </c>
      <c r="G55" s="2899"/>
      <c r="H55" s="2771"/>
      <c r="I55" s="2898" t="s">
        <v>382</v>
      </c>
      <c r="J55" s="2899"/>
      <c r="K55" s="2771"/>
      <c r="L55" s="2898" t="s">
        <v>382</v>
      </c>
      <c r="M55" s="2899"/>
      <c r="N55" s="2771"/>
      <c r="O55" s="2898" t="s">
        <v>382</v>
      </c>
      <c r="P55" s="2899"/>
      <c r="Q55" s="2771"/>
      <c r="R55" s="2898"/>
      <c r="S55" s="2899"/>
      <c r="T55" s="2771"/>
      <c r="U55" s="2898" t="s">
        <v>383</v>
      </c>
      <c r="V55" s="2899"/>
      <c r="W55" s="2771"/>
      <c r="X55" s="2769"/>
      <c r="Y55" s="2772"/>
      <c r="Z55" s="2772"/>
      <c r="AA55" s="2772"/>
      <c r="AB55" s="2772"/>
      <c r="AC55" s="2772"/>
      <c r="AD55" s="2772"/>
      <c r="AE55" s="2772"/>
      <c r="AF55" s="2772"/>
      <c r="AG55" s="2773"/>
      <c r="AH55" s="1"/>
    </row>
    <row r="56" spans="1:40" ht="22.35" customHeight="1">
      <c r="B56" s="2796" t="s">
        <v>102</v>
      </c>
      <c r="C56" s="2900" t="s">
        <v>103</v>
      </c>
      <c r="D56" s="2901"/>
      <c r="E56" s="2902"/>
      <c r="F56" s="2900" t="s">
        <v>103</v>
      </c>
      <c r="G56" s="2903"/>
      <c r="H56" s="2902"/>
      <c r="I56" s="2898" t="s">
        <v>103</v>
      </c>
      <c r="J56" s="2899"/>
      <c r="K56" s="2904"/>
      <c r="L56" s="2898" t="s">
        <v>103</v>
      </c>
      <c r="M56" s="2899"/>
      <c r="N56" s="2904"/>
      <c r="O56" s="2898" t="s">
        <v>104</v>
      </c>
      <c r="P56" s="2899"/>
      <c r="Q56" s="2771"/>
      <c r="R56" s="2905" t="s">
        <v>0</v>
      </c>
      <c r="S56" s="2899"/>
      <c r="T56" s="2904"/>
      <c r="U56" s="2899" t="s">
        <v>0</v>
      </c>
      <c r="V56" s="2899"/>
      <c r="W56" s="2771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2906"/>
      <c r="B57" s="2897" t="s">
        <v>105</v>
      </c>
      <c r="C57" s="2898" t="s">
        <v>106</v>
      </c>
      <c r="D57" s="2899"/>
      <c r="E57" s="2771"/>
      <c r="F57" s="2898" t="s">
        <v>106</v>
      </c>
      <c r="G57" s="2899"/>
      <c r="H57" s="2904"/>
      <c r="I57" s="2898" t="s">
        <v>106</v>
      </c>
      <c r="J57" s="2899"/>
      <c r="K57" s="2904"/>
      <c r="L57" s="2898" t="s">
        <v>106</v>
      </c>
      <c r="M57" s="2899"/>
      <c r="N57" s="2904"/>
      <c r="O57" s="2898" t="s">
        <v>397</v>
      </c>
      <c r="P57" s="2899"/>
      <c r="Q57" s="2771"/>
      <c r="R57" s="112"/>
      <c r="S57" s="113"/>
      <c r="T57" s="2904"/>
      <c r="U57" s="2899"/>
      <c r="V57" s="2899"/>
      <c r="W57" s="2771"/>
      <c r="X57" s="2769"/>
      <c r="Y57" s="2772"/>
      <c r="Z57" s="2772"/>
      <c r="AA57" s="2772"/>
      <c r="AB57" s="2772"/>
      <c r="AC57" s="2772"/>
      <c r="AD57" s="2772"/>
      <c r="AE57" s="2772"/>
      <c r="AF57" s="2772"/>
      <c r="AG57" s="2773"/>
      <c r="AH57" s="1"/>
    </row>
    <row r="58" spans="1:40" ht="12.75">
      <c r="A58" s="2890"/>
      <c r="B58" s="2796"/>
      <c r="C58" s="2907"/>
      <c r="D58" s="2907"/>
      <c r="E58" s="2908"/>
      <c r="F58" s="2907"/>
      <c r="G58" s="2907"/>
      <c r="H58" s="2908"/>
      <c r="I58" s="2907"/>
      <c r="J58" s="2907"/>
      <c r="K58" s="2908"/>
      <c r="L58" s="2907"/>
      <c r="M58" s="2907"/>
      <c r="N58" s="2908"/>
      <c r="O58" s="2907"/>
      <c r="P58" s="2907"/>
      <c r="Q58" s="2908"/>
      <c r="R58" s="2907"/>
      <c r="S58" s="2907"/>
      <c r="T58" s="2908"/>
      <c r="U58" s="2907"/>
      <c r="V58" s="2907"/>
      <c r="W58" s="2908"/>
      <c r="X58" s="2769"/>
      <c r="Y58" s="2772"/>
      <c r="Z58" s="2772"/>
      <c r="AA58" s="2772"/>
      <c r="AB58" s="2772"/>
      <c r="AC58" s="2772"/>
      <c r="AD58" s="2772"/>
      <c r="AE58" s="2772"/>
      <c r="AF58" s="2772"/>
      <c r="AG58" s="2773"/>
      <c r="AH58" s="1"/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2909"/>
      <c r="B60" s="2787" t="s">
        <v>29</v>
      </c>
      <c r="C60" s="2788">
        <v>1</v>
      </c>
      <c r="D60" s="2788">
        <v>2</v>
      </c>
      <c r="E60" s="2788">
        <v>3</v>
      </c>
      <c r="F60" s="2788">
        <v>4</v>
      </c>
      <c r="G60" s="2788">
        <v>5</v>
      </c>
      <c r="H60" s="2789">
        <v>6</v>
      </c>
      <c r="I60" s="2789">
        <v>7</v>
      </c>
      <c r="J60" s="2788">
        <v>8</v>
      </c>
      <c r="K60" s="2788">
        <v>9</v>
      </c>
      <c r="L60" s="2788">
        <v>10</v>
      </c>
      <c r="M60" s="2788">
        <v>11</v>
      </c>
      <c r="N60" s="2788">
        <v>12</v>
      </c>
      <c r="O60" s="2789">
        <v>13</v>
      </c>
      <c r="P60" s="2789">
        <v>14</v>
      </c>
      <c r="Q60" s="2788">
        <v>15</v>
      </c>
      <c r="R60" s="2788">
        <v>16</v>
      </c>
      <c r="S60" s="2788">
        <v>17</v>
      </c>
      <c r="T60" s="2788">
        <v>18</v>
      </c>
      <c r="U60" s="2788">
        <v>19</v>
      </c>
      <c r="V60" s="2789">
        <v>20</v>
      </c>
      <c r="W60" s="2789">
        <v>21</v>
      </c>
      <c r="X60" s="2788">
        <v>22</v>
      </c>
      <c r="Y60" s="2788">
        <v>23</v>
      </c>
      <c r="Z60" s="2788">
        <v>24</v>
      </c>
      <c r="AA60" s="2788">
        <v>25</v>
      </c>
      <c r="AB60" s="2788">
        <v>26</v>
      </c>
      <c r="AC60" s="2789">
        <v>27</v>
      </c>
      <c r="AD60" s="2789">
        <v>28</v>
      </c>
      <c r="AE60" s="2788">
        <v>29</v>
      </c>
      <c r="AF60" s="2788">
        <v>30</v>
      </c>
      <c r="AG60" s="2790"/>
      <c r="AH60" s="1"/>
      <c r="AJ60" s="2791" t="s">
        <v>30</v>
      </c>
      <c r="AK60" s="2791" t="s">
        <v>43</v>
      </c>
      <c r="AL60" s="2791" t="s">
        <v>44</v>
      </c>
      <c r="AM60" s="2791" t="s">
        <v>45</v>
      </c>
      <c r="AN60" s="2791" t="s">
        <v>46</v>
      </c>
    </row>
    <row r="61" spans="1:40" ht="22.35" customHeight="1" thickBot="1">
      <c r="A61" s="303"/>
      <c r="B61" s="304" t="s">
        <v>107</v>
      </c>
      <c r="C61" s="2801" t="s">
        <v>36</v>
      </c>
      <c r="D61" s="2801" t="s">
        <v>36</v>
      </c>
      <c r="E61" s="606" t="s">
        <v>32</v>
      </c>
      <c r="F61" s="606" t="s">
        <v>32</v>
      </c>
      <c r="G61" s="606" t="s">
        <v>32</v>
      </c>
      <c r="H61" s="606"/>
      <c r="I61" s="606"/>
      <c r="J61" s="2870">
        <v>9</v>
      </c>
      <c r="K61" s="2870">
        <v>9</v>
      </c>
      <c r="L61" s="2870">
        <v>9</v>
      </c>
      <c r="M61" s="2870">
        <v>9</v>
      </c>
      <c r="N61" s="2870">
        <v>9</v>
      </c>
      <c r="O61" s="2870" t="s">
        <v>76</v>
      </c>
      <c r="P61" s="2870" t="s">
        <v>77</v>
      </c>
      <c r="Q61" s="307" t="s">
        <v>36</v>
      </c>
      <c r="R61" s="305" t="s">
        <v>36</v>
      </c>
      <c r="S61" s="509" t="s">
        <v>32</v>
      </c>
      <c r="T61" s="557" t="s">
        <v>36</v>
      </c>
      <c r="U61" s="307" t="s">
        <v>36</v>
      </c>
      <c r="V61" s="305"/>
      <c r="W61" s="507"/>
      <c r="X61" s="660">
        <v>5</v>
      </c>
      <c r="Y61" s="507">
        <v>5</v>
      </c>
      <c r="Z61" s="305">
        <v>5</v>
      </c>
      <c r="AA61" s="305">
        <v>5</v>
      </c>
      <c r="AB61" s="305">
        <v>5</v>
      </c>
      <c r="AC61" s="305"/>
      <c r="AD61" s="305"/>
      <c r="AE61" s="305" t="s">
        <v>108</v>
      </c>
      <c r="AF61" s="305" t="s">
        <v>108</v>
      </c>
      <c r="AG61" s="397"/>
      <c r="AH61" s="1"/>
      <c r="AJ61" s="2696">
        <v>136.25</v>
      </c>
      <c r="AK61" s="2696">
        <v>9</v>
      </c>
      <c r="AL61" s="2696">
        <f>IF(AJ61="","",SUM(AJ61:AK61))</f>
        <v>145.25</v>
      </c>
      <c r="AM61" s="2818">
        <f t="shared" ref="AM61:AM75" si="1">IF(AJ61="","",AL61-NormTid)</f>
        <v>-15.080000000000013</v>
      </c>
      <c r="AN61" s="2818">
        <f>IF(AM61="","",AM61+'Oktober 2021'!AN61)</f>
        <v>56.619999999999919</v>
      </c>
    </row>
    <row r="62" spans="1:40" ht="22.35" customHeight="1" thickBot="1">
      <c r="A62" s="2797"/>
      <c r="B62" s="2874" t="s">
        <v>110</v>
      </c>
      <c r="C62" s="349">
        <v>25</v>
      </c>
      <c r="D62" s="571">
        <v>25</v>
      </c>
      <c r="E62" s="571">
        <v>25</v>
      </c>
      <c r="F62" s="349">
        <v>25</v>
      </c>
      <c r="G62" s="349">
        <v>25</v>
      </c>
      <c r="H62" s="349" t="s">
        <v>109</v>
      </c>
      <c r="I62" s="511" t="s">
        <v>109</v>
      </c>
      <c r="J62" s="2798" t="s">
        <v>36</v>
      </c>
      <c r="K62" s="2798" t="s">
        <v>36</v>
      </c>
      <c r="L62" s="2798" t="s">
        <v>36</v>
      </c>
      <c r="M62" s="2939" t="s">
        <v>338</v>
      </c>
      <c r="N62" s="2939" t="s">
        <v>338</v>
      </c>
      <c r="O62" s="361" t="s">
        <v>80</v>
      </c>
      <c r="P62" s="361" t="s">
        <v>80</v>
      </c>
      <c r="Q62" s="3102" t="s">
        <v>36</v>
      </c>
      <c r="R62" s="2826" t="s">
        <v>36</v>
      </c>
      <c r="S62" s="2820" t="s">
        <v>36</v>
      </c>
      <c r="T62" s="2820" t="s">
        <v>122</v>
      </c>
      <c r="U62" s="2826" t="s">
        <v>122</v>
      </c>
      <c r="V62" s="2826"/>
      <c r="W62" s="2820"/>
      <c r="X62" s="740" t="s">
        <v>32</v>
      </c>
      <c r="Y62" s="509">
        <v>7</v>
      </c>
      <c r="Z62" s="623">
        <v>7</v>
      </c>
      <c r="AA62" s="557" t="s">
        <v>32</v>
      </c>
      <c r="AB62" s="509">
        <v>7</v>
      </c>
      <c r="AC62" s="2820"/>
      <c r="AD62" s="2820"/>
      <c r="AE62" s="2820" t="s">
        <v>50</v>
      </c>
      <c r="AF62" s="2820" t="s">
        <v>50</v>
      </c>
      <c r="AG62" s="2823"/>
      <c r="AH62" s="1"/>
      <c r="AJ62" s="2696">
        <v>164.75</v>
      </c>
      <c r="AK62" s="2696">
        <v>8.75</v>
      </c>
      <c r="AL62" s="2696">
        <f t="shared" ref="AL62:AL77" si="2">IF(AJ62="","",SUM(AJ62:AK62))</f>
        <v>173.5</v>
      </c>
      <c r="AM62" s="2818">
        <f t="shared" si="1"/>
        <v>13.169999999999987</v>
      </c>
      <c r="AN62" s="2818">
        <f>IF(AM62="","",AM62+'Oktober 2021'!AN62)</f>
        <v>82.109999999999914</v>
      </c>
    </row>
    <row r="63" spans="1:40" ht="22.35" customHeight="1" thickBot="1">
      <c r="A63" s="2797"/>
      <c r="B63" s="2797" t="s">
        <v>112</v>
      </c>
      <c r="C63" s="2858" t="s">
        <v>135</v>
      </c>
      <c r="D63" s="2858" t="s">
        <v>36</v>
      </c>
      <c r="E63" s="2798" t="s">
        <v>36</v>
      </c>
      <c r="F63" s="2810" t="s">
        <v>36</v>
      </c>
      <c r="G63" s="2798" t="s">
        <v>36</v>
      </c>
      <c r="H63" s="3103"/>
      <c r="I63" s="2829"/>
      <c r="J63" s="3104">
        <v>26</v>
      </c>
      <c r="K63" s="3066">
        <v>26</v>
      </c>
      <c r="L63" s="3066">
        <v>26</v>
      </c>
      <c r="M63" s="3066">
        <v>26</v>
      </c>
      <c r="N63" s="3066">
        <v>26</v>
      </c>
      <c r="O63" s="2829"/>
      <c r="P63" s="3066">
        <v>26</v>
      </c>
      <c r="Q63" s="2829" t="s">
        <v>36</v>
      </c>
      <c r="R63" s="349" t="s">
        <v>36</v>
      </c>
      <c r="S63" s="998" t="s">
        <v>32</v>
      </c>
      <c r="T63" s="2829" t="s">
        <v>32</v>
      </c>
      <c r="U63" s="2826" t="s">
        <v>32</v>
      </c>
      <c r="V63" s="2826" t="s">
        <v>111</v>
      </c>
      <c r="W63" s="2826" t="s">
        <v>111</v>
      </c>
      <c r="X63" s="2858">
        <v>11</v>
      </c>
      <c r="Y63" s="2826">
        <v>11</v>
      </c>
      <c r="Z63" s="2820" t="s">
        <v>36</v>
      </c>
      <c r="AA63" s="661" t="s">
        <v>36</v>
      </c>
      <c r="AB63" s="2820">
        <v>4</v>
      </c>
      <c r="AC63" s="2820" t="s">
        <v>74</v>
      </c>
      <c r="AD63" s="2826"/>
      <c r="AE63" s="2822">
        <v>26</v>
      </c>
      <c r="AF63" s="2826">
        <v>26</v>
      </c>
      <c r="AG63" s="2823"/>
      <c r="AH63" s="1"/>
      <c r="AJ63" s="2696">
        <v>122</v>
      </c>
      <c r="AK63" s="2696">
        <v>6.25</v>
      </c>
      <c r="AL63" s="2696">
        <f t="shared" si="2"/>
        <v>128.25</v>
      </c>
      <c r="AM63" s="2818">
        <f t="shared" si="1"/>
        <v>-32.080000000000013</v>
      </c>
      <c r="AN63" s="2818">
        <f>IF(AM63="","",AM63+'Oktober 2021'!AN63)</f>
        <v>37.359999999999914</v>
      </c>
    </row>
    <row r="64" spans="1:40" ht="22.35" customHeight="1" thickBot="1">
      <c r="A64" s="2797"/>
      <c r="B64" s="2797" t="s">
        <v>114</v>
      </c>
      <c r="C64" s="2798" t="s">
        <v>36</v>
      </c>
      <c r="D64" s="2798" t="s">
        <v>36</v>
      </c>
      <c r="E64" s="2798" t="s">
        <v>36</v>
      </c>
      <c r="F64" s="2798" t="s">
        <v>36</v>
      </c>
      <c r="G64" s="2798" t="s">
        <v>36</v>
      </c>
      <c r="H64" s="2820"/>
      <c r="I64" s="2820"/>
      <c r="J64" s="2798" t="s">
        <v>36</v>
      </c>
      <c r="K64" s="2798" t="s">
        <v>36</v>
      </c>
      <c r="L64" s="2798" t="s">
        <v>36</v>
      </c>
      <c r="M64" s="2798" t="s">
        <v>36</v>
      </c>
      <c r="N64" s="2798" t="s">
        <v>36</v>
      </c>
      <c r="O64" s="2826"/>
      <c r="P64" s="2826"/>
      <c r="Q64" s="3104">
        <v>26</v>
      </c>
      <c r="R64" s="3104">
        <v>26</v>
      </c>
      <c r="S64" s="3104">
        <v>26</v>
      </c>
      <c r="T64" s="3066">
        <v>26</v>
      </c>
      <c r="U64" s="3066">
        <v>26</v>
      </c>
      <c r="V64" s="2833" t="s">
        <v>0</v>
      </c>
      <c r="W64" s="2833" t="s">
        <v>412</v>
      </c>
      <c r="X64" s="2827" t="s">
        <v>36</v>
      </c>
      <c r="Y64" s="2827" t="s">
        <v>36</v>
      </c>
      <c r="Z64" s="2827" t="s">
        <v>36</v>
      </c>
      <c r="AA64" s="2826" t="s">
        <v>242</v>
      </c>
      <c r="AB64" s="2826" t="s">
        <v>242</v>
      </c>
      <c r="AC64" s="2871" t="s">
        <v>109</v>
      </c>
      <c r="AD64" s="2871" t="s">
        <v>109</v>
      </c>
      <c r="AE64" s="2798" t="s">
        <v>36</v>
      </c>
      <c r="AF64" s="2798" t="s">
        <v>36</v>
      </c>
      <c r="AG64" s="2632"/>
      <c r="AH64" s="1"/>
      <c r="AJ64" s="2696">
        <v>79.25</v>
      </c>
      <c r="AK64" s="2696">
        <v>5</v>
      </c>
      <c r="AL64" s="2696">
        <f t="shared" si="2"/>
        <v>84.25</v>
      </c>
      <c r="AM64" s="2818">
        <f t="shared" si="1"/>
        <v>-76.080000000000013</v>
      </c>
      <c r="AN64" s="2818">
        <f>IF(AM64="","",AM64+'Oktober 2021'!AN64)</f>
        <v>48.609999999999928</v>
      </c>
    </row>
    <row r="65" spans="1:40" ht="22.35" customHeight="1" thickBot="1">
      <c r="A65" s="2797"/>
      <c r="B65" s="2797" t="s">
        <v>117</v>
      </c>
      <c r="C65" s="3105" t="s">
        <v>32</v>
      </c>
      <c r="D65" s="3105" t="s">
        <v>32</v>
      </c>
      <c r="E65" s="3105" t="s">
        <v>32</v>
      </c>
      <c r="F65" s="3105" t="s">
        <v>32</v>
      </c>
      <c r="G65" s="3105" t="s">
        <v>32</v>
      </c>
      <c r="H65" s="2820"/>
      <c r="I65" s="2820"/>
      <c r="J65" s="349" t="s">
        <v>108</v>
      </c>
      <c r="K65" s="571" t="s">
        <v>108</v>
      </c>
      <c r="L65" s="571" t="s">
        <v>108</v>
      </c>
      <c r="M65" s="349" t="s">
        <v>108</v>
      </c>
      <c r="N65" s="349" t="s">
        <v>108</v>
      </c>
      <c r="O65" s="349" t="s">
        <v>109</v>
      </c>
      <c r="P65" s="511" t="s">
        <v>109</v>
      </c>
      <c r="Q65" s="2825" t="s">
        <v>36</v>
      </c>
      <c r="R65" s="2826" t="s">
        <v>36</v>
      </c>
      <c r="S65" s="998" t="s">
        <v>36</v>
      </c>
      <c r="T65" s="2820" t="s">
        <v>32</v>
      </c>
      <c r="U65" s="2820" t="s">
        <v>32</v>
      </c>
      <c r="V65" s="2826"/>
      <c r="W65" s="2826"/>
      <c r="X65" s="2875" t="s">
        <v>124</v>
      </c>
      <c r="Y65" s="2875" t="s">
        <v>124</v>
      </c>
      <c r="Z65" s="2875" t="s">
        <v>124</v>
      </c>
      <c r="AA65" s="2875" t="s">
        <v>124</v>
      </c>
      <c r="AB65" s="2875" t="s">
        <v>124</v>
      </c>
      <c r="AC65" s="2820" t="s">
        <v>80</v>
      </c>
      <c r="AD65" s="2820" t="s">
        <v>80</v>
      </c>
      <c r="AE65" s="2820" t="s">
        <v>36</v>
      </c>
      <c r="AF65" s="2820" t="s">
        <v>36</v>
      </c>
      <c r="AG65" s="2823"/>
      <c r="AH65" s="1"/>
      <c r="AJ65" s="2696">
        <v>179.75</v>
      </c>
      <c r="AK65" s="2696">
        <v>7</v>
      </c>
      <c r="AL65" s="2696">
        <f t="shared" si="2"/>
        <v>186.75</v>
      </c>
      <c r="AM65" s="2818">
        <f t="shared" si="1"/>
        <v>26.419999999999987</v>
      </c>
      <c r="AN65" s="2818">
        <f>IF(AM65="","",AM65+'Oktober 2021'!AN65)</f>
        <v>20.109999999999914</v>
      </c>
    </row>
    <row r="66" spans="1:40" ht="22.35" customHeight="1">
      <c r="A66" s="2797"/>
      <c r="B66" s="2797" t="s">
        <v>119</v>
      </c>
      <c r="C66" s="2629" t="s">
        <v>32</v>
      </c>
      <c r="D66" s="2629" t="s">
        <v>32</v>
      </c>
      <c r="E66" s="2629" t="s">
        <v>32</v>
      </c>
      <c r="F66" s="2629" t="s">
        <v>32</v>
      </c>
      <c r="G66" s="2629" t="s">
        <v>32</v>
      </c>
      <c r="H66" s="2629"/>
      <c r="I66" s="2629"/>
      <c r="J66" s="2629" t="s">
        <v>32</v>
      </c>
      <c r="K66" s="2629" t="s">
        <v>32</v>
      </c>
      <c r="L66" s="2629" t="s">
        <v>32</v>
      </c>
      <c r="M66" s="2629" t="s">
        <v>32</v>
      </c>
      <c r="N66" s="2629" t="s">
        <v>32</v>
      </c>
      <c r="O66" s="2629"/>
      <c r="P66" s="2629"/>
      <c r="Q66" s="2629" t="s">
        <v>32</v>
      </c>
      <c r="R66" s="2629" t="s">
        <v>32</v>
      </c>
      <c r="S66" s="2629" t="s">
        <v>32</v>
      </c>
      <c r="T66" s="2629" t="s">
        <v>32</v>
      </c>
      <c r="U66" s="2629" t="s">
        <v>32</v>
      </c>
      <c r="V66" s="2629"/>
      <c r="W66" s="2629"/>
      <c r="X66" s="2629" t="s">
        <v>32</v>
      </c>
      <c r="Y66" s="2629" t="s">
        <v>32</v>
      </c>
      <c r="Z66" s="2629" t="s">
        <v>32</v>
      </c>
      <c r="AA66" s="2629" t="s">
        <v>32</v>
      </c>
      <c r="AB66" s="2629" t="s">
        <v>32</v>
      </c>
      <c r="AC66" s="2629"/>
      <c r="AD66" s="2629"/>
      <c r="AE66" s="2629" t="s">
        <v>32</v>
      </c>
      <c r="AF66" s="2629" t="s">
        <v>32</v>
      </c>
      <c r="AG66" s="2823"/>
      <c r="AH66" s="1"/>
      <c r="AJ66" s="2696"/>
      <c r="AK66" s="2696"/>
      <c r="AL66" s="2696" t="str">
        <f t="shared" si="2"/>
        <v/>
      </c>
      <c r="AM66" s="2818" t="str">
        <f t="shared" si="1"/>
        <v/>
      </c>
      <c r="AN66" s="2818" t="str">
        <f>IF(AM66="","",AM66+'Oktober 2021'!AN66)</f>
        <v/>
      </c>
    </row>
    <row r="67" spans="1:40" ht="22.35" customHeight="1">
      <c r="A67" s="2797"/>
      <c r="B67" s="2797" t="s">
        <v>120</v>
      </c>
      <c r="C67" s="2826" t="s">
        <v>32</v>
      </c>
      <c r="D67" s="192" t="s">
        <v>32</v>
      </c>
      <c r="E67" s="3106" t="s">
        <v>246</v>
      </c>
      <c r="F67" s="3106" t="s">
        <v>246</v>
      </c>
      <c r="G67" s="3106" t="s">
        <v>242</v>
      </c>
      <c r="H67" s="2820"/>
      <c r="I67" s="3104" t="s">
        <v>0</v>
      </c>
      <c r="J67" s="2826">
        <v>7</v>
      </c>
      <c r="K67" s="2826">
        <v>7</v>
      </c>
      <c r="L67" s="2827">
        <v>7</v>
      </c>
      <c r="M67" s="2826">
        <v>7</v>
      </c>
      <c r="N67" s="2826">
        <v>7</v>
      </c>
      <c r="O67" s="2827" t="s">
        <v>77</v>
      </c>
      <c r="P67" s="2826"/>
      <c r="Q67" s="2826" t="s">
        <v>122</v>
      </c>
      <c r="R67" s="2822" t="s">
        <v>32</v>
      </c>
      <c r="S67" s="2826" t="s">
        <v>36</v>
      </c>
      <c r="T67" t="s">
        <v>127</v>
      </c>
      <c r="U67">
        <v>4</v>
      </c>
      <c r="V67" s="2826"/>
      <c r="W67" s="3107">
        <v>26</v>
      </c>
      <c r="X67" s="2817">
        <v>26</v>
      </c>
      <c r="Y67" s="2820">
        <v>26</v>
      </c>
      <c r="Z67" s="557">
        <v>26</v>
      </c>
      <c r="AA67" s="2817">
        <v>26</v>
      </c>
      <c r="AB67" s="2820">
        <v>26</v>
      </c>
      <c r="AC67" s="2820"/>
      <c r="AD67" s="2820">
        <v>26</v>
      </c>
      <c r="AE67" s="2820">
        <v>5</v>
      </c>
      <c r="AF67" s="2820">
        <v>5</v>
      </c>
      <c r="AG67" s="2823"/>
      <c r="AH67" s="1"/>
      <c r="AJ67" s="2696">
        <v>172.5</v>
      </c>
      <c r="AK67" s="2696">
        <v>8.25</v>
      </c>
      <c r="AL67" s="2696">
        <f t="shared" si="2"/>
        <v>180.75</v>
      </c>
      <c r="AM67" s="2818">
        <f t="shared" si="1"/>
        <v>20.419999999999987</v>
      </c>
      <c r="AN67" s="2818">
        <f>IF(AM67="","",AM67+'Oktober 2021'!AN67)</f>
        <v>20.689999999999912</v>
      </c>
    </row>
    <row r="68" spans="1:40" ht="22.35" customHeight="1">
      <c r="A68" s="2824"/>
      <c r="B68" s="2874" t="s">
        <v>123</v>
      </c>
      <c r="C68" s="3066">
        <v>26</v>
      </c>
      <c r="D68" s="3066">
        <v>26</v>
      </c>
      <c r="E68" s="3066">
        <v>26</v>
      </c>
      <c r="F68" s="3066">
        <v>26</v>
      </c>
      <c r="G68" s="3066">
        <v>26</v>
      </c>
      <c r="H68" s="3066"/>
      <c r="I68" s="2817" t="s">
        <v>0</v>
      </c>
      <c r="J68" s="2820">
        <v>25</v>
      </c>
      <c r="K68" s="2817">
        <v>25</v>
      </c>
      <c r="L68" s="2820">
        <v>25</v>
      </c>
      <c r="M68" s="2820" t="s">
        <v>141</v>
      </c>
      <c r="N68" s="2817" t="s">
        <v>141</v>
      </c>
      <c r="O68" s="2820"/>
      <c r="P68" s="2826"/>
      <c r="Q68" s="2820">
        <v>25</v>
      </c>
      <c r="R68" s="2817">
        <v>25</v>
      </c>
      <c r="S68" s="2820">
        <v>25</v>
      </c>
      <c r="T68" s="2820">
        <v>25</v>
      </c>
      <c r="U68" s="2820">
        <v>25</v>
      </c>
      <c r="V68" s="2826"/>
      <c r="W68" s="2827"/>
      <c r="X68" s="2820">
        <v>25</v>
      </c>
      <c r="Y68" s="2820">
        <v>25</v>
      </c>
      <c r="Z68" s="2820">
        <v>25</v>
      </c>
      <c r="AA68" s="2820">
        <v>25</v>
      </c>
      <c r="AB68" s="2820">
        <v>25</v>
      </c>
      <c r="AC68" s="2820"/>
      <c r="AD68" s="2820"/>
      <c r="AE68" s="2858" t="s">
        <v>36</v>
      </c>
      <c r="AF68" s="2798" t="s">
        <v>36</v>
      </c>
      <c r="AG68" s="2823"/>
      <c r="AH68" s="1"/>
      <c r="AJ68" s="2696">
        <v>124</v>
      </c>
      <c r="AK68" s="2696">
        <v>9.5</v>
      </c>
      <c r="AL68" s="2696">
        <f t="shared" si="2"/>
        <v>133.5</v>
      </c>
      <c r="AM68" s="2818">
        <f t="shared" si="1"/>
        <v>-26.830000000000013</v>
      </c>
      <c r="AN68" s="2818">
        <f>IF(AM68="","",AM68+'Oktober 2021'!AN68)</f>
        <v>88.859999999999914</v>
      </c>
    </row>
    <row r="69" spans="1:40" ht="22.35" customHeight="1">
      <c r="A69" s="2797"/>
      <c r="B69" s="2797" t="s">
        <v>128</v>
      </c>
      <c r="C69" s="2875">
        <v>79</v>
      </c>
      <c r="D69" s="2875">
        <v>79</v>
      </c>
      <c r="E69" s="2875">
        <v>79</v>
      </c>
      <c r="F69" s="2875">
        <v>79</v>
      </c>
      <c r="G69" s="2875">
        <v>79</v>
      </c>
      <c r="H69" s="2820"/>
      <c r="I69" s="2820"/>
      <c r="J69" s="2875">
        <v>89</v>
      </c>
      <c r="K69" s="3108">
        <v>89</v>
      </c>
      <c r="L69" s="2875" t="s">
        <v>115</v>
      </c>
      <c r="M69" s="2875" t="s">
        <v>115</v>
      </c>
      <c r="N69" s="2875" t="s">
        <v>115</v>
      </c>
      <c r="O69" s="2875">
        <v>89</v>
      </c>
      <c r="P69" s="2826"/>
      <c r="Q69" s="2826" t="s">
        <v>132</v>
      </c>
      <c r="R69" s="2826" t="s">
        <v>132</v>
      </c>
      <c r="S69" s="2826" t="s">
        <v>132</v>
      </c>
      <c r="T69" s="2826" t="s">
        <v>132</v>
      </c>
      <c r="U69" s="2826" t="s">
        <v>132</v>
      </c>
      <c r="V69" s="2826"/>
      <c r="W69" s="2820"/>
      <c r="X69" s="3044">
        <v>4</v>
      </c>
      <c r="Y69" s="3044" t="s">
        <v>334</v>
      </c>
      <c r="Z69" s="2831" t="s">
        <v>32</v>
      </c>
      <c r="AA69" s="2831" t="s">
        <v>32</v>
      </c>
      <c r="AB69" s="2831" t="s">
        <v>32</v>
      </c>
      <c r="AC69" s="2831"/>
      <c r="AD69" s="2831"/>
      <c r="AE69" s="2820" t="s">
        <v>135</v>
      </c>
      <c r="AF69" s="2820" t="s">
        <v>135</v>
      </c>
      <c r="AG69" s="2823"/>
      <c r="AH69" s="1"/>
      <c r="AJ69" s="2696">
        <v>173.75</v>
      </c>
      <c r="AK69" s="2696">
        <v>0.75</v>
      </c>
      <c r="AL69" s="2696">
        <f t="shared" si="2"/>
        <v>174.5</v>
      </c>
      <c r="AM69" s="2818">
        <f t="shared" si="1"/>
        <v>14.169999999999987</v>
      </c>
      <c r="AN69" s="2818">
        <f>IF(AM69="","",AM69+'Oktober 2021'!AN69)</f>
        <v>16.859999999999914</v>
      </c>
    </row>
    <row r="70" spans="1:40" ht="22.35" customHeight="1" thickBot="1">
      <c r="A70" s="2797"/>
      <c r="B70" s="2797" t="s">
        <v>130</v>
      </c>
      <c r="C70" s="2820" t="s">
        <v>36</v>
      </c>
      <c r="D70" s="2820" t="s">
        <v>36</v>
      </c>
      <c r="E70" s="2820" t="s">
        <v>36</v>
      </c>
      <c r="F70" s="2820" t="s">
        <v>242</v>
      </c>
      <c r="G70" s="2820">
        <v>69</v>
      </c>
      <c r="H70" s="2820" t="s">
        <v>111</v>
      </c>
      <c r="I70" s="2820" t="s">
        <v>111</v>
      </c>
      <c r="J70" s="2820">
        <v>4</v>
      </c>
      <c r="K70" s="2820">
        <v>4</v>
      </c>
      <c r="L70" s="2820">
        <v>4</v>
      </c>
      <c r="M70" s="2798" t="s">
        <v>36</v>
      </c>
      <c r="N70" s="2798" t="s">
        <v>36</v>
      </c>
      <c r="O70" s="2802" t="s">
        <v>74</v>
      </c>
      <c r="P70" s="2870" t="s">
        <v>74</v>
      </c>
      <c r="Q70" s="2826">
        <v>3</v>
      </c>
      <c r="R70" s="2826" t="s">
        <v>122</v>
      </c>
      <c r="S70" s="2826" t="s">
        <v>122</v>
      </c>
      <c r="T70" s="2826" t="s">
        <v>50</v>
      </c>
      <c r="U70" s="2826" t="s">
        <v>50</v>
      </c>
      <c r="V70" s="2826"/>
      <c r="W70" s="2820"/>
      <c r="X70" s="2826" t="s">
        <v>50</v>
      </c>
      <c r="Y70" s="2826" t="s">
        <v>50</v>
      </c>
      <c r="Z70" s="2826" t="s">
        <v>50</v>
      </c>
      <c r="AA70" s="2826" t="s">
        <v>50</v>
      </c>
      <c r="AB70" s="2826" t="s">
        <v>50</v>
      </c>
      <c r="AC70" s="2820"/>
      <c r="AD70" s="2820"/>
      <c r="AE70" s="2629">
        <v>25</v>
      </c>
      <c r="AF70" s="2629">
        <v>25</v>
      </c>
      <c r="AG70" s="2823"/>
      <c r="AH70" s="1"/>
      <c r="AJ70" s="2696">
        <v>152.75</v>
      </c>
      <c r="AK70" s="2696">
        <v>3.75</v>
      </c>
      <c r="AL70" s="2696">
        <f t="shared" si="2"/>
        <v>156.5</v>
      </c>
      <c r="AM70" s="2818">
        <f t="shared" si="1"/>
        <v>-3.8300000000000125</v>
      </c>
      <c r="AN70" s="2818">
        <f>IF(AM70="","",AM70+'Oktober 2021'!AN70)</f>
        <v>28.359999999999914</v>
      </c>
    </row>
    <row r="71" spans="1:40" ht="22.35" customHeight="1" thickBot="1">
      <c r="A71" s="2797"/>
      <c r="B71" s="2797" t="s">
        <v>131</v>
      </c>
      <c r="C71" s="676" t="s">
        <v>32</v>
      </c>
      <c r="D71" s="211" t="s">
        <v>32</v>
      </c>
      <c r="E71" s="211" t="s">
        <v>32</v>
      </c>
      <c r="F71" s="211" t="s">
        <v>32</v>
      </c>
      <c r="G71" s="211" t="s">
        <v>32</v>
      </c>
      <c r="H71" s="2820"/>
      <c r="I71" s="2820"/>
      <c r="J71" s="2826" t="s">
        <v>122</v>
      </c>
      <c r="K71" s="2826" t="s">
        <v>122</v>
      </c>
      <c r="L71" s="2826" t="s">
        <v>122</v>
      </c>
      <c r="M71" s="2826" t="s">
        <v>122</v>
      </c>
      <c r="N71" s="2826" t="s">
        <v>122</v>
      </c>
      <c r="O71" s="2829"/>
      <c r="P71" s="3103" t="s">
        <v>77</v>
      </c>
      <c r="Q71" s="193" t="s">
        <v>36</v>
      </c>
      <c r="R71" s="349" t="s">
        <v>36</v>
      </c>
      <c r="S71" s="998" t="s">
        <v>36</v>
      </c>
      <c r="T71" s="2820" t="s">
        <v>36</v>
      </c>
      <c r="U71" s="2820">
        <v>3</v>
      </c>
      <c r="V71" s="2820"/>
      <c r="W71" s="2820"/>
      <c r="X71" s="2826" t="s">
        <v>122</v>
      </c>
      <c r="Y71" s="2826" t="s">
        <v>122</v>
      </c>
      <c r="Z71" s="2826" t="s">
        <v>122</v>
      </c>
      <c r="AA71" s="2826" t="s">
        <v>122</v>
      </c>
      <c r="AB71" s="2826" t="s">
        <v>122</v>
      </c>
      <c r="AC71" s="2820"/>
      <c r="AD71" s="2820"/>
      <c r="AE71" s="2820" t="s">
        <v>122</v>
      </c>
      <c r="AF71" s="2820" t="s">
        <v>122</v>
      </c>
      <c r="AG71" s="2823"/>
      <c r="AH71" s="1"/>
      <c r="AJ71" s="2696">
        <v>127.5</v>
      </c>
      <c r="AK71" s="2696">
        <v>1.5</v>
      </c>
      <c r="AL71" s="2696">
        <f t="shared" si="2"/>
        <v>129</v>
      </c>
      <c r="AM71" s="2818">
        <f t="shared" si="1"/>
        <v>-31.330000000000013</v>
      </c>
      <c r="AN71" s="2818">
        <f>IF(AM71="","",AM71+'Oktober 2021'!AN71)</f>
        <v>24.869999999999912</v>
      </c>
    </row>
    <row r="72" spans="1:40" ht="22.35" customHeight="1">
      <c r="A72" s="2797"/>
      <c r="B72" s="2797" t="s">
        <v>133</v>
      </c>
      <c r="C72" s="2680" t="s">
        <v>50</v>
      </c>
      <c r="D72" s="2680" t="s">
        <v>50</v>
      </c>
      <c r="E72" s="2680" t="s">
        <v>50</v>
      </c>
      <c r="F72" s="2678" t="s">
        <v>50</v>
      </c>
      <c r="G72" s="2678" t="s">
        <v>50</v>
      </c>
      <c r="H72" s="2629"/>
      <c r="I72" s="2629"/>
      <c r="J72" s="2678" t="s">
        <v>50</v>
      </c>
      <c r="K72" s="2678" t="s">
        <v>358</v>
      </c>
      <c r="L72" s="2679" t="s">
        <v>50</v>
      </c>
      <c r="M72" s="2669" t="s">
        <v>50</v>
      </c>
      <c r="N72" s="2669" t="s">
        <v>50</v>
      </c>
      <c r="O72" s="2820"/>
      <c r="P72" s="2820"/>
      <c r="Q72" s="2669" t="s">
        <v>50</v>
      </c>
      <c r="R72" s="2820" t="s">
        <v>50</v>
      </c>
      <c r="S72" s="2669" t="s">
        <v>50</v>
      </c>
      <c r="T72" s="2669" t="s">
        <v>50</v>
      </c>
      <c r="U72" s="2669" t="s">
        <v>50</v>
      </c>
      <c r="V72" s="2820"/>
      <c r="W72" s="2820"/>
      <c r="X72" s="2831" t="s">
        <v>32</v>
      </c>
      <c r="Y72" s="2831" t="s">
        <v>32</v>
      </c>
      <c r="Z72" s="2831" t="s">
        <v>32</v>
      </c>
      <c r="AA72" s="2831" t="s">
        <v>32</v>
      </c>
      <c r="AB72" s="2831" t="s">
        <v>32</v>
      </c>
      <c r="AC72" s="2831"/>
      <c r="AD72" s="2831"/>
      <c r="AE72" s="2820" t="s">
        <v>50</v>
      </c>
      <c r="AF72" s="2820" t="s">
        <v>50</v>
      </c>
      <c r="AG72" s="2823"/>
      <c r="AH72" s="1"/>
      <c r="AJ72" s="2696">
        <v>162.5</v>
      </c>
      <c r="AK72" s="2696">
        <v>0.5</v>
      </c>
      <c r="AL72" s="2696">
        <f t="shared" si="2"/>
        <v>163</v>
      </c>
      <c r="AM72" s="2818">
        <f t="shared" si="1"/>
        <v>2.6699999999999875</v>
      </c>
      <c r="AN72" s="2818">
        <f>IF(AM72="","",AM72+'Oktober 2021'!AN72)</f>
        <v>-17.880000000000088</v>
      </c>
    </row>
    <row r="73" spans="1:40" ht="22.35" customHeight="1" thickBot="1">
      <c r="A73" s="3069"/>
      <c r="B73" s="2824" t="s">
        <v>134</v>
      </c>
      <c r="C73" s="2875" t="s">
        <v>213</v>
      </c>
      <c r="D73" s="2875" t="s">
        <v>213</v>
      </c>
      <c r="E73" s="2875" t="s">
        <v>213</v>
      </c>
      <c r="F73" s="2875" t="s">
        <v>213</v>
      </c>
      <c r="G73" s="2875" t="s">
        <v>36</v>
      </c>
      <c r="H73" s="2875"/>
      <c r="I73" s="2875"/>
      <c r="J73" s="2875" t="s">
        <v>211</v>
      </c>
      <c r="K73" s="2875" t="s">
        <v>211</v>
      </c>
      <c r="L73" s="2875" t="s">
        <v>211</v>
      </c>
      <c r="M73" s="2875" t="s">
        <v>211</v>
      </c>
      <c r="N73" s="2875" t="s">
        <v>211</v>
      </c>
      <c r="O73" s="2875"/>
      <c r="P73" s="2875"/>
      <c r="Q73" s="2875" t="s">
        <v>212</v>
      </c>
      <c r="R73" s="2875" t="s">
        <v>212</v>
      </c>
      <c r="S73" s="2875" t="s">
        <v>212</v>
      </c>
      <c r="T73" s="2875" t="s">
        <v>212</v>
      </c>
      <c r="U73" s="2875" t="s">
        <v>212</v>
      </c>
      <c r="V73" s="2875" t="s">
        <v>212</v>
      </c>
      <c r="W73" s="2875"/>
      <c r="X73" s="2875" t="s">
        <v>213</v>
      </c>
      <c r="Y73" s="2875" t="s">
        <v>213</v>
      </c>
      <c r="Z73" s="2875" t="s">
        <v>213</v>
      </c>
      <c r="AA73" s="2875" t="s">
        <v>213</v>
      </c>
      <c r="AB73" s="2875" t="s">
        <v>36</v>
      </c>
      <c r="AC73" s="2871"/>
      <c r="AD73" s="2871"/>
      <c r="AE73" s="2871" t="s">
        <v>211</v>
      </c>
      <c r="AF73" s="2871" t="s">
        <v>211</v>
      </c>
      <c r="AG73" s="2632"/>
      <c r="AH73" s="1"/>
      <c r="AJ73" s="2696"/>
      <c r="AK73" s="2696"/>
      <c r="AL73" s="2696" t="str">
        <f t="shared" si="2"/>
        <v/>
      </c>
      <c r="AM73" s="2818" t="str">
        <f t="shared" si="1"/>
        <v/>
      </c>
      <c r="AN73" s="2818" t="str">
        <f>IF(AM73="","",AM73+'Oktober 2021'!AN73)</f>
        <v/>
      </c>
    </row>
    <row r="74" spans="1:40" ht="22.35" customHeight="1" thickBot="1">
      <c r="A74" s="2797"/>
      <c r="B74" s="2797" t="s">
        <v>366</v>
      </c>
      <c r="C74" s="361">
        <v>7</v>
      </c>
      <c r="D74" s="350">
        <v>7</v>
      </c>
      <c r="E74" s="361">
        <v>7</v>
      </c>
      <c r="F74" s="349">
        <v>7</v>
      </c>
      <c r="G74" s="349">
        <v>7</v>
      </c>
      <c r="H74" s="349"/>
      <c r="I74" s="349"/>
      <c r="J74" s="541">
        <v>4</v>
      </c>
      <c r="K74" s="541">
        <v>4</v>
      </c>
      <c r="L74" s="541">
        <v>4</v>
      </c>
      <c r="M74" s="541">
        <v>4</v>
      </c>
      <c r="N74" s="541">
        <v>4</v>
      </c>
      <c r="O74" s="541"/>
      <c r="P74" s="541"/>
      <c r="Q74" s="541">
        <v>3</v>
      </c>
      <c r="R74" s="541">
        <v>3</v>
      </c>
      <c r="S74" s="541">
        <v>3</v>
      </c>
      <c r="T74" s="541">
        <v>3</v>
      </c>
      <c r="U74" s="541">
        <v>3</v>
      </c>
      <c r="V74" s="2831"/>
      <c r="W74" s="2831"/>
      <c r="X74" s="541">
        <v>11</v>
      </c>
      <c r="Y74" s="643">
        <v>11</v>
      </c>
      <c r="Z74" s="361">
        <v>11</v>
      </c>
      <c r="AA74" s="361">
        <v>11</v>
      </c>
      <c r="AB74" s="361">
        <v>11</v>
      </c>
      <c r="AC74" s="361" t="s">
        <v>73</v>
      </c>
      <c r="AD74" s="361" t="s">
        <v>73</v>
      </c>
      <c r="AE74" s="350" t="s">
        <v>36</v>
      </c>
      <c r="AF74" s="361" t="s">
        <v>36</v>
      </c>
      <c r="AG74" s="2823"/>
      <c r="AH74" s="1"/>
      <c r="AJ74" s="2696"/>
      <c r="AK74" s="2696"/>
      <c r="AL74" s="2696" t="str">
        <f t="shared" si="2"/>
        <v/>
      </c>
      <c r="AM74" s="2818" t="str">
        <f t="shared" si="1"/>
        <v/>
      </c>
      <c r="AN74" s="2818" t="str">
        <f>IF(AM74="","",AM74+'Oktober 2021'!AN74)</f>
        <v/>
      </c>
    </row>
    <row r="75" spans="1:40" ht="22.35" customHeight="1" thickBot="1">
      <c r="A75" s="308"/>
      <c r="B75" s="308" t="s">
        <v>139</v>
      </c>
      <c r="C75" s="509" t="s">
        <v>32</v>
      </c>
      <c r="D75" s="509" t="s">
        <v>32</v>
      </c>
      <c r="E75" s="509" t="s">
        <v>32</v>
      </c>
      <c r="F75" s="509" t="s">
        <v>32</v>
      </c>
      <c r="G75" s="509" t="s">
        <v>32</v>
      </c>
      <c r="H75" s="2865" t="s">
        <v>78</v>
      </c>
      <c r="I75" s="2865" t="s">
        <v>74</v>
      </c>
      <c r="J75" s="2825" t="s">
        <v>36</v>
      </c>
      <c r="K75" s="2825" t="s">
        <v>36</v>
      </c>
      <c r="L75" s="2825" t="s">
        <v>36</v>
      </c>
      <c r="M75" s="2825" t="s">
        <v>36</v>
      </c>
      <c r="N75" s="2825">
        <v>3</v>
      </c>
      <c r="O75" s="2826"/>
      <c r="P75" s="2826"/>
      <c r="Q75" s="2825">
        <v>99</v>
      </c>
      <c r="R75" s="2826">
        <v>99</v>
      </c>
      <c r="S75" s="2820">
        <v>99</v>
      </c>
      <c r="T75" s="2820">
        <v>99</v>
      </c>
      <c r="U75" s="2826" t="s">
        <v>36</v>
      </c>
      <c r="V75" s="2833" t="s">
        <v>78</v>
      </c>
      <c r="W75" s="2833" t="s">
        <v>74</v>
      </c>
      <c r="X75" s="2833">
        <v>6</v>
      </c>
      <c r="Y75" s="2833">
        <v>6</v>
      </c>
      <c r="Z75" s="2833">
        <v>6</v>
      </c>
      <c r="AA75" s="2833">
        <v>6</v>
      </c>
      <c r="AB75" s="2832">
        <v>6</v>
      </c>
      <c r="AC75" s="2820"/>
      <c r="AD75" s="2820"/>
      <c r="AE75" s="2940">
        <v>5</v>
      </c>
      <c r="AF75" s="2696">
        <v>99</v>
      </c>
      <c r="AG75" s="311"/>
      <c r="AJ75" s="2696">
        <v>164.5</v>
      </c>
      <c r="AK75" s="2696">
        <v>8.5</v>
      </c>
      <c r="AL75" s="2696">
        <f t="shared" si="2"/>
        <v>173</v>
      </c>
      <c r="AM75" s="2818">
        <f t="shared" si="1"/>
        <v>12.669999999999987</v>
      </c>
      <c r="AN75" s="2818">
        <f>IF(AM75="","",AM75)</f>
        <v>12.669999999999987</v>
      </c>
    </row>
    <row r="76" spans="1:40" ht="22.35" customHeight="1" thickBot="1">
      <c r="A76" s="2874"/>
      <c r="B76" s="2874" t="s">
        <v>140</v>
      </c>
      <c r="C76" s="574" t="s">
        <v>108</v>
      </c>
      <c r="D76" s="349" t="s">
        <v>108</v>
      </c>
      <c r="E76" s="571" t="s">
        <v>108</v>
      </c>
      <c r="F76" s="349" t="s">
        <v>108</v>
      </c>
      <c r="G76" s="574" t="s">
        <v>108</v>
      </c>
      <c r="H76" s="2817"/>
      <c r="I76" s="2820"/>
      <c r="J76" s="202" t="s">
        <v>36</v>
      </c>
      <c r="K76" s="740" t="s">
        <v>32</v>
      </c>
      <c r="L76" s="2820" t="s">
        <v>32</v>
      </c>
      <c r="M76" s="2820" t="s">
        <v>32</v>
      </c>
      <c r="N76" s="2820">
        <v>11</v>
      </c>
      <c r="O76" s="2829" t="s">
        <v>73</v>
      </c>
      <c r="P76" s="557" t="s">
        <v>32</v>
      </c>
      <c r="Q76" s="2825" t="s">
        <v>32</v>
      </c>
      <c r="R76" s="2825" t="s">
        <v>32</v>
      </c>
      <c r="S76" s="998" t="s">
        <v>32</v>
      </c>
      <c r="T76" s="509" t="s">
        <v>32</v>
      </c>
      <c r="U76" s="509" t="s">
        <v>32</v>
      </c>
      <c r="V76" s="2915"/>
      <c r="W76" s="2939"/>
      <c r="X76" s="2875" t="s">
        <v>108</v>
      </c>
      <c r="Y76" s="2875" t="s">
        <v>108</v>
      </c>
      <c r="Z76" t="s">
        <v>108</v>
      </c>
      <c r="AA76" s="2875" t="s">
        <v>108</v>
      </c>
      <c r="AB76" s="2875" t="s">
        <v>108</v>
      </c>
      <c r="AC76" s="2820"/>
      <c r="AD76" s="2820"/>
      <c r="AE76" s="2825" t="s">
        <v>32</v>
      </c>
      <c r="AF76" s="2825" t="s">
        <v>36</v>
      </c>
      <c r="AG76" s="2823"/>
      <c r="AJ76" s="2915">
        <v>174</v>
      </c>
      <c r="AK76" s="2915">
        <v>5.25</v>
      </c>
      <c r="AL76" s="2915">
        <f t="shared" si="2"/>
        <v>179.25</v>
      </c>
      <c r="AM76" s="2818">
        <f>IF(AJ76="","",AL76-NormTid)</f>
        <v>18.919999999999987</v>
      </c>
      <c r="AN76" s="2818">
        <f>IF(AM76="","",AM76)</f>
        <v>18.919999999999987</v>
      </c>
    </row>
    <row r="77" spans="1:40" ht="22.35" customHeight="1" thickBot="1">
      <c r="A77" s="994"/>
      <c r="B77" s="995" t="s">
        <v>350</v>
      </c>
      <c r="C77" s="2826" t="s">
        <v>32</v>
      </c>
      <c r="D77" s="2820" t="s">
        <v>135</v>
      </c>
      <c r="E77" s="2820" t="s">
        <v>135</v>
      </c>
      <c r="F77" s="2915" t="s">
        <v>50</v>
      </c>
      <c r="G77" s="2915" t="s">
        <v>50</v>
      </c>
      <c r="H77" s="2820"/>
      <c r="I77" s="2820"/>
      <c r="J77" s="509" t="s">
        <v>32</v>
      </c>
      <c r="K77" s="509" t="s">
        <v>32</v>
      </c>
      <c r="L77" s="509" t="s">
        <v>32</v>
      </c>
      <c r="M77" s="509" t="s">
        <v>32</v>
      </c>
      <c r="N77" s="623" t="s">
        <v>50</v>
      </c>
      <c r="O77" s="2829"/>
      <c r="P77" s="2829" t="s">
        <v>73</v>
      </c>
      <c r="Q77" s="2820" t="s">
        <v>36</v>
      </c>
      <c r="R77" s="2820">
        <v>3</v>
      </c>
      <c r="S77" s="998" t="s">
        <v>32</v>
      </c>
      <c r="T77" s="2669" t="s">
        <v>32</v>
      </c>
      <c r="U77" s="2669" t="s">
        <v>32</v>
      </c>
      <c r="V77" s="998"/>
      <c r="W77" s="998"/>
      <c r="X77" s="996" t="s">
        <v>50</v>
      </c>
      <c r="Y77" s="996" t="s">
        <v>50</v>
      </c>
      <c r="Z77" s="1126" t="s">
        <v>50</v>
      </c>
      <c r="AA77" s="1126" t="s">
        <v>50</v>
      </c>
      <c r="AB77" s="1126" t="s">
        <v>50</v>
      </c>
      <c r="AC77" s="1126"/>
      <c r="AD77" s="1126"/>
      <c r="AE77" s="2915" t="s">
        <v>32</v>
      </c>
      <c r="AF77" s="2915" t="s">
        <v>32</v>
      </c>
      <c r="AG77" s="999"/>
      <c r="AJ77" s="2915">
        <v>166</v>
      </c>
      <c r="AK77" s="2915">
        <v>3.25</v>
      </c>
      <c r="AL77" s="2915">
        <f t="shared" si="2"/>
        <v>169.25</v>
      </c>
      <c r="AM77" s="2818">
        <f>IF(AJ77="","",AL77-NormTid)</f>
        <v>8.9199999999999875</v>
      </c>
      <c r="AN77" s="2818">
        <f>IF(AM77="","",AM77)</f>
        <v>8.9199999999999875</v>
      </c>
    </row>
    <row r="78" spans="1:40" ht="22.35" customHeight="1" thickBot="1">
      <c r="A78" s="205"/>
      <c r="B78" s="576" t="s">
        <v>359</v>
      </c>
      <c r="C78" s="2820" t="s">
        <v>36</v>
      </c>
      <c r="D78" s="2820" t="s">
        <v>36</v>
      </c>
      <c r="E78" s="2820">
        <v>1</v>
      </c>
      <c r="F78" s="207">
        <v>1</v>
      </c>
      <c r="G78" s="2820">
        <v>23</v>
      </c>
      <c r="H78" s="2865"/>
      <c r="I78" s="2865"/>
      <c r="J78" s="748" t="s">
        <v>32</v>
      </c>
      <c r="K78" s="3102">
        <v>89</v>
      </c>
      <c r="L78" s="3102">
        <v>89</v>
      </c>
      <c r="M78" s="2825">
        <v>89</v>
      </c>
      <c r="N78" s="2825">
        <v>89</v>
      </c>
      <c r="O78" s="207"/>
      <c r="P78" s="203"/>
      <c r="Q78" s="2820">
        <v>23</v>
      </c>
      <c r="R78" s="2820">
        <v>6</v>
      </c>
      <c r="S78" s="2820">
        <v>6</v>
      </c>
      <c r="T78" s="2825">
        <v>6</v>
      </c>
      <c r="U78" s="2825">
        <v>6</v>
      </c>
      <c r="V78" s="2825">
        <v>23</v>
      </c>
      <c r="W78" s="2825">
        <v>23</v>
      </c>
      <c r="X78" s="2825" t="s">
        <v>36</v>
      </c>
      <c r="Y78" s="3102">
        <v>1</v>
      </c>
      <c r="Z78" s="3102" t="s">
        <v>183</v>
      </c>
      <c r="AA78" s="2825" t="s">
        <v>126</v>
      </c>
      <c r="AB78" s="2825">
        <v>69</v>
      </c>
      <c r="AC78" s="203"/>
      <c r="AD78" s="203"/>
      <c r="AE78" s="2825">
        <v>3</v>
      </c>
      <c r="AF78" s="2825">
        <v>3</v>
      </c>
      <c r="AG78" s="225"/>
      <c r="AJ78" s="2696">
        <v>123.75</v>
      </c>
      <c r="AK78" s="2696">
        <v>5</v>
      </c>
      <c r="AL78" s="2696">
        <f t="shared" ref="AL78" si="3">IF(AJ78="","",SUM(AJ78:AK78))</f>
        <v>128.75</v>
      </c>
      <c r="AM78" s="2818">
        <f t="shared" ref="AM78" si="4">IF(AJ78="","",AL78-NormTid)</f>
        <v>-31.580000000000013</v>
      </c>
      <c r="AN78" s="2818">
        <f>IF(AM78="","",AM78+'Oktober 2021'!AN78)</f>
        <v>-31.580000000000013</v>
      </c>
    </row>
    <row r="79" spans="1:40" ht="22.35" customHeight="1">
      <c r="A79" s="749"/>
      <c r="B79" s="750" t="s">
        <v>413</v>
      </c>
      <c r="C79" s="2820"/>
      <c r="D79" s="2820"/>
      <c r="E79" s="2820"/>
      <c r="F79" s="2820"/>
      <c r="G79" s="2820" t="s">
        <v>32</v>
      </c>
      <c r="H79" s="2820"/>
      <c r="I79" s="2820"/>
      <c r="J79" s="2820"/>
      <c r="K79" s="2820"/>
      <c r="L79" s="2820"/>
      <c r="M79" s="2820"/>
      <c r="N79" s="2820" t="s">
        <v>32</v>
      </c>
      <c r="O79" s="2820"/>
      <c r="P79" s="2820"/>
      <c r="Q79" s="2820"/>
      <c r="R79" s="2820"/>
      <c r="S79" s="2820"/>
      <c r="T79" s="2820">
        <v>4</v>
      </c>
      <c r="U79" s="2820" t="s">
        <v>32</v>
      </c>
      <c r="V79" s="2820"/>
      <c r="W79" s="2820"/>
      <c r="X79" s="2676">
        <v>4</v>
      </c>
      <c r="Y79" s="2676">
        <v>4</v>
      </c>
      <c r="Z79">
        <v>4</v>
      </c>
      <c r="AA79">
        <v>4</v>
      </c>
      <c r="AB79" s="2820" t="s">
        <v>32</v>
      </c>
      <c r="AC79" s="2820"/>
      <c r="AD79" s="2820"/>
      <c r="AE79" s="2669" t="s">
        <v>32</v>
      </c>
      <c r="AF79" s="2669" t="s">
        <v>32</v>
      </c>
      <c r="AG79" s="2820"/>
      <c r="AJ79" s="200"/>
      <c r="AK79" s="200"/>
      <c r="AL79" s="200"/>
      <c r="AM79" s="529"/>
      <c r="AN79" s="529"/>
    </row>
    <row r="80" spans="1:40" ht="22.35" customHeight="1">
      <c r="A80" s="749"/>
      <c r="B80" s="750"/>
      <c r="C80" s="3109"/>
      <c r="D80" s="3109"/>
      <c r="E80" s="3109"/>
      <c r="F80" s="3109"/>
      <c r="G80" s="3109"/>
      <c r="H80" s="3109"/>
      <c r="I80" s="3109"/>
      <c r="J80" s="3109"/>
      <c r="K80" s="3109"/>
      <c r="L80" s="3109"/>
      <c r="M80" s="3109"/>
      <c r="N80" s="3109"/>
      <c r="O80" s="3109"/>
      <c r="P80" s="3109"/>
      <c r="Q80" s="3109"/>
      <c r="R80" s="3109"/>
      <c r="S80" s="3109"/>
      <c r="T80" s="3109"/>
      <c r="U80" s="3109"/>
      <c r="V80" s="3109"/>
      <c r="W80" s="3109"/>
      <c r="X80" s="3109"/>
      <c r="Y80" s="3109"/>
      <c r="Z80" s="3109"/>
      <c r="AA80" s="3109"/>
      <c r="AB80" s="3109"/>
      <c r="AC80" s="3109"/>
      <c r="AD80" s="3109"/>
      <c r="AE80" s="3109"/>
      <c r="AF80" s="3109"/>
      <c r="AG80" s="3109"/>
      <c r="AJ80" s="200"/>
      <c r="AK80" s="200"/>
      <c r="AL80" s="200"/>
      <c r="AM80" s="529"/>
      <c r="AN80" s="529"/>
    </row>
    <row r="81" spans="1:34" ht="22.35" customHeight="1" thickBot="1">
      <c r="A81" s="3110"/>
      <c r="B81" s="3111" t="s">
        <v>138</v>
      </c>
      <c r="C81" s="3112">
        <v>1</v>
      </c>
      <c r="D81" s="3112">
        <v>2</v>
      </c>
      <c r="E81" s="3112">
        <v>3</v>
      </c>
      <c r="F81" s="3112">
        <v>4</v>
      </c>
      <c r="G81" s="3112">
        <v>5</v>
      </c>
      <c r="H81" s="3113">
        <v>6</v>
      </c>
      <c r="I81" s="3113">
        <v>7</v>
      </c>
      <c r="J81" s="3112">
        <v>8</v>
      </c>
      <c r="K81" s="3112">
        <v>9</v>
      </c>
      <c r="L81" s="3112">
        <v>10</v>
      </c>
      <c r="M81" s="3112">
        <v>11</v>
      </c>
      <c r="N81" s="3112">
        <v>12</v>
      </c>
      <c r="O81" s="3113">
        <v>13</v>
      </c>
      <c r="P81" s="3113">
        <v>14</v>
      </c>
      <c r="Q81" s="3112">
        <v>15</v>
      </c>
      <c r="R81" s="3112">
        <v>16</v>
      </c>
      <c r="S81" s="3112">
        <v>17</v>
      </c>
      <c r="T81" s="3112">
        <v>18</v>
      </c>
      <c r="U81" s="3112">
        <v>19</v>
      </c>
      <c r="V81" s="3113">
        <v>20</v>
      </c>
      <c r="W81" s="3113">
        <v>21</v>
      </c>
      <c r="X81" s="3112">
        <v>22</v>
      </c>
      <c r="Y81" s="3112">
        <v>23</v>
      </c>
      <c r="Z81" s="3112">
        <v>24</v>
      </c>
      <c r="AA81" s="3112">
        <v>25</v>
      </c>
      <c r="AB81" s="3112">
        <v>26</v>
      </c>
      <c r="AC81" s="3113">
        <v>27</v>
      </c>
      <c r="AD81" s="3113">
        <v>28</v>
      </c>
      <c r="AE81" s="3112">
        <v>29</v>
      </c>
      <c r="AF81" s="3112">
        <v>30</v>
      </c>
      <c r="AG81" s="3114"/>
      <c r="AH81" s="1"/>
    </row>
    <row r="82" spans="1:34" ht="22.35" customHeight="1" thickBot="1">
      <c r="A82" s="308"/>
      <c r="B82" s="508" t="s">
        <v>352</v>
      </c>
      <c r="C82" s="2798">
        <v>9</v>
      </c>
      <c r="D82" s="2798">
        <v>9</v>
      </c>
      <c r="E82" s="2798">
        <v>9</v>
      </c>
      <c r="F82" s="2798">
        <v>9</v>
      </c>
      <c r="G82" s="2798">
        <v>9</v>
      </c>
      <c r="H82" s="2798" t="s">
        <v>76</v>
      </c>
      <c r="I82" s="2802" t="s">
        <v>77</v>
      </c>
      <c r="J82" s="3094" t="s">
        <v>36</v>
      </c>
      <c r="K82" s="3094" t="s">
        <v>36</v>
      </c>
      <c r="L82" s="3094" t="s">
        <v>36</v>
      </c>
      <c r="M82" s="3094" t="s">
        <v>36</v>
      </c>
      <c r="N82" s="3094" t="s">
        <v>36</v>
      </c>
      <c r="O82" s="3094" t="s">
        <v>78</v>
      </c>
      <c r="P82" s="3094" t="s">
        <v>74</v>
      </c>
      <c r="Q82" s="3094">
        <v>6</v>
      </c>
      <c r="R82" s="3115">
        <v>6</v>
      </c>
      <c r="S82" s="3115">
        <v>6</v>
      </c>
      <c r="T82" s="3115">
        <v>6</v>
      </c>
      <c r="U82" s="3115">
        <v>6</v>
      </c>
      <c r="V82" s="3115"/>
      <c r="W82" s="3115"/>
      <c r="X82" s="3115" t="s">
        <v>36</v>
      </c>
      <c r="Y82" s="3115" t="s">
        <v>363</v>
      </c>
      <c r="Z82" s="3116">
        <v>22</v>
      </c>
      <c r="AA82" s="3116">
        <v>23</v>
      </c>
      <c r="AB82" s="3117" t="s">
        <v>36</v>
      </c>
      <c r="AC82" s="2915"/>
      <c r="AD82" s="2915"/>
      <c r="AE82" s="2883">
        <v>69</v>
      </c>
      <c r="AF82" s="3118">
        <v>69</v>
      </c>
      <c r="AG82" s="2790"/>
      <c r="AH82" s="1"/>
    </row>
    <row r="83" spans="1:34" ht="22.35" customHeight="1">
      <c r="A83" s="2874"/>
      <c r="B83" s="2874" t="s">
        <v>0</v>
      </c>
      <c r="C83" s="2820"/>
      <c r="D83" s="2820"/>
      <c r="E83" s="2820"/>
      <c r="F83" s="2820"/>
      <c r="G83" s="2820"/>
      <c r="H83" s="2820"/>
      <c r="I83" s="2820"/>
      <c r="J83" s="2820"/>
      <c r="K83" s="2820"/>
      <c r="L83" s="2820"/>
      <c r="M83" s="2820"/>
      <c r="N83" s="2820"/>
      <c r="O83" s="2820"/>
      <c r="P83" s="2820"/>
      <c r="Q83" s="2820"/>
      <c r="R83" s="2820"/>
      <c r="S83" s="2820"/>
      <c r="T83" s="2820"/>
      <c r="U83" s="2820"/>
      <c r="V83" s="2820"/>
      <c r="W83" s="2820"/>
      <c r="X83" s="2820"/>
      <c r="Y83" s="2820"/>
      <c r="Z83" s="2820"/>
      <c r="AA83" s="2820"/>
      <c r="AB83" s="2820"/>
      <c r="AC83" s="2820"/>
      <c r="AD83" s="2820"/>
      <c r="AE83" s="2820"/>
      <c r="AF83" s="2820"/>
      <c r="AG83" s="2820"/>
      <c r="AH83" s="1"/>
    </row>
    <row r="84" spans="1:34" ht="22.35" customHeight="1">
      <c r="A84" s="3119"/>
      <c r="B84" s="2874" t="s">
        <v>342</v>
      </c>
      <c r="C84" s="2825" t="s">
        <v>36</v>
      </c>
      <c r="D84" s="2825" t="s">
        <v>36</v>
      </c>
      <c r="E84" s="2825" t="s">
        <v>36</v>
      </c>
      <c r="F84" s="2820" t="s">
        <v>135</v>
      </c>
      <c r="G84" s="2820" t="s">
        <v>135</v>
      </c>
      <c r="H84" s="2820"/>
      <c r="I84" s="2820"/>
      <c r="J84" s="2820" t="s">
        <v>135</v>
      </c>
      <c r="K84" s="2820" t="s">
        <v>135</v>
      </c>
      <c r="L84" s="2820" t="s">
        <v>135</v>
      </c>
      <c r="M84" s="2820" t="s">
        <v>135</v>
      </c>
      <c r="N84" s="2820" t="s">
        <v>135</v>
      </c>
      <c r="O84" s="2820"/>
      <c r="P84" s="2820"/>
      <c r="Q84" s="2820" t="s">
        <v>135</v>
      </c>
      <c r="R84" s="2820" t="s">
        <v>135</v>
      </c>
      <c r="S84" s="2820" t="s">
        <v>135</v>
      </c>
      <c r="T84" s="2820" t="s">
        <v>135</v>
      </c>
      <c r="U84" s="2820" t="s">
        <v>135</v>
      </c>
      <c r="V84" s="2820"/>
      <c r="W84" s="2820"/>
      <c r="X84" s="3044" t="s">
        <v>135</v>
      </c>
      <c r="Y84" s="3044" t="s">
        <v>135</v>
      </c>
      <c r="Z84" s="3044" t="s">
        <v>355</v>
      </c>
      <c r="AA84" s="2820" t="s">
        <v>135</v>
      </c>
      <c r="AB84" s="2820" t="s">
        <v>135</v>
      </c>
      <c r="AC84" s="2820" t="s">
        <v>111</v>
      </c>
      <c r="AD84" s="2820" t="s">
        <v>111</v>
      </c>
      <c r="AE84" s="2820" t="s">
        <v>36</v>
      </c>
      <c r="AF84" s="2820" t="s">
        <v>36</v>
      </c>
      <c r="AG84" s="2820"/>
      <c r="AH84" s="1"/>
    </row>
    <row r="85" spans="1:34" ht="22.35" customHeight="1" thickBot="1">
      <c r="A85" s="994"/>
      <c r="B85" s="995" t="s">
        <v>0</v>
      </c>
      <c r="C85" s="2820"/>
      <c r="D85" s="2820"/>
      <c r="E85" s="2820"/>
      <c r="F85" s="2820"/>
      <c r="G85" s="2820"/>
      <c r="H85" s="2820"/>
      <c r="I85" s="2820"/>
      <c r="J85" s="2820"/>
      <c r="K85" s="2820"/>
      <c r="L85" s="2820"/>
      <c r="M85" s="2820"/>
      <c r="N85" s="2820"/>
      <c r="O85" s="2820"/>
      <c r="P85" s="2820"/>
      <c r="Q85" s="2820"/>
      <c r="R85" s="2820"/>
      <c r="S85" s="2820"/>
      <c r="T85" s="2820"/>
      <c r="U85" s="2820"/>
      <c r="V85" s="2820"/>
      <c r="W85" s="2820"/>
      <c r="X85" s="2820"/>
      <c r="Y85" s="2820"/>
      <c r="Z85" s="2820"/>
      <c r="AA85" s="2820"/>
      <c r="AB85" s="2820"/>
      <c r="AC85" s="2820"/>
      <c r="AD85" s="2820"/>
      <c r="AE85" s="2820"/>
      <c r="AF85" s="2820"/>
      <c r="AG85" s="2820"/>
      <c r="AH85" s="1"/>
    </row>
    <row r="86" spans="1:34" ht="22.35" customHeight="1" thickBot="1">
      <c r="A86" s="205"/>
      <c r="B86" s="613" t="s">
        <v>0</v>
      </c>
      <c r="C86" s="2820"/>
      <c r="D86" s="2820"/>
      <c r="E86" s="2820"/>
      <c r="F86" s="2820"/>
      <c r="G86" s="2820"/>
      <c r="H86" s="2820"/>
      <c r="I86" s="2820"/>
      <c r="J86" s="2820"/>
      <c r="K86" s="2820"/>
      <c r="L86" s="2820"/>
      <c r="M86" s="2820"/>
      <c r="N86" s="2820"/>
      <c r="O86" s="2820"/>
      <c r="P86" s="2820"/>
      <c r="Q86" s="2820"/>
      <c r="R86" s="2820"/>
      <c r="S86" s="2820"/>
      <c r="T86" s="2820"/>
      <c r="U86" s="2820"/>
      <c r="V86" s="2820"/>
      <c r="W86" s="2820"/>
      <c r="X86" s="2820"/>
      <c r="Y86" s="2820"/>
      <c r="Z86" s="2820"/>
      <c r="AA86" s="2820"/>
      <c r="AB86" s="2820"/>
      <c r="AC86" s="2820"/>
      <c r="AD86" s="2820"/>
      <c r="AE86" s="2820"/>
      <c r="AF86" s="2820"/>
      <c r="AG86" s="2820"/>
      <c r="AH86" s="1"/>
    </row>
    <row r="87" spans="1:34" ht="22.35" customHeight="1" thickBot="1">
      <c r="A87" s="204"/>
      <c r="B87" s="2820"/>
      <c r="C87" s="2820"/>
      <c r="D87" s="2820"/>
      <c r="E87" s="2820"/>
      <c r="F87" s="2820"/>
      <c r="G87" s="2820"/>
      <c r="H87" s="2820"/>
      <c r="I87" s="2820"/>
      <c r="J87" s="2820"/>
      <c r="K87" s="2820"/>
      <c r="L87" s="2820"/>
      <c r="M87" s="2820"/>
      <c r="N87" s="2820"/>
      <c r="O87" s="2820"/>
      <c r="P87" s="2820"/>
      <c r="Q87" s="2820"/>
      <c r="R87" s="2820"/>
      <c r="S87" s="2820"/>
      <c r="T87" s="2820"/>
      <c r="U87" s="2820"/>
      <c r="V87" s="2820"/>
      <c r="W87" s="2820"/>
      <c r="X87" s="2820"/>
      <c r="Y87" s="2820"/>
      <c r="Z87" s="2820"/>
      <c r="AA87" s="2820"/>
      <c r="AB87" s="2820"/>
      <c r="AC87" s="2820"/>
      <c r="AD87" s="2820"/>
      <c r="AE87" s="2820"/>
      <c r="AF87" s="2820"/>
      <c r="AG87" s="2820"/>
      <c r="AH87" s="1"/>
    </row>
    <row r="88" spans="1:34" ht="22.35" customHeight="1">
      <c r="A88" s="64" t="s">
        <v>143</v>
      </c>
      <c r="AH88" s="1"/>
    </row>
    <row r="89" spans="1:34" ht="22.35" customHeight="1" thickBot="1">
      <c r="A89" s="3120"/>
      <c r="B89" s="2856" t="s">
        <v>29</v>
      </c>
      <c r="C89" s="2788">
        <v>1</v>
      </c>
      <c r="D89" s="2788">
        <v>2</v>
      </c>
      <c r="E89" s="2788">
        <v>3</v>
      </c>
      <c r="F89" s="2788">
        <v>4</v>
      </c>
      <c r="G89" s="2788">
        <v>5</v>
      </c>
      <c r="H89" s="2789">
        <v>6</v>
      </c>
      <c r="I89" s="2789">
        <v>7</v>
      </c>
      <c r="J89" s="2788">
        <v>8</v>
      </c>
      <c r="K89" s="2788">
        <v>9</v>
      </c>
      <c r="L89" s="2788">
        <v>10</v>
      </c>
      <c r="M89" s="2788">
        <v>11</v>
      </c>
      <c r="N89" s="2788">
        <v>12</v>
      </c>
      <c r="O89" s="2789">
        <v>13</v>
      </c>
      <c r="P89" s="2789">
        <v>14</v>
      </c>
      <c r="Q89" s="2788">
        <v>15</v>
      </c>
      <c r="R89" s="2788">
        <v>16</v>
      </c>
      <c r="S89" s="2788">
        <v>17</v>
      </c>
      <c r="T89" s="2788">
        <v>18</v>
      </c>
      <c r="U89" s="2788">
        <v>19</v>
      </c>
      <c r="V89" s="2789">
        <v>20</v>
      </c>
      <c r="W89" s="2789">
        <v>21</v>
      </c>
      <c r="X89" s="2788">
        <v>22</v>
      </c>
      <c r="Y89" s="2788">
        <v>23</v>
      </c>
      <c r="Z89" s="2788">
        <v>24</v>
      </c>
      <c r="AA89" s="2788">
        <v>25</v>
      </c>
      <c r="AB89" s="2788">
        <v>26</v>
      </c>
      <c r="AC89" s="2789">
        <v>27</v>
      </c>
      <c r="AD89" s="2789">
        <v>28</v>
      </c>
      <c r="AE89" s="2788">
        <v>29</v>
      </c>
      <c r="AF89" s="2788">
        <v>30</v>
      </c>
      <c r="AG89" s="2790"/>
      <c r="AH89" s="1"/>
    </row>
    <row r="90" spans="1:34" ht="22.35" customHeight="1">
      <c r="A90" s="365"/>
      <c r="B90" s="366" t="s">
        <v>144</v>
      </c>
      <c r="C90" s="349"/>
      <c r="D90" s="364"/>
      <c r="E90" s="349"/>
      <c r="F90" s="349"/>
      <c r="G90" s="349"/>
      <c r="H90" s="349"/>
      <c r="I90" s="349"/>
      <c r="J90" s="349"/>
      <c r="K90" s="349"/>
      <c r="L90" s="349"/>
      <c r="M90" s="349"/>
      <c r="N90" s="349"/>
      <c r="O90" s="349"/>
      <c r="P90" s="349"/>
      <c r="Q90" s="349"/>
      <c r="R90" s="349"/>
      <c r="S90" s="349"/>
      <c r="T90" s="349"/>
      <c r="U90" s="349"/>
      <c r="V90" s="349"/>
      <c r="W90" s="349"/>
      <c r="X90" s="349"/>
      <c r="Y90" s="349"/>
      <c r="Z90" s="349"/>
      <c r="AA90" s="349"/>
      <c r="AB90" s="349"/>
      <c r="AC90" s="349"/>
      <c r="AD90" s="349"/>
      <c r="AE90" s="349"/>
      <c r="AF90" s="349"/>
      <c r="AG90" s="647"/>
      <c r="AH90" s="1"/>
    </row>
    <row r="91" spans="1:34" ht="22.35" customHeight="1">
      <c r="A91" s="3121">
        <v>2</v>
      </c>
      <c r="B91" s="2805" t="s">
        <v>414</v>
      </c>
      <c r="C91" s="3122" t="s">
        <v>343</v>
      </c>
      <c r="D91" s="3123" t="s">
        <v>343</v>
      </c>
      <c r="E91" s="3123" t="s">
        <v>343</v>
      </c>
      <c r="F91" s="3123" t="s">
        <v>343</v>
      </c>
      <c r="G91" s="3123" t="s">
        <v>343</v>
      </c>
      <c r="H91" s="2860"/>
      <c r="I91" s="2860"/>
      <c r="J91" s="3123">
        <v>8</v>
      </c>
      <c r="K91" s="3123">
        <v>8</v>
      </c>
      <c r="L91" s="3123">
        <v>8</v>
      </c>
      <c r="M91" s="3123">
        <v>8</v>
      </c>
      <c r="N91" s="3123">
        <v>8</v>
      </c>
      <c r="O91" s="2860"/>
      <c r="P91" s="2860"/>
      <c r="Q91" s="3123">
        <v>79</v>
      </c>
      <c r="R91" s="3123">
        <v>79</v>
      </c>
      <c r="S91" s="3123">
        <v>79</v>
      </c>
      <c r="T91" s="3123">
        <v>79</v>
      </c>
      <c r="U91" s="3123">
        <v>79</v>
      </c>
      <c r="V91" s="3124"/>
      <c r="W91" s="3124"/>
      <c r="X91" s="3123">
        <v>9</v>
      </c>
      <c r="Y91" s="3123">
        <v>9</v>
      </c>
      <c r="Z91" s="3123">
        <v>9</v>
      </c>
      <c r="AA91" s="3123">
        <v>9</v>
      </c>
      <c r="AB91" s="2860" t="s">
        <v>36</v>
      </c>
      <c r="AC91" s="2860"/>
      <c r="AD91" s="2860"/>
      <c r="AE91" s="3123" t="s">
        <v>125</v>
      </c>
      <c r="AF91" s="3122" t="s">
        <v>125</v>
      </c>
      <c r="AG91" s="3125"/>
    </row>
    <row r="92" spans="1:34" ht="22.35" customHeight="1">
      <c r="A92" s="3121">
        <v>3</v>
      </c>
      <c r="B92" s="2805"/>
      <c r="C92" s="2875"/>
      <c r="D92" s="2875"/>
      <c r="E92" s="2875"/>
      <c r="F92" s="2875"/>
      <c r="G92" s="2875"/>
      <c r="H92" s="2875"/>
      <c r="I92" s="2875"/>
      <c r="J92" s="2875"/>
      <c r="K92" s="2875"/>
      <c r="L92" s="2875"/>
      <c r="M92" s="2875"/>
      <c r="N92" s="2875"/>
      <c r="O92" s="2875"/>
      <c r="P92" s="2875"/>
      <c r="Q92" s="2875"/>
      <c r="R92" s="2875"/>
      <c r="S92" s="2875"/>
      <c r="T92" s="2875"/>
      <c r="U92" s="2875"/>
      <c r="V92" s="2875"/>
      <c r="W92" s="2875"/>
      <c r="X92" s="2875"/>
      <c r="Y92" s="2875"/>
      <c r="Z92" s="2875"/>
      <c r="AA92" s="2875"/>
      <c r="AB92" s="2875"/>
      <c r="AC92" s="2875"/>
      <c r="AD92" s="2875"/>
      <c r="AE92" s="2875"/>
      <c r="AF92" s="2875"/>
      <c r="AG92" s="646"/>
      <c r="AH92" s="1"/>
    </row>
    <row r="93" spans="1:34" ht="22.35" customHeight="1" thickBot="1">
      <c r="A93" s="2909">
        <v>4</v>
      </c>
      <c r="B93" s="2863"/>
      <c r="C93" s="3126"/>
      <c r="D93" s="3126"/>
      <c r="E93" s="3126"/>
      <c r="F93" s="3126"/>
      <c r="G93" s="3126"/>
      <c r="H93" s="3126"/>
      <c r="I93" s="3126"/>
      <c r="J93" s="3126"/>
      <c r="K93" s="3126"/>
      <c r="L93" s="3126"/>
      <c r="M93" s="3126"/>
      <c r="N93" s="3126"/>
      <c r="O93" s="3126"/>
      <c r="P93" s="3126"/>
      <c r="Q93" s="3126"/>
      <c r="R93" s="3126"/>
      <c r="S93" s="3126"/>
      <c r="T93" s="3126"/>
      <c r="U93" s="3126"/>
      <c r="V93" s="3126"/>
      <c r="W93" s="3126"/>
      <c r="X93" s="3126"/>
      <c r="Y93" s="3126"/>
      <c r="Z93" s="3126"/>
      <c r="AA93" s="3126"/>
      <c r="AB93" s="3126" t="s">
        <v>415</v>
      </c>
      <c r="AC93" s="3126"/>
      <c r="AD93" s="3126"/>
      <c r="AE93" s="3126"/>
      <c r="AF93" s="3126"/>
      <c r="AG93" s="2790"/>
      <c r="AH93" s="1"/>
    </row>
    <row r="94" spans="1:34" ht="22.35" customHeight="1">
      <c r="A94" s="209"/>
      <c r="B94" s="21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1"/>
    </row>
    <row r="95" spans="1:34" ht="22.35" customHeight="1">
      <c r="A95" s="209"/>
      <c r="B95" s="210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F95" s="211"/>
      <c r="AG95" s="211"/>
      <c r="AH95" s="1"/>
    </row>
    <row r="96" spans="1:34" ht="22.35" customHeight="1" thickBot="1">
      <c r="A96" t="s">
        <v>145</v>
      </c>
    </row>
    <row r="97" spans="1:35" ht="22.35" customHeight="1" thickBot="1">
      <c r="B97" s="323" t="s">
        <v>146</v>
      </c>
      <c r="C97" s="252"/>
      <c r="D97" s="314" t="s">
        <v>94</v>
      </c>
      <c r="E97" s="314"/>
      <c r="F97" s="279"/>
      <c r="G97" s="252"/>
      <c r="H97" s="314" t="s">
        <v>95</v>
      </c>
      <c r="I97" s="314"/>
      <c r="J97" s="279"/>
      <c r="K97" s="252"/>
      <c r="L97" s="314" t="s">
        <v>96</v>
      </c>
      <c r="M97" s="314"/>
      <c r="N97" s="279"/>
      <c r="O97" s="252"/>
      <c r="P97" s="314" t="s">
        <v>97</v>
      </c>
      <c r="Q97" s="314"/>
      <c r="R97" s="279"/>
      <c r="S97" s="252"/>
      <c r="T97" s="314" t="s">
        <v>98</v>
      </c>
      <c r="U97" s="314"/>
      <c r="V97" s="279"/>
      <c r="W97" s="252"/>
      <c r="X97" s="314" t="s">
        <v>99</v>
      </c>
      <c r="Y97" s="314"/>
      <c r="Z97" s="279"/>
      <c r="AA97" s="252"/>
      <c r="AB97" s="314" t="s">
        <v>100</v>
      </c>
      <c r="AC97" s="314"/>
      <c r="AD97" s="314"/>
      <c r="AE97" s="314" t="s">
        <v>147</v>
      </c>
      <c r="AF97" s="314"/>
      <c r="AG97" s="314"/>
      <c r="AH97" s="314"/>
      <c r="AI97" s="267"/>
    </row>
    <row r="98" spans="1:35" ht="22.35" customHeight="1">
      <c r="B98" s="441" t="s">
        <v>148</v>
      </c>
      <c r="C98" s="368" t="s">
        <v>149</v>
      </c>
      <c r="D98" s="314"/>
      <c r="E98" s="357"/>
      <c r="F98" s="372"/>
      <c r="G98" s="368" t="s">
        <v>149</v>
      </c>
      <c r="H98" s="357"/>
      <c r="I98" s="357"/>
      <c r="J98" s="372"/>
      <c r="K98" s="252" t="s">
        <v>149</v>
      </c>
      <c r="L98" s="314"/>
      <c r="M98" s="314"/>
      <c r="N98" s="279"/>
      <c r="O98" s="252" t="s">
        <v>150</v>
      </c>
      <c r="P98" s="314"/>
      <c r="Q98" s="357"/>
      <c r="R98" s="372"/>
      <c r="S98" s="368" t="s">
        <v>151</v>
      </c>
      <c r="T98" s="357"/>
      <c r="U98" s="357"/>
      <c r="V98" s="357"/>
      <c r="W98" s="523"/>
      <c r="X98" s="524"/>
      <c r="Y98" s="524"/>
      <c r="Z98" s="525"/>
      <c r="AA98" s="357"/>
      <c r="AB98" s="357"/>
      <c r="AC98" s="357"/>
      <c r="AD98" s="357"/>
      <c r="AE98" s="368">
        <v>37</v>
      </c>
      <c r="AF98" s="314"/>
      <c r="AG98" s="357"/>
      <c r="AH98" s="357"/>
      <c r="AI98" s="358"/>
    </row>
    <row r="99" spans="1:35" ht="22.35" customHeight="1">
      <c r="B99" s="3127" t="s">
        <v>152</v>
      </c>
      <c r="C99" s="3128" t="s">
        <v>153</v>
      </c>
      <c r="D99" s="2770"/>
      <c r="E99" s="2770"/>
      <c r="F99" s="2778"/>
      <c r="G99" s="3128" t="s">
        <v>154</v>
      </c>
      <c r="H99" s="2770"/>
      <c r="I99" s="2770"/>
      <c r="J99" s="2778"/>
      <c r="K99" s="3128" t="s">
        <v>155</v>
      </c>
      <c r="L99" s="2770" t="s">
        <v>156</v>
      </c>
      <c r="M99" s="2770"/>
      <c r="N99" s="2778"/>
      <c r="O99" s="3128" t="s">
        <v>155</v>
      </c>
      <c r="P99" s="2770" t="s">
        <v>156</v>
      </c>
      <c r="Q99" s="2770"/>
      <c r="R99" s="2778"/>
      <c r="S99" s="3128" t="s">
        <v>154</v>
      </c>
      <c r="T99" s="2770" t="s">
        <v>157</v>
      </c>
      <c r="U99" s="2770"/>
      <c r="V99" s="2778"/>
      <c r="W99" s="8" t="s">
        <v>109</v>
      </c>
      <c r="X99" s="14" t="s">
        <v>158</v>
      </c>
      <c r="Y99" s="14"/>
      <c r="Z99" s="14"/>
      <c r="AA99" s="3128" t="s">
        <v>109</v>
      </c>
      <c r="AB99" s="2770" t="s">
        <v>158</v>
      </c>
      <c r="AC99" s="3128"/>
      <c r="AD99" s="3128"/>
      <c r="AE99" s="3128">
        <v>68</v>
      </c>
      <c r="AF99" s="2770"/>
      <c r="AG99" s="2770"/>
      <c r="AH99" s="2770"/>
      <c r="AI99" s="2779"/>
    </row>
    <row r="100" spans="1:35" ht="22.35" customHeight="1">
      <c r="B100" s="3127" t="s">
        <v>159</v>
      </c>
      <c r="C100" s="3129" t="s">
        <v>160</v>
      </c>
      <c r="D100" s="2770"/>
      <c r="E100" s="2770"/>
      <c r="F100" s="2778"/>
      <c r="G100" s="2770" t="s">
        <v>160</v>
      </c>
      <c r="H100" s="2770"/>
      <c r="I100" s="2770"/>
      <c r="J100" s="2778"/>
      <c r="K100" s="2770" t="s">
        <v>160</v>
      </c>
      <c r="L100" s="2770"/>
      <c r="M100" s="2770"/>
      <c r="N100" s="2778"/>
      <c r="O100" s="2770" t="s">
        <v>160</v>
      </c>
      <c r="P100" s="2770"/>
      <c r="Q100" s="2770"/>
      <c r="R100" s="2778"/>
      <c r="S100" s="2770" t="s">
        <v>160</v>
      </c>
      <c r="T100" s="2770"/>
      <c r="U100" s="2770"/>
      <c r="V100" s="2778"/>
      <c r="W100" s="3128"/>
      <c r="X100" s="2770"/>
      <c r="Y100" s="2770"/>
      <c r="Z100" s="2778"/>
      <c r="AA100" s="3128"/>
      <c r="AB100" s="2770"/>
      <c r="AC100" s="2770"/>
      <c r="AD100" s="2770"/>
      <c r="AE100" s="3128">
        <v>0</v>
      </c>
      <c r="AF100" s="2770"/>
      <c r="AG100" s="2770"/>
      <c r="AH100" s="2770"/>
      <c r="AI100" s="2779"/>
    </row>
    <row r="101" spans="1:35" ht="22.35" customHeight="1" thickBot="1">
      <c r="B101" s="3130" t="s">
        <v>161</v>
      </c>
      <c r="C101" s="3131" t="s">
        <v>149</v>
      </c>
      <c r="D101" s="516"/>
      <c r="E101" s="2847"/>
      <c r="F101" s="2849"/>
      <c r="G101" s="3131" t="s">
        <v>149</v>
      </c>
      <c r="H101" s="516"/>
      <c r="I101" s="2847"/>
      <c r="J101" s="2849"/>
      <c r="K101" s="3131" t="s">
        <v>149</v>
      </c>
      <c r="L101" s="516"/>
      <c r="M101" s="2847"/>
      <c r="N101" s="2849"/>
      <c r="O101" s="3131" t="s">
        <v>150</v>
      </c>
      <c r="P101" s="2847"/>
      <c r="Q101" s="2847"/>
      <c r="R101" s="2849"/>
      <c r="S101" s="3131" t="s">
        <v>151</v>
      </c>
      <c r="T101" s="2847"/>
      <c r="U101" s="2847"/>
      <c r="V101" s="2847"/>
      <c r="W101" s="3132"/>
      <c r="X101" s="2847"/>
      <c r="Y101" s="2847"/>
      <c r="Z101" s="3133"/>
      <c r="AA101" s="2847"/>
      <c r="AB101" s="2847"/>
      <c r="AC101" s="2847"/>
      <c r="AD101" s="2847"/>
      <c r="AE101" s="3131">
        <v>37</v>
      </c>
      <c r="AF101" s="2847"/>
      <c r="AG101" s="2847"/>
      <c r="AH101" s="2847"/>
      <c r="AI101" s="2854"/>
    </row>
    <row r="102" spans="1:35" ht="22.35" customHeight="1">
      <c r="D102" s="14"/>
    </row>
    <row r="103" spans="1:35" ht="22.35" customHeight="1" thickBot="1">
      <c r="A103" s="2892"/>
      <c r="B103" s="2892" t="s">
        <v>29</v>
      </c>
      <c r="C103" s="2788">
        <v>1</v>
      </c>
      <c r="D103" s="2788">
        <v>2</v>
      </c>
      <c r="E103" s="2788">
        <v>3</v>
      </c>
      <c r="F103" s="2788">
        <v>4</v>
      </c>
      <c r="G103" s="2788">
        <v>5</v>
      </c>
      <c r="H103" s="2789">
        <v>6</v>
      </c>
      <c r="I103" s="2789">
        <v>7</v>
      </c>
      <c r="J103" s="2788">
        <v>8</v>
      </c>
      <c r="K103" s="2788">
        <v>9</v>
      </c>
      <c r="L103" s="2788">
        <v>10</v>
      </c>
      <c r="M103" s="2788">
        <v>11</v>
      </c>
      <c r="N103" s="2788">
        <v>12</v>
      </c>
      <c r="O103" s="2789">
        <v>13</v>
      </c>
      <c r="P103" s="2789">
        <v>14</v>
      </c>
      <c r="Q103" s="2788">
        <v>15</v>
      </c>
      <c r="R103" s="2788">
        <v>16</v>
      </c>
      <c r="S103" s="2788">
        <v>17</v>
      </c>
      <c r="T103" s="2788">
        <v>18</v>
      </c>
      <c r="U103" s="2788">
        <v>19</v>
      </c>
      <c r="V103" s="2789">
        <v>20</v>
      </c>
      <c r="W103" s="2789">
        <v>21</v>
      </c>
      <c r="X103" s="2788">
        <v>22</v>
      </c>
      <c r="Y103" s="2788">
        <v>23</v>
      </c>
      <c r="Z103" s="2788">
        <v>24</v>
      </c>
      <c r="AA103" s="2788">
        <v>25</v>
      </c>
      <c r="AB103" s="2788">
        <v>26</v>
      </c>
      <c r="AC103" s="2789">
        <v>27</v>
      </c>
      <c r="AD103" s="2789">
        <v>28</v>
      </c>
      <c r="AE103" s="2788">
        <v>29</v>
      </c>
      <c r="AF103" s="2788">
        <v>30</v>
      </c>
      <c r="AG103" s="2790"/>
      <c r="AH103" s="176"/>
      <c r="AI103" s="177"/>
    </row>
    <row r="104" spans="1:35" ht="22.35" customHeight="1">
      <c r="A104" s="367">
        <v>1</v>
      </c>
      <c r="B104" s="526" t="s">
        <v>162</v>
      </c>
      <c r="C104" s="349" t="s">
        <v>163</v>
      </c>
      <c r="D104" s="349" t="s">
        <v>163</v>
      </c>
      <c r="E104" s="349" t="s">
        <v>163</v>
      </c>
      <c r="F104" s="349" t="s">
        <v>163</v>
      </c>
      <c r="G104" s="349" t="s">
        <v>163</v>
      </c>
      <c r="H104" s="349"/>
      <c r="I104" s="349"/>
      <c r="J104" s="349" t="s">
        <v>108</v>
      </c>
      <c r="K104" s="349" t="s">
        <v>108</v>
      </c>
      <c r="L104" s="349" t="s">
        <v>108</v>
      </c>
      <c r="M104" s="349" t="s">
        <v>108</v>
      </c>
      <c r="N104" s="349" t="s">
        <v>108</v>
      </c>
      <c r="O104" s="349" t="s">
        <v>109</v>
      </c>
      <c r="P104" s="511" t="s">
        <v>109</v>
      </c>
      <c r="Q104" s="349" t="s">
        <v>36</v>
      </c>
      <c r="R104" s="349" t="s">
        <v>36</v>
      </c>
      <c r="S104" s="349" t="s">
        <v>36</v>
      </c>
      <c r="T104" s="349" t="s">
        <v>36</v>
      </c>
      <c r="U104" s="349" t="s">
        <v>36</v>
      </c>
      <c r="V104" s="349"/>
      <c r="W104" s="349"/>
      <c r="X104" s="512" t="s">
        <v>163</v>
      </c>
      <c r="Y104" s="512" t="s">
        <v>163</v>
      </c>
      <c r="Z104" s="512" t="s">
        <v>163</v>
      </c>
      <c r="AA104" s="512" t="s">
        <v>163</v>
      </c>
      <c r="AB104" s="349" t="s">
        <v>163</v>
      </c>
      <c r="AC104" s="349"/>
      <c r="AD104" s="349"/>
      <c r="AE104" s="349" t="s">
        <v>163</v>
      </c>
      <c r="AF104" s="349" t="s">
        <v>163</v>
      </c>
      <c r="AG104" s="352"/>
      <c r="AH104" s="181"/>
      <c r="AI104" s="182"/>
    </row>
    <row r="105" spans="1:35" ht="22.35" customHeight="1">
      <c r="A105" s="3134">
        <v>2</v>
      </c>
      <c r="B105" s="3135" t="s">
        <v>164</v>
      </c>
      <c r="C105" s="2669" t="s">
        <v>50</v>
      </c>
      <c r="D105" s="2669" t="s">
        <v>50</v>
      </c>
      <c r="E105" s="2669" t="s">
        <v>50</v>
      </c>
      <c r="F105" s="2669" t="s">
        <v>50</v>
      </c>
      <c r="G105" s="2669" t="s">
        <v>50</v>
      </c>
      <c r="H105" s="3136"/>
      <c r="I105" s="2820"/>
      <c r="J105" s="2820" t="s">
        <v>141</v>
      </c>
      <c r="K105" s="2820" t="s">
        <v>141</v>
      </c>
      <c r="L105" s="2820" t="s">
        <v>141</v>
      </c>
      <c r="M105" s="2820">
        <v>25</v>
      </c>
      <c r="N105" s="2817">
        <v>25</v>
      </c>
      <c r="O105" s="2875"/>
      <c r="P105" s="2875"/>
      <c r="Q105" s="2810" t="s">
        <v>108</v>
      </c>
      <c r="R105" s="3137" t="s">
        <v>108</v>
      </c>
      <c r="S105" s="3137" t="s">
        <v>108</v>
      </c>
      <c r="T105" s="2875" t="s">
        <v>108</v>
      </c>
      <c r="U105" s="2875" t="s">
        <v>108</v>
      </c>
      <c r="V105" s="2875" t="s">
        <v>109</v>
      </c>
      <c r="W105" s="2871" t="s">
        <v>109</v>
      </c>
      <c r="X105" s="2969" t="s">
        <v>36</v>
      </c>
      <c r="Y105" s="2875" t="s">
        <v>36</v>
      </c>
      <c r="Z105" s="557" t="s">
        <v>36</v>
      </c>
      <c r="AA105" s="557" t="s">
        <v>36</v>
      </c>
      <c r="AB105" s="2875" t="s">
        <v>36</v>
      </c>
      <c r="AC105" s="2875"/>
      <c r="AD105" s="2875"/>
      <c r="AE105" s="3138" t="s">
        <v>348</v>
      </c>
      <c r="AF105" s="2875">
        <v>25</v>
      </c>
      <c r="AG105" s="3139"/>
      <c r="AH105" s="181"/>
      <c r="AI105" s="182"/>
    </row>
    <row r="106" spans="1:35" ht="22.35" customHeight="1">
      <c r="A106" s="3134">
        <v>3</v>
      </c>
      <c r="B106" s="3135" t="s">
        <v>165</v>
      </c>
      <c r="C106" s="2875" t="s">
        <v>115</v>
      </c>
      <c r="D106" s="2875" t="s">
        <v>115</v>
      </c>
      <c r="E106" s="2875" t="s">
        <v>115</v>
      </c>
      <c r="F106" s="3058" t="s">
        <v>115</v>
      </c>
      <c r="G106" s="2875" t="s">
        <v>115</v>
      </c>
      <c r="H106" s="2872"/>
      <c r="I106" s="557" t="s">
        <v>32</v>
      </c>
      <c r="J106" s="3140" t="s">
        <v>115</v>
      </c>
      <c r="K106" s="3140" t="s">
        <v>115</v>
      </c>
      <c r="L106" s="3140" t="s">
        <v>115</v>
      </c>
      <c r="M106" s="3140" t="s">
        <v>115</v>
      </c>
      <c r="N106" s="3140" t="s">
        <v>416</v>
      </c>
      <c r="O106" s="3141"/>
      <c r="P106" s="557" t="s">
        <v>32</v>
      </c>
      <c r="Q106" s="2875" t="s">
        <v>115</v>
      </c>
      <c r="R106" s="2875" t="s">
        <v>115</v>
      </c>
      <c r="S106" s="2875" t="s">
        <v>115</v>
      </c>
      <c r="T106" s="2875" t="s">
        <v>115</v>
      </c>
      <c r="U106" s="2875" t="s">
        <v>115</v>
      </c>
      <c r="V106" s="2875"/>
      <c r="W106" s="557" t="s">
        <v>32</v>
      </c>
      <c r="X106" s="2969" t="s">
        <v>115</v>
      </c>
      <c r="Y106" s="2875" t="s">
        <v>115</v>
      </c>
      <c r="Z106" s="2875" t="s">
        <v>115</v>
      </c>
      <c r="AA106" s="2875" t="s">
        <v>115</v>
      </c>
      <c r="AB106" s="2969" t="s">
        <v>115</v>
      </c>
      <c r="AC106" s="2875" t="s">
        <v>0</v>
      </c>
      <c r="AD106" s="557" t="s">
        <v>32</v>
      </c>
      <c r="AE106" s="2875" t="s">
        <v>115</v>
      </c>
      <c r="AF106" s="2875" t="s">
        <v>115</v>
      </c>
      <c r="AG106" s="2861"/>
      <c r="AH106" s="181"/>
      <c r="AI106" s="182"/>
    </row>
    <row r="107" spans="1:35" ht="22.35" customHeight="1" thickBot="1">
      <c r="A107" s="3142">
        <v>4</v>
      </c>
      <c r="B107" s="2974" t="s">
        <v>162</v>
      </c>
      <c r="C107" s="3143" t="s">
        <v>108</v>
      </c>
      <c r="D107" s="3143" t="s">
        <v>108</v>
      </c>
      <c r="E107" s="3143" t="s">
        <v>108</v>
      </c>
      <c r="F107" s="3143" t="s">
        <v>108</v>
      </c>
      <c r="G107" s="3143" t="s">
        <v>108</v>
      </c>
      <c r="H107" s="3143" t="s">
        <v>109</v>
      </c>
      <c r="I107" s="3143" t="s">
        <v>109</v>
      </c>
      <c r="J107" s="3143" t="s">
        <v>36</v>
      </c>
      <c r="K107" s="3143" t="s">
        <v>36</v>
      </c>
      <c r="L107" s="3143" t="s">
        <v>36</v>
      </c>
      <c r="M107" s="3143" t="s">
        <v>36</v>
      </c>
      <c r="N107" s="3143" t="s">
        <v>36</v>
      </c>
      <c r="O107" s="3143"/>
      <c r="P107" s="3143"/>
      <c r="Q107" s="3143" t="s">
        <v>163</v>
      </c>
      <c r="R107" s="3143" t="s">
        <v>163</v>
      </c>
      <c r="S107" s="3143" t="s">
        <v>163</v>
      </c>
      <c r="T107" s="3143" t="s">
        <v>163</v>
      </c>
      <c r="U107" s="3143" t="s">
        <v>163</v>
      </c>
      <c r="V107" s="3143"/>
      <c r="W107" s="3143"/>
      <c r="X107" s="3143" t="s">
        <v>163</v>
      </c>
      <c r="Y107" s="3143" t="s">
        <v>163</v>
      </c>
      <c r="Z107" s="3143" t="s">
        <v>163</v>
      </c>
      <c r="AA107" s="2788" t="s">
        <v>163</v>
      </c>
      <c r="AB107" s="2788" t="s">
        <v>163</v>
      </c>
      <c r="AC107" s="2788" t="s">
        <v>0</v>
      </c>
      <c r="AD107" s="2788" t="s">
        <v>0</v>
      </c>
      <c r="AE107" s="2788" t="s">
        <v>108</v>
      </c>
      <c r="AF107" s="3143" t="s">
        <v>108</v>
      </c>
      <c r="AG107" s="2790"/>
      <c r="AH107" s="181"/>
      <c r="AI107" s="182"/>
    </row>
    <row r="108" spans="1:35" ht="22.35" customHeight="1" thickBot="1">
      <c r="A108" s="212"/>
      <c r="B108" s="200"/>
      <c r="C108" s="213"/>
      <c r="D108" s="213"/>
      <c r="E108" s="213"/>
      <c r="F108" s="213"/>
      <c r="G108" s="213"/>
      <c r="H108" s="213"/>
      <c r="I108" s="213"/>
      <c r="J108" s="213"/>
      <c r="K108" s="213"/>
      <c r="L108" s="213"/>
      <c r="M108" s="213"/>
      <c r="N108" s="213"/>
      <c r="O108" s="213"/>
      <c r="P108" s="213"/>
      <c r="Q108" s="213"/>
      <c r="R108" s="213"/>
      <c r="S108" s="213"/>
      <c r="T108" s="213"/>
      <c r="U108" s="21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13"/>
      <c r="AF108" s="213"/>
      <c r="AG108" s="214"/>
      <c r="AH108" s="215"/>
      <c r="AI108" s="182"/>
    </row>
    <row r="109" spans="1:35" ht="22.35" customHeight="1">
      <c r="A109" s="72"/>
      <c r="B109" s="248" t="s">
        <v>167</v>
      </c>
      <c r="C109" s="368"/>
      <c r="D109" s="369" t="s">
        <v>94</v>
      </c>
      <c r="E109" s="370"/>
      <c r="F109" s="368"/>
      <c r="G109" s="371" t="s">
        <v>95</v>
      </c>
      <c r="H109" s="372"/>
      <c r="I109" s="373"/>
      <c r="J109" s="371" t="s">
        <v>96</v>
      </c>
      <c r="K109" s="374"/>
      <c r="L109" s="373"/>
      <c r="M109" s="375" t="s">
        <v>97</v>
      </c>
      <c r="N109" s="374"/>
      <c r="O109" s="373"/>
      <c r="P109" s="371" t="s">
        <v>98</v>
      </c>
      <c r="Q109" s="376"/>
      <c r="R109" s="373"/>
      <c r="S109" s="371" t="s">
        <v>99</v>
      </c>
      <c r="T109" s="377"/>
      <c r="U109" s="373"/>
      <c r="V109" s="371" t="s">
        <v>100</v>
      </c>
      <c r="W109" s="376"/>
      <c r="X109" s="378" t="s">
        <v>147</v>
      </c>
      <c r="Y109" s="379"/>
      <c r="Z109" s="379"/>
      <c r="AA109" s="380"/>
      <c r="AB109" s="235" t="s">
        <v>101</v>
      </c>
      <c r="AC109" s="236"/>
      <c r="AD109" s="236"/>
      <c r="AE109" s="237"/>
      <c r="AF109" s="237"/>
      <c r="AG109" s="238"/>
      <c r="AH109" s="215"/>
      <c r="AI109" s="182"/>
    </row>
    <row r="110" spans="1:35" ht="22.35" customHeight="1">
      <c r="A110" s="72"/>
      <c r="B110" s="3144" t="s">
        <v>169</v>
      </c>
      <c r="C110" s="3145" t="s">
        <v>170</v>
      </c>
      <c r="D110" s="2772"/>
      <c r="E110" s="2773"/>
      <c r="F110" s="3145" t="s">
        <v>170</v>
      </c>
      <c r="G110" s="2772"/>
      <c r="H110" s="2773"/>
      <c r="I110" s="3145" t="s">
        <v>170</v>
      </c>
      <c r="J110" s="2772"/>
      <c r="K110" s="2773"/>
      <c r="L110" s="3145" t="s">
        <v>170</v>
      </c>
      <c r="M110" s="2772"/>
      <c r="N110" s="2773"/>
      <c r="O110" s="3145" t="s">
        <v>171</v>
      </c>
      <c r="P110" s="2772"/>
      <c r="Q110" s="2773"/>
      <c r="R110" s="3145"/>
      <c r="S110" s="2772"/>
      <c r="T110" s="2773"/>
      <c r="U110" s="3145"/>
      <c r="V110" s="2772"/>
      <c r="W110" s="2773"/>
      <c r="X110" s="3145"/>
      <c r="Y110" s="3146"/>
      <c r="Z110" s="3146"/>
      <c r="AA110" s="3146"/>
      <c r="AB110" s="2769"/>
      <c r="AC110" s="3146"/>
      <c r="AD110" s="3146"/>
      <c r="AE110" s="3146"/>
      <c r="AF110" s="3146"/>
      <c r="AG110" s="3147"/>
      <c r="AH110" s="215"/>
      <c r="AI110" s="182"/>
    </row>
    <row r="111" spans="1:35" ht="22.35" customHeight="1">
      <c r="A111" s="72"/>
      <c r="B111" s="17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215"/>
      <c r="AI111" s="182"/>
    </row>
    <row r="112" spans="1:35" ht="22.35" customHeight="1" thickBot="1">
      <c r="A112" s="3120" t="s">
        <v>28</v>
      </c>
      <c r="B112" s="2856" t="s">
        <v>29</v>
      </c>
      <c r="C112" s="2788">
        <v>1</v>
      </c>
      <c r="D112" s="2788">
        <v>2</v>
      </c>
      <c r="E112" s="2788">
        <v>3</v>
      </c>
      <c r="F112" s="2788">
        <v>4</v>
      </c>
      <c r="G112" s="2788">
        <v>5</v>
      </c>
      <c r="H112" s="2789">
        <v>6</v>
      </c>
      <c r="I112" s="2789">
        <v>7</v>
      </c>
      <c r="J112" s="2788">
        <v>8</v>
      </c>
      <c r="K112" s="2788">
        <v>9</v>
      </c>
      <c r="L112" s="2788">
        <v>10</v>
      </c>
      <c r="M112" s="2788">
        <v>11</v>
      </c>
      <c r="N112" s="2788">
        <v>12</v>
      </c>
      <c r="O112" s="2789">
        <v>13</v>
      </c>
      <c r="P112" s="2789">
        <v>14</v>
      </c>
      <c r="Q112" s="2788">
        <v>15</v>
      </c>
      <c r="R112" s="2788">
        <v>16</v>
      </c>
      <c r="S112" s="2788">
        <v>17</v>
      </c>
      <c r="T112" s="2788">
        <v>18</v>
      </c>
      <c r="U112" s="2788">
        <v>19</v>
      </c>
      <c r="V112" s="2789">
        <v>20</v>
      </c>
      <c r="W112" s="2789">
        <v>21</v>
      </c>
      <c r="X112" s="2788">
        <v>22</v>
      </c>
      <c r="Y112" s="2788">
        <v>23</v>
      </c>
      <c r="Z112" s="2788">
        <v>24</v>
      </c>
      <c r="AA112" s="2788">
        <v>25</v>
      </c>
      <c r="AB112" s="2788">
        <v>26</v>
      </c>
      <c r="AC112" s="2789">
        <v>27</v>
      </c>
      <c r="AD112" s="2789">
        <v>28</v>
      </c>
      <c r="AE112" s="2788">
        <v>29</v>
      </c>
      <c r="AF112" s="2788">
        <v>30</v>
      </c>
      <c r="AG112" s="2790"/>
      <c r="AH112" s="215"/>
      <c r="AI112" s="182"/>
    </row>
    <row r="113" spans="1:35" ht="22.35" customHeight="1">
      <c r="A113" s="381">
        <v>8520</v>
      </c>
      <c r="B113" s="382" t="s">
        <v>172</v>
      </c>
      <c r="C113" s="349" t="s">
        <v>173</v>
      </c>
      <c r="D113" s="349" t="s">
        <v>173</v>
      </c>
      <c r="E113" s="349" t="s">
        <v>173</v>
      </c>
      <c r="F113" s="349" t="s">
        <v>173</v>
      </c>
      <c r="G113" s="349" t="s">
        <v>173</v>
      </c>
      <c r="H113" s="349"/>
      <c r="I113" s="349"/>
      <c r="J113" s="349" t="s">
        <v>173</v>
      </c>
      <c r="K113" s="349" t="s">
        <v>173</v>
      </c>
      <c r="L113" s="349" t="s">
        <v>173</v>
      </c>
      <c r="M113" s="349" t="s">
        <v>173</v>
      </c>
      <c r="N113" s="349" t="s">
        <v>173</v>
      </c>
      <c r="O113" s="349"/>
      <c r="P113" s="349"/>
      <c r="Q113" s="349" t="s">
        <v>173</v>
      </c>
      <c r="R113" s="349" t="s">
        <v>173</v>
      </c>
      <c r="S113" s="349" t="s">
        <v>173</v>
      </c>
      <c r="T113" s="349" t="s">
        <v>173</v>
      </c>
      <c r="U113" s="349" t="s">
        <v>173</v>
      </c>
      <c r="V113" s="349"/>
      <c r="W113" s="349"/>
      <c r="X113" s="349" t="s">
        <v>173</v>
      </c>
      <c r="Y113" s="349" t="s">
        <v>173</v>
      </c>
      <c r="Z113" s="349" t="s">
        <v>173</v>
      </c>
      <c r="AA113" s="349" t="s">
        <v>173</v>
      </c>
      <c r="AB113" s="349" t="s">
        <v>173</v>
      </c>
      <c r="AC113" s="349"/>
      <c r="AD113" s="349"/>
      <c r="AE113" s="349" t="s">
        <v>173</v>
      </c>
      <c r="AF113" s="349" t="s">
        <v>173</v>
      </c>
      <c r="AG113" s="352"/>
      <c r="AH113" s="215"/>
      <c r="AI113" s="182"/>
    </row>
    <row r="114" spans="1:35" ht="22.35" customHeight="1">
      <c r="A114" s="221"/>
      <c r="B114" s="220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5"/>
      <c r="AI114" s="182"/>
    </row>
    <row r="115" spans="1:35" ht="22.35" customHeight="1">
      <c r="AH115" s="107"/>
      <c r="AI115" s="107"/>
    </row>
    <row r="116" spans="1:35" ht="22.35" customHeight="1" thickBot="1">
      <c r="A116" s="172" t="s">
        <v>174</v>
      </c>
      <c r="B116" s="173"/>
      <c r="C116" s="173"/>
      <c r="D116" s="174"/>
      <c r="E116" s="174"/>
      <c r="F116" s="174"/>
      <c r="G116" s="105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3"/>
      <c r="AI116" s="173"/>
    </row>
    <row r="117" spans="1:35" ht="22.35" customHeight="1">
      <c r="A117" s="172"/>
      <c r="B117" s="248" t="s">
        <v>175</v>
      </c>
      <c r="C117" s="383"/>
      <c r="D117" s="384" t="s">
        <v>94</v>
      </c>
      <c r="E117" s="385"/>
      <c r="F117" s="386"/>
      <c r="G117" s="383"/>
      <c r="H117" s="384" t="s">
        <v>95</v>
      </c>
      <c r="I117" s="385"/>
      <c r="J117" s="386"/>
      <c r="K117" s="383"/>
      <c r="L117" s="384" t="s">
        <v>96</v>
      </c>
      <c r="M117" s="385"/>
      <c r="N117" s="386"/>
      <c r="O117" s="383"/>
      <c r="P117" s="384" t="s">
        <v>97</v>
      </c>
      <c r="Q117" s="385"/>
      <c r="R117" s="386"/>
      <c r="S117" s="383"/>
      <c r="T117" s="384" t="s">
        <v>98</v>
      </c>
      <c r="U117" s="385"/>
      <c r="V117" s="386"/>
      <c r="W117" s="383"/>
      <c r="X117" s="384" t="s">
        <v>99</v>
      </c>
      <c r="Y117" s="385"/>
      <c r="Z117" s="386"/>
      <c r="AA117" s="383"/>
      <c r="AB117" s="384" t="s">
        <v>100</v>
      </c>
      <c r="AC117" s="385"/>
      <c r="AD117" s="385"/>
      <c r="AE117" s="387" t="s">
        <v>101</v>
      </c>
      <c r="AF117" s="385"/>
      <c r="AG117" s="385"/>
      <c r="AH117" s="385"/>
      <c r="AI117" s="388"/>
    </row>
    <row r="118" spans="1:35" ht="22.35" customHeight="1">
      <c r="A118" s="172"/>
      <c r="B118" s="3148" t="s">
        <v>148</v>
      </c>
      <c r="C118" s="3149">
        <v>69</v>
      </c>
      <c r="D118" s="3150" t="s">
        <v>176</v>
      </c>
      <c r="E118" s="3150"/>
      <c r="F118" s="3151"/>
      <c r="G118" s="3149">
        <v>69</v>
      </c>
      <c r="H118" s="3150" t="s">
        <v>176</v>
      </c>
      <c r="I118" s="3150"/>
      <c r="J118" s="3151"/>
      <c r="K118" s="3149">
        <v>69</v>
      </c>
      <c r="L118" s="3150" t="s">
        <v>176</v>
      </c>
      <c r="M118" s="3150"/>
      <c r="N118" s="3151"/>
      <c r="O118" s="3149">
        <v>69</v>
      </c>
      <c r="P118" s="3150" t="s">
        <v>176</v>
      </c>
      <c r="Q118" s="3150"/>
      <c r="R118" s="3151"/>
      <c r="S118" s="3149">
        <v>69</v>
      </c>
      <c r="T118" s="3150" t="s">
        <v>176</v>
      </c>
      <c r="U118" s="3150"/>
      <c r="V118" s="3151"/>
      <c r="W118" s="3149"/>
      <c r="X118" s="3152"/>
      <c r="Y118" s="3152"/>
      <c r="Z118" s="3153"/>
      <c r="AA118" s="3149"/>
      <c r="AB118" s="3150"/>
      <c r="AC118" s="3150"/>
      <c r="AD118" s="2899"/>
      <c r="AE118" s="3154">
        <v>35</v>
      </c>
      <c r="AF118" s="3150"/>
      <c r="AG118" s="3150"/>
      <c r="AH118" s="2899"/>
      <c r="AI118" s="3155"/>
    </row>
    <row r="119" spans="1:35" ht="22.35" customHeight="1">
      <c r="A119" s="172"/>
      <c r="B119" s="3148" t="s">
        <v>152</v>
      </c>
      <c r="C119" s="3149">
        <v>79</v>
      </c>
      <c r="D119" s="3150" t="s">
        <v>177</v>
      </c>
      <c r="E119" s="3150"/>
      <c r="F119" s="3151"/>
      <c r="G119" s="3149">
        <v>79</v>
      </c>
      <c r="H119" s="3150" t="s">
        <v>177</v>
      </c>
      <c r="I119" s="3150"/>
      <c r="J119" s="3151"/>
      <c r="K119" s="3149">
        <v>79</v>
      </c>
      <c r="L119" s="3150" t="s">
        <v>177</v>
      </c>
      <c r="M119" s="3150"/>
      <c r="N119" s="3151"/>
      <c r="O119" s="3149">
        <v>79</v>
      </c>
      <c r="P119" s="3150" t="s">
        <v>177</v>
      </c>
      <c r="Q119" s="3150"/>
      <c r="R119" s="3151"/>
      <c r="S119" s="3149">
        <v>79</v>
      </c>
      <c r="T119" s="3150" t="s">
        <v>177</v>
      </c>
      <c r="U119" s="3150"/>
      <c r="V119" s="3151"/>
      <c r="W119" s="3149"/>
      <c r="X119" s="3150"/>
      <c r="Y119" s="3150"/>
      <c r="Z119" s="3151"/>
      <c r="AA119" s="3150"/>
      <c r="AB119" s="3150"/>
      <c r="AC119" s="3150"/>
      <c r="AD119" s="2899"/>
      <c r="AE119" s="3154">
        <v>40</v>
      </c>
      <c r="AF119" s="3150"/>
      <c r="AG119" s="3150"/>
      <c r="AH119" s="2899"/>
      <c r="AI119" s="3155"/>
    </row>
    <row r="120" spans="1:35" ht="22.35" customHeight="1">
      <c r="A120" s="172"/>
      <c r="B120" s="3148" t="s">
        <v>159</v>
      </c>
      <c r="C120" s="3149">
        <v>89</v>
      </c>
      <c r="D120" s="3150" t="s">
        <v>178</v>
      </c>
      <c r="E120" s="3150"/>
      <c r="F120" s="3151"/>
      <c r="G120" s="3149">
        <v>89</v>
      </c>
      <c r="H120" s="3150" t="s">
        <v>178</v>
      </c>
      <c r="I120" s="3150"/>
      <c r="J120" s="3151"/>
      <c r="K120" s="3149">
        <v>89</v>
      </c>
      <c r="L120" s="3150" t="s">
        <v>178</v>
      </c>
      <c r="M120" s="3150"/>
      <c r="N120" s="3151"/>
      <c r="O120" s="3149">
        <v>89</v>
      </c>
      <c r="P120" s="3150" t="s">
        <v>178</v>
      </c>
      <c r="Q120" s="3150"/>
      <c r="R120" s="3151"/>
      <c r="S120" s="3149">
        <v>89</v>
      </c>
      <c r="T120" s="3150" t="s">
        <v>179</v>
      </c>
      <c r="U120" s="3150"/>
      <c r="V120" s="3151"/>
      <c r="W120" s="3156"/>
      <c r="X120" s="3157" t="s">
        <v>180</v>
      </c>
      <c r="Y120" s="3157"/>
      <c r="Z120" s="3158"/>
      <c r="AA120" s="3156"/>
      <c r="AB120" s="3157"/>
      <c r="AC120" s="3157"/>
      <c r="AD120" s="2901"/>
      <c r="AE120" s="3154">
        <v>44</v>
      </c>
      <c r="AF120" s="3150"/>
      <c r="AG120" s="3150"/>
      <c r="AH120" s="2899"/>
      <c r="AI120" s="3155"/>
    </row>
    <row r="121" spans="1:35" ht="22.35" customHeight="1">
      <c r="A121" s="172"/>
      <c r="B121" s="38" t="s">
        <v>161</v>
      </c>
      <c r="C121" s="3156">
        <v>99</v>
      </c>
      <c r="D121" s="3157" t="s">
        <v>181</v>
      </c>
      <c r="E121" s="3157"/>
      <c r="F121" s="3158"/>
      <c r="G121" s="3156">
        <v>99</v>
      </c>
      <c r="H121" s="3157" t="s">
        <v>181</v>
      </c>
      <c r="I121" s="3157"/>
      <c r="J121" s="3158"/>
      <c r="K121" s="3156">
        <v>99</v>
      </c>
      <c r="L121" s="3157" t="s">
        <v>181</v>
      </c>
      <c r="M121" s="3157"/>
      <c r="N121" s="3158"/>
      <c r="O121" s="3156">
        <v>99</v>
      </c>
      <c r="P121" s="3157" t="s">
        <v>181</v>
      </c>
      <c r="Q121" s="3157"/>
      <c r="R121" s="3158"/>
      <c r="S121" s="3156">
        <v>99</v>
      </c>
      <c r="T121" s="3157" t="s">
        <v>160</v>
      </c>
      <c r="U121" s="3157"/>
      <c r="V121" s="2901"/>
      <c r="W121" s="2900"/>
      <c r="X121" s="2901"/>
      <c r="Y121" s="3157"/>
      <c r="Z121" s="3158"/>
      <c r="AA121" s="2900"/>
      <c r="AB121" s="2901"/>
      <c r="AC121" s="3157"/>
      <c r="AD121" s="3158"/>
      <c r="AE121" s="3159">
        <v>28</v>
      </c>
      <c r="AF121" s="3157"/>
      <c r="AG121" s="3157"/>
      <c r="AH121" s="2901"/>
      <c r="AI121" s="3160"/>
    </row>
    <row r="122" spans="1:35" ht="22.35" customHeight="1" thickBot="1">
      <c r="A122" s="172"/>
      <c r="B122" s="3161" t="s">
        <v>182</v>
      </c>
      <c r="C122" s="3162" t="s">
        <v>183</v>
      </c>
      <c r="D122" s="3163" t="s">
        <v>184</v>
      </c>
      <c r="E122" s="3164"/>
      <c r="F122" s="2849"/>
      <c r="G122" s="3162" t="s">
        <v>183</v>
      </c>
      <c r="H122" s="3163" t="s">
        <v>184</v>
      </c>
      <c r="I122" s="2847"/>
      <c r="J122" s="3164"/>
      <c r="K122" s="3162" t="s">
        <v>183</v>
      </c>
      <c r="L122" s="3163" t="s">
        <v>184</v>
      </c>
      <c r="M122" s="3164"/>
      <c r="N122" s="3165"/>
      <c r="O122" s="3162" t="s">
        <v>183</v>
      </c>
      <c r="P122" s="3163" t="s">
        <v>184</v>
      </c>
      <c r="Q122" s="3164"/>
      <c r="R122" s="3163"/>
      <c r="S122" s="3162" t="s">
        <v>183</v>
      </c>
      <c r="T122" s="2851" t="s">
        <v>185</v>
      </c>
      <c r="U122" s="3163"/>
      <c r="V122" s="3165"/>
      <c r="W122" s="3164"/>
      <c r="X122" s="3163"/>
      <c r="Y122" s="3163"/>
      <c r="Z122" s="3163"/>
      <c r="AA122" s="3166"/>
      <c r="AB122" s="3167"/>
      <c r="AC122" s="3163"/>
      <c r="AD122" s="3168"/>
      <c r="AE122" s="3163"/>
      <c r="AF122" s="3163"/>
      <c r="AG122" s="3163"/>
      <c r="AH122" s="3169"/>
      <c r="AI122" s="3170"/>
    </row>
    <row r="123" spans="1:35" ht="22.35" customHeight="1">
      <c r="A123" s="108"/>
      <c r="B123" s="172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3"/>
      <c r="AI123" s="173"/>
    </row>
    <row r="124" spans="1:35" ht="22.35" customHeight="1" thickBot="1">
      <c r="A124" s="3120"/>
      <c r="B124" s="2856" t="s">
        <v>29</v>
      </c>
      <c r="C124" s="2788">
        <v>1</v>
      </c>
      <c r="D124" s="2788">
        <v>2</v>
      </c>
      <c r="E124" s="2788">
        <v>3</v>
      </c>
      <c r="F124" s="2788">
        <v>4</v>
      </c>
      <c r="G124" s="2788">
        <v>5</v>
      </c>
      <c r="H124" s="2789">
        <v>6</v>
      </c>
      <c r="I124" s="2789">
        <v>7</v>
      </c>
      <c r="J124" s="2788">
        <v>8</v>
      </c>
      <c r="K124" s="2788">
        <v>9</v>
      </c>
      <c r="L124" s="2788">
        <v>10</v>
      </c>
      <c r="M124" s="2788">
        <v>11</v>
      </c>
      <c r="N124" s="2788">
        <v>12</v>
      </c>
      <c r="O124" s="2789">
        <v>13</v>
      </c>
      <c r="P124" s="2789">
        <v>14</v>
      </c>
      <c r="Q124" s="2788">
        <v>15</v>
      </c>
      <c r="R124" s="2788">
        <v>16</v>
      </c>
      <c r="S124" s="2788">
        <v>17</v>
      </c>
      <c r="T124" s="2788">
        <v>18</v>
      </c>
      <c r="U124" s="2788">
        <v>19</v>
      </c>
      <c r="V124" s="2789">
        <v>20</v>
      </c>
      <c r="W124" s="2789">
        <v>21</v>
      </c>
      <c r="X124" s="2788">
        <v>22</v>
      </c>
      <c r="Y124" s="2788">
        <v>23</v>
      </c>
      <c r="Z124" s="2788">
        <v>24</v>
      </c>
      <c r="AA124" s="2788">
        <v>25</v>
      </c>
      <c r="AB124" s="2788">
        <v>26</v>
      </c>
      <c r="AC124" s="2789">
        <v>27</v>
      </c>
      <c r="AD124" s="2789">
        <v>28</v>
      </c>
      <c r="AE124" s="2788">
        <v>29</v>
      </c>
      <c r="AF124" s="2788">
        <v>30</v>
      </c>
      <c r="AG124" s="2790"/>
      <c r="AH124" s="176"/>
      <c r="AI124" s="177"/>
    </row>
    <row r="125" spans="1:35" ht="22.35" customHeight="1">
      <c r="A125" s="367">
        <v>1</v>
      </c>
      <c r="B125" s="389" t="s">
        <v>186</v>
      </c>
      <c r="C125" s="361">
        <v>99</v>
      </c>
      <c r="D125" s="361">
        <v>99</v>
      </c>
      <c r="E125" s="349">
        <v>99</v>
      </c>
      <c r="F125" s="349">
        <v>99</v>
      </c>
      <c r="G125" s="350" t="s">
        <v>36</v>
      </c>
      <c r="H125" s="361"/>
      <c r="I125" s="350"/>
      <c r="J125" s="350" t="s">
        <v>183</v>
      </c>
      <c r="K125" s="361" t="s">
        <v>183</v>
      </c>
      <c r="L125" s="350" t="s">
        <v>183</v>
      </c>
      <c r="M125" s="349" t="s">
        <v>183</v>
      </c>
      <c r="N125" s="361" t="s">
        <v>183</v>
      </c>
      <c r="O125" s="361"/>
      <c r="P125" s="361"/>
      <c r="Q125" s="361">
        <v>69</v>
      </c>
      <c r="R125" s="654">
        <v>69</v>
      </c>
      <c r="S125" s="349">
        <v>69</v>
      </c>
      <c r="T125" s="349">
        <v>69</v>
      </c>
      <c r="U125" s="361">
        <v>69</v>
      </c>
      <c r="V125" s="361"/>
      <c r="W125" s="361"/>
      <c r="X125" s="361">
        <v>79</v>
      </c>
      <c r="Y125" s="361">
        <v>79</v>
      </c>
      <c r="Z125" s="361">
        <v>79</v>
      </c>
      <c r="AA125" s="350">
        <v>79</v>
      </c>
      <c r="AB125" s="361">
        <v>79</v>
      </c>
      <c r="AC125" s="361"/>
      <c r="AD125" s="361"/>
      <c r="AE125" s="361">
        <v>89</v>
      </c>
      <c r="AF125" s="361">
        <v>89</v>
      </c>
      <c r="AG125" s="362"/>
      <c r="AH125" s="201"/>
      <c r="AI125" s="107"/>
    </row>
    <row r="126" spans="1:35" ht="22.35" customHeight="1">
      <c r="A126" s="3134">
        <v>2</v>
      </c>
      <c r="B126" s="3171" t="s">
        <v>188</v>
      </c>
      <c r="C126" s="2802" t="s">
        <v>183</v>
      </c>
      <c r="D126" s="2870" t="s">
        <v>183</v>
      </c>
      <c r="E126" s="2875" t="s">
        <v>183</v>
      </c>
      <c r="F126" s="2875" t="s">
        <v>183</v>
      </c>
      <c r="G126" s="2870" t="s">
        <v>183</v>
      </c>
      <c r="H126" s="2870"/>
      <c r="I126" s="2870"/>
      <c r="J126" s="2870">
        <v>69</v>
      </c>
      <c r="K126" s="2870">
        <v>69</v>
      </c>
      <c r="L126" s="2875">
        <v>69</v>
      </c>
      <c r="M126" s="2875">
        <v>69</v>
      </c>
      <c r="N126" s="2870">
        <v>69</v>
      </c>
      <c r="O126" s="2870"/>
      <c r="P126" s="2870"/>
      <c r="Q126" s="2870">
        <v>79</v>
      </c>
      <c r="R126" s="2802">
        <v>79</v>
      </c>
      <c r="S126" s="2870">
        <v>79</v>
      </c>
      <c r="T126" s="2875">
        <v>79</v>
      </c>
      <c r="U126" s="3172">
        <v>79</v>
      </c>
      <c r="V126" s="2870"/>
      <c r="W126" s="2870"/>
      <c r="X126" s="3172">
        <v>89</v>
      </c>
      <c r="Y126" s="2870">
        <v>89</v>
      </c>
      <c r="Z126" s="2875">
        <v>89</v>
      </c>
      <c r="AA126" s="2875">
        <v>89</v>
      </c>
      <c r="AB126" s="2802">
        <v>89</v>
      </c>
      <c r="AC126" s="2870">
        <v>89</v>
      </c>
      <c r="AD126" s="2802"/>
      <c r="AE126" s="3140">
        <v>99</v>
      </c>
      <c r="AF126" s="3140">
        <v>99</v>
      </c>
      <c r="AG126" s="3173"/>
      <c r="AH126" s="202"/>
      <c r="AI126" s="171"/>
    </row>
    <row r="127" spans="1:35" ht="22.35" customHeight="1">
      <c r="A127" s="3134">
        <v>3</v>
      </c>
      <c r="B127" s="3171" t="s">
        <v>353</v>
      </c>
      <c r="C127" s="3174">
        <v>69</v>
      </c>
      <c r="D127" s="3174">
        <v>69</v>
      </c>
      <c r="E127" s="3174">
        <v>69</v>
      </c>
      <c r="F127" s="3174">
        <v>69</v>
      </c>
      <c r="G127" s="3175">
        <v>69</v>
      </c>
      <c r="H127" s="3174"/>
      <c r="I127" s="3174"/>
      <c r="J127" s="3174">
        <v>79</v>
      </c>
      <c r="K127" s="3174">
        <v>79</v>
      </c>
      <c r="L127" s="3174">
        <v>79</v>
      </c>
      <c r="M127" s="3174">
        <v>79</v>
      </c>
      <c r="N127" s="3174">
        <v>79</v>
      </c>
      <c r="O127" s="3174"/>
      <c r="P127" s="3174"/>
      <c r="Q127" s="3176">
        <v>89</v>
      </c>
      <c r="R127" s="3174">
        <v>89</v>
      </c>
      <c r="S127" s="3174">
        <v>89</v>
      </c>
      <c r="T127" s="3174">
        <v>89</v>
      </c>
      <c r="U127" s="3174">
        <v>89</v>
      </c>
      <c r="V127" s="3174">
        <v>89</v>
      </c>
      <c r="W127" s="3174"/>
      <c r="X127" s="3174">
        <v>99</v>
      </c>
      <c r="Y127" s="3174">
        <v>99</v>
      </c>
      <c r="Z127" s="3174">
        <v>99</v>
      </c>
      <c r="AA127" s="3174">
        <v>99</v>
      </c>
      <c r="AB127" s="3174" t="s">
        <v>36</v>
      </c>
      <c r="AC127" s="3174"/>
      <c r="AD127" s="3174"/>
      <c r="AE127" s="3174" t="s">
        <v>183</v>
      </c>
      <c r="AF127" s="3174" t="s">
        <v>183</v>
      </c>
      <c r="AG127" s="3177"/>
      <c r="AH127" s="201"/>
      <c r="AI127" s="107"/>
    </row>
    <row r="128" spans="1:35" ht="22.35" customHeight="1">
      <c r="A128" s="3134">
        <v>4</v>
      </c>
      <c r="B128" s="3171"/>
      <c r="C128" s="2875">
        <v>79</v>
      </c>
      <c r="D128" s="2875">
        <v>79</v>
      </c>
      <c r="E128" s="2875">
        <v>79</v>
      </c>
      <c r="F128" s="2875">
        <v>79</v>
      </c>
      <c r="G128" s="2875">
        <v>79</v>
      </c>
      <c r="H128" s="2875"/>
      <c r="I128" s="2875"/>
      <c r="J128" s="2875">
        <v>89</v>
      </c>
      <c r="K128" s="2875">
        <v>89</v>
      </c>
      <c r="L128" s="2875">
        <v>89</v>
      </c>
      <c r="M128" s="2875">
        <v>89</v>
      </c>
      <c r="N128" s="2875">
        <v>89</v>
      </c>
      <c r="O128" s="2875">
        <v>89</v>
      </c>
      <c r="P128" s="2875"/>
      <c r="Q128" s="3124">
        <v>99</v>
      </c>
      <c r="R128" s="3124">
        <v>99</v>
      </c>
      <c r="S128" s="2875">
        <v>99</v>
      </c>
      <c r="T128" s="2875">
        <v>99</v>
      </c>
      <c r="U128" s="2875" t="s">
        <v>36</v>
      </c>
      <c r="V128" s="2875"/>
      <c r="W128" s="2875"/>
      <c r="X128" s="2875" t="s">
        <v>183</v>
      </c>
      <c r="Y128" s="3124" t="s">
        <v>183</v>
      </c>
      <c r="Z128" s="2871" t="s">
        <v>183</v>
      </c>
      <c r="AA128" s="2875" t="s">
        <v>343</v>
      </c>
      <c r="AB128" s="2875" t="s">
        <v>343</v>
      </c>
      <c r="AC128" s="2875"/>
      <c r="AD128" s="2875"/>
      <c r="AE128" s="2875">
        <v>69</v>
      </c>
      <c r="AF128" s="2875">
        <v>69</v>
      </c>
      <c r="AG128" s="3178"/>
      <c r="AH128" s="201"/>
      <c r="AI128" s="107"/>
    </row>
    <row r="129" spans="1:35" ht="22.35" customHeight="1" thickBot="1">
      <c r="A129" s="3142">
        <v>5</v>
      </c>
      <c r="B129" s="3179" t="s">
        <v>190</v>
      </c>
      <c r="C129" s="3126">
        <v>89</v>
      </c>
      <c r="D129" s="3126">
        <v>89</v>
      </c>
      <c r="E129" s="3126">
        <v>89</v>
      </c>
      <c r="F129" s="2788">
        <v>89</v>
      </c>
      <c r="G129" s="2833">
        <v>89</v>
      </c>
      <c r="H129" s="2833">
        <v>89</v>
      </c>
      <c r="I129" s="2833"/>
      <c r="J129" s="2833">
        <v>99</v>
      </c>
      <c r="K129" s="2833">
        <v>99</v>
      </c>
      <c r="L129" s="2788">
        <v>99</v>
      </c>
      <c r="M129" s="2788">
        <v>99</v>
      </c>
      <c r="N129" s="3126" t="s">
        <v>36</v>
      </c>
      <c r="O129" s="3126"/>
      <c r="P129" s="3126"/>
      <c r="Q129" s="3126" t="s">
        <v>183</v>
      </c>
      <c r="R129" s="3126" t="s">
        <v>183</v>
      </c>
      <c r="S129" s="2788" t="s">
        <v>183</v>
      </c>
      <c r="T129" s="3180" t="s">
        <v>183</v>
      </c>
      <c r="U129" s="3126" t="s">
        <v>183</v>
      </c>
      <c r="V129" s="557"/>
      <c r="W129" s="3126"/>
      <c r="X129" s="3126">
        <v>69</v>
      </c>
      <c r="Y129" s="3126">
        <v>69</v>
      </c>
      <c r="Z129" s="2864">
        <v>69</v>
      </c>
      <c r="AA129" s="2864">
        <v>69</v>
      </c>
      <c r="AB129" s="3126">
        <v>69</v>
      </c>
      <c r="AC129" s="3126"/>
      <c r="AD129" s="3126"/>
      <c r="AE129" s="3126">
        <v>79</v>
      </c>
      <c r="AF129" s="3126">
        <v>79</v>
      </c>
      <c r="AG129" s="3181"/>
      <c r="AH129" s="201"/>
      <c r="AI129" s="107"/>
    </row>
    <row r="130" spans="1:35" ht="22.35" customHeight="1">
      <c r="A130" s="212"/>
      <c r="B130" s="229"/>
      <c r="C130" s="230"/>
      <c r="D130" s="230"/>
      <c r="E130" s="230"/>
      <c r="F130" s="211"/>
      <c r="G130" s="228"/>
      <c r="H130" s="228"/>
      <c r="I130" s="228"/>
      <c r="J130" s="228"/>
      <c r="K130" s="228"/>
      <c r="L130" s="211"/>
      <c r="M130" s="211"/>
      <c r="N130" s="230"/>
      <c r="O130" s="230"/>
      <c r="P130" s="230"/>
      <c r="Q130" s="230"/>
      <c r="R130" s="230"/>
      <c r="S130" s="211"/>
      <c r="T130" s="231"/>
      <c r="U130" s="230"/>
      <c r="V130" s="230"/>
      <c r="W130" s="230"/>
      <c r="X130" s="230"/>
      <c r="Y130" s="230"/>
      <c r="Z130" s="232"/>
      <c r="AA130" s="232"/>
      <c r="AB130" s="230"/>
      <c r="AC130" s="230"/>
      <c r="AD130" s="230"/>
      <c r="AE130" s="230"/>
      <c r="AF130" s="230"/>
      <c r="AG130" s="232"/>
      <c r="AH130" s="201"/>
      <c r="AI130" s="107"/>
    </row>
    <row r="131" spans="1:35" ht="22.35" customHeight="1">
      <c r="A131" s="109"/>
      <c r="B131" s="110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7"/>
      <c r="AI131" s="107"/>
    </row>
    <row r="132" spans="1:35" ht="22.35" customHeight="1" thickBot="1">
      <c r="A132" s="172" t="s">
        <v>191</v>
      </c>
      <c r="B132" s="173"/>
      <c r="C132" s="173"/>
      <c r="D132" s="174"/>
      <c r="E132" s="174"/>
      <c r="F132" s="174"/>
      <c r="G132" s="105"/>
      <c r="H132" s="174"/>
      <c r="I132" s="174"/>
      <c r="J132" s="174"/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174"/>
      <c r="AH132" s="173"/>
      <c r="AI132" s="173"/>
    </row>
    <row r="133" spans="1:35" ht="22.35" customHeight="1">
      <c r="A133" s="172"/>
      <c r="B133" s="248" t="s">
        <v>175</v>
      </c>
      <c r="C133" s="383"/>
      <c r="D133" s="384" t="s">
        <v>94</v>
      </c>
      <c r="E133" s="385"/>
      <c r="F133" s="386"/>
      <c r="G133" s="383"/>
      <c r="H133" s="384" t="s">
        <v>95</v>
      </c>
      <c r="I133" s="385"/>
      <c r="J133" s="386"/>
      <c r="K133" s="383"/>
      <c r="L133" s="384" t="s">
        <v>96</v>
      </c>
      <c r="M133" s="385"/>
      <c r="N133" s="386"/>
      <c r="O133" s="383"/>
      <c r="P133" s="384" t="s">
        <v>97</v>
      </c>
      <c r="Q133" s="385"/>
      <c r="R133" s="386"/>
      <c r="S133" s="383"/>
      <c r="T133" s="384" t="s">
        <v>98</v>
      </c>
      <c r="U133" s="385"/>
      <c r="V133" s="386"/>
      <c r="W133" s="383"/>
      <c r="X133" s="384" t="s">
        <v>99</v>
      </c>
      <c r="Y133" s="385"/>
      <c r="Z133" s="386"/>
      <c r="AA133" s="383"/>
      <c r="AB133" s="384" t="s">
        <v>100</v>
      </c>
      <c r="AC133" s="385"/>
      <c r="AD133" s="385"/>
      <c r="AE133" s="387" t="s">
        <v>101</v>
      </c>
      <c r="AF133" s="385"/>
      <c r="AG133" s="385"/>
      <c r="AH133" s="385"/>
      <c r="AI133" s="388"/>
    </row>
    <row r="134" spans="1:35" ht="22.35" customHeight="1">
      <c r="A134" s="172"/>
      <c r="B134" s="3148" t="s">
        <v>192</v>
      </c>
      <c r="C134" s="2898" t="s">
        <v>193</v>
      </c>
      <c r="D134" s="3150"/>
      <c r="E134" s="3150"/>
      <c r="F134" s="3151"/>
      <c r="G134" s="2898" t="s">
        <v>193</v>
      </c>
      <c r="H134" s="3150"/>
      <c r="I134" s="3150"/>
      <c r="J134" s="3151"/>
      <c r="K134" s="2898" t="s">
        <v>193</v>
      </c>
      <c r="L134" s="3150"/>
      <c r="M134" s="3150"/>
      <c r="N134" s="3151"/>
      <c r="O134" s="2898" t="s">
        <v>193</v>
      </c>
      <c r="P134" s="3150"/>
      <c r="Q134" s="3150"/>
      <c r="R134" s="3151"/>
      <c r="S134" s="2898" t="s">
        <v>193</v>
      </c>
      <c r="T134" s="3150"/>
      <c r="U134" s="3150"/>
      <c r="V134" s="3151"/>
      <c r="W134" s="2898" t="s">
        <v>194</v>
      </c>
      <c r="X134" s="3152"/>
      <c r="Y134" s="3152"/>
      <c r="Z134" s="3153"/>
      <c r="AA134" s="2898" t="s">
        <v>194</v>
      </c>
      <c r="AB134" s="3150"/>
      <c r="AC134" s="3150"/>
      <c r="AD134" s="2899"/>
      <c r="AE134" s="3154">
        <v>69</v>
      </c>
      <c r="AF134" s="194"/>
      <c r="AG134" s="194"/>
      <c r="AH134" s="194"/>
      <c r="AI134" s="195"/>
    </row>
    <row r="135" spans="1:35" ht="22.35" customHeight="1">
      <c r="A135" s="172"/>
      <c r="B135" s="3148" t="s">
        <v>152</v>
      </c>
      <c r="C135" s="2898" t="s">
        <v>160</v>
      </c>
      <c r="D135" s="3150"/>
      <c r="E135" s="3150"/>
      <c r="F135" s="3151"/>
      <c r="G135" s="2898" t="s">
        <v>160</v>
      </c>
      <c r="H135" s="3150"/>
      <c r="I135" s="3150"/>
      <c r="J135" s="3151"/>
      <c r="K135" s="2898" t="s">
        <v>160</v>
      </c>
      <c r="L135" s="3150"/>
      <c r="M135" s="3150"/>
      <c r="N135" s="3151"/>
      <c r="O135" s="2898" t="s">
        <v>160</v>
      </c>
      <c r="P135" s="3150"/>
      <c r="Q135" s="3150"/>
      <c r="R135" s="3151"/>
      <c r="S135" s="2898" t="s">
        <v>160</v>
      </c>
      <c r="T135" s="3150"/>
      <c r="U135" s="3150"/>
      <c r="V135" s="3151"/>
      <c r="W135" s="2898" t="s">
        <v>160</v>
      </c>
      <c r="X135" s="3150"/>
      <c r="Y135" s="3150"/>
      <c r="Z135" s="3151"/>
      <c r="AA135" s="3150" t="s">
        <v>160</v>
      </c>
      <c r="AB135" s="3150"/>
      <c r="AC135" s="3150"/>
      <c r="AD135" s="2899"/>
      <c r="AE135" s="3154">
        <v>0</v>
      </c>
      <c r="AF135" s="194"/>
      <c r="AG135" s="194"/>
      <c r="AH135" s="194"/>
      <c r="AI135" s="195"/>
    </row>
    <row r="136" spans="1:35" ht="22.35" customHeight="1">
      <c r="A136" s="172"/>
      <c r="B136" s="3148" t="s">
        <v>195</v>
      </c>
      <c r="C136" s="2898" t="s">
        <v>193</v>
      </c>
      <c r="D136" s="3150"/>
      <c r="E136" s="3150"/>
      <c r="F136" s="3151"/>
      <c r="G136" s="2898" t="s">
        <v>193</v>
      </c>
      <c r="H136" s="3150"/>
      <c r="I136" s="3150"/>
      <c r="J136" s="3151"/>
      <c r="K136" s="2898" t="s">
        <v>193</v>
      </c>
      <c r="L136" s="3150"/>
      <c r="M136" s="3150"/>
      <c r="N136" s="3151"/>
      <c r="O136" s="2898" t="s">
        <v>193</v>
      </c>
      <c r="P136" s="3150"/>
      <c r="Q136" s="3150"/>
      <c r="R136" s="3151"/>
      <c r="S136" s="2898" t="s">
        <v>193</v>
      </c>
      <c r="T136" s="3150"/>
      <c r="U136" s="3150"/>
      <c r="V136" s="3151"/>
      <c r="W136" s="2898" t="s">
        <v>194</v>
      </c>
      <c r="X136" s="3152"/>
      <c r="Y136" s="3152"/>
      <c r="Z136" s="3153"/>
      <c r="AA136" s="2898" t="s">
        <v>194</v>
      </c>
      <c r="AB136" s="3150"/>
      <c r="AC136" s="3150"/>
      <c r="AD136" s="2899"/>
      <c r="AE136" s="3154">
        <v>69</v>
      </c>
      <c r="AF136" s="3150"/>
      <c r="AG136" s="3150" t="s">
        <v>0</v>
      </c>
      <c r="AH136" s="2899"/>
      <c r="AI136" s="3155"/>
    </row>
    <row r="137" spans="1:35" ht="22.35" customHeight="1">
      <c r="A137" s="172"/>
      <c r="B137" s="3148" t="s">
        <v>161</v>
      </c>
      <c r="C137" s="2898" t="s">
        <v>160</v>
      </c>
      <c r="D137" s="3150"/>
      <c r="E137" s="3150"/>
      <c r="F137" s="3151"/>
      <c r="G137" s="2898" t="s">
        <v>160</v>
      </c>
      <c r="H137" s="3150"/>
      <c r="I137" s="3150"/>
      <c r="J137" s="3151"/>
      <c r="K137" s="2898" t="s">
        <v>160</v>
      </c>
      <c r="L137" s="3150"/>
      <c r="M137" s="3150"/>
      <c r="N137" s="3151"/>
      <c r="O137" s="2898" t="s">
        <v>160</v>
      </c>
      <c r="P137" s="3150"/>
      <c r="Q137" s="3150"/>
      <c r="R137" s="3151"/>
      <c r="S137" s="2898" t="s">
        <v>160</v>
      </c>
      <c r="T137" s="3150"/>
      <c r="U137" s="3150"/>
      <c r="V137" s="3151"/>
      <c r="W137" s="2898" t="s">
        <v>160</v>
      </c>
      <c r="X137" s="3150"/>
      <c r="Y137" s="3150"/>
      <c r="Z137" s="3151"/>
      <c r="AA137" s="3150" t="s">
        <v>160</v>
      </c>
      <c r="AB137" s="3150"/>
      <c r="AC137" s="3150"/>
      <c r="AD137" s="2899"/>
      <c r="AE137" s="3154">
        <v>0</v>
      </c>
      <c r="AF137" s="3150"/>
      <c r="AG137" s="3150"/>
      <c r="AH137" s="2899"/>
      <c r="AI137" s="3155"/>
    </row>
    <row r="138" spans="1:35" ht="22.35" customHeight="1">
      <c r="A138" s="172"/>
      <c r="B138" s="3148" t="s">
        <v>196</v>
      </c>
      <c r="C138" s="2898" t="s">
        <v>193</v>
      </c>
      <c r="D138" s="3150"/>
      <c r="E138" s="3150"/>
      <c r="F138" s="3151"/>
      <c r="G138" s="2898" t="s">
        <v>193</v>
      </c>
      <c r="H138" s="3150"/>
      <c r="I138" s="3150"/>
      <c r="J138" s="3151"/>
      <c r="K138" s="2898" t="s">
        <v>193</v>
      </c>
      <c r="L138" s="3150"/>
      <c r="M138" s="3150"/>
      <c r="N138" s="3151"/>
      <c r="O138" s="2898" t="s">
        <v>193</v>
      </c>
      <c r="P138" s="3150"/>
      <c r="Q138" s="3150"/>
      <c r="R138" s="3151"/>
      <c r="S138" s="2898" t="s">
        <v>193</v>
      </c>
      <c r="T138" s="3150"/>
      <c r="U138" s="3150"/>
      <c r="V138" s="3151"/>
      <c r="W138" s="2898" t="s">
        <v>197</v>
      </c>
      <c r="X138" s="3157"/>
      <c r="Y138" s="3157"/>
      <c r="Z138" s="3158"/>
      <c r="AA138" s="2898" t="s">
        <v>197</v>
      </c>
      <c r="AB138" s="3157"/>
      <c r="AC138" s="3157"/>
      <c r="AD138" s="2901"/>
      <c r="AE138" s="3154">
        <v>66</v>
      </c>
      <c r="AF138" s="3150"/>
      <c r="AG138" s="3150"/>
      <c r="AH138" s="2899"/>
      <c r="AI138" s="3155"/>
    </row>
    <row r="139" spans="1:35" ht="22.35" customHeight="1" thickBot="1">
      <c r="A139" s="172"/>
      <c r="B139" s="3148" t="s">
        <v>198</v>
      </c>
      <c r="C139" s="3182" t="s">
        <v>160</v>
      </c>
      <c r="D139" s="3183"/>
      <c r="E139" s="3183"/>
      <c r="F139" s="3184"/>
      <c r="G139" s="3182" t="s">
        <v>160</v>
      </c>
      <c r="H139" s="3183"/>
      <c r="I139" s="3183"/>
      <c r="J139" s="3184"/>
      <c r="K139" s="3182" t="s">
        <v>160</v>
      </c>
      <c r="L139" s="3183"/>
      <c r="M139" s="3183"/>
      <c r="N139" s="3184"/>
      <c r="O139" s="3182" t="s">
        <v>160</v>
      </c>
      <c r="P139" s="3183"/>
      <c r="Q139" s="3183"/>
      <c r="R139" s="3184"/>
      <c r="S139" s="3182" t="s">
        <v>160</v>
      </c>
      <c r="T139" s="3183"/>
      <c r="U139" s="3183"/>
      <c r="V139" s="3169"/>
      <c r="W139" s="3182" t="s">
        <v>160</v>
      </c>
      <c r="X139" s="3169"/>
      <c r="Y139" s="3183"/>
      <c r="Z139" s="3184"/>
      <c r="AA139" s="3182" t="s">
        <v>160</v>
      </c>
      <c r="AB139" s="3169"/>
      <c r="AC139" s="3183"/>
      <c r="AD139" s="3184"/>
      <c r="AE139" s="3185" t="s">
        <v>168</v>
      </c>
      <c r="AF139" s="3183"/>
      <c r="AG139" s="3183"/>
      <c r="AH139" s="3169"/>
      <c r="AI139" s="3170"/>
    </row>
    <row r="140" spans="1:35" ht="22.35" customHeight="1">
      <c r="A140" s="108"/>
      <c r="B140" s="172"/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V140" s="174"/>
      <c r="W140" s="174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3"/>
      <c r="AI140" s="173"/>
    </row>
    <row r="141" spans="1:35" ht="22.35" customHeight="1" thickBot="1">
      <c r="A141" s="3120"/>
      <c r="B141" s="2787" t="s">
        <v>29</v>
      </c>
      <c r="C141" s="2788">
        <v>1</v>
      </c>
      <c r="D141" s="2788">
        <v>2</v>
      </c>
      <c r="E141" s="2788">
        <v>3</v>
      </c>
      <c r="F141" s="2788">
        <v>4</v>
      </c>
      <c r="G141" s="2788">
        <v>5</v>
      </c>
      <c r="H141" s="2789">
        <v>6</v>
      </c>
      <c r="I141" s="2789">
        <v>7</v>
      </c>
      <c r="J141" s="2788">
        <v>8</v>
      </c>
      <c r="K141" s="2788">
        <v>9</v>
      </c>
      <c r="L141" s="2788">
        <v>10</v>
      </c>
      <c r="M141" s="2788">
        <v>11</v>
      </c>
      <c r="N141" s="2788">
        <v>12</v>
      </c>
      <c r="O141" s="2789">
        <v>13</v>
      </c>
      <c r="P141" s="2789">
        <v>14</v>
      </c>
      <c r="Q141" s="2788">
        <v>15</v>
      </c>
      <c r="R141" s="2788">
        <v>16</v>
      </c>
      <c r="S141" s="2788">
        <v>17</v>
      </c>
      <c r="T141" s="2788">
        <v>18</v>
      </c>
      <c r="U141" s="2788">
        <v>19</v>
      </c>
      <c r="V141" s="2789">
        <v>20</v>
      </c>
      <c r="W141" s="2789">
        <v>21</v>
      </c>
      <c r="X141" s="2788">
        <v>22</v>
      </c>
      <c r="Y141" s="2788">
        <v>23</v>
      </c>
      <c r="Z141" s="2788">
        <v>24</v>
      </c>
      <c r="AA141" s="2788">
        <v>25</v>
      </c>
      <c r="AB141" s="2788">
        <v>26</v>
      </c>
      <c r="AC141" s="2789">
        <v>27</v>
      </c>
      <c r="AD141" s="2789">
        <v>28</v>
      </c>
      <c r="AE141" s="2788">
        <v>29</v>
      </c>
      <c r="AF141" s="2788">
        <v>30</v>
      </c>
      <c r="AG141" s="2790"/>
      <c r="AH141" s="176"/>
      <c r="AI141" s="177"/>
    </row>
    <row r="142" spans="1:35" ht="22.35" customHeight="1">
      <c r="A142" s="317">
        <v>1</v>
      </c>
      <c r="B142" s="227" t="s">
        <v>199</v>
      </c>
      <c r="C142" s="309" t="s">
        <v>36</v>
      </c>
      <c r="D142" s="309" t="s">
        <v>36</v>
      </c>
      <c r="E142" s="309" t="s">
        <v>36</v>
      </c>
      <c r="F142" s="309" t="s">
        <v>36</v>
      </c>
      <c r="G142" s="312" t="s">
        <v>36</v>
      </c>
      <c r="H142" s="309"/>
      <c r="I142" s="310"/>
      <c r="J142" s="312">
        <v>22</v>
      </c>
      <c r="K142" s="309">
        <v>22</v>
      </c>
      <c r="L142" s="310">
        <v>22</v>
      </c>
      <c r="M142" s="312">
        <v>22</v>
      </c>
      <c r="N142" s="312">
        <v>22</v>
      </c>
      <c r="O142" s="309">
        <v>22</v>
      </c>
      <c r="P142" s="309">
        <v>22</v>
      </c>
      <c r="Q142" s="309" t="s">
        <v>36</v>
      </c>
      <c r="R142" s="309" t="s">
        <v>36</v>
      </c>
      <c r="S142" s="309" t="s">
        <v>36</v>
      </c>
      <c r="T142" s="309" t="s">
        <v>36</v>
      </c>
      <c r="U142" s="309" t="s">
        <v>36</v>
      </c>
      <c r="V142" s="309"/>
      <c r="W142" s="310"/>
      <c r="X142" s="309">
        <v>23</v>
      </c>
      <c r="Y142" s="309">
        <v>23</v>
      </c>
      <c r="Z142" s="310">
        <v>23</v>
      </c>
      <c r="AA142" s="634">
        <v>23</v>
      </c>
      <c r="AB142" s="309">
        <v>23</v>
      </c>
      <c r="AC142" s="309">
        <v>23</v>
      </c>
      <c r="AD142" s="309">
        <v>23</v>
      </c>
      <c r="AE142" s="309" t="s">
        <v>36</v>
      </c>
      <c r="AF142" s="309" t="s">
        <v>36</v>
      </c>
      <c r="AG142" s="311"/>
      <c r="AH142" s="107"/>
      <c r="AI142" s="107"/>
    </row>
    <row r="143" spans="1:35" ht="22.35" customHeight="1">
      <c r="A143" s="3186">
        <v>2</v>
      </c>
      <c r="B143" s="2797" t="s">
        <v>200</v>
      </c>
      <c r="C143" s="2820" t="s">
        <v>36</v>
      </c>
      <c r="D143" s="2820" t="s">
        <v>36</v>
      </c>
      <c r="E143" s="2820" t="s">
        <v>36</v>
      </c>
      <c r="F143" s="2820" t="s">
        <v>36</v>
      </c>
      <c r="G143" s="2820" t="s">
        <v>36</v>
      </c>
      <c r="H143" s="2820"/>
      <c r="I143" s="2939"/>
      <c r="J143" s="2820">
        <v>23</v>
      </c>
      <c r="K143" s="2820">
        <v>23</v>
      </c>
      <c r="L143" s="2939">
        <v>23</v>
      </c>
      <c r="M143" s="2825">
        <v>23</v>
      </c>
      <c r="N143" s="2825">
        <v>23</v>
      </c>
      <c r="O143" s="2825">
        <v>23</v>
      </c>
      <c r="P143" s="2825">
        <v>23</v>
      </c>
      <c r="Q143" s="2825" t="s">
        <v>36</v>
      </c>
      <c r="R143" s="2825" t="s">
        <v>36</v>
      </c>
      <c r="S143" s="2825" t="s">
        <v>36</v>
      </c>
      <c r="T143" s="2825" t="s">
        <v>36</v>
      </c>
      <c r="U143" s="2825" t="s">
        <v>36</v>
      </c>
      <c r="V143" s="2825"/>
      <c r="W143" s="2939"/>
      <c r="X143" s="2820">
        <v>21</v>
      </c>
      <c r="Y143" s="2820">
        <v>21</v>
      </c>
      <c r="Z143" s="2939">
        <v>21</v>
      </c>
      <c r="AA143" s="2825">
        <v>21</v>
      </c>
      <c r="AB143" s="2825">
        <v>21</v>
      </c>
      <c r="AC143" s="2825">
        <v>21</v>
      </c>
      <c r="AD143" s="2825">
        <v>21</v>
      </c>
      <c r="AE143" s="2825" t="s">
        <v>36</v>
      </c>
      <c r="AF143" s="2825" t="s">
        <v>36</v>
      </c>
      <c r="AG143" s="2823"/>
      <c r="AH143" s="107"/>
      <c r="AI143" s="107"/>
    </row>
    <row r="144" spans="1:35" ht="22.35" customHeight="1">
      <c r="A144" s="3186">
        <v>3</v>
      </c>
      <c r="B144" s="2797" t="s">
        <v>201</v>
      </c>
      <c r="C144" s="2820" t="s">
        <v>36</v>
      </c>
      <c r="D144" s="2820" t="s">
        <v>36</v>
      </c>
      <c r="E144" s="2820" t="s">
        <v>36</v>
      </c>
      <c r="F144" s="2820" t="s">
        <v>36</v>
      </c>
      <c r="G144" s="2825" t="s">
        <v>36</v>
      </c>
      <c r="H144" s="2825"/>
      <c r="I144" s="2826"/>
      <c r="J144" s="2826">
        <v>21</v>
      </c>
      <c r="K144" s="2826">
        <v>21</v>
      </c>
      <c r="L144" s="2826">
        <v>21</v>
      </c>
      <c r="M144" s="2826">
        <v>21</v>
      </c>
      <c r="N144" s="2826">
        <v>21</v>
      </c>
      <c r="O144" s="2826">
        <v>21</v>
      </c>
      <c r="P144" s="2820">
        <v>21</v>
      </c>
      <c r="Q144" s="2820" t="s">
        <v>36</v>
      </c>
      <c r="R144" s="2830" t="s">
        <v>36</v>
      </c>
      <c r="S144" s="2830" t="s">
        <v>36</v>
      </c>
      <c r="T144" s="2820" t="s">
        <v>36</v>
      </c>
      <c r="U144" s="2825" t="s">
        <v>36</v>
      </c>
      <c r="V144" s="2825"/>
      <c r="W144" s="2939"/>
      <c r="X144" s="2820">
        <v>22</v>
      </c>
      <c r="Y144" s="3044">
        <v>22</v>
      </c>
      <c r="Z144" s="3187" t="s">
        <v>361</v>
      </c>
      <c r="AA144" s="2696">
        <v>22</v>
      </c>
      <c r="AB144" s="2696">
        <v>22</v>
      </c>
      <c r="AC144" s="2696">
        <v>22</v>
      </c>
      <c r="AD144" s="2696">
        <v>22</v>
      </c>
      <c r="AE144" s="2820" t="s">
        <v>36</v>
      </c>
      <c r="AF144" s="2820" t="s">
        <v>36</v>
      </c>
      <c r="AG144" s="2823"/>
      <c r="AH144" s="107"/>
      <c r="AI144" s="107"/>
    </row>
    <row r="145" spans="1:35" ht="22.35" customHeight="1">
      <c r="A145" s="3186">
        <v>4</v>
      </c>
      <c r="B145" s="2797" t="s">
        <v>202</v>
      </c>
      <c r="C145" s="2820">
        <v>21</v>
      </c>
      <c r="D145" s="3044">
        <v>21</v>
      </c>
      <c r="E145" s="2629">
        <v>21</v>
      </c>
      <c r="F145" s="2629">
        <v>21</v>
      </c>
      <c r="G145" s="2629">
        <v>21</v>
      </c>
      <c r="H145" s="2629">
        <v>21</v>
      </c>
      <c r="I145" s="2629" t="s">
        <v>417</v>
      </c>
      <c r="J145" t="s">
        <v>36</v>
      </c>
      <c r="K145" s="2696" t="s">
        <v>36</v>
      </c>
      <c r="L145" s="2696" t="s">
        <v>36</v>
      </c>
      <c r="M145" s="2820" t="s">
        <v>36</v>
      </c>
      <c r="N145" s="2820" t="s">
        <v>36</v>
      </c>
      <c r="O145" s="3188"/>
      <c r="P145" s="2826"/>
      <c r="Q145" s="2826">
        <v>22</v>
      </c>
      <c r="R145" s="2826">
        <v>22</v>
      </c>
      <c r="S145" s="2826">
        <v>22</v>
      </c>
      <c r="T145" s="2826">
        <v>22</v>
      </c>
      <c r="U145" s="2826">
        <v>22</v>
      </c>
      <c r="V145" s="2826">
        <v>22</v>
      </c>
      <c r="W145" s="2820">
        <v>22</v>
      </c>
      <c r="X145" s="2820" t="s">
        <v>36</v>
      </c>
      <c r="Y145" s="2820" t="s">
        <v>36</v>
      </c>
      <c r="Z145" s="2820" t="s">
        <v>36</v>
      </c>
      <c r="AA145" s="2820" t="s">
        <v>36</v>
      </c>
      <c r="AB145" s="2820" t="s">
        <v>36</v>
      </c>
      <c r="AC145" s="2820"/>
      <c r="AD145" s="2939"/>
      <c r="AE145" s="2820">
        <v>23</v>
      </c>
      <c r="AF145" s="2820">
        <v>23</v>
      </c>
      <c r="AG145" s="2632"/>
      <c r="AH145" s="107"/>
      <c r="AI145" s="107"/>
    </row>
    <row r="146" spans="1:35" ht="22.35" customHeight="1">
      <c r="A146" s="3186">
        <v>5</v>
      </c>
      <c r="B146" s="2797" t="s">
        <v>203</v>
      </c>
      <c r="C146" s="2820">
        <v>22</v>
      </c>
      <c r="D146" s="2820">
        <v>22</v>
      </c>
      <c r="E146" s="2939">
        <v>22</v>
      </c>
      <c r="F146" s="2825">
        <v>22</v>
      </c>
      <c r="G146" s="2820">
        <v>22</v>
      </c>
      <c r="H146" s="2820">
        <v>22</v>
      </c>
      <c r="I146" s="2820">
        <v>22</v>
      </c>
      <c r="J146" s="2820" t="s">
        <v>36</v>
      </c>
      <c r="K146" s="2820" t="s">
        <v>36</v>
      </c>
      <c r="L146" s="2820" t="s">
        <v>36</v>
      </c>
      <c r="M146" s="2820" t="s">
        <v>36</v>
      </c>
      <c r="N146" s="2820" t="s">
        <v>36</v>
      </c>
      <c r="O146" s="2820"/>
      <c r="P146" s="2939"/>
      <c r="Q146" s="2831">
        <v>23</v>
      </c>
      <c r="R146" s="2831">
        <v>23</v>
      </c>
      <c r="S146" s="2831">
        <v>23</v>
      </c>
      <c r="T146" s="2831">
        <v>23</v>
      </c>
      <c r="U146" s="2831">
        <v>23</v>
      </c>
      <c r="V146" s="2831">
        <v>23</v>
      </c>
      <c r="W146" s="2831">
        <v>23</v>
      </c>
      <c r="X146" s="2820" t="s">
        <v>36</v>
      </c>
      <c r="Y146" s="2820" t="s">
        <v>36</v>
      </c>
      <c r="Z146" s="2820" t="s">
        <v>36</v>
      </c>
      <c r="AA146" s="2820" t="s">
        <v>36</v>
      </c>
      <c r="AB146" s="2820" t="s">
        <v>36</v>
      </c>
      <c r="AC146" s="2825"/>
      <c r="AD146" s="2825"/>
      <c r="AE146" s="2825">
        <v>21</v>
      </c>
      <c r="AF146" s="2820">
        <v>21</v>
      </c>
      <c r="AG146" s="2632"/>
      <c r="AH146" s="107"/>
      <c r="AI146" s="107"/>
    </row>
    <row r="147" spans="1:35" ht="22.35" customHeight="1" thickBot="1">
      <c r="A147" s="1068">
        <v>6</v>
      </c>
      <c r="B147" s="1069" t="s">
        <v>204</v>
      </c>
      <c r="C147" s="996">
        <v>23</v>
      </c>
      <c r="D147" s="996">
        <v>23</v>
      </c>
      <c r="E147" s="998">
        <v>23</v>
      </c>
      <c r="F147" s="996">
        <v>23</v>
      </c>
      <c r="G147" s="1073">
        <v>23</v>
      </c>
      <c r="H147" s="1070">
        <v>23</v>
      </c>
      <c r="I147" s="1070">
        <v>23</v>
      </c>
      <c r="J147" s="1070" t="s">
        <v>36</v>
      </c>
      <c r="K147" s="1070" t="s">
        <v>36</v>
      </c>
      <c r="L147" s="1070" t="s">
        <v>36</v>
      </c>
      <c r="M147" s="1070" t="s">
        <v>36</v>
      </c>
      <c r="N147" s="1072" t="s">
        <v>36</v>
      </c>
      <c r="O147" s="1072"/>
      <c r="P147" s="998"/>
      <c r="Q147" s="996">
        <v>21</v>
      </c>
      <c r="R147" s="996">
        <v>21</v>
      </c>
      <c r="S147" s="998">
        <v>21</v>
      </c>
      <c r="T147" s="996">
        <v>21</v>
      </c>
      <c r="U147" s="996">
        <v>21</v>
      </c>
      <c r="V147" s="996">
        <v>21</v>
      </c>
      <c r="W147" s="996">
        <v>21</v>
      </c>
      <c r="X147" s="996" t="s">
        <v>36</v>
      </c>
      <c r="Y147" s="996" t="s">
        <v>36</v>
      </c>
      <c r="Z147" s="996" t="s">
        <v>36</v>
      </c>
      <c r="AA147" s="996" t="s">
        <v>36</v>
      </c>
      <c r="AB147" s="1072" t="s">
        <v>36</v>
      </c>
      <c r="AC147" s="1072"/>
      <c r="AD147" s="998"/>
      <c r="AE147" s="996">
        <v>22</v>
      </c>
      <c r="AF147" s="996">
        <v>22</v>
      </c>
      <c r="AG147" s="1074"/>
      <c r="AH147" s="107"/>
      <c r="AI147" s="107"/>
    </row>
    <row r="148" spans="1:35" ht="22.35" customHeight="1">
      <c r="A148" s="212"/>
      <c r="B148" s="210"/>
      <c r="C148" s="211"/>
      <c r="D148" s="211"/>
      <c r="E148" s="228"/>
      <c r="F148" s="211"/>
      <c r="G148" s="211"/>
      <c r="H148" s="233"/>
      <c r="I148" s="233"/>
      <c r="J148" s="233"/>
      <c r="K148" s="233"/>
      <c r="L148" s="233"/>
      <c r="M148" s="233"/>
      <c r="N148" s="202"/>
      <c r="O148" s="202"/>
      <c r="P148" s="228"/>
      <c r="Q148" s="211"/>
      <c r="R148" s="211"/>
      <c r="S148" s="228"/>
      <c r="T148" s="211"/>
      <c r="U148" s="211"/>
      <c r="V148" s="211"/>
      <c r="W148" s="211"/>
      <c r="X148" s="211"/>
      <c r="Y148" s="211"/>
      <c r="Z148" s="211"/>
      <c r="AA148" s="211"/>
      <c r="AB148" s="202"/>
      <c r="AC148" s="202"/>
      <c r="AD148" s="228"/>
      <c r="AE148" s="211"/>
      <c r="AF148" s="211"/>
      <c r="AG148" s="228"/>
      <c r="AH148" s="107"/>
      <c r="AI148" s="107"/>
    </row>
    <row r="149" spans="1:35" ht="22.35" customHeight="1">
      <c r="A149" s="109"/>
      <c r="B149" s="110"/>
      <c r="C149" s="192"/>
      <c r="D149" s="192"/>
      <c r="E149" s="171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71"/>
      <c r="Q149" s="192"/>
      <c r="R149" s="192"/>
      <c r="S149" s="171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3"/>
      <c r="AD149" s="193"/>
      <c r="AE149" s="193"/>
      <c r="AF149" s="192"/>
      <c r="AG149" s="171"/>
      <c r="AH149" s="107"/>
      <c r="AI149" s="107"/>
    </row>
    <row r="150" spans="1:35" ht="22.35" customHeight="1" thickBot="1">
      <c r="A150" s="161" t="s">
        <v>205</v>
      </c>
      <c r="D150" s="72"/>
      <c r="E150" s="72"/>
      <c r="F150" s="72"/>
      <c r="G150" s="105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</row>
    <row r="151" spans="1:35" ht="22.35" customHeight="1">
      <c r="A151" s="1"/>
      <c r="B151" s="248" t="s">
        <v>175</v>
      </c>
      <c r="C151" s="368"/>
      <c r="D151" s="384" t="s">
        <v>94</v>
      </c>
      <c r="E151" s="357"/>
      <c r="F151" s="372"/>
      <c r="G151" s="368"/>
      <c r="H151" s="384" t="s">
        <v>95</v>
      </c>
      <c r="I151" s="357"/>
      <c r="J151" s="372"/>
      <c r="K151" s="368"/>
      <c r="L151" s="384" t="s">
        <v>96</v>
      </c>
      <c r="M151" s="357"/>
      <c r="N151" s="372"/>
      <c r="O151" s="368"/>
      <c r="P151" s="384" t="s">
        <v>97</v>
      </c>
      <c r="Q151" s="357"/>
      <c r="R151" s="372"/>
      <c r="S151" s="368"/>
      <c r="T151" s="384" t="s">
        <v>98</v>
      </c>
      <c r="U151" s="357"/>
      <c r="V151" s="372"/>
      <c r="W151" s="368"/>
      <c r="X151" s="384" t="s">
        <v>99</v>
      </c>
      <c r="Y151" s="357"/>
      <c r="Z151" s="372"/>
      <c r="AA151" s="368"/>
      <c r="AB151" s="384" t="s">
        <v>100</v>
      </c>
      <c r="AC151" s="357"/>
      <c r="AD151" s="357"/>
      <c r="AE151" s="387" t="s">
        <v>101</v>
      </c>
      <c r="AF151" s="357"/>
      <c r="AG151" s="357"/>
      <c r="AH151" s="357"/>
      <c r="AI151" s="358"/>
    </row>
    <row r="152" spans="1:35" ht="22.35" customHeight="1">
      <c r="A152" s="1"/>
      <c r="B152" s="3148" t="s">
        <v>148</v>
      </c>
      <c r="C152" s="2898" t="s">
        <v>176</v>
      </c>
      <c r="D152" s="2770"/>
      <c r="E152" s="2770"/>
      <c r="F152" s="3151"/>
      <c r="G152" s="2898" t="s">
        <v>176</v>
      </c>
      <c r="H152" s="2770"/>
      <c r="I152" s="2770"/>
      <c r="J152" s="3151"/>
      <c r="K152" s="2898" t="s">
        <v>176</v>
      </c>
      <c r="L152" s="2770"/>
      <c r="M152" s="2770"/>
      <c r="N152" s="3151"/>
      <c r="O152" s="2898" t="s">
        <v>206</v>
      </c>
      <c r="P152" s="2770"/>
      <c r="Q152" s="2770"/>
      <c r="R152" s="3151"/>
      <c r="S152" s="2898" t="s">
        <v>160</v>
      </c>
      <c r="T152" s="2770"/>
      <c r="U152" s="2770"/>
      <c r="V152" s="3151"/>
      <c r="W152" s="3189"/>
      <c r="X152" s="3190"/>
      <c r="Y152" s="3190"/>
      <c r="Z152" s="3153"/>
      <c r="AA152" s="3149"/>
      <c r="AB152" s="2770"/>
      <c r="AC152" s="2770"/>
      <c r="AD152" s="2899"/>
      <c r="AE152" s="3154">
        <v>27</v>
      </c>
      <c r="AF152" s="2770"/>
      <c r="AG152" s="2770"/>
      <c r="AH152" s="2899"/>
      <c r="AI152" s="2779"/>
    </row>
    <row r="153" spans="1:35" ht="22.35" customHeight="1">
      <c r="A153" s="1"/>
      <c r="B153" s="3148" t="s">
        <v>152</v>
      </c>
      <c r="C153" s="2898" t="s">
        <v>207</v>
      </c>
      <c r="D153" s="2770"/>
      <c r="E153" s="2770"/>
      <c r="F153" s="3151"/>
      <c r="G153" s="2898" t="s">
        <v>207</v>
      </c>
      <c r="H153" s="2770"/>
      <c r="I153" s="2770"/>
      <c r="J153" s="3151"/>
      <c r="K153" s="2898" t="s">
        <v>207</v>
      </c>
      <c r="L153" s="2770"/>
      <c r="M153" s="2770"/>
      <c r="N153" s="3151"/>
      <c r="O153" s="2898" t="s">
        <v>207</v>
      </c>
      <c r="P153" s="2770"/>
      <c r="Q153" s="2770"/>
      <c r="R153" s="3151"/>
      <c r="S153" s="2898" t="s">
        <v>176</v>
      </c>
      <c r="T153" s="2770"/>
      <c r="U153" s="2770"/>
      <c r="V153" s="3151"/>
      <c r="W153" s="2898"/>
      <c r="X153" s="2770"/>
      <c r="Y153" s="2770"/>
      <c r="Z153" s="3151"/>
      <c r="AA153" s="2770"/>
      <c r="AB153" s="2770"/>
      <c r="AC153" s="2770"/>
      <c r="AD153" s="2899"/>
      <c r="AE153" s="3154">
        <v>39</v>
      </c>
      <c r="AF153" s="2770"/>
      <c r="AG153" s="2770"/>
      <c r="AH153" s="2899"/>
      <c r="AI153" s="2779"/>
    </row>
    <row r="154" spans="1:35" ht="22.35" customHeight="1">
      <c r="A154" s="1"/>
      <c r="B154" s="3148" t="s">
        <v>159</v>
      </c>
      <c r="C154" s="2898" t="s">
        <v>207</v>
      </c>
      <c r="D154" s="2770"/>
      <c r="E154" s="2770"/>
      <c r="F154" s="3151"/>
      <c r="G154" s="2898" t="s">
        <v>207</v>
      </c>
      <c r="H154" s="2770"/>
      <c r="I154" s="2770"/>
      <c r="J154" s="3151"/>
      <c r="K154" s="2898" t="s">
        <v>207</v>
      </c>
      <c r="L154" s="2770"/>
      <c r="M154" s="2770"/>
      <c r="N154" s="3151"/>
      <c r="O154" s="2898" t="s">
        <v>207</v>
      </c>
      <c r="P154" s="2770"/>
      <c r="Q154" s="2770"/>
      <c r="R154" s="3151"/>
      <c r="S154" s="2898" t="s">
        <v>207</v>
      </c>
      <c r="T154" s="2770"/>
      <c r="U154" s="2770"/>
      <c r="V154" s="3151"/>
      <c r="W154" s="2900" t="s">
        <v>208</v>
      </c>
      <c r="X154" s="2783"/>
      <c r="Y154" s="2783"/>
      <c r="Z154" s="3158"/>
      <c r="AA154" s="3156"/>
      <c r="AB154" s="2783"/>
      <c r="AC154" s="2783"/>
      <c r="AD154" s="2901"/>
      <c r="AE154" s="3154">
        <v>45</v>
      </c>
      <c r="AF154" s="2770"/>
      <c r="AG154" s="2770"/>
      <c r="AH154" s="2899"/>
      <c r="AI154" s="2779"/>
    </row>
    <row r="155" spans="1:35" ht="22.35" customHeight="1" thickBot="1">
      <c r="A155" s="1"/>
      <c r="B155" s="454" t="s">
        <v>161</v>
      </c>
      <c r="C155" s="3182"/>
      <c r="D155" s="2847"/>
      <c r="E155" s="2847"/>
      <c r="F155" s="3184"/>
      <c r="G155" s="3182"/>
      <c r="H155" s="2847"/>
      <c r="I155" s="2847"/>
      <c r="J155" s="3184"/>
      <c r="K155" s="3182"/>
      <c r="L155" s="2847"/>
      <c r="M155" s="2847"/>
      <c r="N155" s="3184"/>
      <c r="O155" s="3182"/>
      <c r="P155" s="2847"/>
      <c r="Q155" s="2847"/>
      <c r="R155" s="3184"/>
      <c r="S155" s="3182"/>
      <c r="T155" s="2847"/>
      <c r="U155" s="2847"/>
      <c r="V155" s="3169"/>
      <c r="W155" s="3182"/>
      <c r="X155" s="3169"/>
      <c r="Y155" s="2847"/>
      <c r="Z155" s="3184"/>
      <c r="AA155" s="3182"/>
      <c r="AB155" s="3169"/>
      <c r="AC155" s="2847"/>
      <c r="AD155" s="3184"/>
      <c r="AE155" s="3191"/>
      <c r="AF155" s="2847"/>
      <c r="AG155" s="2847"/>
      <c r="AH155" s="3169"/>
      <c r="AI155" s="2854"/>
    </row>
    <row r="156" spans="1:35" ht="22.35" customHeight="1">
      <c r="A156" s="108"/>
      <c r="B156" s="1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</row>
    <row r="157" spans="1:35" ht="22.35" customHeight="1" thickBot="1">
      <c r="A157" s="3120"/>
      <c r="B157" s="2856" t="s">
        <v>29</v>
      </c>
      <c r="C157" s="2788">
        <v>1</v>
      </c>
      <c r="D157" s="2788">
        <v>2</v>
      </c>
      <c r="E157" s="2788">
        <v>3</v>
      </c>
      <c r="F157" s="2788">
        <v>4</v>
      </c>
      <c r="G157" s="2788">
        <v>5</v>
      </c>
      <c r="H157" s="2789">
        <v>6</v>
      </c>
      <c r="I157" s="2789">
        <v>7</v>
      </c>
      <c r="J157" s="2788">
        <v>8</v>
      </c>
      <c r="K157" s="2788">
        <v>9</v>
      </c>
      <c r="L157" s="2788">
        <v>10</v>
      </c>
      <c r="M157" s="2788">
        <v>11</v>
      </c>
      <c r="N157" s="2788">
        <v>12</v>
      </c>
      <c r="O157" s="2789">
        <v>13</v>
      </c>
      <c r="P157" s="2789">
        <v>14</v>
      </c>
      <c r="Q157" s="2788">
        <v>15</v>
      </c>
      <c r="R157" s="2788">
        <v>16</v>
      </c>
      <c r="S157" s="2788">
        <v>17</v>
      </c>
      <c r="T157" s="2788">
        <v>18</v>
      </c>
      <c r="U157" s="2788">
        <v>19</v>
      </c>
      <c r="V157" s="2789">
        <v>20</v>
      </c>
      <c r="W157" s="2789">
        <v>21</v>
      </c>
      <c r="X157" s="2788">
        <v>22</v>
      </c>
      <c r="Y157" s="2788">
        <v>23</v>
      </c>
      <c r="Z157" s="2788">
        <v>24</v>
      </c>
      <c r="AA157" s="2788">
        <v>25</v>
      </c>
      <c r="AB157" s="2788">
        <v>26</v>
      </c>
      <c r="AC157" s="2789">
        <v>27</v>
      </c>
      <c r="AD157" s="2789">
        <v>28</v>
      </c>
      <c r="AE157" s="2788">
        <v>29</v>
      </c>
      <c r="AF157" s="2788">
        <v>30</v>
      </c>
      <c r="AG157" s="2790"/>
      <c r="AH157" s="176"/>
      <c r="AI157" s="177"/>
    </row>
    <row r="158" spans="1:35" ht="22.35" customHeight="1">
      <c r="A158" s="367">
        <v>1</v>
      </c>
      <c r="B158" s="390" t="s">
        <v>209</v>
      </c>
      <c r="C158" s="350" t="s">
        <v>32</v>
      </c>
      <c r="D158" s="349" t="s">
        <v>32</v>
      </c>
      <c r="E158" s="349" t="s">
        <v>32</v>
      </c>
      <c r="F158" s="349" t="s">
        <v>32</v>
      </c>
      <c r="G158" s="349" t="s">
        <v>32</v>
      </c>
      <c r="H158" s="349"/>
      <c r="I158" s="349"/>
      <c r="J158" s="349" t="s">
        <v>32</v>
      </c>
      <c r="K158" s="349" t="s">
        <v>32</v>
      </c>
      <c r="L158" s="349" t="s">
        <v>32</v>
      </c>
      <c r="M158" s="349" t="s">
        <v>32</v>
      </c>
      <c r="N158" s="349" t="s">
        <v>32</v>
      </c>
      <c r="O158" s="349"/>
      <c r="P158" s="349"/>
      <c r="Q158" s="349" t="s">
        <v>32</v>
      </c>
      <c r="R158" s="349" t="s">
        <v>32</v>
      </c>
      <c r="S158" s="349" t="s">
        <v>32</v>
      </c>
      <c r="T158" s="350" t="s">
        <v>32</v>
      </c>
      <c r="U158" s="539" t="s">
        <v>32</v>
      </c>
      <c r="V158" s="349"/>
      <c r="W158" s="350"/>
      <c r="X158" s="350" t="s">
        <v>32</v>
      </c>
      <c r="Y158" s="350" t="s">
        <v>32</v>
      </c>
      <c r="Z158" s="349" t="s">
        <v>32</v>
      </c>
      <c r="AA158" s="539" t="s">
        <v>32</v>
      </c>
      <c r="AB158" s="539" t="s">
        <v>32</v>
      </c>
      <c r="AC158" s="349"/>
      <c r="AD158" s="351"/>
      <c r="AE158" s="351" t="s">
        <v>32</v>
      </c>
      <c r="AF158" s="351" t="s">
        <v>32</v>
      </c>
      <c r="AG158" s="352"/>
      <c r="AH158" s="215"/>
      <c r="AI158" s="182"/>
    </row>
    <row r="159" spans="1:35" ht="22.35" customHeight="1">
      <c r="A159" s="3134">
        <v>2</v>
      </c>
      <c r="B159" s="3192" t="s">
        <v>210</v>
      </c>
      <c r="C159" s="2875" t="s">
        <v>212</v>
      </c>
      <c r="D159" s="2875" t="s">
        <v>212</v>
      </c>
      <c r="E159" s="2875" t="s">
        <v>212</v>
      </c>
      <c r="F159" s="2875" t="s">
        <v>212</v>
      </c>
      <c r="G159" s="2875" t="s">
        <v>212</v>
      </c>
      <c r="H159" s="2875" t="s">
        <v>212</v>
      </c>
      <c r="I159" s="2875"/>
      <c r="J159" s="2875" t="s">
        <v>213</v>
      </c>
      <c r="K159" s="2875" t="s">
        <v>213</v>
      </c>
      <c r="L159" s="2875" t="s">
        <v>213</v>
      </c>
      <c r="M159" s="2875" t="s">
        <v>213</v>
      </c>
      <c r="N159" s="2875" t="s">
        <v>36</v>
      </c>
      <c r="O159" s="2875"/>
      <c r="P159" s="2875"/>
      <c r="Q159" s="2875" t="s">
        <v>211</v>
      </c>
      <c r="R159" s="2875" t="s">
        <v>211</v>
      </c>
      <c r="S159" s="2875" t="s">
        <v>211</v>
      </c>
      <c r="T159" s="2875" t="s">
        <v>211</v>
      </c>
      <c r="U159" s="2875" t="s">
        <v>211</v>
      </c>
      <c r="V159" s="2875"/>
      <c r="W159" s="2875"/>
      <c r="X159" s="2875" t="s">
        <v>212</v>
      </c>
      <c r="Y159" s="2875" t="s">
        <v>212</v>
      </c>
      <c r="Z159" s="2875" t="s">
        <v>212</v>
      </c>
      <c r="AA159" s="2875" t="s">
        <v>212</v>
      </c>
      <c r="AB159" s="2875" t="s">
        <v>212</v>
      </c>
      <c r="AC159" s="2875" t="s">
        <v>212</v>
      </c>
      <c r="AD159" s="2875"/>
      <c r="AE159" s="2875" t="s">
        <v>213</v>
      </c>
      <c r="AF159" s="2875" t="s">
        <v>213</v>
      </c>
      <c r="AG159" s="2861"/>
      <c r="AH159" s="215"/>
      <c r="AI159" s="182"/>
    </row>
    <row r="160" spans="1:35" ht="22.35" customHeight="1">
      <c r="A160" s="3134">
        <v>3</v>
      </c>
      <c r="B160" s="3193" t="s">
        <v>214</v>
      </c>
      <c r="C160" s="2875" t="s">
        <v>213</v>
      </c>
      <c r="D160" s="2875" t="s">
        <v>213</v>
      </c>
      <c r="E160" s="2875" t="s">
        <v>213</v>
      </c>
      <c r="F160" s="2875" t="s">
        <v>213</v>
      </c>
      <c r="G160" s="2875" t="s">
        <v>36</v>
      </c>
      <c r="H160" s="2875"/>
      <c r="I160" s="2875"/>
      <c r="J160" s="2875" t="s">
        <v>211</v>
      </c>
      <c r="K160" s="2875" t="s">
        <v>211</v>
      </c>
      <c r="L160" s="2875" t="s">
        <v>211</v>
      </c>
      <c r="M160" s="2875" t="s">
        <v>211</v>
      </c>
      <c r="N160" s="2875" t="s">
        <v>211</v>
      </c>
      <c r="O160" s="2875"/>
      <c r="P160" s="2875"/>
      <c r="Q160" s="2875" t="s">
        <v>212</v>
      </c>
      <c r="R160" s="2875" t="s">
        <v>212</v>
      </c>
      <c r="S160" s="2875" t="s">
        <v>212</v>
      </c>
      <c r="T160" s="2875" t="s">
        <v>212</v>
      </c>
      <c r="U160" s="2875" t="s">
        <v>212</v>
      </c>
      <c r="V160" s="2875" t="s">
        <v>212</v>
      </c>
      <c r="W160" s="2875"/>
      <c r="X160" s="2875" t="s">
        <v>213</v>
      </c>
      <c r="Y160" s="2875" t="s">
        <v>213</v>
      </c>
      <c r="Z160" s="2875" t="s">
        <v>213</v>
      </c>
      <c r="AA160" s="2875" t="s">
        <v>213</v>
      </c>
      <c r="AB160" s="2875" t="s">
        <v>36</v>
      </c>
      <c r="AC160" s="2871"/>
      <c r="AD160" s="2871"/>
      <c r="AE160" s="2871" t="s">
        <v>211</v>
      </c>
      <c r="AF160" s="2871" t="s">
        <v>211</v>
      </c>
      <c r="AG160" s="2861"/>
      <c r="AH160" s="215"/>
      <c r="AI160" s="182"/>
    </row>
    <row r="161" spans="1:35" ht="22.35" customHeight="1">
      <c r="A161" s="3134">
        <v>4</v>
      </c>
      <c r="B161" s="3193" t="s">
        <v>215</v>
      </c>
      <c r="C161" s="2875"/>
      <c r="D161" s="2875" t="s">
        <v>125</v>
      </c>
      <c r="E161" s="2875" t="s">
        <v>32</v>
      </c>
      <c r="F161" s="2875"/>
      <c r="G161" s="2875" t="s">
        <v>32</v>
      </c>
      <c r="H161" s="2875"/>
      <c r="I161" s="2875"/>
      <c r="J161" s="2875"/>
      <c r="K161" s="2875" t="s">
        <v>125</v>
      </c>
      <c r="L161" s="2875"/>
      <c r="M161" s="2875"/>
      <c r="N161" s="2875" t="s">
        <v>32</v>
      </c>
      <c r="O161" s="2875" t="s">
        <v>212</v>
      </c>
      <c r="P161" s="2875"/>
      <c r="Q161" s="2798"/>
      <c r="R161" s="2798" t="s">
        <v>125</v>
      </c>
      <c r="S161" s="2798" t="s">
        <v>125</v>
      </c>
      <c r="T161" s="2798"/>
      <c r="U161" s="2798" t="s">
        <v>32</v>
      </c>
      <c r="V161" s="2875"/>
      <c r="W161" s="2875"/>
      <c r="X161" s="2860"/>
      <c r="Y161" s="2860" t="s">
        <v>125</v>
      </c>
      <c r="Z161" s="2860" t="s">
        <v>32</v>
      </c>
      <c r="AA161" s="2860"/>
      <c r="AB161" s="2860" t="s">
        <v>32</v>
      </c>
      <c r="AC161" s="2875"/>
      <c r="AD161" s="2875"/>
      <c r="AE161" s="2875"/>
      <c r="AF161" s="2875" t="s">
        <v>125</v>
      </c>
      <c r="AG161" s="2861"/>
      <c r="AH161" s="215"/>
      <c r="AI161" s="182"/>
    </row>
    <row r="162" spans="1:35" ht="22.35" customHeight="1" thickBot="1">
      <c r="A162" s="3134">
        <v>5</v>
      </c>
      <c r="B162" s="3193" t="s">
        <v>216</v>
      </c>
      <c r="C162" s="3194" t="s">
        <v>125</v>
      </c>
      <c r="D162" s="3194"/>
      <c r="E162" s="3194"/>
      <c r="F162" s="3194" t="s">
        <v>32</v>
      </c>
      <c r="G162" s="3194"/>
      <c r="H162" s="3194"/>
      <c r="I162" s="3194"/>
      <c r="J162" s="3194" t="s">
        <v>125</v>
      </c>
      <c r="K162" s="3194"/>
      <c r="L162" s="3194"/>
      <c r="M162" s="3194" t="s">
        <v>32</v>
      </c>
      <c r="N162" s="3194"/>
      <c r="O162" s="3194"/>
      <c r="P162" s="3194"/>
      <c r="Q162" s="3194" t="s">
        <v>125</v>
      </c>
      <c r="R162" s="3194"/>
      <c r="S162" s="3194"/>
      <c r="T162" s="3194" t="s">
        <v>32</v>
      </c>
      <c r="U162" s="3194"/>
      <c r="V162" s="3194"/>
      <c r="W162" s="3194"/>
      <c r="X162" s="3194" t="s">
        <v>125</v>
      </c>
      <c r="Y162" s="3194"/>
      <c r="Z162" s="3194"/>
      <c r="AA162" s="3194" t="s">
        <v>32</v>
      </c>
      <c r="AB162" s="3194"/>
      <c r="AC162" s="3194"/>
      <c r="AD162" s="3194"/>
      <c r="AE162" s="3194" t="s">
        <v>125</v>
      </c>
      <c r="AF162" s="3194"/>
      <c r="AG162" s="3195"/>
      <c r="AH162" s="215"/>
      <c r="AI162" s="182"/>
    </row>
    <row r="163" spans="1:35" ht="22.35" customHeight="1">
      <c r="A163" s="3134">
        <v>6</v>
      </c>
      <c r="B163" s="2805" t="s">
        <v>217</v>
      </c>
      <c r="C163" s="2875" t="s">
        <v>32</v>
      </c>
      <c r="D163" s="2875" t="s">
        <v>32</v>
      </c>
      <c r="E163" s="2875" t="s">
        <v>32</v>
      </c>
      <c r="F163" s="2806" t="s">
        <v>32</v>
      </c>
      <c r="G163" s="2875" t="s">
        <v>32</v>
      </c>
      <c r="H163" s="2875"/>
      <c r="I163" s="2875"/>
      <c r="J163" s="2802" t="s">
        <v>32</v>
      </c>
      <c r="K163" s="2875" t="s">
        <v>32</v>
      </c>
      <c r="L163" s="2875" t="s">
        <v>32</v>
      </c>
      <c r="M163" s="2875" t="s">
        <v>32</v>
      </c>
      <c r="N163" s="2875" t="s">
        <v>32</v>
      </c>
      <c r="O163" s="2875"/>
      <c r="P163" s="2875"/>
      <c r="Q163" s="2875" t="s">
        <v>32</v>
      </c>
      <c r="R163" s="349" t="s">
        <v>32</v>
      </c>
      <c r="S163" s="2875" t="s">
        <v>32</v>
      </c>
      <c r="T163" s="2798" t="s">
        <v>32</v>
      </c>
      <c r="U163" s="2798" t="s">
        <v>32</v>
      </c>
      <c r="V163" s="2798"/>
      <c r="W163" s="2798"/>
      <c r="X163" s="3058" t="s">
        <v>32</v>
      </c>
      <c r="Y163" s="2875" t="s">
        <v>32</v>
      </c>
      <c r="Z163" s="2875" t="s">
        <v>32</v>
      </c>
      <c r="AA163" s="2875" t="s">
        <v>32</v>
      </c>
      <c r="AB163" s="2875" t="s">
        <v>32</v>
      </c>
      <c r="AC163" s="2875"/>
      <c r="AD163" s="2875"/>
      <c r="AE163" s="2875" t="s">
        <v>32</v>
      </c>
      <c r="AF163" s="2875" t="s">
        <v>32</v>
      </c>
      <c r="AG163" s="2861"/>
      <c r="AH163" s="201"/>
      <c r="AI163" s="107"/>
    </row>
    <row r="164" spans="1:35" ht="22.35" customHeight="1" thickBot="1">
      <c r="A164" s="3142"/>
      <c r="B164" s="2863"/>
      <c r="C164" s="2788"/>
      <c r="D164" s="2788"/>
      <c r="E164" s="2788"/>
      <c r="F164" s="2788"/>
      <c r="G164" s="2788"/>
      <c r="H164" s="2788"/>
      <c r="I164" s="2788"/>
      <c r="J164" s="2788"/>
      <c r="K164" s="2788"/>
      <c r="L164" s="2788"/>
      <c r="M164" s="2788"/>
      <c r="N164" s="2788"/>
      <c r="O164" s="2788"/>
      <c r="P164" s="2788"/>
      <c r="Q164" s="2788"/>
      <c r="R164" s="2788"/>
      <c r="S164" s="2788"/>
      <c r="T164" s="2788"/>
      <c r="U164" s="2788"/>
      <c r="V164" s="2788"/>
      <c r="W164" s="2788"/>
      <c r="X164" s="2788"/>
      <c r="Y164" s="2788"/>
      <c r="Z164" s="2788"/>
      <c r="AA164" s="2788"/>
      <c r="AB164" s="2788"/>
      <c r="AC164" s="2788"/>
      <c r="AD164" s="2788"/>
      <c r="AE164" s="2788"/>
      <c r="AF164" s="2788"/>
      <c r="AG164" s="2790"/>
      <c r="AH164" s="107"/>
      <c r="AI164" s="107"/>
    </row>
    <row r="165" spans="1:35" ht="22.35" customHeight="1">
      <c r="A165" s="212"/>
      <c r="B165" s="210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107"/>
      <c r="AI165" s="107"/>
    </row>
    <row r="166" spans="1:35" ht="22.35" customHeight="1">
      <c r="A166" s="212"/>
      <c r="B166" s="210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107"/>
      <c r="AI166" s="107"/>
    </row>
    <row r="167" spans="1:35" ht="22.35" customHeight="1" thickBot="1">
      <c r="A167" s="150" t="s">
        <v>218</v>
      </c>
      <c r="B167" s="72"/>
      <c r="C167" s="106" t="s">
        <v>219</v>
      </c>
      <c r="D167" s="72"/>
      <c r="E167" s="72"/>
      <c r="F167" s="106" t="s">
        <v>219</v>
      </c>
      <c r="G167" s="72"/>
      <c r="H167" s="72"/>
      <c r="I167" s="106" t="s">
        <v>219</v>
      </c>
      <c r="J167" s="106"/>
      <c r="K167" s="72"/>
      <c r="L167" s="106" t="s">
        <v>219</v>
      </c>
      <c r="M167" s="72"/>
      <c r="N167" s="72"/>
      <c r="O167" s="106" t="s">
        <v>219</v>
      </c>
      <c r="P167" s="72"/>
      <c r="Q167" s="106"/>
      <c r="R167" s="106" t="s">
        <v>219</v>
      </c>
      <c r="S167" s="72"/>
      <c r="T167" s="72"/>
      <c r="U167" s="106" t="s">
        <v>219</v>
      </c>
      <c r="V167" s="72"/>
      <c r="W167" s="106"/>
      <c r="X167" s="106"/>
      <c r="Y167" s="72"/>
      <c r="Z167" s="72"/>
      <c r="AA167" s="72"/>
      <c r="AB167" s="72"/>
      <c r="AC167" s="72"/>
      <c r="AD167" s="72"/>
      <c r="AE167" s="106"/>
      <c r="AF167" s="72"/>
      <c r="AG167" s="72"/>
      <c r="AH167" s="107"/>
      <c r="AI167" s="107"/>
    </row>
    <row r="168" spans="1:35" ht="22.35" customHeight="1">
      <c r="A168" s="109"/>
      <c r="B168" s="239" t="s">
        <v>220</v>
      </c>
      <c r="C168" s="240"/>
      <c r="D168" s="241" t="s">
        <v>94</v>
      </c>
      <c r="E168" s="242"/>
      <c r="F168" s="243"/>
      <c r="G168" s="244"/>
      <c r="H168" s="241" t="s">
        <v>95</v>
      </c>
      <c r="I168" s="242"/>
      <c r="J168" s="243"/>
      <c r="K168" s="244"/>
      <c r="L168" s="241" t="s">
        <v>96</v>
      </c>
      <c r="M168" s="242"/>
      <c r="N168" s="243"/>
      <c r="O168" s="244"/>
      <c r="P168" s="241" t="s">
        <v>97</v>
      </c>
      <c r="Q168" s="242"/>
      <c r="R168" s="243"/>
      <c r="S168" s="244"/>
      <c r="T168" s="241" t="s">
        <v>98</v>
      </c>
      <c r="U168" s="242"/>
      <c r="V168" s="243"/>
      <c r="W168" s="244"/>
      <c r="X168" s="241" t="s">
        <v>99</v>
      </c>
      <c r="Y168" s="242"/>
      <c r="Z168" s="243"/>
      <c r="AA168" s="244"/>
      <c r="AB168" s="241" t="s">
        <v>100</v>
      </c>
      <c r="AC168" s="242"/>
      <c r="AD168" s="242"/>
      <c r="AE168" s="245" t="s">
        <v>101</v>
      </c>
      <c r="AF168" s="242"/>
      <c r="AG168" s="242"/>
      <c r="AH168" s="242"/>
      <c r="AI168" s="246"/>
    </row>
    <row r="169" spans="1:35" ht="22.35" customHeight="1">
      <c r="A169" s="109"/>
      <c r="B169" s="3196" t="s">
        <v>221</v>
      </c>
      <c r="C169" s="3197" t="s">
        <v>113</v>
      </c>
      <c r="D169" s="3198" t="s">
        <v>222</v>
      </c>
      <c r="E169" s="3199"/>
      <c r="F169" s="3200"/>
      <c r="G169" s="3201"/>
      <c r="H169" s="3198" t="s">
        <v>222</v>
      </c>
      <c r="I169" s="3199"/>
      <c r="J169" s="3200"/>
      <c r="K169" s="3201"/>
      <c r="L169" s="3198" t="s">
        <v>222</v>
      </c>
      <c r="M169" s="3199"/>
      <c r="N169" s="3200"/>
      <c r="O169" s="3201"/>
      <c r="P169" s="3198" t="s">
        <v>223</v>
      </c>
      <c r="Q169" s="3199"/>
      <c r="R169" s="3200"/>
      <c r="S169" s="3201"/>
      <c r="T169" s="3198" t="s">
        <v>224</v>
      </c>
      <c r="U169" s="3200"/>
      <c r="V169" s="3200"/>
      <c r="W169" s="3202"/>
      <c r="X169" s="3203"/>
      <c r="Y169" s="3203"/>
      <c r="Z169" s="3204"/>
      <c r="AA169" s="3202"/>
      <c r="AB169" s="3203"/>
      <c r="AC169" s="3203"/>
      <c r="AD169" s="3203"/>
      <c r="AE169" s="3202"/>
      <c r="AF169" s="3203"/>
      <c r="AG169" s="3203"/>
      <c r="AH169" s="3205"/>
      <c r="AI169" s="3206"/>
    </row>
    <row r="170" spans="1:35" ht="22.35" customHeight="1">
      <c r="A170" s="109"/>
      <c r="B170" s="3196" t="s">
        <v>221</v>
      </c>
      <c r="C170" s="3197" t="s">
        <v>118</v>
      </c>
      <c r="D170" s="3198" t="s">
        <v>222</v>
      </c>
      <c r="E170" s="3199"/>
      <c r="F170" s="3200"/>
      <c r="G170" s="3201"/>
      <c r="H170" s="3198" t="s">
        <v>222</v>
      </c>
      <c r="I170" s="3199"/>
      <c r="J170" s="3200"/>
      <c r="K170" s="3201"/>
      <c r="L170" s="3198" t="s">
        <v>222</v>
      </c>
      <c r="M170" s="3199"/>
      <c r="N170" s="3200"/>
      <c r="O170" s="3201"/>
      <c r="P170" s="3198" t="s">
        <v>223</v>
      </c>
      <c r="Q170" s="3199"/>
      <c r="R170" s="3200"/>
      <c r="S170" s="3201"/>
      <c r="T170" s="3198" t="s">
        <v>224</v>
      </c>
      <c r="U170" s="3200"/>
      <c r="V170" s="3200"/>
      <c r="W170" s="3202"/>
      <c r="X170" s="3203"/>
      <c r="Y170" s="3203"/>
      <c r="Z170" s="3204"/>
      <c r="AA170" s="3202"/>
      <c r="AB170" s="3203"/>
      <c r="AC170" s="3203"/>
      <c r="AD170" s="3203"/>
      <c r="AE170" s="3202"/>
      <c r="AF170" s="3203"/>
      <c r="AG170" s="3203"/>
      <c r="AH170" s="3205"/>
      <c r="AI170" s="3206"/>
    </row>
    <row r="171" spans="1:35" ht="22.35" customHeight="1">
      <c r="A171" s="109"/>
      <c r="B171" s="3196" t="s">
        <v>225</v>
      </c>
      <c r="C171" s="3197" t="s">
        <v>126</v>
      </c>
      <c r="D171" s="3198" t="s">
        <v>222</v>
      </c>
      <c r="E171" s="3199"/>
      <c r="F171" s="3200"/>
      <c r="G171" s="3201"/>
      <c r="H171" s="3198" t="s">
        <v>222</v>
      </c>
      <c r="I171" s="3199"/>
      <c r="J171" s="3200"/>
      <c r="K171" s="3201"/>
      <c r="L171" s="3198" t="s">
        <v>222</v>
      </c>
      <c r="M171" s="3199"/>
      <c r="N171" s="3200"/>
      <c r="O171" s="3201"/>
      <c r="P171" s="3198" t="s">
        <v>223</v>
      </c>
      <c r="Q171" s="3199"/>
      <c r="R171" s="3200"/>
      <c r="S171" s="3201"/>
      <c r="T171" s="3198" t="s">
        <v>224</v>
      </c>
      <c r="U171" s="3200"/>
      <c r="V171" s="3200"/>
      <c r="W171" s="3202"/>
      <c r="X171" s="3203"/>
      <c r="Y171" s="3203"/>
      <c r="Z171" s="3204"/>
      <c r="AA171" s="3202"/>
      <c r="AB171" s="3203"/>
      <c r="AC171" s="3203"/>
      <c r="AD171" s="3203"/>
      <c r="AE171" s="3202"/>
      <c r="AF171" s="3203"/>
      <c r="AG171" s="3203"/>
      <c r="AH171" s="3205"/>
      <c r="AI171" s="3206"/>
    </row>
    <row r="172" spans="1:35" ht="22.35" customHeight="1">
      <c r="A172" s="109"/>
      <c r="B172" s="3196" t="s">
        <v>226</v>
      </c>
      <c r="C172" s="3197" t="s">
        <v>50</v>
      </c>
      <c r="D172" s="3198" t="s">
        <v>227</v>
      </c>
      <c r="E172" s="3199"/>
      <c r="F172" s="3200"/>
      <c r="G172" s="3201"/>
      <c r="H172" s="3198" t="s">
        <v>227</v>
      </c>
      <c r="I172" s="3199"/>
      <c r="J172" s="3200"/>
      <c r="K172" s="3201"/>
      <c r="L172" s="3198" t="s">
        <v>228</v>
      </c>
      <c r="M172" s="3199"/>
      <c r="N172" s="3200"/>
      <c r="O172" s="3201"/>
      <c r="P172" s="3198" t="s">
        <v>229</v>
      </c>
      <c r="Q172" s="3199"/>
      <c r="R172" s="3200"/>
      <c r="S172" s="3201"/>
      <c r="T172" s="3198" t="s">
        <v>230</v>
      </c>
      <c r="U172" s="3200"/>
      <c r="V172" s="3200"/>
      <c r="W172" s="3202"/>
      <c r="X172" s="3203"/>
      <c r="Y172" s="3203"/>
      <c r="Z172" s="3204"/>
      <c r="AA172" s="3202"/>
      <c r="AB172" s="3203"/>
      <c r="AC172" s="3203"/>
      <c r="AD172" s="3203"/>
      <c r="AE172" s="3202"/>
      <c r="AF172" s="3203"/>
      <c r="AG172" s="3203"/>
      <c r="AH172" s="3205"/>
      <c r="AI172" s="3206"/>
    </row>
    <row r="173" spans="1:35" ht="22.35" customHeight="1">
      <c r="A173" s="109"/>
      <c r="B173" s="3196" t="s">
        <v>231</v>
      </c>
      <c r="C173" s="3197" t="s">
        <v>115</v>
      </c>
      <c r="D173" s="3198" t="s">
        <v>232</v>
      </c>
      <c r="E173" s="3199"/>
      <c r="F173" s="3200"/>
      <c r="G173" s="3201"/>
      <c r="H173" s="3198" t="s">
        <v>232</v>
      </c>
      <c r="I173" s="3199"/>
      <c r="J173" s="3200"/>
      <c r="K173" s="3201"/>
      <c r="L173" s="3198" t="s">
        <v>233</v>
      </c>
      <c r="M173" s="3199"/>
      <c r="N173" s="3200"/>
      <c r="O173" s="3201"/>
      <c r="P173" s="3198" t="s">
        <v>234</v>
      </c>
      <c r="Q173" s="3199"/>
      <c r="R173" s="3200"/>
      <c r="S173" s="3201"/>
      <c r="T173" s="3198" t="s">
        <v>235</v>
      </c>
      <c r="U173" s="3200"/>
      <c r="V173" s="3200"/>
      <c r="W173" s="3202"/>
      <c r="X173" s="3203"/>
      <c r="Y173" s="3203"/>
      <c r="Z173" s="3204"/>
      <c r="AA173" s="3202"/>
      <c r="AB173" s="3203"/>
      <c r="AC173" s="3203"/>
      <c r="AD173" s="3203"/>
      <c r="AE173" s="3202"/>
      <c r="AF173" s="3203"/>
      <c r="AG173" s="3203"/>
      <c r="AH173" s="3205"/>
      <c r="AI173" s="3206"/>
    </row>
    <row r="174" spans="1:35" ht="22.35" customHeight="1">
      <c r="A174" s="109"/>
      <c r="B174" s="3196" t="s">
        <v>236</v>
      </c>
      <c r="C174" s="3197" t="s">
        <v>132</v>
      </c>
      <c r="D174" s="3198" t="s">
        <v>222</v>
      </c>
      <c r="E174" s="3199"/>
      <c r="F174" s="3200"/>
      <c r="G174" s="3201"/>
      <c r="H174" s="3198" t="s">
        <v>222</v>
      </c>
      <c r="I174" s="3199"/>
      <c r="J174" s="3200"/>
      <c r="K174" s="3201"/>
      <c r="L174" s="3198" t="s">
        <v>222</v>
      </c>
      <c r="M174" s="3199"/>
      <c r="N174" s="3200"/>
      <c r="O174" s="3201"/>
      <c r="P174" s="3198" t="s">
        <v>222</v>
      </c>
      <c r="Q174" s="3199"/>
      <c r="R174" s="3200"/>
      <c r="S174" s="3201"/>
      <c r="T174" s="3198" t="s">
        <v>232</v>
      </c>
      <c r="U174" s="3200"/>
      <c r="V174" s="3200"/>
      <c r="W174" s="3202"/>
      <c r="X174" s="3203"/>
      <c r="Y174" s="3203"/>
      <c r="Z174" s="3204"/>
      <c r="AA174" s="3202"/>
      <c r="AB174" s="3203"/>
      <c r="AC174" s="3203"/>
      <c r="AD174" s="3203"/>
      <c r="AE174" s="3202"/>
      <c r="AF174" s="3203"/>
      <c r="AG174" s="3203"/>
      <c r="AH174" s="3205"/>
      <c r="AI174" s="3206"/>
    </row>
    <row r="175" spans="1:35" ht="22.35" customHeight="1">
      <c r="A175" s="109"/>
      <c r="B175" s="3196" t="s">
        <v>237</v>
      </c>
      <c r="C175" s="3197" t="s">
        <v>135</v>
      </c>
      <c r="D175" s="3198" t="s">
        <v>222</v>
      </c>
      <c r="E175" s="3199"/>
      <c r="F175" s="3200"/>
      <c r="G175" s="3201"/>
      <c r="H175" s="3198" t="s">
        <v>222</v>
      </c>
      <c r="I175" s="3199"/>
      <c r="J175" s="3200"/>
      <c r="K175" s="3201"/>
      <c r="L175" s="3198" t="s">
        <v>222</v>
      </c>
      <c r="M175" s="3199"/>
      <c r="N175" s="3200"/>
      <c r="O175" s="3201"/>
      <c r="P175" s="3198" t="s">
        <v>223</v>
      </c>
      <c r="Q175" s="3199"/>
      <c r="R175" s="3200"/>
      <c r="S175" s="3201"/>
      <c r="T175" s="3198" t="s">
        <v>224</v>
      </c>
      <c r="U175" s="3200"/>
      <c r="V175" s="3200"/>
      <c r="W175" s="3202"/>
      <c r="X175" s="3203"/>
      <c r="Y175" s="3203"/>
      <c r="Z175" s="3204"/>
      <c r="AA175" s="3202"/>
      <c r="AB175" s="3203"/>
      <c r="AC175" s="3203"/>
      <c r="AD175" s="3203"/>
      <c r="AE175" s="3202"/>
      <c r="AF175" s="3203"/>
      <c r="AG175" s="3203"/>
      <c r="AH175" s="3205"/>
      <c r="AI175" s="3206"/>
    </row>
    <row r="176" spans="1:35" ht="22.35" customHeight="1">
      <c r="A176" s="109"/>
      <c r="B176" s="3196" t="s">
        <v>237</v>
      </c>
      <c r="C176" s="3197" t="s">
        <v>52</v>
      </c>
      <c r="D176" s="3198" t="s">
        <v>222</v>
      </c>
      <c r="E176" s="3199"/>
      <c r="F176" s="3200"/>
      <c r="G176" s="3201"/>
      <c r="H176" s="3198" t="s">
        <v>222</v>
      </c>
      <c r="I176" s="3199"/>
      <c r="J176" s="3200"/>
      <c r="K176" s="3201"/>
      <c r="L176" s="3198" t="s">
        <v>222</v>
      </c>
      <c r="M176" s="3199"/>
      <c r="N176" s="3200"/>
      <c r="O176" s="3201"/>
      <c r="P176" s="3198" t="s">
        <v>223</v>
      </c>
      <c r="Q176" s="3199"/>
      <c r="R176" s="3200"/>
      <c r="S176" s="3201"/>
      <c r="T176" s="3198" t="s">
        <v>224</v>
      </c>
      <c r="U176" s="3200"/>
      <c r="V176" s="3200"/>
      <c r="W176" s="3202"/>
      <c r="X176" s="3203"/>
      <c r="Y176" s="3203"/>
      <c r="Z176" s="3204"/>
      <c r="AA176" s="3202"/>
      <c r="AB176" s="3203"/>
      <c r="AC176" s="3203"/>
      <c r="AD176" s="3203"/>
      <c r="AE176" s="3202"/>
      <c r="AF176" s="3203"/>
      <c r="AG176" s="3203"/>
      <c r="AH176" s="3205"/>
      <c r="AI176" s="3206"/>
    </row>
    <row r="177" spans="1:38" ht="22.35" customHeight="1">
      <c r="A177" s="109"/>
      <c r="B177" s="3196" t="s">
        <v>238</v>
      </c>
      <c r="C177" s="3197" t="s">
        <v>141</v>
      </c>
      <c r="D177" s="3198" t="s">
        <v>222</v>
      </c>
      <c r="E177" s="3199"/>
      <c r="F177" s="3200"/>
      <c r="G177" s="3201"/>
      <c r="H177" s="3198" t="s">
        <v>222</v>
      </c>
      <c r="I177" s="3199"/>
      <c r="J177" s="3200"/>
      <c r="K177" s="3201"/>
      <c r="L177" s="3198" t="s">
        <v>222</v>
      </c>
      <c r="M177" s="3199"/>
      <c r="N177" s="3200"/>
      <c r="O177" s="3201"/>
      <c r="P177" s="3198" t="s">
        <v>239</v>
      </c>
      <c r="Q177" s="3199"/>
      <c r="R177" s="3200"/>
      <c r="S177" s="3201"/>
      <c r="T177" s="3198" t="s">
        <v>235</v>
      </c>
      <c r="U177" s="3200"/>
      <c r="V177" s="3200"/>
      <c r="W177" s="3202"/>
      <c r="X177" s="3203"/>
      <c r="Y177" s="3203"/>
      <c r="Z177" s="3204"/>
      <c r="AA177" s="3202"/>
      <c r="AB177" s="3203"/>
      <c r="AC177" s="3203"/>
      <c r="AD177" s="3203"/>
      <c r="AE177" s="3202"/>
      <c r="AF177" s="3203"/>
      <c r="AG177" s="3203"/>
      <c r="AH177" s="3205"/>
      <c r="AI177" s="3206"/>
    </row>
    <row r="178" spans="1:38" ht="22.35" customHeight="1">
      <c r="A178" s="109"/>
      <c r="B178" s="3207" t="s">
        <v>240</v>
      </c>
      <c r="C178" s="3208" t="s">
        <v>124</v>
      </c>
      <c r="D178" s="3209" t="s">
        <v>222</v>
      </c>
      <c r="E178" s="3210"/>
      <c r="F178" s="3211"/>
      <c r="G178" s="3212"/>
      <c r="H178" s="3209" t="s">
        <v>222</v>
      </c>
      <c r="I178" s="3210"/>
      <c r="J178" s="3211"/>
      <c r="K178" s="3212"/>
      <c r="L178" s="3209" t="s">
        <v>222</v>
      </c>
      <c r="M178" s="3210"/>
      <c r="N178" s="3211"/>
      <c r="O178" s="3212"/>
      <c r="P178" s="3209" t="s">
        <v>223</v>
      </c>
      <c r="Q178" s="3210"/>
      <c r="R178" s="3211"/>
      <c r="S178" s="3212"/>
      <c r="T178" s="3209" t="s">
        <v>224</v>
      </c>
      <c r="U178" s="3211"/>
      <c r="V178" s="3213"/>
      <c r="W178" s="3214"/>
      <c r="X178" s="3215"/>
      <c r="Y178" s="3215"/>
      <c r="Z178" s="3213"/>
      <c r="AA178" s="3214"/>
      <c r="AB178" s="3215"/>
      <c r="AC178" s="3215"/>
      <c r="AD178" s="3215"/>
      <c r="AE178" s="3214"/>
      <c r="AF178" s="3215"/>
      <c r="AG178" s="3215"/>
      <c r="AH178" s="3216"/>
      <c r="AI178" s="3217"/>
      <c r="AJ178" s="200"/>
    </row>
    <row r="179" spans="1:38" ht="22.35" customHeight="1">
      <c r="A179" s="109"/>
      <c r="B179" s="3196" t="s">
        <v>241</v>
      </c>
      <c r="C179" s="3197" t="s">
        <v>242</v>
      </c>
      <c r="D179" s="3198" t="s">
        <v>222</v>
      </c>
      <c r="E179" s="3199"/>
      <c r="F179" s="3200"/>
      <c r="G179" s="3201"/>
      <c r="H179" s="3198" t="s">
        <v>222</v>
      </c>
      <c r="I179" s="3199"/>
      <c r="J179" s="3200"/>
      <c r="K179" s="3201"/>
      <c r="L179" s="3198" t="s">
        <v>222</v>
      </c>
      <c r="M179" s="3199"/>
      <c r="N179" s="3200"/>
      <c r="O179" s="3201"/>
      <c r="P179" s="3198" t="s">
        <v>223</v>
      </c>
      <c r="Q179" s="3199"/>
      <c r="R179" s="3200"/>
      <c r="S179" s="3201"/>
      <c r="T179" s="3198" t="s">
        <v>224</v>
      </c>
      <c r="U179" s="3200"/>
      <c r="V179" s="3199"/>
      <c r="W179" s="3202"/>
      <c r="X179" s="3203"/>
      <c r="Y179" s="3203"/>
      <c r="Z179" s="3203"/>
      <c r="AA179" s="3202"/>
      <c r="AB179" s="3203"/>
      <c r="AC179" s="3203"/>
      <c r="AD179" s="3203"/>
      <c r="AE179" s="3202"/>
      <c r="AF179" s="3203"/>
      <c r="AG179" s="3203"/>
      <c r="AH179" s="3205"/>
      <c r="AI179" s="3206"/>
      <c r="AJ179" s="200"/>
    </row>
    <row r="180" spans="1:38" ht="22.35" customHeight="1">
      <c r="A180" s="109"/>
      <c r="B180" s="3196" t="s">
        <v>243</v>
      </c>
      <c r="C180" s="3197" t="s">
        <v>122</v>
      </c>
      <c r="D180" s="3198" t="s">
        <v>244</v>
      </c>
      <c r="E180" s="3199"/>
      <c r="F180" s="3200"/>
      <c r="G180" s="3201"/>
      <c r="H180" s="3198" t="s">
        <v>244</v>
      </c>
      <c r="I180" s="3199"/>
      <c r="J180" s="3200"/>
      <c r="K180" s="3201"/>
      <c r="L180" s="3198" t="s">
        <v>244</v>
      </c>
      <c r="M180" s="3199"/>
      <c r="N180" s="3199"/>
      <c r="O180" s="3201"/>
      <c r="P180" s="3198" t="s">
        <v>244</v>
      </c>
      <c r="Q180" s="3199"/>
      <c r="R180" s="3199"/>
      <c r="S180" s="3201"/>
      <c r="T180" s="3198" t="s">
        <v>235</v>
      </c>
      <c r="U180" s="3200"/>
      <c r="V180" s="3199"/>
      <c r="W180" s="3218"/>
      <c r="X180" s="3203"/>
      <c r="Y180" s="3203"/>
      <c r="Z180" s="3203"/>
      <c r="AA180" s="3202"/>
      <c r="AB180" s="3203"/>
      <c r="AC180" s="3203"/>
      <c r="AD180" s="3203"/>
      <c r="AE180" s="3202"/>
      <c r="AF180" s="3203"/>
      <c r="AG180" s="3203"/>
      <c r="AH180" s="3205"/>
      <c r="AI180" s="3206"/>
      <c r="AJ180" s="200"/>
      <c r="AL180">
        <v>11</v>
      </c>
    </row>
    <row r="181" spans="1:38" ht="22.35" customHeight="1">
      <c r="A181" s="109"/>
      <c r="B181" s="3196" t="s">
        <v>245</v>
      </c>
      <c r="C181" s="3197" t="s">
        <v>246</v>
      </c>
      <c r="D181" s="3198" t="s">
        <v>244</v>
      </c>
      <c r="E181" s="3199"/>
      <c r="F181" s="3200"/>
      <c r="G181" s="3201"/>
      <c r="H181" s="3198" t="s">
        <v>244</v>
      </c>
      <c r="I181" s="3199"/>
      <c r="J181" s="3200"/>
      <c r="K181" s="3201"/>
      <c r="L181" s="3198" t="s">
        <v>244</v>
      </c>
      <c r="M181" s="3199"/>
      <c r="N181" s="3199"/>
      <c r="O181" s="3201"/>
      <c r="P181" s="3198" t="s">
        <v>244</v>
      </c>
      <c r="Q181" s="3199"/>
      <c r="R181" s="3199"/>
      <c r="S181" s="3201"/>
      <c r="T181" s="3198" t="s">
        <v>235</v>
      </c>
      <c r="U181" s="3200"/>
      <c r="V181" s="3199"/>
      <c r="W181" s="3218"/>
      <c r="X181" s="3203"/>
      <c r="Y181" s="3203"/>
      <c r="Z181" s="3204"/>
      <c r="AA181" s="3219"/>
      <c r="AB181" s="3203"/>
      <c r="AC181" s="3203"/>
      <c r="AD181" s="3203"/>
      <c r="AE181" s="3202"/>
      <c r="AF181" s="3203"/>
      <c r="AG181" s="3203"/>
      <c r="AH181" s="3205"/>
      <c r="AI181" s="3206"/>
      <c r="AJ181" s="200"/>
    </row>
    <row r="182" spans="1:38" ht="22.35" customHeight="1" thickBot="1">
      <c r="A182" s="109"/>
      <c r="B182" s="1100" t="s">
        <v>247</v>
      </c>
      <c r="C182" s="1101" t="s">
        <v>127</v>
      </c>
      <c r="D182" s="3220" t="s">
        <v>244</v>
      </c>
      <c r="E182" s="3221"/>
      <c r="F182" s="1104"/>
      <c r="G182" s="1105"/>
      <c r="H182" s="3220" t="s">
        <v>244</v>
      </c>
      <c r="I182" s="3221"/>
      <c r="J182" s="1104"/>
      <c r="K182" s="1105"/>
      <c r="L182" s="3220" t="s">
        <v>244</v>
      </c>
      <c r="M182" s="3221"/>
      <c r="N182" s="3221"/>
      <c r="O182" s="1105"/>
      <c r="P182" s="3220" t="s">
        <v>244</v>
      </c>
      <c r="Q182" s="3221"/>
      <c r="R182" s="3221"/>
      <c r="S182" s="1105"/>
      <c r="T182" s="3220" t="s">
        <v>235</v>
      </c>
      <c r="U182" s="1104"/>
      <c r="V182" s="3221"/>
      <c r="W182" s="1106"/>
      <c r="X182" s="3222"/>
      <c r="Y182" s="3222"/>
      <c r="Z182" s="1108"/>
      <c r="AA182" s="3223"/>
      <c r="AB182" s="3222"/>
      <c r="AC182" s="3222"/>
      <c r="AD182" s="3222"/>
      <c r="AE182" s="1110"/>
      <c r="AF182" s="3222"/>
      <c r="AG182" s="3222"/>
      <c r="AH182" s="3224"/>
      <c r="AI182" s="1112"/>
      <c r="AJ182" s="200"/>
    </row>
    <row r="183" spans="1:38" ht="22.35" customHeight="1">
      <c r="A183" s="109"/>
      <c r="B183" s="218"/>
      <c r="C183" s="219"/>
      <c r="D183" s="220"/>
      <c r="E183" s="221"/>
      <c r="F183" s="221"/>
      <c r="G183" s="222"/>
      <c r="H183" s="220"/>
      <c r="I183" s="221"/>
      <c r="J183" s="221"/>
      <c r="K183" s="222"/>
      <c r="L183" s="220"/>
      <c r="M183" s="221"/>
      <c r="N183" s="221"/>
      <c r="O183" s="222"/>
      <c r="P183" s="210"/>
      <c r="Q183" s="221"/>
      <c r="R183" s="221"/>
      <c r="S183" s="222"/>
      <c r="T183" s="210"/>
      <c r="U183" s="221"/>
      <c r="V183" s="221"/>
      <c r="W183" s="221"/>
      <c r="X183" s="221"/>
      <c r="Y183" s="221"/>
      <c r="Z183" s="221"/>
      <c r="AA183" s="222"/>
      <c r="AB183" s="221"/>
      <c r="AC183" s="221"/>
      <c r="AD183" s="221"/>
      <c r="AE183" s="222"/>
      <c r="AF183" s="221"/>
      <c r="AG183" s="221"/>
      <c r="AH183" s="201"/>
      <c r="AI183" s="201"/>
      <c r="AJ183" s="200"/>
    </row>
    <row r="184" spans="1:38" ht="22.35" customHeight="1" thickBot="1">
      <c r="A184" s="148"/>
      <c r="B184" s="3225" t="s">
        <v>29</v>
      </c>
      <c r="C184" s="2788">
        <v>1</v>
      </c>
      <c r="D184" s="2788">
        <v>2</v>
      </c>
      <c r="E184" s="2788">
        <v>3</v>
      </c>
      <c r="F184" s="2788">
        <v>4</v>
      </c>
      <c r="G184" s="2788">
        <v>5</v>
      </c>
      <c r="H184" s="2789">
        <v>6</v>
      </c>
      <c r="I184" s="2789">
        <v>7</v>
      </c>
      <c r="J184" s="2788">
        <v>8</v>
      </c>
      <c r="K184" s="2788">
        <v>9</v>
      </c>
      <c r="L184" s="2788">
        <v>10</v>
      </c>
      <c r="M184" s="2788">
        <v>11</v>
      </c>
      <c r="N184" s="2788">
        <v>12</v>
      </c>
      <c r="O184" s="2789">
        <v>13</v>
      </c>
      <c r="P184" s="2789">
        <v>14</v>
      </c>
      <c r="Q184" s="2788">
        <v>15</v>
      </c>
      <c r="R184" s="2788">
        <v>16</v>
      </c>
      <c r="S184" s="2788">
        <v>17</v>
      </c>
      <c r="T184" s="2788">
        <v>18</v>
      </c>
      <c r="U184" s="2788">
        <v>19</v>
      </c>
      <c r="V184" s="2789">
        <v>20</v>
      </c>
      <c r="W184" s="2789">
        <v>21</v>
      </c>
      <c r="X184" s="2788">
        <v>22</v>
      </c>
      <c r="Y184" s="2788">
        <v>23</v>
      </c>
      <c r="Z184" s="2788">
        <v>24</v>
      </c>
      <c r="AA184" s="2788">
        <v>25</v>
      </c>
      <c r="AB184" s="2788">
        <v>26</v>
      </c>
      <c r="AC184" s="2789">
        <v>27</v>
      </c>
      <c r="AD184" s="2789">
        <v>28</v>
      </c>
      <c r="AE184" s="2788">
        <v>29</v>
      </c>
      <c r="AF184" s="2788">
        <v>30</v>
      </c>
      <c r="AG184" s="2790"/>
      <c r="AH184" s="183"/>
      <c r="AI184" s="177"/>
    </row>
    <row r="185" spans="1:38" ht="22.35" customHeight="1" thickBot="1">
      <c r="A185" s="109"/>
      <c r="B185" s="318" t="s">
        <v>248</v>
      </c>
      <c r="C185" s="514" t="s">
        <v>113</v>
      </c>
      <c r="D185" s="514" t="s">
        <v>113</v>
      </c>
      <c r="E185" s="514" t="s">
        <v>113</v>
      </c>
      <c r="F185" s="514" t="s">
        <v>113</v>
      </c>
      <c r="G185" s="514" t="s">
        <v>113</v>
      </c>
      <c r="H185" s="514"/>
      <c r="I185" s="514"/>
      <c r="J185" s="514" t="s">
        <v>113</v>
      </c>
      <c r="K185" s="514" t="s">
        <v>113</v>
      </c>
      <c r="L185" s="514" t="s">
        <v>113</v>
      </c>
      <c r="M185" s="514" t="s">
        <v>113</v>
      </c>
      <c r="N185" s="514" t="s">
        <v>113</v>
      </c>
      <c r="O185" s="514"/>
      <c r="P185" s="514"/>
      <c r="Q185" s="514" t="s">
        <v>113</v>
      </c>
      <c r="R185" s="514" t="s">
        <v>113</v>
      </c>
      <c r="S185" s="514" t="s">
        <v>113</v>
      </c>
      <c r="T185" s="514" t="s">
        <v>113</v>
      </c>
      <c r="U185" s="514" t="s">
        <v>113</v>
      </c>
      <c r="V185" s="514"/>
      <c r="W185" s="514"/>
      <c r="X185" s="514" t="s">
        <v>113</v>
      </c>
      <c r="Y185" s="514" t="s">
        <v>113</v>
      </c>
      <c r="Z185" s="514" t="s">
        <v>113</v>
      </c>
      <c r="AA185" s="514" t="s">
        <v>113</v>
      </c>
      <c r="AB185" s="514" t="s">
        <v>113</v>
      </c>
      <c r="AC185" s="514"/>
      <c r="AD185" s="514"/>
      <c r="AE185" s="514" t="s">
        <v>113</v>
      </c>
      <c r="AF185" s="514" t="s">
        <v>113</v>
      </c>
      <c r="AG185" s="515"/>
      <c r="AH185" s="182"/>
      <c r="AI185" s="182"/>
    </row>
    <row r="186" spans="1:38" ht="22.35" customHeight="1" thickBot="1">
      <c r="A186" s="109"/>
      <c r="B186" s="3226" t="s">
        <v>249</v>
      </c>
      <c r="C186" s="2669" t="s">
        <v>113</v>
      </c>
      <c r="D186" s="2669" t="s">
        <v>113</v>
      </c>
      <c r="E186" s="2669" t="s">
        <v>113</v>
      </c>
      <c r="F186" s="2669" t="s">
        <v>113</v>
      </c>
      <c r="G186" s="2669" t="s">
        <v>113</v>
      </c>
      <c r="H186" s="2669"/>
      <c r="I186" s="2669"/>
      <c r="J186" s="2669" t="s">
        <v>113</v>
      </c>
      <c r="K186" s="2669" t="s">
        <v>113</v>
      </c>
      <c r="L186" s="2669" t="s">
        <v>113</v>
      </c>
      <c r="M186" s="2669" t="s">
        <v>113</v>
      </c>
      <c r="N186" s="2669" t="s">
        <v>113</v>
      </c>
      <c r="O186" s="2669"/>
      <c r="P186" s="2669"/>
      <c r="Q186" s="2669" t="s">
        <v>113</v>
      </c>
      <c r="R186" s="514" t="s">
        <v>113</v>
      </c>
      <c r="S186" s="998" t="s">
        <v>113</v>
      </c>
      <c r="T186" s="2669" t="s">
        <v>113</v>
      </c>
      <c r="U186" s="2669" t="s">
        <v>113</v>
      </c>
      <c r="V186" s="2669"/>
      <c r="W186" s="2669"/>
      <c r="X186" s="2669" t="s">
        <v>113</v>
      </c>
      <c r="Y186" s="2669" t="s">
        <v>113</v>
      </c>
      <c r="Z186" s="2669" t="s">
        <v>113</v>
      </c>
      <c r="AA186" s="2669" t="s">
        <v>113</v>
      </c>
      <c r="AB186" s="2669" t="s">
        <v>113</v>
      </c>
      <c r="AC186" s="2669"/>
      <c r="AD186" s="2669"/>
      <c r="AE186" s="3227" t="s">
        <v>113</v>
      </c>
      <c r="AF186" s="3228" t="s">
        <v>113</v>
      </c>
      <c r="AG186" s="3229"/>
      <c r="AH186" s="182"/>
      <c r="AI186" s="182"/>
    </row>
    <row r="187" spans="1:38" ht="22.35" customHeight="1">
      <c r="A187" s="109"/>
      <c r="B187" s="3226" t="s">
        <v>250</v>
      </c>
      <c r="C187" s="2669" t="s">
        <v>118</v>
      </c>
      <c r="D187" s="2669" t="s">
        <v>118</v>
      </c>
      <c r="E187" s="2669" t="s">
        <v>118</v>
      </c>
      <c r="F187" s="2669" t="s">
        <v>118</v>
      </c>
      <c r="G187" s="2669" t="s">
        <v>118</v>
      </c>
      <c r="H187" s="2669"/>
      <c r="I187" s="2669"/>
      <c r="J187" s="2669" t="s">
        <v>118</v>
      </c>
      <c r="K187" s="2669" t="s">
        <v>118</v>
      </c>
      <c r="L187" s="2669" t="s">
        <v>118</v>
      </c>
      <c r="M187" s="2669" t="s">
        <v>118</v>
      </c>
      <c r="N187" s="2669" t="s">
        <v>118</v>
      </c>
      <c r="O187" s="2669"/>
      <c r="P187" s="2669"/>
      <c r="Q187" s="2669" t="s">
        <v>118</v>
      </c>
      <c r="R187" s="2669" t="s">
        <v>118</v>
      </c>
      <c r="S187" s="2669" t="s">
        <v>118</v>
      </c>
      <c r="T187" s="2669" t="s">
        <v>118</v>
      </c>
      <c r="U187" s="2669" t="s">
        <v>118</v>
      </c>
      <c r="V187" s="2669"/>
      <c r="W187" s="2669"/>
      <c r="X187" s="2669" t="s">
        <v>118</v>
      </c>
      <c r="Y187" s="2669" t="s">
        <v>118</v>
      </c>
      <c r="Z187" s="2669" t="s">
        <v>118</v>
      </c>
      <c r="AA187" s="2669" t="s">
        <v>118</v>
      </c>
      <c r="AB187" s="2669" t="s">
        <v>118</v>
      </c>
      <c r="AC187" s="2669"/>
      <c r="AD187" s="2669"/>
      <c r="AE187" s="2669" t="s">
        <v>118</v>
      </c>
      <c r="AF187" s="2669" t="s">
        <v>113</v>
      </c>
      <c r="AG187" s="3229"/>
      <c r="AH187" s="182"/>
      <c r="AI187" s="182"/>
    </row>
    <row r="188" spans="1:38" ht="22.35" customHeight="1">
      <c r="A188" s="109"/>
      <c r="B188" s="3226" t="s">
        <v>251</v>
      </c>
      <c r="C188" s="2669" t="s">
        <v>126</v>
      </c>
      <c r="D188" s="2669" t="s">
        <v>126</v>
      </c>
      <c r="E188" s="2669" t="s">
        <v>126</v>
      </c>
      <c r="F188" s="2669" t="s">
        <v>126</v>
      </c>
      <c r="G188" s="2669" t="s">
        <v>126</v>
      </c>
      <c r="H188" s="2669"/>
      <c r="I188" s="2669"/>
      <c r="J188" s="3230" t="s">
        <v>126</v>
      </c>
      <c r="K188" s="2669" t="s">
        <v>126</v>
      </c>
      <c r="L188" s="2669" t="s">
        <v>126</v>
      </c>
      <c r="M188" s="2669" t="s">
        <v>126</v>
      </c>
      <c r="N188" s="2669" t="s">
        <v>126</v>
      </c>
      <c r="O188" s="2669"/>
      <c r="P188" s="2669"/>
      <c r="Q188" s="2669" t="s">
        <v>126</v>
      </c>
      <c r="R188" s="2669" t="s">
        <v>126</v>
      </c>
      <c r="S188" s="2669" t="s">
        <v>126</v>
      </c>
      <c r="T188" s="2669" t="s">
        <v>126</v>
      </c>
      <c r="U188" s="2669" t="s">
        <v>126</v>
      </c>
      <c r="V188" s="2669"/>
      <c r="W188" s="2669"/>
      <c r="X188" s="2669" t="s">
        <v>126</v>
      </c>
      <c r="Y188" s="2669" t="s">
        <v>126</v>
      </c>
      <c r="Z188" s="2669" t="s">
        <v>126</v>
      </c>
      <c r="AA188" s="3231" t="s">
        <v>418</v>
      </c>
      <c r="AB188" s="2669" t="s">
        <v>126</v>
      </c>
      <c r="AC188" s="2669"/>
      <c r="AD188" s="2669"/>
      <c r="AE188" s="2669" t="s">
        <v>126</v>
      </c>
      <c r="AF188" s="2669" t="s">
        <v>126</v>
      </c>
      <c r="AG188" s="3229"/>
      <c r="AH188" s="182"/>
      <c r="AI188" s="182"/>
    </row>
    <row r="189" spans="1:38" ht="22.35" customHeight="1">
      <c r="A189" s="109"/>
      <c r="B189" s="2824" t="s">
        <v>252</v>
      </c>
      <c r="C189" t="s">
        <v>122</v>
      </c>
      <c r="D189" t="s">
        <v>122</v>
      </c>
      <c r="E189" t="s">
        <v>122</v>
      </c>
      <c r="F189" t="s">
        <v>122</v>
      </c>
      <c r="G189" s="2669" t="s">
        <v>50</v>
      </c>
      <c r="H189" s="2669"/>
      <c r="I189" s="2669"/>
      <c r="J189" s="2669" t="s">
        <v>50</v>
      </c>
      <c r="K189" s="2669" t="s">
        <v>50</v>
      </c>
      <c r="L189" s="2669" t="s">
        <v>50</v>
      </c>
      <c r="M189" s="2669" t="s">
        <v>50</v>
      </c>
      <c r="N189" s="2669" t="s">
        <v>50</v>
      </c>
      <c r="O189" s="2669"/>
      <c r="P189" s="2669"/>
      <c r="Q189" s="2669" t="s">
        <v>50</v>
      </c>
      <c r="R189" s="2669" t="s">
        <v>50</v>
      </c>
      <c r="S189" s="2669" t="s">
        <v>50</v>
      </c>
      <c r="T189" s="2669" t="s">
        <v>368</v>
      </c>
      <c r="U189" s="2669" t="s">
        <v>368</v>
      </c>
      <c r="V189" s="2669"/>
      <c r="W189" s="2669"/>
      <c r="X189" s="2669" t="s">
        <v>50</v>
      </c>
      <c r="Y189" s="2669" t="s">
        <v>50</v>
      </c>
      <c r="Z189" s="2669" t="s">
        <v>50</v>
      </c>
      <c r="AA189" s="2669" t="s">
        <v>50</v>
      </c>
      <c r="AB189" s="2669" t="s">
        <v>50</v>
      </c>
      <c r="AC189" s="2669"/>
      <c r="AD189" s="2669"/>
      <c r="AE189" s="2669" t="s">
        <v>50</v>
      </c>
      <c r="AF189" s="2669" t="s">
        <v>50</v>
      </c>
      <c r="AG189" s="3229"/>
      <c r="AH189" s="182"/>
      <c r="AI189" s="182"/>
    </row>
    <row r="190" spans="1:38" ht="22.35" customHeight="1">
      <c r="A190" s="109"/>
      <c r="B190" s="2797"/>
      <c r="C190" s="2669" t="s">
        <v>115</v>
      </c>
      <c r="D190" s="2669" t="s">
        <v>115</v>
      </c>
      <c r="E190" s="2669" t="s">
        <v>115</v>
      </c>
      <c r="F190" s="2669" t="s">
        <v>115</v>
      </c>
      <c r="G190" s="2669" t="s">
        <v>115</v>
      </c>
      <c r="H190" s="2669"/>
      <c r="I190" s="2669"/>
      <c r="J190" s="2669" t="s">
        <v>115</v>
      </c>
      <c r="K190" s="2669" t="s">
        <v>115</v>
      </c>
      <c r="L190" s="2669" t="s">
        <v>115</v>
      </c>
      <c r="M190" s="2669" t="s">
        <v>115</v>
      </c>
      <c r="N190" s="2669" t="s">
        <v>115</v>
      </c>
      <c r="O190" s="2669"/>
      <c r="P190" s="2669"/>
      <c r="Q190" s="2669" t="s">
        <v>115</v>
      </c>
      <c r="R190" s="2669" t="s">
        <v>115</v>
      </c>
      <c r="S190" s="2669" t="s">
        <v>115</v>
      </c>
      <c r="T190" s="2669" t="s">
        <v>115</v>
      </c>
      <c r="U190" s="2669" t="s">
        <v>115</v>
      </c>
      <c r="V190" s="2669"/>
      <c r="W190" s="2669"/>
      <c r="X190" s="2669" t="s">
        <v>115</v>
      </c>
      <c r="Y190" s="2669" t="s">
        <v>115</v>
      </c>
      <c r="Z190" s="2669" t="s">
        <v>115</v>
      </c>
      <c r="AA190" s="2669" t="s">
        <v>115</v>
      </c>
      <c r="AB190" s="2669" t="s">
        <v>115</v>
      </c>
      <c r="AC190" s="2669"/>
      <c r="AD190" s="2669"/>
      <c r="AE190" s="2669" t="s">
        <v>115</v>
      </c>
      <c r="AF190" s="2669" t="s">
        <v>115</v>
      </c>
      <c r="AG190" s="3229"/>
      <c r="AH190" s="182"/>
      <c r="AI190" s="182"/>
    </row>
    <row r="191" spans="1:38" ht="22.35" customHeight="1">
      <c r="A191" s="109"/>
      <c r="B191" s="3226" t="s">
        <v>253</v>
      </c>
      <c r="C191" s="3232" t="s">
        <v>132</v>
      </c>
      <c r="D191" s="3232" t="s">
        <v>132</v>
      </c>
      <c r="E191" s="3232" t="s">
        <v>132</v>
      </c>
      <c r="F191" s="3232" t="s">
        <v>132</v>
      </c>
      <c r="G191" s="3232" t="s">
        <v>132</v>
      </c>
      <c r="H191" s="3232"/>
      <c r="I191" s="3232"/>
      <c r="J191" s="3232" t="s">
        <v>132</v>
      </c>
      <c r="K191" s="3232" t="s">
        <v>132</v>
      </c>
      <c r="L191" s="3232" t="s">
        <v>132</v>
      </c>
      <c r="M191" s="3232" t="s">
        <v>132</v>
      </c>
      <c r="N191" s="3232" t="s">
        <v>132</v>
      </c>
      <c r="O191" s="3232"/>
      <c r="P191" s="3232"/>
      <c r="Q191" s="3233" t="s">
        <v>132</v>
      </c>
      <c r="R191" s="3233" t="s">
        <v>132</v>
      </c>
      <c r="S191" s="3233" t="s">
        <v>132</v>
      </c>
      <c r="T191" s="3233" t="s">
        <v>132</v>
      </c>
      <c r="U191" s="3233" t="s">
        <v>132</v>
      </c>
      <c r="V191" s="3232"/>
      <c r="W191" s="3232"/>
      <c r="X191" s="3232" t="s">
        <v>132</v>
      </c>
      <c r="Y191" s="3232" t="s">
        <v>132</v>
      </c>
      <c r="Z191" s="3232" t="s">
        <v>132</v>
      </c>
      <c r="AA191" s="3232" t="s">
        <v>132</v>
      </c>
      <c r="AB191" s="3232" t="s">
        <v>132</v>
      </c>
      <c r="AC191" s="3232"/>
      <c r="AD191" s="3232"/>
      <c r="AE191" s="3232" t="s">
        <v>132</v>
      </c>
      <c r="AF191" s="3232" t="s">
        <v>132</v>
      </c>
      <c r="AG191" s="3229"/>
      <c r="AH191" s="182"/>
      <c r="AI191" s="182"/>
    </row>
    <row r="192" spans="1:38" ht="22.35" customHeight="1">
      <c r="A192" s="109"/>
      <c r="B192" s="2874" t="s">
        <v>254</v>
      </c>
      <c r="C192" s="2669" t="s">
        <v>135</v>
      </c>
      <c r="D192" s="2669" t="s">
        <v>135</v>
      </c>
      <c r="E192" s="2669" t="s">
        <v>135</v>
      </c>
      <c r="F192" s="2669" t="s">
        <v>135</v>
      </c>
      <c r="G192" s="2669" t="s">
        <v>135</v>
      </c>
      <c r="H192" s="2669"/>
      <c r="I192" s="2669"/>
      <c r="J192" s="2669" t="s">
        <v>135</v>
      </c>
      <c r="K192" s="2669" t="s">
        <v>135</v>
      </c>
      <c r="L192" s="2669" t="s">
        <v>135</v>
      </c>
      <c r="M192" s="2669" t="s">
        <v>135</v>
      </c>
      <c r="N192" s="2669" t="s">
        <v>135</v>
      </c>
      <c r="O192" s="2669"/>
      <c r="P192" s="2669"/>
      <c r="Q192" s="2669" t="s">
        <v>135</v>
      </c>
      <c r="R192" s="2669" t="s">
        <v>135</v>
      </c>
      <c r="S192" s="2669" t="s">
        <v>135</v>
      </c>
      <c r="T192" s="3228" t="s">
        <v>135</v>
      </c>
      <c r="U192" s="3228" t="s">
        <v>135</v>
      </c>
      <c r="V192" s="2669"/>
      <c r="W192" s="2669"/>
      <c r="X192" s="3234" t="s">
        <v>135</v>
      </c>
      <c r="Y192" s="3235" t="s">
        <v>135</v>
      </c>
      <c r="Z192" s="3235" t="s">
        <v>135</v>
      </c>
      <c r="AA192" s="3235" t="s">
        <v>135</v>
      </c>
      <c r="AB192" s="3235" t="s">
        <v>135</v>
      </c>
      <c r="AC192" s="2669"/>
      <c r="AD192" s="2669"/>
      <c r="AE192" s="3235" t="s">
        <v>135</v>
      </c>
      <c r="AF192" s="3235" t="s">
        <v>135</v>
      </c>
      <c r="AG192" s="3229"/>
      <c r="AH192" s="182"/>
      <c r="AI192" s="182"/>
    </row>
    <row r="193" spans="1:37" ht="22.35" customHeight="1">
      <c r="A193" s="109"/>
      <c r="B193" s="3226" t="s">
        <v>255</v>
      </c>
      <c r="C193" s="522" t="s">
        <v>52</v>
      </c>
      <c r="D193" s="522" t="s">
        <v>52</v>
      </c>
      <c r="E193" s="522" t="s">
        <v>52</v>
      </c>
      <c r="F193" s="522" t="s">
        <v>52</v>
      </c>
      <c r="G193" s="560" t="s">
        <v>52</v>
      </c>
      <c r="H193" s="522"/>
      <c r="I193" s="522"/>
      <c r="J193" s="522" t="s">
        <v>52</v>
      </c>
      <c r="K193" s="522" t="s">
        <v>52</v>
      </c>
      <c r="L193" s="522" t="s">
        <v>52</v>
      </c>
      <c r="M193" s="522" t="s">
        <v>52</v>
      </c>
      <c r="N193" s="522" t="s">
        <v>52</v>
      </c>
      <c r="O193" s="522"/>
      <c r="P193" s="522"/>
      <c r="Q193" s="553" t="s">
        <v>52</v>
      </c>
      <c r="R193" s="553" t="s">
        <v>256</v>
      </c>
      <c r="S193" s="554" t="s">
        <v>52</v>
      </c>
      <c r="T193" s="554" t="s">
        <v>52</v>
      </c>
      <c r="U193" s="554" t="s">
        <v>52</v>
      </c>
      <c r="V193" s="554"/>
      <c r="W193" s="554"/>
      <c r="X193" s="522" t="s">
        <v>52</v>
      </c>
      <c r="Y193" s="522" t="s">
        <v>52</v>
      </c>
      <c r="Z193" s="522" t="s">
        <v>52</v>
      </c>
      <c r="AA193" s="522" t="s">
        <v>52</v>
      </c>
      <c r="AB193" s="522" t="s">
        <v>52</v>
      </c>
      <c r="AC193" s="522"/>
      <c r="AD193" s="522"/>
      <c r="AE193" s="522" t="s">
        <v>52</v>
      </c>
      <c r="AF193" s="522" t="s">
        <v>52</v>
      </c>
      <c r="AG193" s="513"/>
      <c r="AH193" s="182"/>
      <c r="AI193" s="182"/>
    </row>
    <row r="194" spans="1:37" ht="22.35" customHeight="1">
      <c r="A194" s="109"/>
      <c r="B194" s="3226" t="s">
        <v>257</v>
      </c>
      <c r="C194" s="2939" t="s">
        <v>141</v>
      </c>
      <c r="D194" s="2939" t="s">
        <v>141</v>
      </c>
      <c r="E194" s="2939" t="s">
        <v>141</v>
      </c>
      <c r="F194" s="3187" t="s">
        <v>258</v>
      </c>
      <c r="G194" s="2696" t="s">
        <v>141</v>
      </c>
      <c r="H194" s="2939"/>
      <c r="I194" s="2939"/>
      <c r="J194" s="2831" t="s">
        <v>141</v>
      </c>
      <c r="K194" s="2831" t="s">
        <v>141</v>
      </c>
      <c r="L194" s="2831" t="s">
        <v>141</v>
      </c>
      <c r="M194" s="2831" t="s">
        <v>141</v>
      </c>
      <c r="N194" s="2831" t="s">
        <v>141</v>
      </c>
      <c r="O194" s="2831"/>
      <c r="P194" s="2831"/>
      <c r="Q194" s="2939" t="s">
        <v>141</v>
      </c>
      <c r="R194" s="2939" t="s">
        <v>141</v>
      </c>
      <c r="S194" s="2939" t="s">
        <v>141</v>
      </c>
      <c r="T194" s="2939" t="s">
        <v>141</v>
      </c>
      <c r="U194" s="2939" t="s">
        <v>141</v>
      </c>
      <c r="V194" s="2939"/>
      <c r="W194" s="2939"/>
      <c r="X194" s="2939" t="s">
        <v>141</v>
      </c>
      <c r="Y194" s="2939" t="s">
        <v>141</v>
      </c>
      <c r="Z194" s="3236" t="s">
        <v>141</v>
      </c>
      <c r="AA194" s="2939" t="s">
        <v>141</v>
      </c>
      <c r="AB194" s="2939" t="s">
        <v>141</v>
      </c>
      <c r="AC194" s="2939"/>
      <c r="AD194" s="2939"/>
      <c r="AE194" s="2939" t="s">
        <v>141</v>
      </c>
      <c r="AF194" s="2939" t="s">
        <v>141</v>
      </c>
      <c r="AG194" s="2632"/>
      <c r="AH194" s="182"/>
      <c r="AI194" s="182"/>
    </row>
    <row r="195" spans="1:37" ht="22.35" customHeight="1">
      <c r="A195" s="109"/>
      <c r="B195" s="2874" t="s">
        <v>259</v>
      </c>
      <c r="C195" s="2939" t="s">
        <v>124</v>
      </c>
      <c r="D195" s="2629" t="s">
        <v>260</v>
      </c>
      <c r="E195" s="3237" t="s">
        <v>124</v>
      </c>
      <c r="F195" s="3237" t="s">
        <v>124</v>
      </c>
      <c r="G195" s="3237" t="s">
        <v>124</v>
      </c>
      <c r="H195" s="2939"/>
      <c r="I195" s="2939"/>
      <c r="J195" s="2939" t="s">
        <v>124</v>
      </c>
      <c r="K195" s="2939" t="s">
        <v>124</v>
      </c>
      <c r="L195" s="2939" t="s">
        <v>124</v>
      </c>
      <c r="M195" s="2939" t="s">
        <v>124</v>
      </c>
      <c r="N195" s="2939" t="s">
        <v>124</v>
      </c>
      <c r="O195" s="2939"/>
      <c r="P195" s="2939"/>
      <c r="Q195" s="2939" t="s">
        <v>124</v>
      </c>
      <c r="R195" s="2939" t="s">
        <v>124</v>
      </c>
      <c r="S195" s="2939" t="s">
        <v>124</v>
      </c>
      <c r="T195" s="2939" t="s">
        <v>124</v>
      </c>
      <c r="U195" s="2939" t="s">
        <v>124</v>
      </c>
      <c r="V195" s="2939"/>
      <c r="W195" s="2939"/>
      <c r="X195" s="3187" t="s">
        <v>260</v>
      </c>
      <c r="Y195" s="3125" t="s">
        <v>124</v>
      </c>
      <c r="Z195" s="2629" t="s">
        <v>124</v>
      </c>
      <c r="AA195" s="2629" t="s">
        <v>124</v>
      </c>
      <c r="AB195" s="2629" t="s">
        <v>260</v>
      </c>
      <c r="AC195" s="2939"/>
      <c r="AD195" s="2939"/>
      <c r="AE195" s="2939" t="s">
        <v>124</v>
      </c>
      <c r="AF195" s="2939" t="s">
        <v>124</v>
      </c>
      <c r="AG195" s="2632"/>
      <c r="AH195" s="182"/>
      <c r="AI195" s="182"/>
    </row>
    <row r="196" spans="1:37" ht="22.35" customHeight="1">
      <c r="A196" s="109"/>
      <c r="B196" s="3226" t="s">
        <v>261</v>
      </c>
      <c r="C196" s="2629" t="s">
        <v>242</v>
      </c>
      <c r="D196" s="2629" t="s">
        <v>242</v>
      </c>
      <c r="E196" s="2629" t="s">
        <v>242</v>
      </c>
      <c r="F196" s="2629" t="s">
        <v>242</v>
      </c>
      <c r="G196" s="2629" t="s">
        <v>345</v>
      </c>
      <c r="H196" s="2939"/>
      <c r="I196" s="2939"/>
      <c r="J196" s="2939" t="s">
        <v>242</v>
      </c>
      <c r="K196" s="2939" t="s">
        <v>242</v>
      </c>
      <c r="L196" s="2939" t="s">
        <v>242</v>
      </c>
      <c r="M196" s="2939" t="s">
        <v>242</v>
      </c>
      <c r="N196" s="2939" t="s">
        <v>242</v>
      </c>
      <c r="O196" s="2939"/>
      <c r="P196" s="2939"/>
      <c r="Q196" s="2939" t="s">
        <v>242</v>
      </c>
      <c r="R196" s="2939" t="s">
        <v>242</v>
      </c>
      <c r="S196" s="2939" t="s">
        <v>242</v>
      </c>
      <c r="T196" s="2939" t="s">
        <v>242</v>
      </c>
      <c r="U196" s="2939" t="s">
        <v>242</v>
      </c>
      <c r="V196" s="2939"/>
      <c r="W196" s="2939"/>
      <c r="X196" s="2831" t="s">
        <v>242</v>
      </c>
      <c r="Y196" s="2831" t="s">
        <v>242</v>
      </c>
      <c r="Z196" s="2831" t="s">
        <v>242</v>
      </c>
      <c r="AA196" s="2831" t="s">
        <v>242</v>
      </c>
      <c r="AB196" s="2831" t="s">
        <v>242</v>
      </c>
      <c r="AC196" s="2831"/>
      <c r="AD196" s="2831"/>
      <c r="AE196" s="2939" t="s">
        <v>242</v>
      </c>
      <c r="AF196" s="2939" t="s">
        <v>242</v>
      </c>
      <c r="AG196" s="2632"/>
      <c r="AH196" s="182"/>
      <c r="AI196" s="182"/>
    </row>
    <row r="197" spans="1:37" ht="22.35" customHeight="1">
      <c r="A197" s="109"/>
      <c r="B197" s="2874"/>
      <c r="C197" s="2939" t="s">
        <v>122</v>
      </c>
      <c r="D197" s="2939" t="s">
        <v>122</v>
      </c>
      <c r="E197" s="2939" t="s">
        <v>122</v>
      </c>
      <c r="F197" s="2939" t="s">
        <v>122</v>
      </c>
      <c r="G197" s="2939" t="s">
        <v>122</v>
      </c>
      <c r="H197" s="2939"/>
      <c r="I197" s="2939"/>
      <c r="J197" s="2939" t="s">
        <v>122</v>
      </c>
      <c r="K197" s="2939" t="s">
        <v>122</v>
      </c>
      <c r="L197" s="2939" t="s">
        <v>122</v>
      </c>
      <c r="M197" s="2939" t="s">
        <v>122</v>
      </c>
      <c r="N197" s="2939" t="s">
        <v>122</v>
      </c>
      <c r="O197" s="2939"/>
      <c r="P197" s="2939"/>
      <c r="Q197" s="2939" t="s">
        <v>122</v>
      </c>
      <c r="R197" s="2939" t="s">
        <v>122</v>
      </c>
      <c r="S197" s="2939" t="s">
        <v>122</v>
      </c>
      <c r="T197" s="2939" t="s">
        <v>122</v>
      </c>
      <c r="U197" s="2939" t="s">
        <v>122</v>
      </c>
      <c r="V197" s="2939"/>
      <c r="W197" s="2939"/>
      <c r="X197" s="2939" t="s">
        <v>122</v>
      </c>
      <c r="Y197" s="2939" t="s">
        <v>122</v>
      </c>
      <c r="Z197" s="2939" t="s">
        <v>122</v>
      </c>
      <c r="AA197" s="2939" t="s">
        <v>122</v>
      </c>
      <c r="AB197" s="2939" t="s">
        <v>122</v>
      </c>
      <c r="AC197" s="2939"/>
      <c r="AD197" s="2939"/>
      <c r="AE197" s="2939" t="s">
        <v>122</v>
      </c>
      <c r="AF197" s="2939" t="s">
        <v>122</v>
      </c>
      <c r="AG197" s="2632"/>
      <c r="AH197" s="182"/>
      <c r="AI197" s="182"/>
    </row>
    <row r="198" spans="1:37" ht="22.35" customHeight="1">
      <c r="A198" s="109"/>
      <c r="B198" s="2874" t="s">
        <v>262</v>
      </c>
      <c r="C198" s="2629" t="s">
        <v>246</v>
      </c>
      <c r="D198" s="2629" t="s">
        <v>246</v>
      </c>
      <c r="E198" s="2629" t="s">
        <v>246</v>
      </c>
      <c r="F198" s="3187" t="s">
        <v>246</v>
      </c>
      <c r="G198" s="3187" t="s">
        <v>406</v>
      </c>
      <c r="H198" s="3237"/>
      <c r="I198" s="3237"/>
      <c r="J198" s="3237" t="s">
        <v>246</v>
      </c>
      <c r="K198" s="3237" t="s">
        <v>246</v>
      </c>
      <c r="L198" s="3237" t="s">
        <v>246</v>
      </c>
      <c r="M198" s="2939" t="s">
        <v>246</v>
      </c>
      <c r="N198" s="2939" t="s">
        <v>246</v>
      </c>
      <c r="O198" s="2939"/>
      <c r="P198" s="2939"/>
      <c r="Q198" s="3238" t="s">
        <v>246</v>
      </c>
      <c r="R198" s="2939" t="s">
        <v>246</v>
      </c>
      <c r="S198" s="2939" t="s">
        <v>246</v>
      </c>
      <c r="T198" s="2939" t="s">
        <v>246</v>
      </c>
      <c r="U198" s="2939" t="s">
        <v>246</v>
      </c>
      <c r="V198" s="2939"/>
      <c r="W198" s="2939"/>
      <c r="X198" s="2939" t="s">
        <v>246</v>
      </c>
      <c r="Y198" s="2939" t="s">
        <v>246</v>
      </c>
      <c r="Z198" s="2939" t="s">
        <v>246</v>
      </c>
      <c r="AA198" s="2939" t="s">
        <v>246</v>
      </c>
      <c r="AB198" s="2939" t="s">
        <v>246</v>
      </c>
      <c r="AC198" s="2939"/>
      <c r="AD198" s="2939"/>
      <c r="AE198" s="2939" t="s">
        <v>246</v>
      </c>
      <c r="AF198" s="2939" t="s">
        <v>246</v>
      </c>
      <c r="AG198" s="2632"/>
      <c r="AH198" s="107"/>
      <c r="AI198" s="107"/>
      <c r="AK198" t="s">
        <v>0</v>
      </c>
    </row>
    <row r="199" spans="1:37" ht="21" customHeight="1" thickBot="1">
      <c r="A199" s="148"/>
      <c r="B199" s="995" t="s">
        <v>263</v>
      </c>
      <c r="C199" s="998" t="s">
        <v>127</v>
      </c>
      <c r="D199" s="1129" t="s">
        <v>127</v>
      </c>
      <c r="E199" s="1129" t="s">
        <v>127</v>
      </c>
      <c r="F199" s="1129" t="s">
        <v>127</v>
      </c>
      <c r="G199" s="1129" t="s">
        <v>264</v>
      </c>
      <c r="H199" s="998"/>
      <c r="I199" s="998"/>
      <c r="J199" s="998" t="s">
        <v>127</v>
      </c>
      <c r="K199" s="998" t="s">
        <v>127</v>
      </c>
      <c r="L199" s="998" t="s">
        <v>127</v>
      </c>
      <c r="M199" s="998" t="s">
        <v>127</v>
      </c>
      <c r="N199" s="998" t="s">
        <v>127</v>
      </c>
      <c r="O199" s="998"/>
      <c r="P199" s="998"/>
      <c r="Q199" s="3239" t="s">
        <v>127</v>
      </c>
      <c r="R199" s="1129" t="s">
        <v>127</v>
      </c>
      <c r="S199" s="1129" t="s">
        <v>127</v>
      </c>
      <c r="T199" s="1129" t="s">
        <v>127</v>
      </c>
      <c r="U199" s="3240" t="s">
        <v>127</v>
      </c>
      <c r="V199" s="3240"/>
      <c r="W199" s="3240"/>
      <c r="X199" s="3240" t="s">
        <v>127</v>
      </c>
      <c r="Y199" s="3240" t="s">
        <v>127</v>
      </c>
      <c r="Z199" s="3240" t="s">
        <v>127</v>
      </c>
      <c r="AA199" s="3240" t="s">
        <v>127</v>
      </c>
      <c r="AB199" s="3240" t="s">
        <v>127</v>
      </c>
      <c r="AC199" s="3240"/>
      <c r="AD199" s="3240" t="s">
        <v>315</v>
      </c>
      <c r="AE199" s="998" t="s">
        <v>127</v>
      </c>
      <c r="AF199" s="1072" t="s">
        <v>127</v>
      </c>
      <c r="AG199" s="1074"/>
      <c r="AH199" s="115"/>
    </row>
    <row r="200" spans="1:37" ht="21" customHeight="1">
      <c r="A200" s="148"/>
      <c r="B200" s="229"/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M200" s="228"/>
      <c r="N200" s="228"/>
      <c r="O200" s="228"/>
      <c r="P200" s="228"/>
      <c r="Q200" s="228"/>
      <c r="R200" s="228"/>
      <c r="S200" s="228"/>
      <c r="T200" s="228"/>
      <c r="U200" s="228"/>
      <c r="V200" s="228"/>
      <c r="W200" s="228"/>
      <c r="X200" s="228"/>
      <c r="Y200" s="228"/>
      <c r="Z200" s="228"/>
      <c r="AA200" s="228"/>
      <c r="AB200" s="228"/>
      <c r="AC200" s="228"/>
      <c r="AD200" s="228"/>
      <c r="AE200" s="228"/>
      <c r="AF200" s="228"/>
      <c r="AG200" s="228"/>
      <c r="AH200" s="115"/>
    </row>
    <row r="201" spans="1:37" ht="22.35" customHeight="1"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</row>
    <row r="202" spans="1:37" ht="22.35" customHeight="1" thickBot="1">
      <c r="A202" s="1" t="s">
        <v>265</v>
      </c>
      <c r="B202" s="59"/>
    </row>
    <row r="203" spans="1:37" ht="22.35" customHeight="1">
      <c r="A203" s="1"/>
      <c r="B203" s="3241" t="s">
        <v>266</v>
      </c>
      <c r="C203" s="391" t="s">
        <v>94</v>
      </c>
      <c r="D203" s="391"/>
      <c r="E203" s="391"/>
      <c r="F203" s="391"/>
      <c r="G203" s="392" t="s">
        <v>95</v>
      </c>
      <c r="H203" s="391"/>
      <c r="I203" s="391"/>
      <c r="J203" s="391"/>
      <c r="K203" s="392" t="s">
        <v>96</v>
      </c>
      <c r="L203" s="391"/>
      <c r="M203" s="391"/>
      <c r="N203" s="391"/>
      <c r="O203" s="392" t="s">
        <v>97</v>
      </c>
      <c r="P203" s="391"/>
      <c r="Q203" s="391"/>
      <c r="R203" s="391"/>
      <c r="S203" s="392" t="s">
        <v>98</v>
      </c>
      <c r="T203" s="391"/>
      <c r="U203" s="391"/>
      <c r="V203" s="391"/>
      <c r="W203" s="393" t="s">
        <v>99</v>
      </c>
      <c r="X203" s="357"/>
      <c r="Y203" s="391"/>
      <c r="Z203" s="394"/>
      <c r="AA203" s="393" t="s">
        <v>100</v>
      </c>
      <c r="AB203" s="357"/>
      <c r="AC203" s="391"/>
      <c r="AD203" s="394"/>
      <c r="AE203" s="395" t="s">
        <v>101</v>
      </c>
      <c r="AF203" s="391"/>
      <c r="AG203" s="391"/>
      <c r="AH203" s="391"/>
      <c r="AI203" s="358"/>
    </row>
    <row r="204" spans="1:37" ht="22.35" customHeight="1">
      <c r="A204" s="1"/>
      <c r="B204" s="3242">
        <v>3701</v>
      </c>
      <c r="C204" s="110" t="s">
        <v>267</v>
      </c>
      <c r="D204" s="110"/>
      <c r="E204" s="110"/>
      <c r="F204" s="110"/>
      <c r="G204" s="675" t="s">
        <v>268</v>
      </c>
      <c r="H204" s="110"/>
      <c r="I204" s="110"/>
      <c r="J204" s="110"/>
      <c r="K204" s="675" t="s">
        <v>268</v>
      </c>
      <c r="L204" s="110"/>
      <c r="M204" s="110"/>
      <c r="N204" s="110"/>
      <c r="O204" s="675" t="s">
        <v>268</v>
      </c>
      <c r="P204" s="110"/>
      <c r="Q204" s="110"/>
      <c r="R204" s="110"/>
      <c r="S204" s="675" t="s">
        <v>269</v>
      </c>
      <c r="T204" s="110"/>
      <c r="U204" s="110"/>
      <c r="V204" s="110"/>
      <c r="W204" s="3243"/>
      <c r="X204" s="3244"/>
      <c r="Y204" s="2844"/>
      <c r="Z204" s="3245"/>
      <c r="AA204" s="3243"/>
      <c r="AB204" s="3244"/>
      <c r="AC204" s="2844"/>
      <c r="AD204" s="3245"/>
      <c r="AE204" s="3149"/>
      <c r="AF204" s="2844"/>
      <c r="AG204" s="2844"/>
      <c r="AH204" s="2844"/>
      <c r="AI204" s="2779"/>
    </row>
    <row r="205" spans="1:37" ht="22.35" customHeight="1">
      <c r="B205" s="3241">
        <v>3700</v>
      </c>
      <c r="C205" s="2844" t="s">
        <v>170</v>
      </c>
      <c r="D205" s="2844"/>
      <c r="E205" s="2844"/>
      <c r="F205" s="2844"/>
      <c r="G205" s="3246" t="s">
        <v>170</v>
      </c>
      <c r="H205" s="2844"/>
      <c r="I205" s="2844"/>
      <c r="J205" s="2844"/>
      <c r="K205" s="3246" t="s">
        <v>170</v>
      </c>
      <c r="L205" s="2844"/>
      <c r="M205" s="2844"/>
      <c r="N205" s="2844"/>
      <c r="O205" s="3246" t="s">
        <v>170</v>
      </c>
      <c r="P205" s="2844"/>
      <c r="Q205" s="2844"/>
      <c r="R205" s="2844"/>
      <c r="S205" s="3246" t="s">
        <v>171</v>
      </c>
      <c r="T205" s="2844"/>
      <c r="U205" s="2844"/>
      <c r="V205" s="2844"/>
      <c r="W205" s="2844"/>
      <c r="X205" s="3246"/>
      <c r="Y205" s="2844"/>
      <c r="Z205" s="3151"/>
      <c r="AA205" s="3149"/>
      <c r="AB205" s="2844"/>
      <c r="AC205" s="2844"/>
      <c r="AD205" s="2899"/>
      <c r="AE205" s="3247"/>
      <c r="AF205" s="2844"/>
      <c r="AG205" s="2844"/>
      <c r="AH205" s="2899"/>
      <c r="AI205" s="2779"/>
    </row>
    <row r="206" spans="1:37" ht="22.35" customHeight="1">
      <c r="A206" s="1"/>
      <c r="B206" s="3241">
        <v>8514</v>
      </c>
      <c r="C206" s="2844" t="s">
        <v>268</v>
      </c>
      <c r="D206" s="2844"/>
      <c r="E206" s="2844"/>
      <c r="F206" s="2844"/>
      <c r="G206" s="3246" t="s">
        <v>268</v>
      </c>
      <c r="H206" s="2844"/>
      <c r="I206" s="2844"/>
      <c r="J206" s="2844"/>
      <c r="K206" s="3246" t="s">
        <v>268</v>
      </c>
      <c r="L206" s="2844"/>
      <c r="M206" s="2844"/>
      <c r="N206" s="2844"/>
      <c r="O206" s="3246" t="s">
        <v>268</v>
      </c>
      <c r="P206" s="2844"/>
      <c r="Q206" s="2844"/>
      <c r="R206" s="2844"/>
      <c r="S206" s="3246" t="s">
        <v>270</v>
      </c>
      <c r="T206" s="2844"/>
      <c r="U206" s="2844"/>
      <c r="V206" s="2844"/>
      <c r="W206" s="2844"/>
      <c r="X206" s="3246"/>
      <c r="Y206" s="2844"/>
      <c r="Z206" s="3151"/>
      <c r="AA206" s="2898"/>
      <c r="AB206" s="2844"/>
      <c r="AC206" s="2844"/>
      <c r="AD206" s="2899"/>
      <c r="AE206" s="2898"/>
      <c r="AF206" s="2844"/>
      <c r="AG206" s="2844"/>
      <c r="AH206" s="2899"/>
      <c r="AI206" s="2779"/>
    </row>
    <row r="207" spans="1:37" ht="22.35" customHeight="1">
      <c r="A207" s="1"/>
      <c r="B207" s="3241">
        <v>8500</v>
      </c>
      <c r="C207" s="165" t="s">
        <v>271</v>
      </c>
      <c r="D207" s="165"/>
      <c r="E207" s="165"/>
      <c r="F207" s="165"/>
      <c r="G207" s="166" t="s">
        <v>271</v>
      </c>
      <c r="H207" s="165"/>
      <c r="I207" s="165"/>
      <c r="J207" s="165"/>
      <c r="K207" s="166" t="s">
        <v>271</v>
      </c>
      <c r="L207" s="165"/>
      <c r="M207" s="165"/>
      <c r="N207" s="165"/>
      <c r="O207" s="166" t="s">
        <v>271</v>
      </c>
      <c r="P207" s="165"/>
      <c r="Q207" s="165"/>
      <c r="R207" s="165"/>
      <c r="S207" s="166" t="s">
        <v>272</v>
      </c>
      <c r="T207" s="165"/>
      <c r="U207" s="165"/>
      <c r="V207" s="165"/>
      <c r="W207" s="165"/>
      <c r="X207" s="166"/>
      <c r="Y207" s="165"/>
      <c r="Z207" s="121"/>
      <c r="AA207" s="120"/>
      <c r="AB207" s="165"/>
      <c r="AC207" s="165"/>
      <c r="AD207" s="121"/>
      <c r="AE207" s="120"/>
      <c r="AF207" s="165"/>
      <c r="AG207" s="165"/>
      <c r="AH207" s="113"/>
      <c r="AI207" s="119"/>
    </row>
    <row r="208" spans="1:37" ht="22.35" customHeight="1">
      <c r="A208" s="1"/>
      <c r="B208" s="3241">
        <v>8514</v>
      </c>
      <c r="C208" s="168" t="s">
        <v>268</v>
      </c>
      <c r="D208" s="168"/>
      <c r="E208" s="168"/>
      <c r="F208" s="168"/>
      <c r="G208" s="169" t="s">
        <v>268</v>
      </c>
      <c r="H208" s="168"/>
      <c r="I208" s="168"/>
      <c r="J208" s="168"/>
      <c r="K208" s="169" t="s">
        <v>268</v>
      </c>
      <c r="L208" s="168"/>
      <c r="M208" s="168"/>
      <c r="N208" s="168"/>
      <c r="O208" s="169" t="s">
        <v>268</v>
      </c>
      <c r="P208" s="168"/>
      <c r="Q208" s="168"/>
      <c r="R208" s="168"/>
      <c r="S208" s="169" t="s">
        <v>270</v>
      </c>
      <c r="T208" s="168"/>
      <c r="U208" s="168"/>
      <c r="V208" s="168"/>
      <c r="W208" s="168"/>
      <c r="X208" s="149"/>
      <c r="Y208" s="165"/>
      <c r="Z208" s="167"/>
      <c r="AA208" s="156"/>
      <c r="AB208" s="117"/>
      <c r="AC208" s="165"/>
      <c r="AD208" s="165"/>
      <c r="AE208" s="118"/>
      <c r="AF208" s="165"/>
      <c r="AG208" s="165"/>
      <c r="AH208" s="165"/>
      <c r="AI208" s="119"/>
    </row>
    <row r="209" spans="1:35" ht="22.35" customHeight="1" thickBot="1">
      <c r="A209" s="1"/>
      <c r="B209" s="3248" t="s">
        <v>273</v>
      </c>
      <c r="C209" s="2851" t="s">
        <v>274</v>
      </c>
      <c r="D209" s="2851"/>
      <c r="E209" s="2851"/>
      <c r="F209" s="2851"/>
      <c r="G209" s="3249" t="s">
        <v>274</v>
      </c>
      <c r="H209" s="2851"/>
      <c r="I209" s="2851"/>
      <c r="J209" s="2851"/>
      <c r="K209" s="3250" t="s">
        <v>274</v>
      </c>
      <c r="L209" s="2851"/>
      <c r="M209" s="2851"/>
      <c r="N209" s="2851"/>
      <c r="O209" s="3249" t="s">
        <v>274</v>
      </c>
      <c r="P209" s="2851"/>
      <c r="Q209" s="2851"/>
      <c r="R209" s="2851"/>
      <c r="S209" s="3249" t="s">
        <v>275</v>
      </c>
      <c r="T209" s="2851"/>
      <c r="U209" s="2851"/>
      <c r="V209" s="2851"/>
      <c r="W209" s="2851"/>
      <c r="X209" s="3249"/>
      <c r="Y209" s="2851"/>
      <c r="Z209" s="3184"/>
      <c r="AA209" s="3162"/>
      <c r="AB209" s="2851"/>
      <c r="AC209" s="2851"/>
      <c r="AD209" s="3169"/>
      <c r="AE209" s="3251"/>
      <c r="AF209" s="2851"/>
      <c r="AG209" s="2851"/>
      <c r="AH209" s="3169"/>
      <c r="AI209" s="2854"/>
    </row>
    <row r="210" spans="1:35" ht="22.35" customHeight="1">
      <c r="A210" s="1"/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>
      <c r="A211" s="1" t="s">
        <v>276</v>
      </c>
      <c r="B211" s="18"/>
      <c r="C211" s="64"/>
      <c r="D211" s="110"/>
      <c r="E211" s="110"/>
      <c r="F211" s="69"/>
      <c r="G211" s="64"/>
      <c r="H211" s="110"/>
      <c r="I211" s="110"/>
      <c r="J211" s="69"/>
      <c r="K211" s="64"/>
      <c r="L211" s="110"/>
      <c r="M211" s="110"/>
      <c r="N211" s="69"/>
      <c r="O211" s="64"/>
      <c r="P211" s="110"/>
      <c r="Q211" s="110"/>
      <c r="R211" s="69"/>
      <c r="S211" s="64"/>
      <c r="T211" s="110"/>
      <c r="U211" s="110"/>
      <c r="V211" s="69"/>
      <c r="W211" s="69"/>
      <c r="Z211" s="69"/>
      <c r="AA211" s="69"/>
      <c r="AD211" s="69"/>
      <c r="AE211" s="69"/>
      <c r="AH211" s="69"/>
    </row>
    <row r="212" spans="1:35" ht="22.35" customHeight="1" thickBot="1">
      <c r="A212" s="3120"/>
      <c r="B212" s="2856" t="s">
        <v>29</v>
      </c>
      <c r="C212" s="2788">
        <v>1</v>
      </c>
      <c r="D212" s="2788">
        <v>2</v>
      </c>
      <c r="E212" s="2788">
        <v>3</v>
      </c>
      <c r="F212" s="2788">
        <v>4</v>
      </c>
      <c r="G212" s="2788">
        <v>5</v>
      </c>
      <c r="H212" s="2789">
        <v>6</v>
      </c>
      <c r="I212" s="2789">
        <v>7</v>
      </c>
      <c r="J212" s="2788">
        <v>8</v>
      </c>
      <c r="K212" s="2788">
        <v>9</v>
      </c>
      <c r="L212" s="2788">
        <v>10</v>
      </c>
      <c r="M212" s="2788">
        <v>11</v>
      </c>
      <c r="N212" s="2788">
        <v>12</v>
      </c>
      <c r="O212" s="2789">
        <v>13</v>
      </c>
      <c r="P212" s="2789">
        <v>14</v>
      </c>
      <c r="Q212" s="2788">
        <v>15</v>
      </c>
      <c r="R212" s="2788">
        <v>16</v>
      </c>
      <c r="S212" s="2788">
        <v>17</v>
      </c>
      <c r="T212" s="2788">
        <v>18</v>
      </c>
      <c r="U212" s="2788">
        <v>19</v>
      </c>
      <c r="V212" s="2789">
        <v>20</v>
      </c>
      <c r="W212" s="2789">
        <v>21</v>
      </c>
      <c r="X212" s="2788">
        <v>22</v>
      </c>
      <c r="Y212" s="2788">
        <v>23</v>
      </c>
      <c r="Z212" s="2788">
        <v>24</v>
      </c>
      <c r="AA212" s="2788">
        <v>25</v>
      </c>
      <c r="AB212" s="2788">
        <v>26</v>
      </c>
      <c r="AC212" s="2789">
        <v>27</v>
      </c>
      <c r="AD212" s="2789">
        <v>28</v>
      </c>
      <c r="AE212" s="2788">
        <v>29</v>
      </c>
      <c r="AF212" s="2788">
        <v>30</v>
      </c>
      <c r="AG212" s="2790"/>
      <c r="AH212" s="176"/>
      <c r="AI212" s="177"/>
    </row>
    <row r="213" spans="1:35" ht="22.35" customHeight="1">
      <c r="A213" s="249"/>
      <c r="B213" s="540" t="s">
        <v>277</v>
      </c>
      <c r="C213" s="2820" t="s">
        <v>32</v>
      </c>
      <c r="D213" s="2820" t="s">
        <v>32</v>
      </c>
      <c r="E213" s="2820" t="s">
        <v>32</v>
      </c>
      <c r="F213" s="2820" t="s">
        <v>32</v>
      </c>
      <c r="G213" s="2820" t="s">
        <v>32</v>
      </c>
      <c r="H213" s="2820"/>
      <c r="I213" s="2820"/>
      <c r="J213" s="2820" t="s">
        <v>32</v>
      </c>
      <c r="K213" s="2820" t="s">
        <v>32</v>
      </c>
      <c r="L213" s="2820" t="s">
        <v>32</v>
      </c>
      <c r="M213" s="2820" t="s">
        <v>32</v>
      </c>
      <c r="N213" s="2826" t="s">
        <v>32</v>
      </c>
      <c r="O213" s="2826"/>
      <c r="P213" s="2826"/>
      <c r="Q213" s="2825" t="s">
        <v>32</v>
      </c>
      <c r="R213" s="2826" t="s">
        <v>32</v>
      </c>
      <c r="S213" s="2826" t="s">
        <v>32</v>
      </c>
      <c r="T213" s="2820" t="s">
        <v>32</v>
      </c>
      <c r="U213" s="3252" t="s">
        <v>32</v>
      </c>
      <c r="V213" s="2826"/>
      <c r="W213" s="2826"/>
      <c r="X213" s="3252" t="s">
        <v>32</v>
      </c>
      <c r="Y213" s="2826" t="s">
        <v>32</v>
      </c>
      <c r="Z213" s="2820" t="s">
        <v>32</v>
      </c>
      <c r="AA213" s="2820" t="s">
        <v>32</v>
      </c>
      <c r="AB213" s="2820" t="s">
        <v>32</v>
      </c>
      <c r="AC213" s="2820"/>
      <c r="AD213" s="2820"/>
      <c r="AE213" s="2820" t="s">
        <v>32</v>
      </c>
      <c r="AF213" s="2820" t="s">
        <v>32</v>
      </c>
      <c r="AG213" s="234"/>
      <c r="AH213" s="176"/>
      <c r="AI213" s="177"/>
    </row>
    <row r="214" spans="1:35" ht="22.35" customHeight="1">
      <c r="A214" s="3253"/>
      <c r="B214" s="3254" t="s">
        <v>279</v>
      </c>
      <c r="C214" s="2820" t="s">
        <v>32</v>
      </c>
      <c r="D214" s="2820" t="s">
        <v>32</v>
      </c>
      <c r="E214" s="2820" t="s">
        <v>32</v>
      </c>
      <c r="F214" s="2820" t="s">
        <v>32</v>
      </c>
      <c r="G214" s="2820" t="s">
        <v>32</v>
      </c>
      <c r="H214" s="2820"/>
      <c r="I214" s="2820"/>
      <c r="J214" s="2820" t="s">
        <v>32</v>
      </c>
      <c r="K214" s="2820" t="s">
        <v>32</v>
      </c>
      <c r="L214" s="2820" t="s">
        <v>32</v>
      </c>
      <c r="M214" s="2820" t="s">
        <v>32</v>
      </c>
      <c r="N214" s="2826" t="s">
        <v>32</v>
      </c>
      <c r="O214" s="2826"/>
      <c r="P214" s="2826"/>
      <c r="Q214" s="2825" t="s">
        <v>32</v>
      </c>
      <c r="R214" s="2826" t="s">
        <v>32</v>
      </c>
      <c r="S214" s="2820" t="s">
        <v>32</v>
      </c>
      <c r="T214" s="2820" t="s">
        <v>32</v>
      </c>
      <c r="U214" s="2826" t="s">
        <v>32</v>
      </c>
      <c r="V214" s="2826"/>
      <c r="W214" s="2826"/>
      <c r="X214" s="2820" t="s">
        <v>32</v>
      </c>
      <c r="Y214" s="2826" t="s">
        <v>32</v>
      </c>
      <c r="Z214" s="2820" t="s">
        <v>32</v>
      </c>
      <c r="AA214" s="2820" t="s">
        <v>32</v>
      </c>
      <c r="AB214" s="2820" t="s">
        <v>32</v>
      </c>
      <c r="AC214" s="2820"/>
      <c r="AD214" s="2825"/>
      <c r="AE214" s="2825" t="s">
        <v>32</v>
      </c>
      <c r="AF214" s="2825" t="s">
        <v>32</v>
      </c>
      <c r="AG214" s="3255"/>
      <c r="AH214" s="176"/>
      <c r="AI214" s="177"/>
    </row>
    <row r="215" spans="1:35" ht="22.35" customHeight="1">
      <c r="A215" s="3256">
        <v>8514</v>
      </c>
      <c r="B215" s="3257" t="s">
        <v>280</v>
      </c>
      <c r="C215" s="2820" t="s">
        <v>32</v>
      </c>
      <c r="D215" s="2820" t="s">
        <v>32</v>
      </c>
      <c r="E215" s="2820" t="s">
        <v>32</v>
      </c>
      <c r="F215" s="2820" t="s">
        <v>32</v>
      </c>
      <c r="G215" s="2820" t="s">
        <v>32</v>
      </c>
      <c r="H215" s="2820"/>
      <c r="I215" s="2820"/>
      <c r="J215" s="2820" t="s">
        <v>32</v>
      </c>
      <c r="K215" s="2820" t="s">
        <v>32</v>
      </c>
      <c r="L215" s="2820" t="s">
        <v>32</v>
      </c>
      <c r="M215" s="2820" t="s">
        <v>32</v>
      </c>
      <c r="N215" s="2826" t="s">
        <v>32</v>
      </c>
      <c r="O215" s="2826"/>
      <c r="P215" s="2826"/>
      <c r="Q215" s="2825" t="s">
        <v>32</v>
      </c>
      <c r="R215" s="2826" t="s">
        <v>32</v>
      </c>
      <c r="S215" s="2820" t="s">
        <v>32</v>
      </c>
      <c r="T215" s="2820" t="s">
        <v>32</v>
      </c>
      <c r="U215" s="2831" t="s">
        <v>32</v>
      </c>
      <c r="V215" s="2826"/>
      <c r="W215" s="2826"/>
      <c r="X215" s="2696" t="s">
        <v>32</v>
      </c>
      <c r="Y215" s="2826" t="s">
        <v>32</v>
      </c>
      <c r="Z215" s="2820" t="s">
        <v>32</v>
      </c>
      <c r="AA215" s="2820" t="s">
        <v>32</v>
      </c>
      <c r="AB215" s="2820" t="s">
        <v>32</v>
      </c>
      <c r="AC215" s="2820"/>
      <c r="AD215" s="2825"/>
      <c r="AE215" s="2831" t="s">
        <v>32</v>
      </c>
      <c r="AF215" s="2825" t="s">
        <v>32</v>
      </c>
      <c r="AG215" s="3255"/>
      <c r="AH215" s="181"/>
      <c r="AI215" s="182"/>
    </row>
    <row r="216" spans="1:35" ht="21" customHeight="1" thickBot="1">
      <c r="A216" s="3256">
        <v>3701</v>
      </c>
      <c r="B216" s="3258" t="s">
        <v>281</v>
      </c>
      <c r="C216" s="2820" t="s">
        <v>32</v>
      </c>
      <c r="D216" s="2820" t="s">
        <v>32</v>
      </c>
      <c r="E216" s="2820" t="s">
        <v>32</v>
      </c>
      <c r="F216" s="2820" t="s">
        <v>32</v>
      </c>
      <c r="G216" s="2820" t="s">
        <v>32</v>
      </c>
      <c r="H216" s="2820"/>
      <c r="I216" s="2820"/>
      <c r="J216" s="2820" t="s">
        <v>32</v>
      </c>
      <c r="K216" s="2820" t="s">
        <v>32</v>
      </c>
      <c r="L216" s="2820" t="s">
        <v>32</v>
      </c>
      <c r="M216" s="2820" t="s">
        <v>32</v>
      </c>
      <c r="N216" s="2826" t="s">
        <v>32</v>
      </c>
      <c r="O216" s="2826"/>
      <c r="P216" s="2826"/>
      <c r="Q216" s="2825" t="s">
        <v>32</v>
      </c>
      <c r="R216" s="2826" t="s">
        <v>32</v>
      </c>
      <c r="S216" s="2820" t="s">
        <v>32</v>
      </c>
      <c r="T216" s="2820" t="s">
        <v>32</v>
      </c>
      <c r="U216" s="2826" t="s">
        <v>32</v>
      </c>
      <c r="V216" s="2826"/>
      <c r="W216" s="2826"/>
      <c r="X216" s="2820" t="s">
        <v>32</v>
      </c>
      <c r="Y216" s="2826" t="s">
        <v>32</v>
      </c>
      <c r="Z216" s="2820" t="s">
        <v>32</v>
      </c>
      <c r="AA216" s="2820" t="s">
        <v>32</v>
      </c>
      <c r="AB216" s="2820" t="s">
        <v>32</v>
      </c>
      <c r="AC216" s="2820"/>
      <c r="AD216" s="2826"/>
      <c r="AE216" s="2826" t="s">
        <v>32</v>
      </c>
      <c r="AF216" s="2826" t="s">
        <v>32</v>
      </c>
      <c r="AG216" s="3255"/>
      <c r="AH216" s="181"/>
      <c r="AI216" s="182"/>
    </row>
    <row r="217" spans="1:35" ht="21" customHeight="1" thickBot="1">
      <c r="A217" s="3256">
        <v>3701</v>
      </c>
      <c r="B217" s="2824" t="s">
        <v>282</v>
      </c>
      <c r="C217" s="2820" t="s">
        <v>32</v>
      </c>
      <c r="D217" s="2820" t="s">
        <v>32</v>
      </c>
      <c r="E217" s="557" t="s">
        <v>32</v>
      </c>
      <c r="F217" s="557" t="s">
        <v>32</v>
      </c>
      <c r="G217" s="3259" t="s">
        <v>32</v>
      </c>
      <c r="H217" s="2820"/>
      <c r="I217" s="2820"/>
      <c r="J217" s="2820" t="s">
        <v>32</v>
      </c>
      <c r="K217" s="2820" t="s">
        <v>32</v>
      </c>
      <c r="L217" s="2820" t="s">
        <v>32</v>
      </c>
      <c r="M217" s="2820" t="s">
        <v>32</v>
      </c>
      <c r="N217" s="2826" t="s">
        <v>32</v>
      </c>
      <c r="O217" s="2826"/>
      <c r="P217" s="2826"/>
      <c r="Q217" s="2825" t="s">
        <v>32</v>
      </c>
      <c r="R217" s="349" t="s">
        <v>32</v>
      </c>
      <c r="S217" s="998" t="s">
        <v>32</v>
      </c>
      <c r="T217" s="2820" t="s">
        <v>32</v>
      </c>
      <c r="U217" s="2826" t="s">
        <v>32</v>
      </c>
      <c r="V217" s="2826"/>
      <c r="W217" s="2826"/>
      <c r="X217" s="2826" t="s">
        <v>32</v>
      </c>
      <c r="Y217" s="2858" t="s">
        <v>32</v>
      </c>
      <c r="Z217" s="2820" t="s">
        <v>32</v>
      </c>
      <c r="AA217" s="2820" t="s">
        <v>32</v>
      </c>
      <c r="AB217" s="2820" t="s">
        <v>32</v>
      </c>
      <c r="AC217" s="2820"/>
      <c r="AD217" s="2826"/>
      <c r="AE217" s="2826" t="s">
        <v>32</v>
      </c>
      <c r="AF217" s="2826" t="s">
        <v>32</v>
      </c>
      <c r="AG217" s="3255"/>
      <c r="AH217" s="181"/>
      <c r="AI217" s="182"/>
    </row>
    <row r="218" spans="1:35" ht="21" customHeight="1">
      <c r="A218" s="3256">
        <v>3701</v>
      </c>
      <c r="B218" s="2824" t="s">
        <v>283</v>
      </c>
      <c r="C218" s="3259" t="s">
        <v>32</v>
      </c>
      <c r="D218" s="3259" t="s">
        <v>32</v>
      </c>
      <c r="E218" s="2820" t="s">
        <v>32</v>
      </c>
      <c r="F218" s="2820" t="s">
        <v>32</v>
      </c>
      <c r="G218" s="2820" t="s">
        <v>32</v>
      </c>
      <c r="H218" s="2820"/>
      <c r="I218" s="2820"/>
      <c r="J218" s="2629" t="s">
        <v>32</v>
      </c>
      <c r="K218" s="2629" t="s">
        <v>32</v>
      </c>
      <c r="L218" s="2629" t="s">
        <v>32</v>
      </c>
      <c r="M218" s="2629" t="s">
        <v>32</v>
      </c>
      <c r="N218" s="2629" t="s">
        <v>32</v>
      </c>
      <c r="O218" s="2629"/>
      <c r="P218" s="2629" t="s">
        <v>315</v>
      </c>
      <c r="Q218" s="2825" t="s">
        <v>32</v>
      </c>
      <c r="R218" s="2826" t="s">
        <v>32</v>
      </c>
      <c r="S218" s="2820" t="s">
        <v>32</v>
      </c>
      <c r="T218" s="2820" t="s">
        <v>32</v>
      </c>
      <c r="U218" s="2826" t="s">
        <v>32</v>
      </c>
      <c r="V218" s="2826"/>
      <c r="W218" s="2826"/>
      <c r="X218" s="2820" t="s">
        <v>32</v>
      </c>
      <c r="Y218" s="2830" t="s">
        <v>32</v>
      </c>
      <c r="Z218" s="2820" t="s">
        <v>32</v>
      </c>
      <c r="AA218" s="2820" t="s">
        <v>32</v>
      </c>
      <c r="AB218" s="2820" t="s">
        <v>32</v>
      </c>
      <c r="AC218" s="2820"/>
      <c r="AD218" s="2830"/>
      <c r="AE218" s="2825" t="s">
        <v>32</v>
      </c>
      <c r="AF218" s="2825" t="s">
        <v>32</v>
      </c>
      <c r="AG218" s="3255"/>
      <c r="AH218" s="181"/>
      <c r="AI218" s="182"/>
    </row>
    <row r="219" spans="1:35" ht="21" customHeight="1">
      <c r="A219" s="3256">
        <v>3701</v>
      </c>
      <c r="B219" s="3258" t="s">
        <v>284</v>
      </c>
      <c r="C219" s="2820" t="s">
        <v>32</v>
      </c>
      <c r="D219" s="2820" t="s">
        <v>32</v>
      </c>
      <c r="E219" s="2820" t="s">
        <v>32</v>
      </c>
      <c r="F219" s="2820" t="s">
        <v>32</v>
      </c>
      <c r="G219" s="2820" t="s">
        <v>32</v>
      </c>
      <c r="H219" s="2820"/>
      <c r="I219" s="2820"/>
      <c r="J219" s="2820" t="s">
        <v>32</v>
      </c>
      <c r="K219" s="2820" t="s">
        <v>32</v>
      </c>
      <c r="L219" s="2820" t="s">
        <v>32</v>
      </c>
      <c r="M219" s="2820" t="s">
        <v>32</v>
      </c>
      <c r="N219" s="2826" t="s">
        <v>32</v>
      </c>
      <c r="O219" s="2826"/>
      <c r="P219" s="2826"/>
      <c r="Q219" s="2825" t="s">
        <v>32</v>
      </c>
      <c r="R219" s="2826" t="s">
        <v>32</v>
      </c>
      <c r="S219" s="2820" t="s">
        <v>32</v>
      </c>
      <c r="T219" s="2820" t="s">
        <v>32</v>
      </c>
      <c r="U219" s="2826" t="s">
        <v>32</v>
      </c>
      <c r="V219" s="2826"/>
      <c r="W219" s="2826"/>
      <c r="X219" s="2820" t="s">
        <v>32</v>
      </c>
      <c r="Y219" s="2826" t="s">
        <v>32</v>
      </c>
      <c r="Z219" s="2820" t="s">
        <v>32</v>
      </c>
      <c r="AA219" s="2820" t="s">
        <v>32</v>
      </c>
      <c r="AB219" s="2820" t="s">
        <v>32</v>
      </c>
      <c r="AC219" s="2820"/>
      <c r="AD219" s="2825"/>
      <c r="AE219" s="2825" t="s">
        <v>32</v>
      </c>
      <c r="AF219" s="2825" t="s">
        <v>32</v>
      </c>
      <c r="AG219" s="3255"/>
      <c r="AH219" s="181"/>
      <c r="AI219" s="182"/>
    </row>
    <row r="220" spans="1:35" ht="22.35" customHeight="1">
      <c r="A220" s="3256">
        <v>3701</v>
      </c>
      <c r="B220" s="2824" t="s">
        <v>285</v>
      </c>
      <c r="C220" s="2820" t="s">
        <v>32</v>
      </c>
      <c r="D220" s="2820" t="s">
        <v>32</v>
      </c>
      <c r="E220" s="2831" t="s">
        <v>32</v>
      </c>
      <c r="F220" s="2820" t="s">
        <v>32</v>
      </c>
      <c r="G220" s="2820" t="s">
        <v>32</v>
      </c>
      <c r="H220" s="2820"/>
      <c r="I220" s="2820"/>
      <c r="J220" s="739" t="s">
        <v>32</v>
      </c>
      <c r="K220" s="739" t="s">
        <v>32</v>
      </c>
      <c r="L220" s="739" t="s">
        <v>32</v>
      </c>
      <c r="M220" s="739" t="s">
        <v>32</v>
      </c>
      <c r="N220" s="2826" t="s">
        <v>32</v>
      </c>
      <c r="O220" s="2826"/>
      <c r="P220" s="2826"/>
      <c r="Q220" s="2825" t="s">
        <v>32</v>
      </c>
      <c r="R220" s="2826" t="s">
        <v>32</v>
      </c>
      <c r="S220" s="2820" t="s">
        <v>32</v>
      </c>
      <c r="T220" s="2820" t="s">
        <v>32</v>
      </c>
      <c r="U220" s="2826" t="s">
        <v>32</v>
      </c>
      <c r="V220" s="2826"/>
      <c r="W220" s="2826"/>
      <c r="X220" s="2820" t="s">
        <v>32</v>
      </c>
      <c r="Y220" s="2826" t="s">
        <v>32</v>
      </c>
      <c r="Z220" s="2820" t="s">
        <v>32</v>
      </c>
      <c r="AA220" s="2820" t="s">
        <v>32</v>
      </c>
      <c r="AB220" s="2820" t="s">
        <v>32</v>
      </c>
      <c r="AC220" s="2820"/>
      <c r="AD220" s="2826"/>
      <c r="AE220" s="2826" t="s">
        <v>32</v>
      </c>
      <c r="AF220" s="2826" t="s">
        <v>32</v>
      </c>
      <c r="AG220" s="3255"/>
      <c r="AH220" s="181"/>
      <c r="AI220" s="182"/>
    </row>
    <row r="221" spans="1:35" ht="22.35" customHeight="1" thickBot="1">
      <c r="A221" s="3256">
        <v>3701</v>
      </c>
      <c r="B221" s="2824" t="s">
        <v>286</v>
      </c>
      <c r="C221" s="2820" t="s">
        <v>32</v>
      </c>
      <c r="D221" s="2820" t="s">
        <v>32</v>
      </c>
      <c r="E221" s="2820" t="s">
        <v>32</v>
      </c>
      <c r="F221" s="2820" t="s">
        <v>32</v>
      </c>
      <c r="G221" s="3259" t="s">
        <v>32</v>
      </c>
      <c r="H221" s="2820"/>
      <c r="I221" s="2820"/>
      <c r="J221" s="2820" t="s">
        <v>32</v>
      </c>
      <c r="K221" s="2820" t="s">
        <v>32</v>
      </c>
      <c r="L221" s="2820" t="s">
        <v>32</v>
      </c>
      <c r="M221" s="2820" t="s">
        <v>32</v>
      </c>
      <c r="N221" s="2826" t="s">
        <v>32</v>
      </c>
      <c r="O221" s="2826"/>
      <c r="P221" s="2826"/>
      <c r="Q221" s="2825" t="s">
        <v>32</v>
      </c>
      <c r="R221" s="2826" t="s">
        <v>32</v>
      </c>
      <c r="S221" s="2820" t="s">
        <v>32</v>
      </c>
      <c r="T221" s="2820" t="s">
        <v>32</v>
      </c>
      <c r="U221" s="2826" t="s">
        <v>32</v>
      </c>
      <c r="V221" s="2826"/>
      <c r="W221" s="2826"/>
      <c r="X221" s="2820" t="s">
        <v>32</v>
      </c>
      <c r="Y221" s="2826" t="s">
        <v>32</v>
      </c>
      <c r="Z221" s="2820" t="s">
        <v>32</v>
      </c>
      <c r="AA221" s="2820" t="s">
        <v>32</v>
      </c>
      <c r="AB221" s="2820" t="s">
        <v>32</v>
      </c>
      <c r="AC221" s="2820"/>
      <c r="AD221" s="2826"/>
      <c r="AE221" s="2826" t="s">
        <v>32</v>
      </c>
      <c r="AF221" s="2826" t="s">
        <v>32</v>
      </c>
      <c r="AG221" s="3255"/>
      <c r="AH221" s="181"/>
      <c r="AI221" s="182"/>
    </row>
    <row r="222" spans="1:35" ht="22.35" customHeight="1">
      <c r="A222" s="3256">
        <v>3701</v>
      </c>
      <c r="B222" s="2824" t="s">
        <v>287</v>
      </c>
      <c r="C222" s="2820" t="s">
        <v>32</v>
      </c>
      <c r="D222" s="2820" t="s">
        <v>32</v>
      </c>
      <c r="E222" s="2820" t="s">
        <v>32</v>
      </c>
      <c r="F222" s="2820" t="s">
        <v>32</v>
      </c>
      <c r="G222" s="2820" t="s">
        <v>32</v>
      </c>
      <c r="H222" s="2820"/>
      <c r="I222" s="2820"/>
      <c r="J222" s="2820" t="s">
        <v>32</v>
      </c>
      <c r="K222" s="2820" t="s">
        <v>32</v>
      </c>
      <c r="L222" s="2820" t="s">
        <v>32</v>
      </c>
      <c r="M222" s="2820" t="s">
        <v>32</v>
      </c>
      <c r="N222" s="2826" t="s">
        <v>32</v>
      </c>
      <c r="O222" s="2826"/>
      <c r="P222" s="2826"/>
      <c r="Q222" s="2825" t="s">
        <v>32</v>
      </c>
      <c r="R222" s="2826" t="s">
        <v>32</v>
      </c>
      <c r="S222" s="349" t="s">
        <v>32</v>
      </c>
      <c r="T222" s="2820" t="s">
        <v>32</v>
      </c>
      <c r="U222" s="2826" t="s">
        <v>32</v>
      </c>
      <c r="V222" s="2826"/>
      <c r="W222" s="2826"/>
      <c r="X222" s="2820" t="s">
        <v>32</v>
      </c>
      <c r="Y222" s="2826" t="s">
        <v>32</v>
      </c>
      <c r="Z222" s="2820" t="s">
        <v>32</v>
      </c>
      <c r="AA222" s="2820" t="s">
        <v>32</v>
      </c>
      <c r="AB222" s="2820" t="s">
        <v>32</v>
      </c>
      <c r="AC222" s="2820"/>
      <c r="AD222" s="2825"/>
      <c r="AE222" s="2825" t="s">
        <v>32</v>
      </c>
      <c r="AF222" s="3259" t="s">
        <v>32</v>
      </c>
      <c r="AG222" s="3255"/>
      <c r="AH222" s="181"/>
      <c r="AI222" s="182"/>
    </row>
    <row r="223" spans="1:35" ht="22.35" customHeight="1">
      <c r="A223" s="3260">
        <v>3701</v>
      </c>
      <c r="B223" s="2824" t="s">
        <v>288</v>
      </c>
      <c r="C223" s="2820" t="s">
        <v>32</v>
      </c>
      <c r="D223" s="2820" t="s">
        <v>32</v>
      </c>
      <c r="E223" s="2820" t="s">
        <v>32</v>
      </c>
      <c r="F223" s="2820" t="s">
        <v>32</v>
      </c>
      <c r="G223" s="2820" t="s">
        <v>32</v>
      </c>
      <c r="H223" s="2820"/>
      <c r="I223" s="2820"/>
      <c r="J223" s="2820" t="s">
        <v>32</v>
      </c>
      <c r="K223" s="2820" t="s">
        <v>32</v>
      </c>
      <c r="L223" s="2820" t="s">
        <v>32</v>
      </c>
      <c r="M223" s="2820" t="s">
        <v>32</v>
      </c>
      <c r="N223" s="2826" t="s">
        <v>32</v>
      </c>
      <c r="O223" s="2826"/>
      <c r="P223" s="2826"/>
      <c r="Q223" s="2825" t="s">
        <v>32</v>
      </c>
      <c r="R223" s="2826" t="s">
        <v>32</v>
      </c>
      <c r="S223" s="2820" t="s">
        <v>32</v>
      </c>
      <c r="T223" s="2820" t="s">
        <v>32</v>
      </c>
      <c r="U223" s="2826" t="s">
        <v>32</v>
      </c>
      <c r="V223" s="2826"/>
      <c r="W223" s="2826"/>
      <c r="X223" s="2820" t="s">
        <v>32</v>
      </c>
      <c r="Y223" s="2826" t="s">
        <v>32</v>
      </c>
      <c r="Z223" s="2820" t="s">
        <v>32</v>
      </c>
      <c r="AA223" s="2820" t="s">
        <v>32</v>
      </c>
      <c r="AB223" s="2820" t="s">
        <v>32</v>
      </c>
      <c r="AC223" s="2820"/>
      <c r="AD223" s="2826"/>
      <c r="AE223" s="2826" t="s">
        <v>32</v>
      </c>
      <c r="AF223" s="2826" t="s">
        <v>32</v>
      </c>
      <c r="AG223" s="3255"/>
      <c r="AH223" s="181"/>
      <c r="AI223" s="182"/>
    </row>
    <row r="224" spans="1:35" ht="22.35" customHeight="1">
      <c r="A224" s="3256">
        <v>3701</v>
      </c>
      <c r="B224" s="2824" t="s">
        <v>289</v>
      </c>
      <c r="C224" s="2820" t="s">
        <v>32</v>
      </c>
      <c r="D224" s="2820" t="s">
        <v>32</v>
      </c>
      <c r="E224" s="2820" t="s">
        <v>32</v>
      </c>
      <c r="F224" s="2820" t="s">
        <v>32</v>
      </c>
      <c r="G224" s="2820" t="s">
        <v>32</v>
      </c>
      <c r="H224" s="2820"/>
      <c r="I224" s="2820"/>
      <c r="J224" s="3261" t="s">
        <v>32</v>
      </c>
      <c r="K224" s="3261" t="s">
        <v>32</v>
      </c>
      <c r="L224" s="2820" t="s">
        <v>32</v>
      </c>
      <c r="M224" s="2820" t="s">
        <v>32</v>
      </c>
      <c r="N224" s="2826" t="s">
        <v>32</v>
      </c>
      <c r="O224" s="2826"/>
      <c r="P224" s="2826"/>
      <c r="Q224" s="2825" t="s">
        <v>32</v>
      </c>
      <c r="R224" s="2826" t="s">
        <v>32</v>
      </c>
      <c r="S224" s="2820" t="s">
        <v>32</v>
      </c>
      <c r="T224" s="2820" t="s">
        <v>32</v>
      </c>
      <c r="U224" s="2826" t="s">
        <v>32</v>
      </c>
      <c r="V224" s="2826"/>
      <c r="W224" s="2826"/>
      <c r="X224" s="2820" t="s">
        <v>32</v>
      </c>
      <c r="Y224" s="2826" t="s">
        <v>32</v>
      </c>
      <c r="Z224" s="2820" t="s">
        <v>32</v>
      </c>
      <c r="AA224" s="2820" t="s">
        <v>32</v>
      </c>
      <c r="AB224" s="2820" t="s">
        <v>32</v>
      </c>
      <c r="AC224" s="2820"/>
      <c r="AD224" s="2826"/>
      <c r="AE224" s="2826" t="s">
        <v>32</v>
      </c>
      <c r="AF224" s="2826" t="s">
        <v>32</v>
      </c>
      <c r="AG224" s="3262"/>
      <c r="AH224" s="181"/>
      <c r="AI224" s="182"/>
    </row>
    <row r="225" spans="1:35" ht="22.35" customHeight="1">
      <c r="A225" s="3256">
        <v>3701</v>
      </c>
      <c r="B225" s="2824" t="s">
        <v>290</v>
      </c>
      <c r="C225" s="2820" t="s">
        <v>32</v>
      </c>
      <c r="D225" s="2820" t="s">
        <v>32</v>
      </c>
      <c r="E225" s="2820" t="s">
        <v>32</v>
      </c>
      <c r="F225" s="2820" t="s">
        <v>32</v>
      </c>
      <c r="G225" s="2820" t="s">
        <v>32</v>
      </c>
      <c r="H225" s="2820"/>
      <c r="I225" s="2820"/>
      <c r="J225" s="2820" t="s">
        <v>32</v>
      </c>
      <c r="K225" s="2820" t="s">
        <v>32</v>
      </c>
      <c r="L225" s="2820" t="s">
        <v>32</v>
      </c>
      <c r="M225" s="2820" t="s">
        <v>32</v>
      </c>
      <c r="N225" s="2826" t="s">
        <v>32</v>
      </c>
      <c r="O225" s="2826"/>
      <c r="P225" s="2826"/>
      <c r="Q225" s="2825" t="s">
        <v>32</v>
      </c>
      <c r="R225" s="2826" t="s">
        <v>32</v>
      </c>
      <c r="S225" s="2820" t="s">
        <v>32</v>
      </c>
      <c r="T225" s="2820" t="s">
        <v>32</v>
      </c>
      <c r="U225" s="2826" t="s">
        <v>32</v>
      </c>
      <c r="V225" s="2826"/>
      <c r="W225" s="2826"/>
      <c r="X225" s="2820" t="s">
        <v>32</v>
      </c>
      <c r="Y225" s="2629" t="s">
        <v>32</v>
      </c>
      <c r="Z225" s="2629" t="s">
        <v>32</v>
      </c>
      <c r="AA225" s="2629" t="s">
        <v>32</v>
      </c>
      <c r="AB225" s="2629" t="s">
        <v>32</v>
      </c>
      <c r="AC225" s="2820"/>
      <c r="AD225" s="2826"/>
      <c r="AE225" s="2826" t="s">
        <v>32</v>
      </c>
      <c r="AF225" s="2826" t="s">
        <v>32</v>
      </c>
      <c r="AG225" s="3263"/>
      <c r="AH225" s="181"/>
      <c r="AI225" s="182"/>
    </row>
    <row r="226" spans="1:35" ht="22.35" customHeight="1">
      <c r="A226" s="3256"/>
      <c r="B226" s="2824" t="s">
        <v>291</v>
      </c>
      <c r="C226" s="2820" t="s">
        <v>32</v>
      </c>
      <c r="D226" s="2820" t="s">
        <v>32</v>
      </c>
      <c r="E226" s="2820" t="s">
        <v>32</v>
      </c>
      <c r="F226" s="2820" t="s">
        <v>32</v>
      </c>
      <c r="G226" s="2820" t="s">
        <v>32</v>
      </c>
      <c r="H226" s="2820"/>
      <c r="I226" s="2820"/>
      <c r="J226" s="2629" t="s">
        <v>278</v>
      </c>
      <c r="K226" s="2820" t="s">
        <v>32</v>
      </c>
      <c r="L226" s="2820" t="s">
        <v>32</v>
      </c>
      <c r="M226" s="2820" t="s">
        <v>32</v>
      </c>
      <c r="N226" s="2826" t="s">
        <v>32</v>
      </c>
      <c r="O226" s="2826"/>
      <c r="P226" s="2826"/>
      <c r="Q226" s="2825" t="s">
        <v>32</v>
      </c>
      <c r="R226" s="2826" t="s">
        <v>32</v>
      </c>
      <c r="S226" s="2820" t="s">
        <v>32</v>
      </c>
      <c r="T226" s="2820" t="s">
        <v>32</v>
      </c>
      <c r="U226" s="2826" t="s">
        <v>32</v>
      </c>
      <c r="V226" s="2826"/>
      <c r="W226" s="2826"/>
      <c r="X226" s="2820" t="s">
        <v>32</v>
      </c>
      <c r="Y226" s="2826" t="s">
        <v>32</v>
      </c>
      <c r="Z226" s="2820" t="s">
        <v>32</v>
      </c>
      <c r="AA226" s="2820" t="s">
        <v>32</v>
      </c>
      <c r="AB226" s="2820" t="s">
        <v>32</v>
      </c>
      <c r="AC226" s="2820"/>
      <c r="AD226" s="2825"/>
      <c r="AE226" s="2825" t="s">
        <v>32</v>
      </c>
      <c r="AF226" s="2825" t="s">
        <v>32</v>
      </c>
      <c r="AG226" s="3255"/>
      <c r="AH226" s="181"/>
      <c r="AI226" s="182"/>
    </row>
    <row r="227" spans="1:35" ht="22.35" customHeight="1">
      <c r="A227" s="3256"/>
      <c r="B227" s="3264"/>
      <c r="C227" s="2820" t="s">
        <v>32</v>
      </c>
      <c r="D227" s="2820" t="s">
        <v>32</v>
      </c>
      <c r="E227" s="2820" t="s">
        <v>32</v>
      </c>
      <c r="F227" s="2820" t="s">
        <v>32</v>
      </c>
      <c r="G227" s="2820" t="s">
        <v>32</v>
      </c>
      <c r="H227" s="2820"/>
      <c r="I227" s="2820"/>
      <c r="J227" s="2820" t="s">
        <v>32</v>
      </c>
      <c r="K227" s="2820" t="s">
        <v>32</v>
      </c>
      <c r="L227" s="2820" t="s">
        <v>32</v>
      </c>
      <c r="M227" s="2820" t="s">
        <v>32</v>
      </c>
      <c r="N227" s="2826" t="s">
        <v>32</v>
      </c>
      <c r="O227" s="2826"/>
      <c r="P227" s="2826"/>
      <c r="Q227" s="2825" t="s">
        <v>32</v>
      </c>
      <c r="R227" s="2826" t="s">
        <v>32</v>
      </c>
      <c r="S227" s="2820" t="s">
        <v>32</v>
      </c>
      <c r="T227" s="2820" t="s">
        <v>32</v>
      </c>
      <c r="U227" s="2826" t="s">
        <v>32</v>
      </c>
      <c r="V227" s="2826"/>
      <c r="W227" s="2826"/>
      <c r="X227" s="2820" t="s">
        <v>32</v>
      </c>
      <c r="Y227" s="2826" t="s">
        <v>32</v>
      </c>
      <c r="Z227" s="2820" t="s">
        <v>32</v>
      </c>
      <c r="AA227" s="2820" t="s">
        <v>32</v>
      </c>
      <c r="AB227" s="2820" t="s">
        <v>32</v>
      </c>
      <c r="AC227" s="2820"/>
      <c r="AD227" s="2820"/>
      <c r="AE227" s="2830" t="s">
        <v>32</v>
      </c>
      <c r="AF227" s="2820" t="s">
        <v>32</v>
      </c>
      <c r="AG227" s="3255"/>
      <c r="AH227" s="181"/>
      <c r="AI227" s="182"/>
    </row>
    <row r="228" spans="1:35" ht="22.35" customHeight="1">
      <c r="A228" s="3256"/>
      <c r="B228" s="3258" t="s">
        <v>293</v>
      </c>
      <c r="C228" s="2820" t="s">
        <v>32</v>
      </c>
      <c r="D228" s="2820" t="s">
        <v>32</v>
      </c>
      <c r="E228" s="2820" t="s">
        <v>32</v>
      </c>
      <c r="F228" s="2820" t="s">
        <v>32</v>
      </c>
      <c r="G228" s="2820" t="s">
        <v>32</v>
      </c>
      <c r="H228" s="2820"/>
      <c r="I228" s="2820"/>
      <c r="J228" s="2820" t="s">
        <v>32</v>
      </c>
      <c r="K228" s="2820" t="s">
        <v>32</v>
      </c>
      <c r="L228" s="2820" t="s">
        <v>32</v>
      </c>
      <c r="M228" s="2820" t="s">
        <v>32</v>
      </c>
      <c r="N228" s="2826" t="s">
        <v>32</v>
      </c>
      <c r="O228" s="2826"/>
      <c r="P228" s="2826"/>
      <c r="Q228" s="2825" t="s">
        <v>32</v>
      </c>
      <c r="R228" s="2826" t="s">
        <v>32</v>
      </c>
      <c r="S228" s="2820" t="s">
        <v>32</v>
      </c>
      <c r="T228" s="2820" t="s">
        <v>32</v>
      </c>
      <c r="U228" s="2826" t="s">
        <v>32</v>
      </c>
      <c r="V228" s="2826"/>
      <c r="W228" s="2826"/>
      <c r="X228" s="2820" t="s">
        <v>32</v>
      </c>
      <c r="Y228" s="2826" t="s">
        <v>32</v>
      </c>
      <c r="Z228" s="2820" t="s">
        <v>32</v>
      </c>
      <c r="AA228" s="2820" t="s">
        <v>32</v>
      </c>
      <c r="AB228" s="2820" t="s">
        <v>32</v>
      </c>
      <c r="AC228" s="2820"/>
      <c r="AD228" s="2820"/>
      <c r="AE228" s="2820" t="s">
        <v>32</v>
      </c>
      <c r="AF228" s="2820" t="s">
        <v>32</v>
      </c>
      <c r="AG228" s="3255"/>
      <c r="AH228" s="181"/>
      <c r="AI228" s="182"/>
    </row>
    <row r="229" spans="1:35" ht="22.35" customHeight="1">
      <c r="A229" s="3256"/>
      <c r="B229" s="2824" t="s">
        <v>294</v>
      </c>
      <c r="C229" s="2820" t="s">
        <v>32</v>
      </c>
      <c r="D229" s="2820" t="s">
        <v>32</v>
      </c>
      <c r="E229" s="2820" t="s">
        <v>32</v>
      </c>
      <c r="F229" s="2820" t="s">
        <v>32</v>
      </c>
      <c r="G229" s="2820" t="s">
        <v>32</v>
      </c>
      <c r="H229" s="2820"/>
      <c r="I229" s="2820"/>
      <c r="J229" s="2820" t="s">
        <v>32</v>
      </c>
      <c r="K229" s="2820" t="s">
        <v>32</v>
      </c>
      <c r="L229" s="2820" t="s">
        <v>32</v>
      </c>
      <c r="M229" s="2820" t="s">
        <v>32</v>
      </c>
      <c r="N229" s="2826" t="s">
        <v>32</v>
      </c>
      <c r="O229" s="2826"/>
      <c r="P229" s="2826"/>
      <c r="Q229" s="2825" t="s">
        <v>32</v>
      </c>
      <c r="R229" s="2826" t="s">
        <v>32</v>
      </c>
      <c r="S229" s="2820" t="s">
        <v>32</v>
      </c>
      <c r="T229" s="2820" t="s">
        <v>32</v>
      </c>
      <c r="U229" s="2826" t="s">
        <v>32</v>
      </c>
      <c r="V229" s="2826"/>
      <c r="W229" s="2826"/>
      <c r="X229" s="2820" t="s">
        <v>32</v>
      </c>
      <c r="Y229" s="2826" t="s">
        <v>32</v>
      </c>
      <c r="Z229" s="2820" t="s">
        <v>32</v>
      </c>
      <c r="AA229" s="2820" t="s">
        <v>32</v>
      </c>
      <c r="AB229" s="2820" t="s">
        <v>32</v>
      </c>
      <c r="AC229" s="2820"/>
      <c r="AD229" s="2820"/>
      <c r="AE229" s="2820" t="s">
        <v>32</v>
      </c>
      <c r="AF229" s="2820" t="s">
        <v>32</v>
      </c>
      <c r="AG229" s="3255"/>
      <c r="AH229" s="181"/>
      <c r="AI229" s="182"/>
    </row>
    <row r="230" spans="1:35" ht="22.35" customHeight="1">
      <c r="A230" s="3256"/>
      <c r="B230" s="2824" t="s">
        <v>295</v>
      </c>
      <c r="C230" s="2820" t="s">
        <v>32</v>
      </c>
      <c r="D230" s="2820" t="s">
        <v>32</v>
      </c>
      <c r="E230" s="2820" t="s">
        <v>32</v>
      </c>
      <c r="F230" s="2820" t="s">
        <v>32</v>
      </c>
      <c r="G230" s="2820" t="s">
        <v>32</v>
      </c>
      <c r="H230" s="2820"/>
      <c r="I230" s="2820"/>
      <c r="J230" s="2820" t="s">
        <v>32</v>
      </c>
      <c r="K230" s="2820" t="s">
        <v>32</v>
      </c>
      <c r="L230" s="2820" t="s">
        <v>32</v>
      </c>
      <c r="M230" s="2820" t="s">
        <v>32</v>
      </c>
      <c r="N230" s="2826" t="s">
        <v>32</v>
      </c>
      <c r="O230" s="2826"/>
      <c r="P230" s="2826"/>
      <c r="Q230" s="2825" t="s">
        <v>32</v>
      </c>
      <c r="R230" s="2826" t="s">
        <v>32</v>
      </c>
      <c r="S230" s="2820" t="s">
        <v>32</v>
      </c>
      <c r="T230" s="2820" t="s">
        <v>32</v>
      </c>
      <c r="U230" s="2826" t="s">
        <v>32</v>
      </c>
      <c r="V230" s="2826"/>
      <c r="W230" s="2826"/>
      <c r="X230" s="2820" t="s">
        <v>32</v>
      </c>
      <c r="Y230" s="2826" t="s">
        <v>32</v>
      </c>
      <c r="Z230" s="2820" t="s">
        <v>32</v>
      </c>
      <c r="AA230" s="2820" t="s">
        <v>32</v>
      </c>
      <c r="AB230" s="2820" t="s">
        <v>32</v>
      </c>
      <c r="AC230" s="2820"/>
      <c r="AD230" s="2820"/>
      <c r="AE230" s="2820" t="s">
        <v>32</v>
      </c>
      <c r="AF230" s="2826" t="s">
        <v>32</v>
      </c>
      <c r="AG230" s="3262"/>
      <c r="AH230" s="181"/>
      <c r="AI230" s="182"/>
    </row>
    <row r="231" spans="1:35" ht="22.35" customHeight="1">
      <c r="A231" s="3256"/>
      <c r="B231" s="2824" t="s">
        <v>296</v>
      </c>
      <c r="C231" s="2820" t="s">
        <v>32</v>
      </c>
      <c r="D231" s="2820" t="s">
        <v>32</v>
      </c>
      <c r="E231" s="2820" t="s">
        <v>32</v>
      </c>
      <c r="F231" s="2820" t="s">
        <v>32</v>
      </c>
      <c r="G231" s="3259" t="s">
        <v>32</v>
      </c>
      <c r="H231" s="2820"/>
      <c r="I231" s="2820"/>
      <c r="J231" s="2820" t="s">
        <v>32</v>
      </c>
      <c r="K231" s="2820" t="s">
        <v>32</v>
      </c>
      <c r="L231" s="2820" t="s">
        <v>32</v>
      </c>
      <c r="M231" s="2820" t="s">
        <v>32</v>
      </c>
      <c r="N231" s="2826" t="s">
        <v>32</v>
      </c>
      <c r="O231" s="2826"/>
      <c r="P231" s="2826"/>
      <c r="Q231" s="2825" t="s">
        <v>32</v>
      </c>
      <c r="R231" s="2826" t="s">
        <v>32</v>
      </c>
      <c r="S231" s="2820" t="s">
        <v>32</v>
      </c>
      <c r="T231" s="2820" t="s">
        <v>32</v>
      </c>
      <c r="U231" s="2826" t="s">
        <v>32</v>
      </c>
      <c r="V231" s="2826"/>
      <c r="W231" s="2826"/>
      <c r="X231" s="2820" t="s">
        <v>32</v>
      </c>
      <c r="Y231" s="2826" t="s">
        <v>32</v>
      </c>
      <c r="Z231" s="2820" t="s">
        <v>32</v>
      </c>
      <c r="AA231" s="2820" t="s">
        <v>32</v>
      </c>
      <c r="AB231" s="2820" t="s">
        <v>32</v>
      </c>
      <c r="AC231" s="2820"/>
      <c r="AD231" s="2825"/>
      <c r="AE231" s="2825" t="s">
        <v>32</v>
      </c>
      <c r="AF231" s="2825" t="s">
        <v>32</v>
      </c>
      <c r="AG231" s="3255"/>
      <c r="AH231" s="178"/>
      <c r="AI231" s="107"/>
    </row>
    <row r="232" spans="1:35" ht="22.35" customHeight="1">
      <c r="A232" s="3256"/>
      <c r="B232" s="2824" t="s">
        <v>297</v>
      </c>
      <c r="C232" s="2820" t="s">
        <v>32</v>
      </c>
      <c r="D232" s="2629" t="s">
        <v>32</v>
      </c>
      <c r="E232" s="2629" t="s">
        <v>32</v>
      </c>
      <c r="F232" s="2629" t="s">
        <v>32</v>
      </c>
      <c r="G232" s="2629" t="s">
        <v>278</v>
      </c>
      <c r="H232" s="2820"/>
      <c r="I232" s="2820"/>
      <c r="J232" s="2820" t="s">
        <v>32</v>
      </c>
      <c r="K232" s="2820" t="s">
        <v>32</v>
      </c>
      <c r="L232" s="2820" t="s">
        <v>32</v>
      </c>
      <c r="M232" s="2820" t="s">
        <v>32</v>
      </c>
      <c r="N232" s="2826" t="s">
        <v>32</v>
      </c>
      <c r="O232" s="2826"/>
      <c r="P232" s="2826"/>
      <c r="Q232" s="2825" t="s">
        <v>32</v>
      </c>
      <c r="R232" s="2629" t="s">
        <v>278</v>
      </c>
      <c r="S232" s="2696" t="s">
        <v>32</v>
      </c>
      <c r="T232" s="2696" t="s">
        <v>32</v>
      </c>
      <c r="U232" s="2696" t="s">
        <v>32</v>
      </c>
      <c r="V232" s="2826"/>
      <c r="W232" s="2826"/>
      <c r="X232" s="2820" t="s">
        <v>32</v>
      </c>
      <c r="Y232" s="2826" t="s">
        <v>32</v>
      </c>
      <c r="Z232" s="2820" t="s">
        <v>32</v>
      </c>
      <c r="AA232" s="2820" t="s">
        <v>32</v>
      </c>
      <c r="AB232" s="2820" t="s">
        <v>32</v>
      </c>
      <c r="AC232" s="2820"/>
      <c r="AD232" s="2825"/>
      <c r="AE232" s="2825" t="s">
        <v>32</v>
      </c>
      <c r="AF232" s="2825" t="s">
        <v>32</v>
      </c>
      <c r="AG232" s="3255"/>
      <c r="AH232" s="178"/>
      <c r="AI232" s="107"/>
    </row>
    <row r="233" spans="1:35" ht="22.35" customHeight="1">
      <c r="A233" s="2915"/>
      <c r="B233" s="3265"/>
      <c r="C233" s="2820"/>
      <c r="D233" s="2820"/>
      <c r="E233" s="2820"/>
      <c r="F233" s="2820"/>
      <c r="G233" s="2820"/>
      <c r="H233" s="2820"/>
      <c r="I233" s="2820"/>
      <c r="J233" s="2820"/>
      <c r="K233" s="2820"/>
      <c r="L233" s="2820"/>
      <c r="M233" s="2820"/>
      <c r="N233" s="2820"/>
      <c r="O233" s="2820"/>
      <c r="P233" s="2820"/>
      <c r="Q233" s="2820"/>
      <c r="R233" s="2820"/>
      <c r="S233" s="2820"/>
      <c r="T233" s="2820"/>
      <c r="U233" s="2820"/>
      <c r="V233" s="2820"/>
      <c r="W233" s="2820"/>
      <c r="X233" s="2820"/>
      <c r="Y233" s="2820"/>
      <c r="Z233" s="2820"/>
      <c r="AA233" s="2820"/>
      <c r="AB233" s="2820"/>
      <c r="AC233" s="2820"/>
      <c r="AD233" s="2820"/>
      <c r="AE233" s="2820"/>
      <c r="AF233" s="2820"/>
      <c r="AG233" s="3255"/>
      <c r="AH233" s="178"/>
      <c r="AI233" s="107"/>
    </row>
    <row r="234" spans="1:35" ht="22.35" customHeight="1">
      <c r="A234" s="2915"/>
      <c r="B234" s="3265" t="s">
        <v>419</v>
      </c>
      <c r="C234" s="2820"/>
      <c r="D234" s="2820"/>
      <c r="E234" s="2820"/>
      <c r="F234" s="2820"/>
      <c r="G234" s="2820"/>
      <c r="H234" s="2820"/>
      <c r="I234" s="2820"/>
      <c r="J234" s="2820"/>
      <c r="K234" s="2820"/>
      <c r="L234" s="2820"/>
      <c r="M234" s="2820"/>
      <c r="N234" s="2826"/>
      <c r="O234" s="2826"/>
      <c r="P234" s="2826"/>
      <c r="Q234" s="2825"/>
      <c r="R234" s="2826"/>
      <c r="S234" s="2820"/>
      <c r="T234" s="2820"/>
      <c r="U234" s="2826"/>
      <c r="V234" s="2826"/>
      <c r="W234" s="2826"/>
      <c r="X234" s="2820"/>
      <c r="Y234" s="2826"/>
      <c r="Z234" s="2820"/>
      <c r="AA234" s="2820"/>
      <c r="AB234" s="2820"/>
      <c r="AC234" s="2820"/>
      <c r="AD234" s="2820"/>
      <c r="AE234" s="2820"/>
      <c r="AF234" s="2826"/>
      <c r="AG234" s="3266"/>
      <c r="AH234" s="178"/>
      <c r="AI234" s="107"/>
    </row>
    <row r="235" spans="1:35" ht="22.35" customHeight="1">
      <c r="A235" s="2915"/>
      <c r="B235" s="2824" t="s">
        <v>389</v>
      </c>
      <c r="C235" s="3261" t="s">
        <v>32</v>
      </c>
      <c r="D235" s="3261" t="s">
        <v>32</v>
      </c>
      <c r="E235" s="2629" t="s">
        <v>32</v>
      </c>
      <c r="F235" s="2629" t="s">
        <v>32</v>
      </c>
      <c r="G235" s="2629" t="s">
        <v>32</v>
      </c>
      <c r="H235" s="2820"/>
      <c r="I235" s="2820"/>
      <c r="J235" s="2820" t="s">
        <v>32</v>
      </c>
      <c r="K235" s="2820" t="s">
        <v>32</v>
      </c>
      <c r="L235" s="2820" t="s">
        <v>32</v>
      </c>
      <c r="M235" s="2820" t="s">
        <v>32</v>
      </c>
      <c r="N235" s="2826" t="s">
        <v>32</v>
      </c>
      <c r="O235" s="2826"/>
      <c r="P235" s="2826"/>
      <c r="Q235" s="2825" t="s">
        <v>32</v>
      </c>
      <c r="R235" s="2826" t="s">
        <v>32</v>
      </c>
      <c r="S235" s="2820" t="s">
        <v>32</v>
      </c>
      <c r="T235" s="2820" t="s">
        <v>32</v>
      </c>
      <c r="U235" s="2826" t="s">
        <v>32</v>
      </c>
      <c r="V235" s="2826"/>
      <c r="W235" s="2826"/>
      <c r="X235" s="2820" t="s">
        <v>32</v>
      </c>
      <c r="Y235" s="2826" t="s">
        <v>32</v>
      </c>
      <c r="Z235" s="2820" t="s">
        <v>32</v>
      </c>
      <c r="AA235" s="2820" t="s">
        <v>32</v>
      </c>
      <c r="AB235" s="2820" t="s">
        <v>32</v>
      </c>
      <c r="AC235" s="2820"/>
      <c r="AD235" s="2825"/>
      <c r="AE235" s="2825" t="s">
        <v>32</v>
      </c>
      <c r="AF235" s="2825" t="s">
        <v>32</v>
      </c>
      <c r="AG235" s="3255"/>
      <c r="AH235" s="178"/>
      <c r="AI235" s="107"/>
    </row>
    <row r="236" spans="1:35" ht="22.35" customHeight="1">
      <c r="A236" s="2915"/>
      <c r="B236" s="2797" t="s">
        <v>420</v>
      </c>
      <c r="C236" s="2820" t="s">
        <v>32</v>
      </c>
      <c r="D236" s="2820" t="s">
        <v>32</v>
      </c>
      <c r="E236" s="2820" t="s">
        <v>32</v>
      </c>
      <c r="F236" s="2820" t="s">
        <v>32</v>
      </c>
      <c r="G236" s="2820" t="s">
        <v>32</v>
      </c>
      <c r="H236" s="2820"/>
      <c r="I236" s="2820"/>
      <c r="J236" s="3261" t="s">
        <v>32</v>
      </c>
      <c r="K236" s="2820" t="s">
        <v>32</v>
      </c>
      <c r="L236" s="2820" t="s">
        <v>32</v>
      </c>
      <c r="M236" s="2820" t="s">
        <v>32</v>
      </c>
      <c r="N236" s="2826" t="s">
        <v>32</v>
      </c>
      <c r="O236" s="2826"/>
      <c r="P236" s="2826"/>
      <c r="Q236" s="2825" t="s">
        <v>32</v>
      </c>
      <c r="R236" s="2826" t="s">
        <v>32</v>
      </c>
      <c r="S236" s="2820" t="s">
        <v>32</v>
      </c>
      <c r="T236" s="2820" t="s">
        <v>32</v>
      </c>
      <c r="U236" s="2826" t="s">
        <v>32</v>
      </c>
      <c r="V236" s="2826"/>
      <c r="W236" s="2826"/>
      <c r="X236" s="2820" t="s">
        <v>32</v>
      </c>
      <c r="Y236" s="2826" t="s">
        <v>32</v>
      </c>
      <c r="Z236" s="2820" t="s">
        <v>32</v>
      </c>
      <c r="AA236" s="2820" t="s">
        <v>32</v>
      </c>
      <c r="AB236" s="2820" t="s">
        <v>32</v>
      </c>
      <c r="AC236" s="2820"/>
      <c r="AD236" s="2825"/>
      <c r="AE236" s="2825" t="s">
        <v>32</v>
      </c>
      <c r="AF236" s="2825" t="s">
        <v>32</v>
      </c>
      <c r="AG236" s="3255"/>
      <c r="AH236" s="178"/>
      <c r="AI236" s="107"/>
    </row>
    <row r="237" spans="1:35" ht="22.35" customHeight="1">
      <c r="A237" s="3256"/>
      <c r="B237" s="3267"/>
      <c r="C237" s="2820"/>
      <c r="D237" s="2820"/>
      <c r="E237" s="2820"/>
      <c r="F237" s="2820"/>
      <c r="G237" s="2820"/>
      <c r="H237" s="2820"/>
      <c r="I237" s="2820"/>
      <c r="J237" s="2820"/>
      <c r="K237" s="2820"/>
      <c r="L237" s="2820"/>
      <c r="M237" s="2820"/>
      <c r="N237" s="2820"/>
      <c r="O237" s="2820"/>
      <c r="P237" s="2820"/>
      <c r="Q237" s="2820"/>
      <c r="R237" s="2820"/>
      <c r="S237" s="2820"/>
      <c r="T237" s="2820"/>
      <c r="U237" s="2820"/>
      <c r="V237" s="2820"/>
      <c r="W237" s="2820"/>
      <c r="X237" s="2820"/>
      <c r="Y237" s="2820"/>
      <c r="Z237" s="2820"/>
      <c r="AA237" s="2820"/>
      <c r="AB237" s="2820"/>
      <c r="AC237" s="2820"/>
      <c r="AD237" s="2820"/>
      <c r="AE237" s="2820"/>
      <c r="AF237" s="2820"/>
      <c r="AG237" s="3266"/>
      <c r="AH237" s="178"/>
      <c r="AI237" s="107"/>
    </row>
    <row r="238" spans="1:35" ht="22.35" customHeight="1">
      <c r="A238" s="3256"/>
      <c r="B238" s="3268"/>
      <c r="C238" s="2820"/>
      <c r="D238" s="2820"/>
      <c r="E238" s="2820"/>
      <c r="F238" s="2820"/>
      <c r="G238" s="2820"/>
      <c r="H238" s="2820"/>
      <c r="I238" s="2820"/>
      <c r="J238" s="2820"/>
      <c r="K238" s="2820"/>
      <c r="L238" s="2820"/>
      <c r="M238" s="2820"/>
      <c r="N238" s="2820"/>
      <c r="O238" s="2820"/>
      <c r="P238" s="2820"/>
      <c r="Q238" s="2820"/>
      <c r="R238" s="2820"/>
      <c r="S238" s="2820"/>
      <c r="T238" s="2820"/>
      <c r="U238" s="2820"/>
      <c r="V238" s="2820"/>
      <c r="W238" s="2820"/>
      <c r="X238" s="2820"/>
      <c r="Y238" s="2820"/>
      <c r="Z238" s="2820"/>
      <c r="AA238" s="2820"/>
      <c r="AB238" s="2820"/>
      <c r="AC238" s="2820"/>
      <c r="AD238" s="2820"/>
      <c r="AE238" s="2820"/>
      <c r="AF238" s="2820"/>
      <c r="AG238" s="3266"/>
      <c r="AH238" s="178"/>
      <c r="AI238" s="107"/>
    </row>
    <row r="239" spans="1:35" ht="22.35" customHeight="1">
      <c r="A239" s="108"/>
      <c r="B239" s="122"/>
      <c r="C239" s="106"/>
      <c r="D239" s="106"/>
      <c r="E239" s="106"/>
      <c r="F239" s="106"/>
      <c r="G239" s="106"/>
      <c r="H239" s="106"/>
      <c r="I239" s="106"/>
      <c r="J239" s="106"/>
      <c r="L239" s="106"/>
      <c r="M239" s="106"/>
      <c r="N239" s="106"/>
      <c r="O239" s="106"/>
      <c r="P239" s="72"/>
      <c r="Q239" s="72"/>
      <c r="R239" s="72"/>
      <c r="S239" s="106"/>
      <c r="T239" s="106"/>
      <c r="U239" s="106"/>
      <c r="V239" s="106"/>
      <c r="W239" s="106"/>
      <c r="X239" s="106"/>
      <c r="Y239" s="106"/>
      <c r="Z239" s="106"/>
      <c r="AA239" s="106"/>
      <c r="AB239" s="106"/>
      <c r="AC239" s="106"/>
      <c r="AD239" s="106"/>
      <c r="AE239" s="106"/>
      <c r="AF239" s="106"/>
      <c r="AG239" s="106"/>
      <c r="AH239" s="107"/>
      <c r="AI239" s="107"/>
    </row>
    <row r="243" spans="1:35" ht="21" customHeight="1" thickBot="1">
      <c r="A243" s="161" t="s">
        <v>298</v>
      </c>
    </row>
    <row r="244" spans="1:35" ht="21" customHeight="1">
      <c r="B244" s="396" t="s">
        <v>266</v>
      </c>
      <c r="C244" s="368"/>
      <c r="D244" s="384" t="s">
        <v>94</v>
      </c>
      <c r="E244" s="357"/>
      <c r="F244" s="372"/>
      <c r="G244" s="368"/>
      <c r="H244" s="384" t="s">
        <v>95</v>
      </c>
      <c r="I244" s="357"/>
      <c r="J244" s="372"/>
      <c r="K244" s="368"/>
      <c r="L244" s="384" t="s">
        <v>96</v>
      </c>
      <c r="M244" s="357"/>
      <c r="N244" s="372"/>
      <c r="O244" s="368"/>
      <c r="P244" s="384" t="s">
        <v>97</v>
      </c>
      <c r="Q244" s="357"/>
      <c r="R244" s="372"/>
      <c r="S244" s="368"/>
      <c r="T244" s="384" t="s">
        <v>98</v>
      </c>
      <c r="U244" s="357"/>
      <c r="V244" s="372"/>
      <c r="W244" s="368"/>
      <c r="X244" s="384" t="s">
        <v>99</v>
      </c>
      <c r="Y244" s="357"/>
      <c r="Z244" s="372"/>
      <c r="AA244" s="368"/>
      <c r="AB244" s="384" t="s">
        <v>100</v>
      </c>
      <c r="AC244" s="357"/>
      <c r="AD244" s="357"/>
      <c r="AE244" s="387" t="s">
        <v>101</v>
      </c>
      <c r="AF244" s="357"/>
      <c r="AG244" s="357"/>
      <c r="AH244" s="357"/>
      <c r="AI244" s="358"/>
    </row>
    <row r="245" spans="1:35" ht="21" customHeight="1">
      <c r="B245" s="3"/>
      <c r="C245" s="537" t="s">
        <v>299</v>
      </c>
      <c r="D245" s="117"/>
      <c r="E245" s="533"/>
      <c r="F245" s="534"/>
      <c r="G245" s="537" t="s">
        <v>299</v>
      </c>
      <c r="H245" s="117"/>
      <c r="I245" s="533"/>
      <c r="J245" s="534"/>
      <c r="K245" s="537" t="s">
        <v>299</v>
      </c>
      <c r="L245" s="117"/>
      <c r="M245" s="533"/>
      <c r="N245" s="534"/>
      <c r="O245" s="537" t="s">
        <v>299</v>
      </c>
      <c r="P245" s="532"/>
      <c r="Q245" s="533"/>
      <c r="R245" s="534"/>
      <c r="S245" s="538" t="s">
        <v>300</v>
      </c>
      <c r="T245" s="117"/>
      <c r="U245" s="533"/>
      <c r="V245" s="534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A246" s="110"/>
      <c r="B246" s="3269"/>
      <c r="C246" s="3189" t="s">
        <v>178</v>
      </c>
      <c r="D246" s="3270"/>
      <c r="E246" s="533"/>
      <c r="F246" s="534"/>
      <c r="G246" s="3189" t="s">
        <v>178</v>
      </c>
      <c r="H246" s="117"/>
      <c r="I246" s="533"/>
      <c r="J246" s="534"/>
      <c r="K246" s="3189" t="s">
        <v>178</v>
      </c>
      <c r="L246" s="117"/>
      <c r="M246" s="533"/>
      <c r="N246" s="534"/>
      <c r="O246" s="3189" t="s">
        <v>178</v>
      </c>
      <c r="P246" s="117"/>
      <c r="Q246" s="533"/>
      <c r="R246" s="534"/>
      <c r="S246" s="537" t="s">
        <v>301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3269"/>
      <c r="C247" s="3189" t="s">
        <v>181</v>
      </c>
      <c r="D247" s="3270"/>
      <c r="E247" s="533"/>
      <c r="F247" s="534"/>
      <c r="G247" s="3189" t="s">
        <v>181</v>
      </c>
      <c r="H247" s="117"/>
      <c r="I247" s="533"/>
      <c r="J247" s="534"/>
      <c r="K247" s="3189" t="s">
        <v>181</v>
      </c>
      <c r="L247" s="117"/>
      <c r="M247" s="533"/>
      <c r="N247" s="534"/>
      <c r="O247" s="3189" t="s">
        <v>181</v>
      </c>
      <c r="P247" s="117"/>
      <c r="Q247" s="533"/>
      <c r="R247" s="534"/>
      <c r="S247" s="3189" t="s">
        <v>176</v>
      </c>
      <c r="T247" s="117"/>
      <c r="U247" s="533"/>
      <c r="V247" s="534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3269"/>
      <c r="C248" s="2898"/>
      <c r="D248" s="2899"/>
      <c r="E248" s="165"/>
      <c r="F248" s="167"/>
      <c r="G248" s="2898"/>
      <c r="H248" s="2899"/>
      <c r="I248" s="165"/>
      <c r="J248" s="167"/>
      <c r="K248" s="2898"/>
      <c r="L248" s="2899"/>
      <c r="M248" s="165"/>
      <c r="N248" s="167"/>
      <c r="O248" s="2898"/>
      <c r="P248" s="2899"/>
      <c r="Q248" s="165"/>
      <c r="R248" s="167"/>
      <c r="S248" s="2898"/>
      <c r="T248" s="2899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B249" s="3269"/>
      <c r="C249" s="3149"/>
      <c r="D249" s="2899"/>
      <c r="E249" s="165"/>
      <c r="F249" s="167"/>
      <c r="G249" s="117"/>
      <c r="H249" s="117"/>
      <c r="I249" s="165"/>
      <c r="J249" s="167"/>
      <c r="K249" s="117"/>
      <c r="L249" s="117"/>
      <c r="M249" s="165"/>
      <c r="N249" s="167"/>
      <c r="O249" s="117"/>
      <c r="P249" s="117"/>
      <c r="Q249" s="165"/>
      <c r="R249" s="167"/>
      <c r="S249" s="117"/>
      <c r="T249" s="117"/>
      <c r="U249" s="165"/>
      <c r="V249" s="167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>
      <c r="B250" s="3269" t="s">
        <v>148</v>
      </c>
      <c r="C250" s="3149" t="s">
        <v>302</v>
      </c>
      <c r="D250" s="3270"/>
      <c r="E250" s="533"/>
      <c r="F250" s="534"/>
      <c r="G250" s="3149" t="s">
        <v>302</v>
      </c>
      <c r="H250" s="3270"/>
      <c r="I250" s="533"/>
      <c r="J250" s="534"/>
      <c r="K250" s="3149" t="s">
        <v>302</v>
      </c>
      <c r="L250" s="3270"/>
      <c r="M250" s="533"/>
      <c r="N250" s="534"/>
      <c r="O250" s="3149" t="s">
        <v>302</v>
      </c>
      <c r="P250" s="3270"/>
      <c r="Q250" s="533"/>
      <c r="R250" s="534"/>
      <c r="S250" s="117" t="s">
        <v>303</v>
      </c>
      <c r="T250" s="117"/>
      <c r="U250" s="533"/>
      <c r="V250" s="534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>
      <c r="B251" s="3269" t="s">
        <v>152</v>
      </c>
      <c r="C251" s="3149" t="s">
        <v>304</v>
      </c>
      <c r="D251" s="3270"/>
      <c r="E251" s="533"/>
      <c r="F251" s="534"/>
      <c r="G251" s="3149" t="s">
        <v>304</v>
      </c>
      <c r="H251" s="3270"/>
      <c r="I251" s="533"/>
      <c r="J251" s="534"/>
      <c r="K251" s="3149" t="s">
        <v>304</v>
      </c>
      <c r="L251" s="3270"/>
      <c r="M251" s="533"/>
      <c r="N251" s="534"/>
      <c r="O251" s="3149" t="s">
        <v>304</v>
      </c>
      <c r="P251" s="3270"/>
      <c r="Q251" s="533"/>
      <c r="R251" s="534"/>
      <c r="S251" s="117" t="s">
        <v>305</v>
      </c>
      <c r="T251" s="117"/>
      <c r="U251" s="533"/>
      <c r="V251" s="534"/>
      <c r="W251" s="156"/>
      <c r="X251" s="117"/>
      <c r="Y251" s="165"/>
      <c r="Z251" s="167"/>
      <c r="AA251" s="156"/>
      <c r="AB251" s="117"/>
      <c r="AC251" s="165"/>
      <c r="AD251" s="165"/>
      <c r="AE251" s="118"/>
      <c r="AF251" s="165"/>
      <c r="AG251" s="14"/>
      <c r="AH251" s="14"/>
      <c r="AI251" s="119"/>
    </row>
    <row r="252" spans="1:35" ht="21" customHeight="1" thickBot="1">
      <c r="B252" s="3271" t="s">
        <v>159</v>
      </c>
      <c r="C252" s="3162" t="s">
        <v>306</v>
      </c>
      <c r="D252" s="3272"/>
      <c r="E252" s="535"/>
      <c r="F252" s="536"/>
      <c r="G252" s="3162" t="s">
        <v>306</v>
      </c>
      <c r="H252" s="3272"/>
      <c r="I252" s="535"/>
      <c r="J252" s="536"/>
      <c r="K252" s="3162" t="s">
        <v>306</v>
      </c>
      <c r="L252" s="3272"/>
      <c r="M252" s="535"/>
      <c r="N252" s="536"/>
      <c r="O252" s="3162" t="s">
        <v>306</v>
      </c>
      <c r="P252" s="3272"/>
      <c r="Q252" s="535"/>
      <c r="R252" s="536"/>
      <c r="S252" s="456" t="s">
        <v>307</v>
      </c>
      <c r="T252" s="456"/>
      <c r="U252" s="535"/>
      <c r="V252" s="536"/>
      <c r="W252" s="517"/>
      <c r="X252" s="456"/>
      <c r="Y252" s="518"/>
      <c r="Z252" s="519"/>
      <c r="AA252" s="520"/>
      <c r="AB252" s="456"/>
      <c r="AC252" s="518"/>
      <c r="AD252" s="518"/>
      <c r="AE252" s="521"/>
      <c r="AF252" s="518"/>
      <c r="AG252" s="516"/>
      <c r="AH252" s="516"/>
      <c r="AI252" s="453"/>
    </row>
    <row r="253" spans="1:35" ht="21" customHeight="1">
      <c r="B253" s="59"/>
      <c r="C253" s="64"/>
      <c r="D253" s="18"/>
      <c r="G253" s="64"/>
      <c r="H253" s="18"/>
      <c r="K253" s="64"/>
      <c r="L253" s="18"/>
      <c r="O253" s="64"/>
      <c r="P253" s="18"/>
      <c r="S253" s="64"/>
      <c r="T253" s="64"/>
      <c r="X253" s="64"/>
      <c r="AB253" s="64"/>
      <c r="AE253" s="64"/>
    </row>
    <row r="254" spans="1:35" ht="21" customHeight="1">
      <c r="A254" s="123" t="s">
        <v>308</v>
      </c>
    </row>
    <row r="255" spans="1:35" ht="21" customHeight="1" thickBot="1">
      <c r="A255" s="3120"/>
      <c r="B255" s="2787" t="s">
        <v>29</v>
      </c>
      <c r="C255" s="2788">
        <v>1</v>
      </c>
      <c r="D255" s="2788">
        <v>2</v>
      </c>
      <c r="E255" s="2788">
        <v>3</v>
      </c>
      <c r="F255" s="2788">
        <v>4</v>
      </c>
      <c r="G255" s="2788">
        <v>5</v>
      </c>
      <c r="H255" s="2789">
        <v>6</v>
      </c>
      <c r="I255" s="2789">
        <v>7</v>
      </c>
      <c r="J255" s="2788">
        <v>8</v>
      </c>
      <c r="K255" s="2788">
        <v>9</v>
      </c>
      <c r="L255" s="2788">
        <v>10</v>
      </c>
      <c r="M255" s="2788">
        <v>11</v>
      </c>
      <c r="N255" s="2788">
        <v>12</v>
      </c>
      <c r="O255" s="2789">
        <v>13</v>
      </c>
      <c r="P255" s="2789">
        <v>14</v>
      </c>
      <c r="Q255" s="2788">
        <v>15</v>
      </c>
      <c r="R255" s="2788">
        <v>16</v>
      </c>
      <c r="S255" s="2788">
        <v>17</v>
      </c>
      <c r="T255" s="2788">
        <v>18</v>
      </c>
      <c r="U255" s="2788">
        <v>19</v>
      </c>
      <c r="V255" s="2789">
        <v>20</v>
      </c>
      <c r="W255" s="2789">
        <v>21</v>
      </c>
      <c r="X255" s="2788">
        <v>22</v>
      </c>
      <c r="Y255" s="2788">
        <v>23</v>
      </c>
      <c r="Z255" s="2788">
        <v>24</v>
      </c>
      <c r="AA255" s="2788">
        <v>25</v>
      </c>
      <c r="AB255" s="2788">
        <v>26</v>
      </c>
      <c r="AC255" s="2789">
        <v>27</v>
      </c>
      <c r="AD255" s="2789">
        <v>28</v>
      </c>
      <c r="AE255" s="2788">
        <v>29</v>
      </c>
      <c r="AF255" s="2788">
        <v>30</v>
      </c>
      <c r="AG255" s="2790"/>
      <c r="AH255" s="176"/>
      <c r="AI255" s="177"/>
    </row>
    <row r="256" spans="1:35" ht="21" customHeight="1">
      <c r="A256" s="3273">
        <v>3702</v>
      </c>
      <c r="B256" s="175" t="s">
        <v>309</v>
      </c>
      <c r="C256" s="2820" t="s">
        <v>32</v>
      </c>
      <c r="D256" s="2820" t="s">
        <v>32</v>
      </c>
      <c r="E256" s="2820" t="s">
        <v>32</v>
      </c>
      <c r="F256" s="2820" t="s">
        <v>32</v>
      </c>
      <c r="G256" s="2820" t="s">
        <v>32</v>
      </c>
      <c r="H256" s="2820"/>
      <c r="I256" s="2820"/>
      <c r="J256" s="2820" t="s">
        <v>32</v>
      </c>
      <c r="K256" s="2820" t="s">
        <v>32</v>
      </c>
      <c r="L256" s="2820" t="s">
        <v>32</v>
      </c>
      <c r="M256" s="2820" t="s">
        <v>32</v>
      </c>
      <c r="N256" s="2826" t="s">
        <v>32</v>
      </c>
      <c r="O256" s="2826"/>
      <c r="P256" s="2826"/>
      <c r="Q256" s="2825" t="s">
        <v>32</v>
      </c>
      <c r="R256" s="2826" t="s">
        <v>32</v>
      </c>
      <c r="S256" s="2820" t="s">
        <v>32</v>
      </c>
      <c r="T256" s="2820" t="s">
        <v>32</v>
      </c>
      <c r="U256" s="2826" t="s">
        <v>32</v>
      </c>
      <c r="V256" s="2826"/>
      <c r="W256" s="2826"/>
      <c r="X256" s="2820" t="s">
        <v>32</v>
      </c>
      <c r="Y256" s="2826" t="s">
        <v>32</v>
      </c>
      <c r="Z256" s="2820" t="s">
        <v>32</v>
      </c>
      <c r="AA256" s="2820" t="s">
        <v>32</v>
      </c>
      <c r="AB256" s="2820" t="s">
        <v>32</v>
      </c>
      <c r="AC256" s="2820"/>
      <c r="AD256" s="2820"/>
      <c r="AE256" s="2820" t="s">
        <v>32</v>
      </c>
      <c r="AF256" s="2820" t="s">
        <v>32</v>
      </c>
      <c r="AG256" s="362"/>
      <c r="AH256" s="181"/>
      <c r="AI256" s="182"/>
    </row>
    <row r="257" spans="1:35" ht="21" customHeight="1">
      <c r="A257" s="2796"/>
      <c r="B257" s="3135" t="s">
        <v>310</v>
      </c>
      <c r="C257" s="2820" t="s">
        <v>32</v>
      </c>
      <c r="D257" s="2820" t="s">
        <v>32</v>
      </c>
      <c r="E257" s="2820" t="s">
        <v>32</v>
      </c>
      <c r="F257" s="2820" t="s">
        <v>32</v>
      </c>
      <c r="G257" s="2820" t="s">
        <v>32</v>
      </c>
      <c r="H257" s="2820"/>
      <c r="I257" s="2820"/>
      <c r="J257" s="2820" t="s">
        <v>32</v>
      </c>
      <c r="K257" s="2820" t="s">
        <v>32</v>
      </c>
      <c r="L257" s="2820" t="s">
        <v>32</v>
      </c>
      <c r="M257" s="2820" t="s">
        <v>32</v>
      </c>
      <c r="N257" s="2826" t="s">
        <v>32</v>
      </c>
      <c r="O257" s="2826"/>
      <c r="P257" s="2826"/>
      <c r="Q257" s="2825" t="s">
        <v>32</v>
      </c>
      <c r="R257" s="2826" t="s">
        <v>32</v>
      </c>
      <c r="S257" s="2820" t="s">
        <v>32</v>
      </c>
      <c r="T257" s="2820" t="s">
        <v>32</v>
      </c>
      <c r="U257" s="2826" t="s">
        <v>32</v>
      </c>
      <c r="V257" s="2826"/>
      <c r="W257" s="2826"/>
      <c r="X257" s="2820" t="s">
        <v>32</v>
      </c>
      <c r="Y257" s="2826" t="s">
        <v>32</v>
      </c>
      <c r="Z257" s="2820" t="s">
        <v>32</v>
      </c>
      <c r="AA257" s="2820" t="s">
        <v>32</v>
      </c>
      <c r="AB257" s="2820" t="s">
        <v>32</v>
      </c>
      <c r="AC257" s="2820"/>
      <c r="AD257" s="2820"/>
      <c r="AE257" s="2820" t="s">
        <v>32</v>
      </c>
      <c r="AF257" s="2820" t="s">
        <v>32</v>
      </c>
      <c r="AG257" s="2873"/>
      <c r="AH257" s="181"/>
      <c r="AI257" s="182"/>
    </row>
    <row r="258" spans="1:35" ht="21" customHeight="1">
      <c r="A258" s="3274"/>
      <c r="B258" s="3135" t="s">
        <v>311</v>
      </c>
      <c r="C258" s="2820" t="s">
        <v>32</v>
      </c>
      <c r="D258" s="2820" t="s">
        <v>32</v>
      </c>
      <c r="E258" s="2820" t="s">
        <v>32</v>
      </c>
      <c r="F258" s="2820" t="s">
        <v>32</v>
      </c>
      <c r="G258" s="2820" t="s">
        <v>32</v>
      </c>
      <c r="H258" s="2820"/>
      <c r="I258" s="2820"/>
      <c r="J258" s="2820" t="s">
        <v>32</v>
      </c>
      <c r="K258" s="2820" t="s">
        <v>32</v>
      </c>
      <c r="L258" s="2820" t="s">
        <v>32</v>
      </c>
      <c r="M258" s="2820" t="s">
        <v>32</v>
      </c>
      <c r="N258" s="2826" t="s">
        <v>32</v>
      </c>
      <c r="O258" s="2826"/>
      <c r="P258" s="2826"/>
      <c r="Q258" s="2825" t="s">
        <v>32</v>
      </c>
      <c r="R258" s="2826" t="s">
        <v>32</v>
      </c>
      <c r="S258" s="2629" t="s">
        <v>32</v>
      </c>
      <c r="T258" s="2629" t="s">
        <v>278</v>
      </c>
      <c r="U258" s="2696" t="s">
        <v>32</v>
      </c>
      <c r="V258" s="2696"/>
      <c r="W258" s="2696"/>
      <c r="X258" s="2820" t="s">
        <v>32</v>
      </c>
      <c r="Y258" s="2826" t="s">
        <v>32</v>
      </c>
      <c r="Z258" s="2820" t="s">
        <v>32</v>
      </c>
      <c r="AA258" s="2820" t="s">
        <v>32</v>
      </c>
      <c r="AB258" s="2820" t="s">
        <v>32</v>
      </c>
      <c r="AC258" s="2820"/>
      <c r="AD258" s="2825"/>
      <c r="AE258" s="2825" t="s">
        <v>32</v>
      </c>
      <c r="AF258" s="2826" t="s">
        <v>32</v>
      </c>
      <c r="AG258" s="2873"/>
      <c r="AH258" s="181"/>
      <c r="AI258" s="182"/>
    </row>
    <row r="259" spans="1:35" ht="21" customHeight="1" thickBot="1">
      <c r="A259" s="3275"/>
      <c r="B259" s="3276"/>
      <c r="C259" s="2788"/>
      <c r="D259" s="2788"/>
      <c r="E259" s="2788"/>
      <c r="F259" s="2788"/>
      <c r="G259" s="2788"/>
      <c r="H259" s="2788"/>
      <c r="I259" s="2788"/>
      <c r="J259" s="2788"/>
      <c r="K259" s="2788"/>
      <c r="L259" s="2788"/>
      <c r="M259" s="2788"/>
      <c r="N259" s="2788"/>
      <c r="O259" s="2788"/>
      <c r="P259" s="2788"/>
      <c r="Q259" s="2788"/>
      <c r="R259" s="2788"/>
      <c r="S259" s="2788"/>
      <c r="T259" s="2788"/>
      <c r="U259" s="2788"/>
      <c r="V259" s="2788"/>
      <c r="W259" s="2788"/>
      <c r="X259" s="2788"/>
      <c r="Y259" s="2788"/>
      <c r="Z259" s="2788"/>
      <c r="AA259" s="2788"/>
      <c r="AB259" s="2788"/>
      <c r="AC259" s="2788"/>
      <c r="AD259" s="2788"/>
      <c r="AE259" s="2788"/>
      <c r="AF259" s="2788"/>
      <c r="AG259" s="2790"/>
      <c r="AH259" s="181"/>
      <c r="AI259" s="182"/>
    </row>
    <row r="260" spans="1:35" ht="21" customHeight="1">
      <c r="A260" s="226"/>
      <c r="B260" s="743" t="s">
        <v>312</v>
      </c>
      <c r="C260" s="744"/>
      <c r="D260" s="744"/>
      <c r="E260" s="744"/>
      <c r="F260" s="744"/>
      <c r="G260" s="744"/>
      <c r="H260" s="744"/>
      <c r="I260" s="744"/>
      <c r="J260" s="744"/>
      <c r="K260" s="744"/>
      <c r="L260" s="744"/>
      <c r="M260" s="744"/>
      <c r="N260" s="744"/>
      <c r="O260" s="744"/>
      <c r="P260" s="744"/>
      <c r="Q260" s="744"/>
      <c r="R260" s="744"/>
      <c r="S260" s="744"/>
      <c r="T260" s="744"/>
      <c r="U260" s="744"/>
      <c r="V260" s="744"/>
      <c r="W260" s="744"/>
      <c r="X260" s="744"/>
      <c r="Y260" s="744"/>
      <c r="Z260" s="744"/>
      <c r="AA260" s="744"/>
      <c r="AB260" s="744"/>
      <c r="AC260" s="744"/>
      <c r="AD260" s="744"/>
      <c r="AE260" s="744"/>
      <c r="AF260" s="744"/>
      <c r="AG260" s="745"/>
      <c r="AH260" s="179"/>
      <c r="AI260" s="180"/>
    </row>
    <row r="261" spans="1:35" ht="21" customHeight="1">
      <c r="A261" s="3273">
        <v>3702</v>
      </c>
      <c r="B261" s="3277" t="s">
        <v>313</v>
      </c>
      <c r="C261" s="2870" t="s">
        <v>314</v>
      </c>
      <c r="D261" s="2870" t="s">
        <v>314</v>
      </c>
      <c r="E261" s="2870" t="s">
        <v>314</v>
      </c>
      <c r="F261" s="2870" t="s">
        <v>314</v>
      </c>
      <c r="G261" s="2870" t="s">
        <v>314</v>
      </c>
      <c r="H261" s="2870"/>
      <c r="I261" s="2870"/>
      <c r="J261" s="2870" t="s">
        <v>314</v>
      </c>
      <c r="K261" s="2870" t="s">
        <v>314</v>
      </c>
      <c r="L261" s="2870" t="s">
        <v>314</v>
      </c>
      <c r="M261" s="2870" t="s">
        <v>314</v>
      </c>
      <c r="N261" s="2870" t="s">
        <v>314</v>
      </c>
      <c r="O261" s="2870"/>
      <c r="P261" s="2870"/>
      <c r="Q261" s="2870" t="s">
        <v>314</v>
      </c>
      <c r="R261" s="2870" t="s">
        <v>314</v>
      </c>
      <c r="S261" s="2870" t="s">
        <v>314</v>
      </c>
      <c r="T261" s="2870" t="s">
        <v>314</v>
      </c>
      <c r="U261" s="2870" t="s">
        <v>314</v>
      </c>
      <c r="V261" s="2870"/>
      <c r="W261" s="2870"/>
      <c r="X261" s="2870" t="s">
        <v>314</v>
      </c>
      <c r="Y261" s="2801" t="s">
        <v>314</v>
      </c>
      <c r="Z261" s="2801" t="s">
        <v>314</v>
      </c>
      <c r="AA261" s="2870" t="s">
        <v>314</v>
      </c>
      <c r="AB261" s="2870" t="s">
        <v>314</v>
      </c>
      <c r="AC261" s="2870"/>
      <c r="AD261" s="2870"/>
      <c r="AE261" s="2870" t="s">
        <v>314</v>
      </c>
      <c r="AF261" s="2870" t="s">
        <v>314</v>
      </c>
      <c r="AG261" s="3278"/>
      <c r="AH261" s="181"/>
      <c r="AI261" s="182"/>
    </row>
    <row r="262" spans="1:35" ht="21" customHeight="1">
      <c r="A262" s="3273"/>
      <c r="B262" s="3243" t="s">
        <v>316</v>
      </c>
      <c r="C262" s="2870" t="s">
        <v>317</v>
      </c>
      <c r="D262" s="2870" t="s">
        <v>317</v>
      </c>
      <c r="E262" s="2870" t="s">
        <v>317</v>
      </c>
      <c r="F262" s="2870" t="s">
        <v>317</v>
      </c>
      <c r="G262" s="2870" t="s">
        <v>317</v>
      </c>
      <c r="H262" s="2870"/>
      <c r="I262" s="2870"/>
      <c r="J262" s="2870" t="s">
        <v>317</v>
      </c>
      <c r="K262" s="2870" t="s">
        <v>317</v>
      </c>
      <c r="L262" s="2870" t="s">
        <v>317</v>
      </c>
      <c r="M262" s="2870" t="s">
        <v>317</v>
      </c>
      <c r="N262" s="2870" t="s">
        <v>317</v>
      </c>
      <c r="O262" s="2870"/>
      <c r="P262" s="2870"/>
      <c r="Q262" s="2801" t="s">
        <v>317</v>
      </c>
      <c r="R262" s="2801" t="s">
        <v>317</v>
      </c>
      <c r="S262" s="2801" t="s">
        <v>317</v>
      </c>
      <c r="T262" s="2870" t="s">
        <v>317</v>
      </c>
      <c r="U262" s="2870" t="s">
        <v>317</v>
      </c>
      <c r="V262" s="2870"/>
      <c r="W262" s="2870"/>
      <c r="X262" s="2870" t="s">
        <v>317</v>
      </c>
      <c r="Y262" s="2870" t="s">
        <v>317</v>
      </c>
      <c r="Z262" s="2870" t="s">
        <v>317</v>
      </c>
      <c r="AA262" s="2870" t="s">
        <v>317</v>
      </c>
      <c r="AB262" s="2870" t="s">
        <v>317</v>
      </c>
      <c r="AC262" s="2870"/>
      <c r="AD262" s="2802"/>
      <c r="AE262" s="2801" t="s">
        <v>317</v>
      </c>
      <c r="AF262" s="2802" t="s">
        <v>317</v>
      </c>
      <c r="AG262" s="3278"/>
      <c r="AH262" s="181"/>
      <c r="AI262" s="182"/>
    </row>
    <row r="263" spans="1:35" ht="21" customHeight="1" thickBot="1">
      <c r="A263" s="3279"/>
      <c r="B263" s="3280" t="s">
        <v>318</v>
      </c>
      <c r="C263" s="2833" t="s">
        <v>319</v>
      </c>
      <c r="D263" s="2833" t="s">
        <v>319</v>
      </c>
      <c r="E263" s="2833" t="s">
        <v>319</v>
      </c>
      <c r="F263" s="2833" t="s">
        <v>319</v>
      </c>
      <c r="G263" s="2833" t="s">
        <v>319</v>
      </c>
      <c r="H263" s="2833"/>
      <c r="I263" s="2833"/>
      <c r="J263" s="2833" t="s">
        <v>319</v>
      </c>
      <c r="K263" s="2833" t="s">
        <v>319</v>
      </c>
      <c r="L263" s="2833" t="s">
        <v>319</v>
      </c>
      <c r="M263" s="2833" t="s">
        <v>319</v>
      </c>
      <c r="N263" s="2833" t="s">
        <v>319</v>
      </c>
      <c r="O263" s="2833"/>
      <c r="P263" s="2833"/>
      <c r="Q263" s="2833" t="s">
        <v>319</v>
      </c>
      <c r="R263" s="2833" t="s">
        <v>319</v>
      </c>
      <c r="S263" s="2833" t="s">
        <v>319</v>
      </c>
      <c r="T263" s="2833" t="s">
        <v>319</v>
      </c>
      <c r="U263" s="3115" t="s">
        <v>319</v>
      </c>
      <c r="V263" s="2833"/>
      <c r="W263" s="2833"/>
      <c r="X263" s="2833" t="s">
        <v>319</v>
      </c>
      <c r="Y263" s="2833" t="s">
        <v>319</v>
      </c>
      <c r="Z263" s="2833" t="s">
        <v>319</v>
      </c>
      <c r="AA263" s="2833" t="s">
        <v>319</v>
      </c>
      <c r="AB263" s="2833" t="s">
        <v>319</v>
      </c>
      <c r="AC263" s="2833"/>
      <c r="AD263" s="2832"/>
      <c r="AE263" s="2832" t="s">
        <v>319</v>
      </c>
      <c r="AF263" s="2832" t="s">
        <v>319</v>
      </c>
      <c r="AG263" s="3281"/>
      <c r="AH263" s="181"/>
      <c r="AI263" s="182"/>
    </row>
    <row r="264" spans="1:35" ht="21" customHeight="1"/>
    <row r="265" spans="1:35" ht="24" customHeight="1"/>
    <row r="266" spans="1:35" ht="25.5" customHeight="1" thickBot="1">
      <c r="A266" s="161" t="s">
        <v>320</v>
      </c>
    </row>
    <row r="267" spans="1:35" ht="21" customHeight="1">
      <c r="A267" s="1"/>
      <c r="B267" s="396" t="s">
        <v>266</v>
      </c>
      <c r="C267" s="368"/>
      <c r="D267" s="384" t="s">
        <v>94</v>
      </c>
      <c r="E267" s="357"/>
      <c r="F267" s="372"/>
      <c r="G267" s="368"/>
      <c r="H267" s="384" t="s">
        <v>95</v>
      </c>
      <c r="I267" s="357"/>
      <c r="J267" s="372"/>
      <c r="K267" s="368"/>
      <c r="L267" s="384" t="s">
        <v>96</v>
      </c>
      <c r="M267" s="357"/>
      <c r="N267" s="372"/>
      <c r="O267" s="368"/>
      <c r="P267" s="384" t="s">
        <v>97</v>
      </c>
      <c r="Q267" s="357"/>
      <c r="R267" s="372"/>
      <c r="S267" s="368"/>
      <c r="T267" s="384" t="s">
        <v>98</v>
      </c>
      <c r="U267" s="357"/>
      <c r="V267" s="372"/>
      <c r="W267" s="368"/>
      <c r="X267" s="384" t="s">
        <v>99</v>
      </c>
      <c r="Y267" s="357"/>
      <c r="Z267" s="372"/>
      <c r="AA267" s="368"/>
      <c r="AB267" s="384" t="s">
        <v>100</v>
      </c>
      <c r="AC267" s="357"/>
      <c r="AD267" s="357"/>
      <c r="AE267" s="387" t="s">
        <v>101</v>
      </c>
      <c r="AF267" s="357"/>
      <c r="AG267" s="357"/>
      <c r="AH267" s="357"/>
      <c r="AI267" s="358"/>
    </row>
    <row r="268" spans="1:35" ht="21" customHeight="1">
      <c r="A268" s="1"/>
      <c r="B268" s="3"/>
      <c r="C268" s="8"/>
      <c r="D268" s="117"/>
      <c r="E268" s="14"/>
      <c r="F268" s="116"/>
      <c r="G268" s="8"/>
      <c r="H268" s="117"/>
      <c r="I268" s="14"/>
      <c r="J268" s="116"/>
      <c r="K268" s="8"/>
      <c r="L268" s="117"/>
      <c r="M268" s="14"/>
      <c r="N268" s="116"/>
      <c r="O268" s="8"/>
      <c r="P268" s="117"/>
      <c r="Q268" s="14"/>
      <c r="R268" s="116"/>
      <c r="S268" s="8"/>
      <c r="T268" s="117"/>
      <c r="U268" s="14"/>
      <c r="V268" s="116"/>
      <c r="W268" s="8"/>
      <c r="X268" s="117"/>
      <c r="Y268" s="14"/>
      <c r="Z268" s="116"/>
      <c r="AA268" s="8"/>
      <c r="AB268" s="117"/>
      <c r="AC268" s="14"/>
      <c r="AD268" s="14"/>
      <c r="AE268" s="118"/>
      <c r="AF268" s="14"/>
      <c r="AG268" s="14"/>
      <c r="AH268" s="14"/>
      <c r="AI268" s="119"/>
    </row>
    <row r="269" spans="1:35" ht="21" customHeight="1">
      <c r="A269" s="110"/>
      <c r="B269" s="3269"/>
      <c r="C269" s="2898"/>
      <c r="D269" s="2770"/>
      <c r="E269" s="2770"/>
      <c r="F269" s="3151"/>
      <c r="G269" s="2898"/>
      <c r="H269" s="2770"/>
      <c r="I269" s="2770"/>
      <c r="J269" s="3151"/>
      <c r="K269" s="2898"/>
      <c r="L269" s="2770"/>
      <c r="M269" s="2770"/>
      <c r="N269" s="3151"/>
      <c r="O269" s="2898"/>
      <c r="P269" s="2770"/>
      <c r="Q269" s="2770"/>
      <c r="R269" s="3151"/>
      <c r="S269" s="2898"/>
      <c r="T269" s="2770"/>
      <c r="U269" s="2770"/>
      <c r="V269" s="3151"/>
      <c r="W269" s="2898"/>
      <c r="X269" s="2770"/>
      <c r="Y269" s="2770"/>
      <c r="Z269" s="3151"/>
      <c r="AA269" s="3149"/>
      <c r="AB269" s="2770"/>
      <c r="AC269" s="2770"/>
      <c r="AD269" s="2899"/>
      <c r="AE269" s="3282"/>
      <c r="AF269" s="2770"/>
      <c r="AG269" s="2770"/>
      <c r="AH269" s="2899"/>
      <c r="AI269" s="2779"/>
    </row>
    <row r="270" spans="1:35" ht="21" customHeight="1" thickBot="1">
      <c r="A270" s="1"/>
      <c r="B270" s="3161"/>
      <c r="C270" s="3162"/>
      <c r="D270" s="2847"/>
      <c r="E270" s="2847"/>
      <c r="F270" s="3184"/>
      <c r="G270" s="3162"/>
      <c r="H270" s="2847"/>
      <c r="I270" s="2847"/>
      <c r="J270" s="3184"/>
      <c r="K270" s="3162"/>
      <c r="L270" s="2847"/>
      <c r="M270" s="2847"/>
      <c r="N270" s="3184"/>
      <c r="O270" s="3162"/>
      <c r="P270" s="2847"/>
      <c r="Q270" s="2847"/>
      <c r="R270" s="3184"/>
      <c r="S270" s="3162"/>
      <c r="T270" s="2847"/>
      <c r="U270" s="2847"/>
      <c r="V270" s="3184"/>
      <c r="W270" s="3182"/>
      <c r="X270" s="2847"/>
      <c r="Y270" s="2847"/>
      <c r="Z270" s="3184"/>
      <c r="AA270" s="3182"/>
      <c r="AB270" s="2847"/>
      <c r="AC270" s="2847"/>
      <c r="AD270" s="3169"/>
      <c r="AE270" s="3182"/>
      <c r="AF270" s="2847"/>
      <c r="AG270" s="2847"/>
      <c r="AH270" s="3169"/>
      <c r="AI270" s="2854"/>
    </row>
    <row r="271" spans="1:35" ht="21" customHeight="1">
      <c r="A271" s="1"/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33" customHeight="1">
      <c r="A272" s="161" t="s">
        <v>321</v>
      </c>
      <c r="B272" s="18"/>
      <c r="C272" s="64"/>
      <c r="F272" s="69"/>
      <c r="G272" s="64"/>
      <c r="J272" s="69"/>
      <c r="K272" s="64"/>
      <c r="N272" s="69"/>
      <c r="O272" s="64"/>
      <c r="R272" s="69"/>
      <c r="S272" s="64"/>
      <c r="V272" s="69"/>
      <c r="W272" s="69"/>
      <c r="Z272" s="69"/>
      <c r="AA272" s="69"/>
      <c r="AD272" s="69"/>
      <c r="AE272" s="69"/>
      <c r="AH272" s="69"/>
    </row>
    <row r="273" spans="1:35" ht="21" customHeight="1" thickBot="1">
      <c r="A273" s="3283" t="s">
        <v>28</v>
      </c>
      <c r="B273" s="3284" t="s">
        <v>29</v>
      </c>
      <c r="C273" s="2788">
        <v>1</v>
      </c>
      <c r="D273" s="2788">
        <v>2</v>
      </c>
      <c r="E273" s="2788">
        <v>3</v>
      </c>
      <c r="F273" s="2788">
        <v>4</v>
      </c>
      <c r="G273" s="2788">
        <v>5</v>
      </c>
      <c r="H273" s="2789">
        <v>6</v>
      </c>
      <c r="I273" s="2789">
        <v>7</v>
      </c>
      <c r="J273" s="2788">
        <v>8</v>
      </c>
      <c r="K273" s="2788">
        <v>9</v>
      </c>
      <c r="L273" s="2788">
        <v>10</v>
      </c>
      <c r="M273" s="2788">
        <v>11</v>
      </c>
      <c r="N273" s="2788">
        <v>12</v>
      </c>
      <c r="O273" s="2789">
        <v>13</v>
      </c>
      <c r="P273" s="2789">
        <v>14</v>
      </c>
      <c r="Q273" s="2788">
        <v>15</v>
      </c>
      <c r="R273" s="2788">
        <v>16</v>
      </c>
      <c r="S273" s="2788">
        <v>17</v>
      </c>
      <c r="T273" s="2788">
        <v>18</v>
      </c>
      <c r="U273" s="2788">
        <v>19</v>
      </c>
      <c r="V273" s="2789">
        <v>20</v>
      </c>
      <c r="W273" s="2789">
        <v>21</v>
      </c>
      <c r="X273" s="2788">
        <v>22</v>
      </c>
      <c r="Y273" s="2788">
        <v>23</v>
      </c>
      <c r="Z273" s="2788">
        <v>24</v>
      </c>
      <c r="AA273" s="2788">
        <v>25</v>
      </c>
      <c r="AB273" s="2788">
        <v>26</v>
      </c>
      <c r="AC273" s="2789">
        <v>27</v>
      </c>
      <c r="AD273" s="2789">
        <v>28</v>
      </c>
      <c r="AE273" s="2788">
        <v>29</v>
      </c>
      <c r="AF273" s="2788">
        <v>30</v>
      </c>
      <c r="AG273" s="2790"/>
      <c r="AH273" s="186"/>
      <c r="AI273" s="177"/>
    </row>
    <row r="274" spans="1:35" ht="21" customHeight="1">
      <c r="A274" s="88"/>
      <c r="B274" s="157" t="s">
        <v>322</v>
      </c>
      <c r="C274" s="2829" t="s">
        <v>32</v>
      </c>
      <c r="D274" s="2829" t="s">
        <v>32</v>
      </c>
      <c r="E274" s="2831" t="s">
        <v>32</v>
      </c>
      <c r="F274" s="2831" t="s">
        <v>32</v>
      </c>
      <c r="G274" s="2831" t="s">
        <v>32</v>
      </c>
      <c r="H274" s="2831"/>
      <c r="I274" s="2831"/>
      <c r="J274" s="2831" t="s">
        <v>32</v>
      </c>
      <c r="K274" s="2820" t="s">
        <v>32</v>
      </c>
      <c r="L274" s="2820" t="s">
        <v>32</v>
      </c>
      <c r="M274" s="2820" t="s">
        <v>32</v>
      </c>
      <c r="N274" s="2826" t="s">
        <v>32</v>
      </c>
      <c r="O274" s="2826"/>
      <c r="P274" s="2826"/>
      <c r="Q274" s="2825" t="s">
        <v>32</v>
      </c>
      <c r="R274" s="2826" t="s">
        <v>32</v>
      </c>
      <c r="S274" s="2820" t="s">
        <v>32</v>
      </c>
      <c r="T274" s="2820" t="s">
        <v>32</v>
      </c>
      <c r="U274" s="2826" t="s">
        <v>32</v>
      </c>
      <c r="V274" s="2826"/>
      <c r="W274" s="2826"/>
      <c r="X274" s="2820" t="s">
        <v>32</v>
      </c>
      <c r="Y274" s="2826" t="s">
        <v>32</v>
      </c>
      <c r="Z274" s="2820" t="s">
        <v>32</v>
      </c>
      <c r="AA274" s="2820" t="s">
        <v>32</v>
      </c>
      <c r="AB274" s="2820" t="s">
        <v>32</v>
      </c>
      <c r="AC274" s="2820"/>
      <c r="AD274" s="2820"/>
      <c r="AE274" s="2820" t="s">
        <v>32</v>
      </c>
      <c r="AF274" s="2820" t="s">
        <v>32</v>
      </c>
      <c r="AG274" s="2820"/>
      <c r="AH274" s="187"/>
      <c r="AI274" s="184"/>
    </row>
    <row r="275" spans="1:35" ht="21" customHeight="1">
      <c r="A275" s="3285"/>
      <c r="B275" s="3286" t="s">
        <v>323</v>
      </c>
      <c r="C275" s="2820" t="s">
        <v>32</v>
      </c>
      <c r="D275" s="2820" t="s">
        <v>32</v>
      </c>
      <c r="E275" s="2820" t="s">
        <v>32</v>
      </c>
      <c r="F275" s="2820" t="s">
        <v>32</v>
      </c>
      <c r="G275" s="2820" t="s">
        <v>32</v>
      </c>
      <c r="H275" s="2820"/>
      <c r="I275" s="2820"/>
      <c r="J275" s="2820" t="s">
        <v>32</v>
      </c>
      <c r="K275" s="2820" t="s">
        <v>32</v>
      </c>
      <c r="L275" s="2820" t="s">
        <v>32</v>
      </c>
      <c r="M275" s="2820" t="s">
        <v>32</v>
      </c>
      <c r="N275" s="2831" t="s">
        <v>32</v>
      </c>
      <c r="O275" s="2826"/>
      <c r="P275" s="2826"/>
      <c r="Q275" s="2825" t="s">
        <v>32</v>
      </c>
      <c r="R275" s="2826" t="s">
        <v>32</v>
      </c>
      <c r="S275" s="2820" t="s">
        <v>32</v>
      </c>
      <c r="T275" s="2629" t="s">
        <v>278</v>
      </c>
      <c r="U275" s="2826" t="s">
        <v>32</v>
      </c>
      <c r="V275" s="2826"/>
      <c r="W275" s="2826"/>
      <c r="X275" s="2820" t="s">
        <v>32</v>
      </c>
      <c r="Y275" s="2826" t="s">
        <v>32</v>
      </c>
      <c r="Z275" s="2820" t="s">
        <v>32</v>
      </c>
      <c r="AA275" s="2820" t="s">
        <v>32</v>
      </c>
      <c r="AB275" s="2820" t="s">
        <v>32</v>
      </c>
      <c r="AC275" s="2820"/>
      <c r="AD275" s="2820"/>
      <c r="AE275" s="2825" t="s">
        <v>32</v>
      </c>
      <c r="AF275" s="2825" t="s">
        <v>32</v>
      </c>
      <c r="AG275" s="2820"/>
      <c r="AH275" s="187"/>
      <c r="AI275" s="184"/>
    </row>
    <row r="276" spans="1:35" ht="21" customHeight="1">
      <c r="A276" s="3273"/>
      <c r="B276" s="3286" t="s">
        <v>324</v>
      </c>
      <c r="C276" s="2820" t="s">
        <v>32</v>
      </c>
      <c r="D276" s="2820" t="s">
        <v>32</v>
      </c>
      <c r="E276" s="2820" t="s">
        <v>32</v>
      </c>
      <c r="F276" s="2820" t="s">
        <v>32</v>
      </c>
      <c r="G276" s="2820" t="s">
        <v>32</v>
      </c>
      <c r="H276" s="2820"/>
      <c r="I276" s="2820"/>
      <c r="J276" s="2831" t="s">
        <v>32</v>
      </c>
      <c r="K276" s="2820" t="s">
        <v>32</v>
      </c>
      <c r="L276" s="2820" t="s">
        <v>32</v>
      </c>
      <c r="M276" s="2820" t="s">
        <v>32</v>
      </c>
      <c r="N276" s="2826" t="s">
        <v>32</v>
      </c>
      <c r="O276" s="2826"/>
      <c r="P276" s="2826"/>
      <c r="Q276" s="2825" t="s">
        <v>32</v>
      </c>
      <c r="R276" s="2826" t="s">
        <v>32</v>
      </c>
      <c r="S276" s="2820" t="s">
        <v>32</v>
      </c>
      <c r="T276" s="2820" t="s">
        <v>32</v>
      </c>
      <c r="U276" s="2629" t="s">
        <v>278</v>
      </c>
      <c r="V276" s="2696"/>
      <c r="W276" s="2696"/>
      <c r="X276" s="2696" t="s">
        <v>32</v>
      </c>
      <c r="Y276" s="2696" t="s">
        <v>32</v>
      </c>
      <c r="Z276" s="2696" t="s">
        <v>32</v>
      </c>
      <c r="AA276" s="2696" t="s">
        <v>32</v>
      </c>
      <c r="AB276" s="2696" t="s">
        <v>32</v>
      </c>
      <c r="AC276" s="2820"/>
      <c r="AD276" s="2820"/>
      <c r="AE276" s="2820" t="s">
        <v>32</v>
      </c>
      <c r="AF276" s="2831" t="s">
        <v>32</v>
      </c>
      <c r="AG276" s="2820"/>
      <c r="AH276" s="187"/>
      <c r="AI276" s="184"/>
    </row>
    <row r="277" spans="1:35" ht="21" customHeight="1">
      <c r="A277" s="3273"/>
      <c r="B277" s="3286" t="s">
        <v>325</v>
      </c>
      <c r="C277" s="2820" t="s">
        <v>32</v>
      </c>
      <c r="D277" s="2820" t="s">
        <v>32</v>
      </c>
      <c r="E277" s="2820" t="s">
        <v>32</v>
      </c>
      <c r="F277" s="2820" t="s">
        <v>32</v>
      </c>
      <c r="G277" s="2831" t="s">
        <v>32</v>
      </c>
      <c r="H277" s="2831"/>
      <c r="I277" s="2831"/>
      <c r="J277" s="2831" t="s">
        <v>32</v>
      </c>
      <c r="K277" s="2831" t="s">
        <v>32</v>
      </c>
      <c r="L277" s="2831" t="s">
        <v>32</v>
      </c>
      <c r="M277" s="2831" t="s">
        <v>32</v>
      </c>
      <c r="N277" s="2831" t="s">
        <v>32</v>
      </c>
      <c r="O277" s="2826"/>
      <c r="P277" s="2826"/>
      <c r="Q277" s="2825" t="s">
        <v>32</v>
      </c>
      <c r="R277" s="2826" t="s">
        <v>32</v>
      </c>
      <c r="S277" s="2820" t="s">
        <v>32</v>
      </c>
      <c r="T277" s="2820" t="s">
        <v>32</v>
      </c>
      <c r="U277" s="2826" t="s">
        <v>32</v>
      </c>
      <c r="V277" s="2826"/>
      <c r="W277" s="2826"/>
      <c r="X277" s="2820" t="s">
        <v>32</v>
      </c>
      <c r="Y277" s="2826" t="s">
        <v>32</v>
      </c>
      <c r="Z277" s="2820" t="s">
        <v>32</v>
      </c>
      <c r="AA277" s="2820" t="s">
        <v>32</v>
      </c>
      <c r="AB277" s="2820" t="s">
        <v>32</v>
      </c>
      <c r="AC277" s="2820"/>
      <c r="AD277" s="2820"/>
      <c r="AE277" s="2820" t="s">
        <v>32</v>
      </c>
      <c r="AF277" s="2820" t="s">
        <v>32</v>
      </c>
      <c r="AG277" s="2820"/>
      <c r="AH277" s="187"/>
      <c r="AI277" s="184"/>
    </row>
    <row r="278" spans="1:35" ht="21" customHeight="1">
      <c r="A278" s="3273"/>
      <c r="B278" s="3286" t="s">
        <v>326</v>
      </c>
      <c r="C278" s="2820" t="s">
        <v>32</v>
      </c>
      <c r="D278" s="3259" t="s">
        <v>32</v>
      </c>
      <c r="E278" s="2831" t="s">
        <v>32</v>
      </c>
      <c r="F278" s="2820" t="s">
        <v>32</v>
      </c>
      <c r="G278" s="2820" t="s">
        <v>32</v>
      </c>
      <c r="H278" s="2820"/>
      <c r="I278" s="2820"/>
      <c r="J278" s="2820" t="s">
        <v>32</v>
      </c>
      <c r="K278" s="2820" t="s">
        <v>32</v>
      </c>
      <c r="L278" s="2820" t="s">
        <v>32</v>
      </c>
      <c r="M278" s="2820" t="s">
        <v>32</v>
      </c>
      <c r="N278" s="3259" t="s">
        <v>32</v>
      </c>
      <c r="O278" s="2826"/>
      <c r="P278" s="2826"/>
      <c r="Q278" s="2825" t="s">
        <v>32</v>
      </c>
      <c r="R278" s="2826" t="s">
        <v>32</v>
      </c>
      <c r="S278" s="2820" t="s">
        <v>32</v>
      </c>
      <c r="T278" s="2820" t="s">
        <v>32</v>
      </c>
      <c r="U278" s="2826" t="s">
        <v>32</v>
      </c>
      <c r="V278" s="2826"/>
      <c r="W278" s="2826"/>
      <c r="X278" s="2820" t="s">
        <v>32</v>
      </c>
      <c r="Y278" s="2826" t="s">
        <v>32</v>
      </c>
      <c r="Z278" s="2820" t="s">
        <v>32</v>
      </c>
      <c r="AA278" s="2820" t="s">
        <v>32</v>
      </c>
      <c r="AB278" s="2820" t="s">
        <v>32</v>
      </c>
      <c r="AC278" s="2820"/>
      <c r="AD278" s="2820"/>
      <c r="AE278" s="2820" t="s">
        <v>32</v>
      </c>
      <c r="AF278" s="2820" t="s">
        <v>32</v>
      </c>
      <c r="AG278" s="2870"/>
      <c r="AH278" s="187"/>
      <c r="AI278" s="184"/>
    </row>
    <row r="279" spans="1:35" ht="21" customHeight="1">
      <c r="A279" s="3273"/>
      <c r="B279" s="3286" t="s">
        <v>327</v>
      </c>
      <c r="C279" s="2820" t="s">
        <v>32</v>
      </c>
      <c r="D279" s="2820" t="s">
        <v>32</v>
      </c>
      <c r="E279" s="2820" t="s">
        <v>32</v>
      </c>
      <c r="F279" s="2820" t="s">
        <v>32</v>
      </c>
      <c r="G279" s="2820" t="s">
        <v>32</v>
      </c>
      <c r="H279" s="2820"/>
      <c r="I279" s="2820"/>
      <c r="J279" s="2820" t="s">
        <v>32</v>
      </c>
      <c r="K279" s="2820" t="s">
        <v>32</v>
      </c>
      <c r="L279" s="2820" t="s">
        <v>32</v>
      </c>
      <c r="M279" s="2820" t="s">
        <v>32</v>
      </c>
      <c r="N279" s="2826" t="s">
        <v>32</v>
      </c>
      <c r="O279" s="2826"/>
      <c r="P279" s="2826"/>
      <c r="Q279" s="2825" t="s">
        <v>32</v>
      </c>
      <c r="R279" s="2826" t="s">
        <v>32</v>
      </c>
      <c r="S279" s="2820" t="s">
        <v>32</v>
      </c>
      <c r="T279" s="2820" t="s">
        <v>32</v>
      </c>
      <c r="U279" s="2826" t="s">
        <v>32</v>
      </c>
      <c r="V279" s="2826"/>
      <c r="W279" s="2826"/>
      <c r="X279" s="2820" t="s">
        <v>32</v>
      </c>
      <c r="Y279" s="2826" t="s">
        <v>32</v>
      </c>
      <c r="Z279" s="2820" t="s">
        <v>32</v>
      </c>
      <c r="AA279" s="2820" t="s">
        <v>32</v>
      </c>
      <c r="AB279" s="2820" t="s">
        <v>32</v>
      </c>
      <c r="AC279" s="2820"/>
      <c r="AD279" s="2820"/>
      <c r="AE279" s="2820" t="s">
        <v>32</v>
      </c>
      <c r="AF279" s="2820" t="s">
        <v>32</v>
      </c>
      <c r="AG279" s="2870"/>
      <c r="AH279" s="187"/>
      <c r="AI279" s="184"/>
    </row>
    <row r="280" spans="1:35" ht="21" customHeight="1">
      <c r="A280" s="3273"/>
      <c r="B280" s="3286" t="s">
        <v>328</v>
      </c>
      <c r="C280" s="2820" t="s">
        <v>32</v>
      </c>
      <c r="D280" s="2820" t="s">
        <v>32</v>
      </c>
      <c r="E280" s="2820" t="s">
        <v>32</v>
      </c>
      <c r="F280" s="2820" t="s">
        <v>32</v>
      </c>
      <c r="G280" s="2820" t="s">
        <v>32</v>
      </c>
      <c r="H280" s="2820"/>
      <c r="I280" s="2820"/>
      <c r="J280" s="3236" t="s">
        <v>32</v>
      </c>
      <c r="K280" s="2820" t="s">
        <v>32</v>
      </c>
      <c r="L280" s="2820" t="s">
        <v>32</v>
      </c>
      <c r="M280" s="2820" t="s">
        <v>32</v>
      </c>
      <c r="N280" s="2826" t="s">
        <v>32</v>
      </c>
      <c r="O280" s="2826"/>
      <c r="P280" s="2826"/>
      <c r="Q280" s="2825" t="s">
        <v>32</v>
      </c>
      <c r="R280" s="2826" t="s">
        <v>32</v>
      </c>
      <c r="S280" s="2820" t="s">
        <v>32</v>
      </c>
      <c r="T280" s="2820" t="s">
        <v>32</v>
      </c>
      <c r="U280" s="2826" t="s">
        <v>32</v>
      </c>
      <c r="V280" s="2826"/>
      <c r="W280" s="2826"/>
      <c r="X280" s="2831" t="s">
        <v>32</v>
      </c>
      <c r="Y280" s="2826" t="s">
        <v>32</v>
      </c>
      <c r="Z280" s="2820" t="s">
        <v>32</v>
      </c>
      <c r="AA280" s="2820" t="s">
        <v>32</v>
      </c>
      <c r="AB280" s="2820" t="s">
        <v>32</v>
      </c>
      <c r="AC280" s="2820"/>
      <c r="AD280" s="2820"/>
      <c r="AE280" s="2820" t="s">
        <v>32</v>
      </c>
      <c r="AF280" s="2820" t="s">
        <v>32</v>
      </c>
      <c r="AG280" s="2870"/>
      <c r="AH280" s="187"/>
      <c r="AI280" s="184"/>
    </row>
    <row r="281" spans="1:35" ht="21" customHeight="1">
      <c r="A281" s="3273"/>
      <c r="B281" s="3286" t="s">
        <v>329</v>
      </c>
      <c r="C281" s="2820" t="s">
        <v>32</v>
      </c>
      <c r="D281" s="2820" t="s">
        <v>32</v>
      </c>
      <c r="E281" s="2820" t="s">
        <v>32</v>
      </c>
      <c r="F281" s="2820" t="s">
        <v>32</v>
      </c>
      <c r="G281" s="2820" t="s">
        <v>32</v>
      </c>
      <c r="H281" s="2820"/>
      <c r="I281" s="2820"/>
      <c r="J281" s="2820" t="s">
        <v>32</v>
      </c>
      <c r="K281" s="2820" t="s">
        <v>32</v>
      </c>
      <c r="L281" s="2820" t="s">
        <v>32</v>
      </c>
      <c r="M281" s="2820" t="s">
        <v>32</v>
      </c>
      <c r="N281" s="2826" t="s">
        <v>32</v>
      </c>
      <c r="O281" s="2826"/>
      <c r="P281" s="2826"/>
      <c r="Q281" s="2825" t="s">
        <v>32</v>
      </c>
      <c r="R281" s="2826" t="s">
        <v>32</v>
      </c>
      <c r="S281" s="2820" t="s">
        <v>32</v>
      </c>
      <c r="T281" s="2820" t="s">
        <v>32</v>
      </c>
      <c r="U281" s="2826" t="s">
        <v>32</v>
      </c>
      <c r="V281" s="2826"/>
      <c r="W281" s="2826"/>
      <c r="X281" s="2820" t="s">
        <v>32</v>
      </c>
      <c r="Y281" s="2826" t="s">
        <v>32</v>
      </c>
      <c r="Z281" s="2820" t="s">
        <v>32</v>
      </c>
      <c r="AA281" s="2820" t="s">
        <v>32</v>
      </c>
      <c r="AB281" s="2820" t="s">
        <v>32</v>
      </c>
      <c r="AC281" s="2820"/>
      <c r="AD281" s="2820"/>
      <c r="AE281" s="2820" t="s">
        <v>32</v>
      </c>
      <c r="AF281" s="2820" t="s">
        <v>32</v>
      </c>
      <c r="AG281" s="2870"/>
      <c r="AH281" s="187"/>
      <c r="AI281" s="184"/>
    </row>
    <row r="282" spans="1:35" ht="21" customHeight="1">
      <c r="A282" s="3273"/>
      <c r="B282" s="3287" t="s">
        <v>330</v>
      </c>
      <c r="C282" s="2820" t="s">
        <v>32</v>
      </c>
      <c r="D282" s="2820" t="s">
        <v>32</v>
      </c>
      <c r="E282" s="2820" t="s">
        <v>32</v>
      </c>
      <c r="F282" s="2820" t="s">
        <v>32</v>
      </c>
      <c r="G282" s="2820" t="s">
        <v>32</v>
      </c>
      <c r="H282" s="2820"/>
      <c r="I282" s="2820"/>
      <c r="J282" s="2820" t="s">
        <v>32</v>
      </c>
      <c r="K282" s="2820" t="s">
        <v>32</v>
      </c>
      <c r="L282" s="2820" t="s">
        <v>32</v>
      </c>
      <c r="M282" s="2820" t="s">
        <v>32</v>
      </c>
      <c r="N282" s="2826" t="s">
        <v>32</v>
      </c>
      <c r="O282" s="2826"/>
      <c r="P282" s="2826"/>
      <c r="Q282" s="2825" t="s">
        <v>32</v>
      </c>
      <c r="R282" s="2826" t="s">
        <v>32</v>
      </c>
      <c r="S282" s="2820" t="s">
        <v>32</v>
      </c>
      <c r="T282" s="2820" t="s">
        <v>32</v>
      </c>
      <c r="U282" s="2826" t="s">
        <v>32</v>
      </c>
      <c r="V282" s="2826"/>
      <c r="W282" s="2826"/>
      <c r="X282" s="2820" t="s">
        <v>32</v>
      </c>
      <c r="Y282" s="2826" t="s">
        <v>32</v>
      </c>
      <c r="Z282" s="2820" t="s">
        <v>32</v>
      </c>
      <c r="AA282" s="2820" t="s">
        <v>32</v>
      </c>
      <c r="AB282" s="2820" t="s">
        <v>32</v>
      </c>
      <c r="AC282" s="2820"/>
      <c r="AD282" s="2820"/>
      <c r="AE282" s="2820" t="s">
        <v>32</v>
      </c>
      <c r="AF282" s="2820" t="s">
        <v>32</v>
      </c>
      <c r="AG282" s="2870"/>
      <c r="AH282" s="187"/>
      <c r="AI282" s="184"/>
    </row>
    <row r="283" spans="1:35" ht="21" customHeight="1">
      <c r="A283" s="3273"/>
      <c r="B283" s="3288" t="s">
        <v>331</v>
      </c>
      <c r="C283" s="2820" t="s">
        <v>32</v>
      </c>
      <c r="D283" s="3236" t="s">
        <v>32</v>
      </c>
      <c r="E283" s="2820" t="s">
        <v>32</v>
      </c>
      <c r="F283" s="2820" t="s">
        <v>32</v>
      </c>
      <c r="G283" s="2820" t="s">
        <v>32</v>
      </c>
      <c r="H283" s="2820"/>
      <c r="I283" s="2820"/>
      <c r="J283" s="2820" t="s">
        <v>32</v>
      </c>
      <c r="K283" s="2820" t="s">
        <v>32</v>
      </c>
      <c r="L283" s="2820" t="s">
        <v>32</v>
      </c>
      <c r="M283" s="2820" t="s">
        <v>32</v>
      </c>
      <c r="N283" s="2826" t="s">
        <v>32</v>
      </c>
      <c r="O283" s="2826"/>
      <c r="P283" s="2826"/>
      <c r="Q283" s="2825" t="s">
        <v>32</v>
      </c>
      <c r="R283" s="2826" t="s">
        <v>32</v>
      </c>
      <c r="S283" s="2820" t="s">
        <v>32</v>
      </c>
      <c r="T283" s="2820" t="s">
        <v>32</v>
      </c>
      <c r="U283" s="2826" t="s">
        <v>32</v>
      </c>
      <c r="V283" s="2826"/>
      <c r="W283" s="2826"/>
      <c r="X283" s="2820" t="s">
        <v>32</v>
      </c>
      <c r="Y283" s="3289" t="s">
        <v>32</v>
      </c>
      <c r="Z283" s="2820" t="s">
        <v>32</v>
      </c>
      <c r="AA283" s="2820" t="s">
        <v>32</v>
      </c>
      <c r="AB283" s="2820" t="s">
        <v>32</v>
      </c>
      <c r="AC283" s="2820"/>
      <c r="AD283" s="2820"/>
      <c r="AE283" s="2826" t="s">
        <v>32</v>
      </c>
      <c r="AF283" s="2826" t="s">
        <v>32</v>
      </c>
      <c r="AG283" s="2870"/>
      <c r="AH283" s="187"/>
      <c r="AI283" s="184"/>
    </row>
    <row r="284" spans="1:35" ht="21" customHeight="1">
      <c r="A284" s="3273"/>
      <c r="B284" s="2824" t="s">
        <v>332</v>
      </c>
      <c r="C284" s="2820" t="s">
        <v>32</v>
      </c>
      <c r="D284" s="2820" t="s">
        <v>32</v>
      </c>
      <c r="E284" s="2820" t="s">
        <v>32</v>
      </c>
      <c r="F284" s="2820" t="s">
        <v>32</v>
      </c>
      <c r="G284" s="2820" t="s">
        <v>32</v>
      </c>
      <c r="H284" s="2820"/>
      <c r="I284" s="2820"/>
      <c r="J284" s="2820" t="s">
        <v>32</v>
      </c>
      <c r="K284" s="2820" t="s">
        <v>32</v>
      </c>
      <c r="L284" s="2820" t="s">
        <v>32</v>
      </c>
      <c r="M284" s="2820" t="s">
        <v>32</v>
      </c>
      <c r="N284" s="2826" t="s">
        <v>32</v>
      </c>
      <c r="O284" s="2826"/>
      <c r="P284" s="2826"/>
      <c r="Q284" s="2825" t="s">
        <v>32</v>
      </c>
      <c r="R284" s="2826" t="s">
        <v>32</v>
      </c>
      <c r="S284" s="2820" t="s">
        <v>32</v>
      </c>
      <c r="T284" s="2820" t="s">
        <v>32</v>
      </c>
      <c r="U284" s="2826" t="s">
        <v>32</v>
      </c>
      <c r="V284" s="2826"/>
      <c r="W284" s="2826"/>
      <c r="X284" s="2820" t="s">
        <v>32</v>
      </c>
      <c r="Y284" s="2826" t="s">
        <v>32</v>
      </c>
      <c r="Z284" s="2820" t="s">
        <v>32</v>
      </c>
      <c r="AA284" s="2820" t="s">
        <v>32</v>
      </c>
      <c r="AB284" s="2820" t="s">
        <v>32</v>
      </c>
      <c r="AC284" s="2820"/>
      <c r="AD284" s="2820"/>
      <c r="AE284" s="2820" t="s">
        <v>32</v>
      </c>
      <c r="AF284" s="2820" t="s">
        <v>32</v>
      </c>
      <c r="AG284" s="2870"/>
      <c r="AH284" s="187"/>
      <c r="AI284" s="184"/>
    </row>
    <row r="285" spans="1:35" ht="21" customHeight="1">
      <c r="A285" s="3273"/>
      <c r="B285" s="3288"/>
      <c r="C285" s="2820"/>
      <c r="D285" s="3290"/>
      <c r="E285" s="2820"/>
      <c r="F285" s="2820"/>
      <c r="G285" s="2820"/>
      <c r="H285" s="2820"/>
      <c r="I285" s="2820"/>
      <c r="J285" s="2820"/>
      <c r="K285" s="2820"/>
      <c r="L285" s="2820"/>
      <c r="M285" s="2820"/>
      <c r="N285" s="2820"/>
      <c r="O285" s="2820"/>
      <c r="P285" s="2820"/>
      <c r="Q285" s="2820"/>
      <c r="R285" s="2820"/>
      <c r="S285" s="2820"/>
      <c r="T285" s="2820"/>
      <c r="U285" s="2820"/>
      <c r="V285" s="2820"/>
      <c r="W285" s="2820"/>
      <c r="X285" s="2820"/>
      <c r="Y285" s="2820"/>
      <c r="Z285" s="2820"/>
      <c r="AA285" s="2820"/>
      <c r="AB285" s="2820"/>
      <c r="AC285" s="2820"/>
      <c r="AD285" s="2820"/>
      <c r="AE285" s="2820"/>
      <c r="AF285" s="2820"/>
      <c r="AG285" s="2870"/>
      <c r="AH285" s="187"/>
      <c r="AI285" s="184"/>
    </row>
    <row r="286" spans="1:35" ht="21" customHeight="1">
      <c r="A286" s="2892"/>
      <c r="B286" s="3288"/>
      <c r="C286" s="2870"/>
      <c r="D286" s="2870"/>
      <c r="E286" s="2870"/>
      <c r="F286" s="2870"/>
      <c r="G286" s="2870"/>
      <c r="H286" s="2870"/>
      <c r="I286" s="2870"/>
      <c r="J286" s="2870"/>
      <c r="K286" s="2870"/>
      <c r="L286" s="2870"/>
      <c r="M286" s="2870"/>
      <c r="N286" s="2875"/>
      <c r="O286" s="2875"/>
      <c r="P286" s="2870"/>
      <c r="Q286" s="2870"/>
      <c r="R286" s="2870"/>
      <c r="S286" s="2870"/>
      <c r="T286" s="2870"/>
      <c r="U286" s="2870"/>
      <c r="V286" s="2870"/>
      <c r="W286" s="2870"/>
      <c r="X286" s="2870"/>
      <c r="Y286" s="2870"/>
      <c r="Z286" s="2870"/>
      <c r="AA286" s="2870"/>
      <c r="AB286" s="2875"/>
      <c r="AC286" s="2875"/>
      <c r="AD286" s="2870"/>
      <c r="AE286" s="2870"/>
      <c r="AF286" s="2870"/>
      <c r="AG286" s="2870"/>
      <c r="AH286" s="187"/>
      <c r="AI286" s="185"/>
    </row>
    <row r="287" spans="1:35" ht="21" customHeight="1" thickBot="1">
      <c r="A287" s="1126"/>
      <c r="B287" s="1188"/>
      <c r="C287" s="3291"/>
      <c r="D287" s="3292"/>
      <c r="E287" s="3292"/>
      <c r="F287" s="3292"/>
      <c r="G287" s="3292"/>
      <c r="H287" s="3292"/>
      <c r="I287" s="3292"/>
      <c r="J287" s="3292"/>
      <c r="K287" s="3292"/>
      <c r="L287" s="3292"/>
      <c r="M287" s="3292"/>
      <c r="N287" s="3293"/>
      <c r="O287" s="3293"/>
      <c r="P287" s="3292"/>
      <c r="Q287" s="3292"/>
      <c r="R287" s="3292"/>
      <c r="S287" s="3292"/>
      <c r="T287" s="3292"/>
      <c r="U287" s="3292"/>
      <c r="V287" s="3292"/>
      <c r="W287" s="3292"/>
      <c r="X287" s="3292"/>
      <c r="Y287" s="3292"/>
      <c r="Z287" s="3292"/>
      <c r="AA287" s="3292"/>
      <c r="AB287" s="3293"/>
      <c r="AC287" s="3293"/>
      <c r="AD287" s="3292"/>
      <c r="AE287" s="3292"/>
      <c r="AF287" s="3292"/>
      <c r="AG287" s="3292"/>
      <c r="AH287" s="187"/>
      <c r="AI287" s="185"/>
    </row>
  </sheetData>
  <protectedRanges>
    <protectedRange sqref="B125:B12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7:B13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M62:N62" numberStoredAsText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9D99-AA1A-4499-8C89-9427BEC1617B}">
  <sheetPr codeName="Ark70"/>
  <dimension ref="A1:AN286"/>
  <sheetViews>
    <sheetView tabSelected="1" zoomScale="90" zoomScaleNormal="90" workbookViewId="0">
      <pane xSplit="2" ySplit="3" topLeftCell="E170" activePane="bottomRight" state="frozen"/>
      <selection pane="topRight" activeCell="AJ243" sqref="AJ243"/>
      <selection pane="bottomLeft" activeCell="AJ243" sqref="AJ243"/>
      <selection pane="bottomRight" activeCell="I170" sqref="I170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</row>
    <row r="2" spans="1:38" ht="13.35" customHeight="1">
      <c r="B2" s="3294" t="s">
        <v>2</v>
      </c>
      <c r="C2" s="3295" t="s">
        <v>3</v>
      </c>
      <c r="D2" s="3296"/>
      <c r="E2" s="3297" t="s">
        <v>4</v>
      </c>
      <c r="F2" s="3298"/>
      <c r="G2" s="3299"/>
      <c r="H2" s="3299"/>
      <c r="I2" s="3299"/>
      <c r="J2" s="3299"/>
      <c r="K2" s="3300"/>
      <c r="L2" s="3301" t="s">
        <v>5</v>
      </c>
      <c r="M2" s="3302"/>
      <c r="N2" s="3303"/>
      <c r="O2" s="3304" t="s">
        <v>6</v>
      </c>
      <c r="P2" s="3305"/>
      <c r="Q2" s="3306"/>
      <c r="R2" s="3307"/>
      <c r="S2" s="3308" t="s">
        <v>7</v>
      </c>
      <c r="T2" s="3309"/>
      <c r="U2" s="3310"/>
      <c r="V2" s="3309"/>
      <c r="W2" s="3311" t="s">
        <v>8</v>
      </c>
      <c r="X2" s="3312"/>
      <c r="Y2" s="3313"/>
      <c r="Z2" s="163" t="s">
        <v>9</v>
      </c>
      <c r="AA2" s="3314"/>
      <c r="AB2" s="3315"/>
      <c r="AC2" s="3316"/>
      <c r="AD2" s="3317" t="s">
        <v>10</v>
      </c>
      <c r="AE2" s="3318"/>
      <c r="AF2" s="3318"/>
      <c r="AG2" s="3319"/>
    </row>
    <row r="3" spans="1:38" ht="13.35" customHeight="1">
      <c r="A3" s="1"/>
      <c r="B3" s="3320" t="s">
        <v>11</v>
      </c>
      <c r="C3" s="3321" t="s">
        <v>12</v>
      </c>
      <c r="D3" s="3322"/>
      <c r="E3" s="91"/>
      <c r="F3" s="92"/>
      <c r="G3" s="92"/>
      <c r="H3" s="164" t="s">
        <v>13</v>
      </c>
      <c r="I3" s="93"/>
      <c r="J3" s="93"/>
      <c r="K3" s="94"/>
      <c r="L3" s="3323" t="s">
        <v>14</v>
      </c>
      <c r="M3" s="3324"/>
      <c r="N3" s="3325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3324"/>
      <c r="AA3" s="3324"/>
      <c r="AB3" s="3326"/>
      <c r="AC3" s="3327"/>
      <c r="AD3" s="3328" t="s">
        <v>17</v>
      </c>
      <c r="AE3" s="3329"/>
      <c r="AF3" s="3329"/>
      <c r="AG3" s="3330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3331" t="s">
        <v>20</v>
      </c>
      <c r="B6" s="3324"/>
      <c r="C6" s="3332"/>
      <c r="D6" s="3331" t="s">
        <v>21</v>
      </c>
      <c r="E6" s="3324"/>
      <c r="F6" s="3324"/>
      <c r="G6" s="3324"/>
      <c r="H6" s="3333"/>
      <c r="I6" s="3324"/>
      <c r="J6" s="3324"/>
      <c r="K6" s="3324"/>
      <c r="L6" s="3334" t="s">
        <v>22</v>
      </c>
      <c r="M6" s="3324"/>
      <c r="N6" s="3324"/>
      <c r="O6" s="3324"/>
      <c r="P6" s="3324"/>
      <c r="Q6" s="3324"/>
      <c r="R6" s="3324"/>
      <c r="S6" s="3332"/>
      <c r="T6" s="3335"/>
      <c r="U6" s="3324"/>
      <c r="V6" s="3324"/>
      <c r="W6" s="3324"/>
      <c r="X6" s="3324"/>
      <c r="Y6" s="3324"/>
      <c r="Z6" s="3324"/>
      <c r="AA6" s="3332"/>
      <c r="AB6" s="3336"/>
      <c r="AC6" s="3337"/>
      <c r="AD6" s="3337"/>
      <c r="AE6" s="3337"/>
      <c r="AF6" s="3337"/>
      <c r="AG6" s="3338"/>
    </row>
    <row r="7" spans="1:38" ht="22.35" customHeight="1">
      <c r="A7" s="3331" t="s">
        <v>23</v>
      </c>
      <c r="B7" s="3324"/>
      <c r="C7" s="3324"/>
      <c r="D7" s="3324"/>
      <c r="E7" s="3324"/>
      <c r="F7" s="3324"/>
      <c r="G7" s="3324"/>
      <c r="H7" s="3324"/>
      <c r="I7" s="3324"/>
      <c r="J7" s="3324"/>
      <c r="K7" s="3332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3324"/>
      <c r="V7" s="3324"/>
      <c r="W7" s="3324"/>
      <c r="X7" s="3324"/>
      <c r="Y7" s="3324"/>
      <c r="Z7" s="3324"/>
      <c r="AA7" s="3324"/>
      <c r="AB7" s="3339"/>
      <c r="AC7" s="3324"/>
      <c r="AD7" s="3324"/>
      <c r="AE7" s="3324"/>
      <c r="AF7" s="3324"/>
      <c r="AG7" s="3332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3340" t="s">
        <v>28</v>
      </c>
      <c r="B11" s="3341" t="s">
        <v>29</v>
      </c>
      <c r="C11" s="3342">
        <v>1</v>
      </c>
      <c r="D11" s="3342">
        <v>2</v>
      </c>
      <c r="E11" s="3342">
        <v>3</v>
      </c>
      <c r="F11" s="3343">
        <v>4</v>
      </c>
      <c r="G11" s="3343">
        <v>5</v>
      </c>
      <c r="H11" s="3342">
        <v>6</v>
      </c>
      <c r="I11" s="3342">
        <v>7</v>
      </c>
      <c r="J11" s="3342">
        <v>8</v>
      </c>
      <c r="K11" s="3342">
        <v>9</v>
      </c>
      <c r="L11" s="3342">
        <v>10</v>
      </c>
      <c r="M11" s="3343">
        <v>11</v>
      </c>
      <c r="N11" s="3343">
        <v>12</v>
      </c>
      <c r="O11" s="3342">
        <v>13</v>
      </c>
      <c r="P11" s="3342">
        <v>14</v>
      </c>
      <c r="Q11" s="3342">
        <v>15</v>
      </c>
      <c r="R11" s="3342">
        <v>16</v>
      </c>
      <c r="S11" s="3342">
        <v>17</v>
      </c>
      <c r="T11" s="3343">
        <v>18</v>
      </c>
      <c r="U11" s="3343">
        <v>19</v>
      </c>
      <c r="V11" s="3342">
        <v>20</v>
      </c>
      <c r="W11" s="3342">
        <v>21</v>
      </c>
      <c r="X11" s="3342">
        <v>22</v>
      </c>
      <c r="Y11" s="3342">
        <v>23</v>
      </c>
      <c r="Z11" s="3344">
        <v>24</v>
      </c>
      <c r="AA11" s="3343">
        <v>25</v>
      </c>
      <c r="AB11" s="3343">
        <v>26</v>
      </c>
      <c r="AC11" s="3342">
        <v>27</v>
      </c>
      <c r="AD11" s="3342">
        <v>28</v>
      </c>
      <c r="AE11" s="3342">
        <v>29</v>
      </c>
      <c r="AF11" s="3342">
        <v>30</v>
      </c>
      <c r="AG11" s="3345">
        <v>31</v>
      </c>
      <c r="AH11" s="176"/>
      <c r="AI11" s="177"/>
      <c r="AJ11" s="3346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349" t="s">
        <v>32</v>
      </c>
      <c r="E12" s="349" t="s">
        <v>32</v>
      </c>
      <c r="F12" s="349"/>
      <c r="G12" s="349"/>
      <c r="H12" s="349" t="s">
        <v>32</v>
      </c>
      <c r="I12" s="610" t="s">
        <v>32</v>
      </c>
      <c r="J12" s="349" t="s">
        <v>32</v>
      </c>
      <c r="K12" s="349" t="s">
        <v>32</v>
      </c>
      <c r="L12" s="349">
        <v>1</v>
      </c>
      <c r="M12" s="349"/>
      <c r="N12" s="349"/>
      <c r="O12" s="400" t="s">
        <v>32</v>
      </c>
      <c r="P12" s="400" t="s">
        <v>32</v>
      </c>
      <c r="Q12" s="400" t="s">
        <v>32</v>
      </c>
      <c r="R12" s="539" t="s">
        <v>32</v>
      </c>
      <c r="S12" s="539" t="s">
        <v>32</v>
      </c>
      <c r="T12" s="349"/>
      <c r="U12" s="349"/>
      <c r="V12" s="539" t="s">
        <v>32</v>
      </c>
      <c r="W12" s="539" t="s">
        <v>32</v>
      </c>
      <c r="X12" s="400" t="s">
        <v>32</v>
      </c>
      <c r="Y12" s="566" t="s">
        <v>32</v>
      </c>
      <c r="Z12" s="349"/>
      <c r="AA12" s="349"/>
      <c r="AB12" s="349"/>
      <c r="AC12" s="566" t="s">
        <v>32</v>
      </c>
      <c r="AD12" s="566" t="s">
        <v>32</v>
      </c>
      <c r="AE12" s="566" t="s">
        <v>32</v>
      </c>
      <c r="AF12" s="566" t="s">
        <v>32</v>
      </c>
      <c r="AG12" s="352"/>
      <c r="AH12" s="182"/>
      <c r="AI12" s="182"/>
      <c r="AJ12" s="3346">
        <v>160.33000000000001</v>
      </c>
    </row>
    <row r="13" spans="1:38" ht="22.35" customHeight="1">
      <c r="A13" s="3347" t="s">
        <v>33</v>
      </c>
      <c r="B13" s="3348"/>
      <c r="C13" s="3348"/>
      <c r="D13" s="3348"/>
      <c r="E13" s="3348"/>
      <c r="F13" s="3348"/>
      <c r="G13" s="3348"/>
      <c r="H13" s="3348"/>
      <c r="I13" s="3348"/>
      <c r="J13" s="3348"/>
      <c r="K13" s="3348"/>
      <c r="L13" s="3348"/>
      <c r="M13" s="3348"/>
      <c r="N13" s="3348"/>
      <c r="O13" s="3348"/>
      <c r="P13" s="3348"/>
      <c r="Q13" s="3348"/>
      <c r="R13" s="3348"/>
      <c r="S13" s="3348"/>
      <c r="T13" s="3348"/>
      <c r="U13" s="3348"/>
      <c r="V13" s="3348"/>
      <c r="W13" s="3348"/>
      <c r="X13" s="3348"/>
      <c r="Y13" s="3348"/>
      <c r="Z13" s="3348"/>
      <c r="AA13" s="3348"/>
      <c r="AB13" s="3348"/>
      <c r="AC13" s="3348"/>
      <c r="AD13" s="3348"/>
      <c r="AE13" s="3348"/>
      <c r="AF13" s="3348"/>
      <c r="AG13" s="3349"/>
      <c r="AH13" s="180"/>
      <c r="AI13" s="180"/>
    </row>
    <row r="14" spans="1:38" ht="22.35" customHeight="1">
      <c r="A14" s="3350">
        <v>8546</v>
      </c>
      <c r="B14" s="3351" t="s">
        <v>0</v>
      </c>
      <c r="C14" s="3352" t="s">
        <v>36</v>
      </c>
      <c r="D14" s="3352" t="s">
        <v>36</v>
      </c>
      <c r="E14" s="3352" t="s">
        <v>36</v>
      </c>
      <c r="F14" s="3352"/>
      <c r="G14" s="3352"/>
      <c r="H14" s="3353">
        <v>4</v>
      </c>
      <c r="I14" s="3353">
        <v>4</v>
      </c>
      <c r="J14" s="3353">
        <v>4</v>
      </c>
      <c r="K14" s="3354">
        <v>4</v>
      </c>
      <c r="L14" s="3353">
        <v>4</v>
      </c>
      <c r="M14" s="3355" t="s">
        <v>37</v>
      </c>
      <c r="N14" s="3352" t="s">
        <v>37</v>
      </c>
      <c r="O14" s="3352" t="s">
        <v>36</v>
      </c>
      <c r="P14" s="3356" t="s">
        <v>36</v>
      </c>
      <c r="Q14" s="3356" t="s">
        <v>36</v>
      </c>
      <c r="R14" s="3353" t="s">
        <v>36</v>
      </c>
      <c r="S14" s="3357" t="s">
        <v>36</v>
      </c>
      <c r="T14" s="3356"/>
      <c r="U14" s="3356"/>
      <c r="V14" s="3353">
        <v>1</v>
      </c>
      <c r="W14" s="3353">
        <v>1</v>
      </c>
      <c r="X14" s="3353">
        <v>1</v>
      </c>
      <c r="Y14" s="3353">
        <v>1</v>
      </c>
      <c r="Z14" s="3353">
        <v>1</v>
      </c>
      <c r="AA14" s="3353"/>
      <c r="AB14" s="3353"/>
      <c r="AC14" s="3353">
        <v>2</v>
      </c>
      <c r="AD14" s="3356">
        <v>2</v>
      </c>
      <c r="AE14" s="3353">
        <v>2</v>
      </c>
      <c r="AF14" s="3353">
        <v>2</v>
      </c>
      <c r="AG14" s="3358">
        <v>2</v>
      </c>
      <c r="AH14" s="182"/>
      <c r="AI14" s="182"/>
    </row>
    <row r="15" spans="1:38" ht="22.35" customHeight="1">
      <c r="A15" s="3350">
        <v>8546</v>
      </c>
      <c r="B15" s="3359" t="s">
        <v>38</v>
      </c>
      <c r="C15" s="3360">
        <v>2</v>
      </c>
      <c r="D15" s="3353">
        <v>2</v>
      </c>
      <c r="E15" s="3353">
        <v>2</v>
      </c>
      <c r="F15" s="3356" t="s">
        <v>35</v>
      </c>
      <c r="G15" s="3356" t="s">
        <v>35</v>
      </c>
      <c r="H15" s="3356" t="s">
        <v>36</v>
      </c>
      <c r="I15" s="3353" t="s">
        <v>36</v>
      </c>
      <c r="J15" s="3354" t="s">
        <v>36</v>
      </c>
      <c r="K15" s="3356" t="s">
        <v>36</v>
      </c>
      <c r="L15" s="3353" t="s">
        <v>36</v>
      </c>
      <c r="M15" s="3353"/>
      <c r="N15" s="3353"/>
      <c r="O15" s="672">
        <v>4</v>
      </c>
      <c r="P15" s="672">
        <v>4</v>
      </c>
      <c r="Q15" s="672">
        <v>4</v>
      </c>
      <c r="R15" s="672">
        <v>4</v>
      </c>
      <c r="S15" s="672">
        <v>4</v>
      </c>
      <c r="T15" s="3353" t="s">
        <v>37</v>
      </c>
      <c r="U15" s="3353" t="s">
        <v>37</v>
      </c>
      <c r="V15" s="3353" t="s">
        <v>36</v>
      </c>
      <c r="W15" s="3353" t="s">
        <v>36</v>
      </c>
      <c r="X15" s="3353" t="s">
        <v>36</v>
      </c>
      <c r="Y15" s="3353" t="s">
        <v>36</v>
      </c>
      <c r="Z15" s="3353" t="s">
        <v>36</v>
      </c>
      <c r="AA15" s="3353"/>
      <c r="AB15" s="3353"/>
      <c r="AC15" s="3353">
        <v>1</v>
      </c>
      <c r="AD15" s="3353">
        <v>1</v>
      </c>
      <c r="AE15" s="3353">
        <v>1</v>
      </c>
      <c r="AF15" s="3353">
        <v>1</v>
      </c>
      <c r="AG15" s="3358">
        <v>1</v>
      </c>
      <c r="AH15" s="182"/>
      <c r="AI15" s="182"/>
      <c r="AL15" t="s">
        <v>0</v>
      </c>
    </row>
    <row r="16" spans="1:38" ht="22.35" customHeight="1">
      <c r="A16" s="3350">
        <v>8546</v>
      </c>
      <c r="B16" s="3361" t="s">
        <v>39</v>
      </c>
      <c r="C16" s="3356" t="s">
        <v>36</v>
      </c>
      <c r="D16" s="3353" t="s">
        <v>36</v>
      </c>
      <c r="E16" s="3353" t="s">
        <v>36</v>
      </c>
      <c r="F16" s="3353"/>
      <c r="G16" s="3353"/>
      <c r="H16" s="3353">
        <v>1</v>
      </c>
      <c r="I16" s="3362">
        <v>1</v>
      </c>
      <c r="J16" s="3353">
        <v>1</v>
      </c>
      <c r="K16" s="3363">
        <v>1</v>
      </c>
      <c r="L16" s="3363">
        <v>1</v>
      </c>
      <c r="M16" s="3353"/>
      <c r="N16" s="3356"/>
      <c r="O16" s="3356">
        <v>2</v>
      </c>
      <c r="P16" s="3356">
        <v>2</v>
      </c>
      <c r="Q16" s="3356">
        <v>2</v>
      </c>
      <c r="R16" s="3356">
        <v>2</v>
      </c>
      <c r="S16" s="3353">
        <v>2</v>
      </c>
      <c r="T16" s="3353" t="s">
        <v>35</v>
      </c>
      <c r="U16" s="3353" t="s">
        <v>35</v>
      </c>
      <c r="V16" s="3353" t="s">
        <v>36</v>
      </c>
      <c r="W16" s="3354" t="s">
        <v>36</v>
      </c>
      <c r="X16" s="3353" t="s">
        <v>36</v>
      </c>
      <c r="Y16" s="3356" t="s">
        <v>36</v>
      </c>
      <c r="Z16" s="3356" t="s">
        <v>36</v>
      </c>
      <c r="AA16" s="3356"/>
      <c r="AB16" s="3356"/>
      <c r="AC16" s="3356">
        <v>4</v>
      </c>
      <c r="AD16" s="3353">
        <v>4</v>
      </c>
      <c r="AE16" s="3353">
        <v>4</v>
      </c>
      <c r="AF16" s="3353">
        <v>4</v>
      </c>
      <c r="AG16" s="3358">
        <v>4</v>
      </c>
      <c r="AH16" s="182"/>
      <c r="AI16" s="182"/>
    </row>
    <row r="17" spans="1:40" ht="22.35" customHeight="1">
      <c r="A17" s="3350">
        <v>8546</v>
      </c>
      <c r="B17" s="3359" t="s">
        <v>40</v>
      </c>
      <c r="C17" s="3353">
        <v>4</v>
      </c>
      <c r="D17" s="3354">
        <v>4</v>
      </c>
      <c r="E17" s="3353">
        <v>4</v>
      </c>
      <c r="F17" s="3364" t="s">
        <v>37</v>
      </c>
      <c r="G17" s="3365" t="s">
        <v>37</v>
      </c>
      <c r="H17" s="3353" t="s">
        <v>36</v>
      </c>
      <c r="I17" s="3360" t="s">
        <v>36</v>
      </c>
      <c r="J17" s="3353" t="s">
        <v>36</v>
      </c>
      <c r="K17" s="3353" t="s">
        <v>36</v>
      </c>
      <c r="L17" s="3353" t="s">
        <v>36</v>
      </c>
      <c r="M17" s="3352"/>
      <c r="N17" s="3352"/>
      <c r="O17" s="3352">
        <v>1</v>
      </c>
      <c r="P17" s="3352">
        <v>1</v>
      </c>
      <c r="Q17" s="3352">
        <v>1</v>
      </c>
      <c r="R17" s="3352">
        <v>1</v>
      </c>
      <c r="S17" s="3352">
        <v>1</v>
      </c>
      <c r="T17" s="3353"/>
      <c r="U17" s="3353"/>
      <c r="V17" s="3366">
        <v>2</v>
      </c>
      <c r="W17" s="3366">
        <v>2</v>
      </c>
      <c r="X17" s="3366">
        <v>2</v>
      </c>
      <c r="Y17" s="3366">
        <v>2</v>
      </c>
      <c r="Z17" s="3366">
        <v>2</v>
      </c>
      <c r="AA17" s="3366" t="s">
        <v>35</v>
      </c>
      <c r="AB17" s="3366" t="s">
        <v>35</v>
      </c>
      <c r="AC17" s="3366" t="s">
        <v>36</v>
      </c>
      <c r="AD17" s="3366" t="s">
        <v>36</v>
      </c>
      <c r="AE17" s="3366" t="s">
        <v>36</v>
      </c>
      <c r="AF17" s="3366" t="s">
        <v>363</v>
      </c>
      <c r="AG17" s="3358" t="s">
        <v>36</v>
      </c>
      <c r="AH17" s="182"/>
      <c r="AI17" s="182"/>
    </row>
    <row r="18" spans="1:40" ht="22.35" customHeight="1">
      <c r="A18" s="3350">
        <v>8546</v>
      </c>
      <c r="B18" s="3361" t="s">
        <v>41</v>
      </c>
      <c r="C18" s="3360">
        <v>1</v>
      </c>
      <c r="D18" s="3367">
        <v>1</v>
      </c>
      <c r="E18" s="3367">
        <v>1</v>
      </c>
      <c r="F18" s="3353"/>
      <c r="G18" s="3353"/>
      <c r="H18" s="3353">
        <v>2</v>
      </c>
      <c r="I18" s="3368">
        <v>2</v>
      </c>
      <c r="J18" s="3356">
        <v>2</v>
      </c>
      <c r="K18" s="3356">
        <v>2</v>
      </c>
      <c r="L18" s="3353">
        <v>2</v>
      </c>
      <c r="M18" s="3356" t="s">
        <v>35</v>
      </c>
      <c r="N18" s="3356" t="s">
        <v>35</v>
      </c>
      <c r="O18" s="3353" t="s">
        <v>36</v>
      </c>
      <c r="P18" s="3356" t="s">
        <v>36</v>
      </c>
      <c r="Q18" s="3356" t="s">
        <v>36</v>
      </c>
      <c r="R18" s="3356" t="s">
        <v>36</v>
      </c>
      <c r="S18" s="3356" t="s">
        <v>36</v>
      </c>
      <c r="T18" s="3356"/>
      <c r="U18" s="3355"/>
      <c r="V18" s="3355">
        <v>4</v>
      </c>
      <c r="W18" s="3353">
        <v>4</v>
      </c>
      <c r="X18" s="3353">
        <v>4</v>
      </c>
      <c r="Y18" s="3353">
        <v>4</v>
      </c>
      <c r="Z18" s="3353">
        <v>4</v>
      </c>
      <c r="AA18" s="3353" t="s">
        <v>37</v>
      </c>
      <c r="AB18" s="3353" t="s">
        <v>37</v>
      </c>
      <c r="AC18" s="3369" t="s">
        <v>36</v>
      </c>
      <c r="AD18" s="3353" t="s">
        <v>36</v>
      </c>
      <c r="AE18" s="3353" t="s">
        <v>36</v>
      </c>
      <c r="AF18" s="3353" t="s">
        <v>36</v>
      </c>
      <c r="AG18" s="3358" t="s">
        <v>36</v>
      </c>
      <c r="AH18" s="182"/>
      <c r="AI18" s="182"/>
    </row>
    <row r="19" spans="1:40" ht="22.35" customHeight="1" thickBot="1">
      <c r="A19" s="3370" t="s">
        <v>42</v>
      </c>
      <c r="B19" s="3371"/>
      <c r="C19" s="3372"/>
      <c r="D19" s="3372"/>
      <c r="E19" s="3372"/>
      <c r="F19" s="3372"/>
      <c r="G19" s="3372"/>
      <c r="H19" s="3372"/>
      <c r="I19" s="3372"/>
      <c r="J19" s="3372"/>
      <c r="K19" s="3372"/>
      <c r="L19" s="3372"/>
      <c r="M19" s="3372"/>
      <c r="N19" s="3372"/>
      <c r="O19" s="3372"/>
      <c r="P19" s="3372"/>
      <c r="Q19" s="3372"/>
      <c r="R19" s="3372"/>
      <c r="S19" s="3372"/>
      <c r="T19" s="3372"/>
      <c r="U19" s="3372"/>
      <c r="V19" s="3372"/>
      <c r="W19" s="3372"/>
      <c r="X19" s="3372"/>
      <c r="Y19" s="3372"/>
      <c r="Z19" s="3372"/>
      <c r="AA19" s="3372"/>
      <c r="AB19" s="3372"/>
      <c r="AC19" s="3372"/>
      <c r="AD19" s="3372"/>
      <c r="AE19" s="3372"/>
      <c r="AF19" s="3372"/>
      <c r="AG19" s="3373"/>
      <c r="AH19" s="180"/>
      <c r="AI19" s="180"/>
      <c r="AJ19" s="3346" t="s">
        <v>30</v>
      </c>
      <c r="AK19" s="3346" t="s">
        <v>43</v>
      </c>
      <c r="AL19" s="3346" t="s">
        <v>44</v>
      </c>
      <c r="AM19" s="3346" t="s">
        <v>45</v>
      </c>
      <c r="AN19" s="3346" t="s">
        <v>46</v>
      </c>
    </row>
    <row r="20" spans="1:40" ht="22.35" customHeight="1">
      <c r="A20" s="353">
        <v>8500</v>
      </c>
      <c r="B20" s="354" t="s">
        <v>48</v>
      </c>
      <c r="C20" s="349" t="s">
        <v>32</v>
      </c>
      <c r="D20" s="349" t="s">
        <v>32</v>
      </c>
      <c r="E20" s="349" t="s">
        <v>32</v>
      </c>
      <c r="F20" s="349"/>
      <c r="G20" s="349"/>
      <c r="H20" s="349" t="s">
        <v>32</v>
      </c>
      <c r="I20" s="610" t="s">
        <v>32</v>
      </c>
      <c r="J20" s="349" t="s">
        <v>32</v>
      </c>
      <c r="K20" s="349" t="s">
        <v>32</v>
      </c>
      <c r="L20" s="349" t="s">
        <v>32</v>
      </c>
      <c r="M20" s="349"/>
      <c r="N20" s="349"/>
      <c r="O20" s="541" t="s">
        <v>32</v>
      </c>
      <c r="P20" s="349" t="s">
        <v>32</v>
      </c>
      <c r="Q20" s="349" t="s">
        <v>32</v>
      </c>
      <c r="R20" s="349" t="s">
        <v>32</v>
      </c>
      <c r="S20" s="349" t="s">
        <v>32</v>
      </c>
      <c r="T20" s="349"/>
      <c r="U20" s="349"/>
      <c r="V20" s="349" t="s">
        <v>32</v>
      </c>
      <c r="W20" s="349" t="s">
        <v>32</v>
      </c>
      <c r="X20" s="349" t="s">
        <v>32</v>
      </c>
      <c r="Y20" s="349" t="s">
        <v>32</v>
      </c>
      <c r="Z20" s="349" t="s">
        <v>0</v>
      </c>
      <c r="AA20" s="571" t="s">
        <v>35</v>
      </c>
      <c r="AB20" s="349"/>
      <c r="AC20" s="349" t="s">
        <v>32</v>
      </c>
      <c r="AD20" s="546" t="s">
        <v>32</v>
      </c>
      <c r="AE20" s="349" t="s">
        <v>32</v>
      </c>
      <c r="AF20" s="349" t="s">
        <v>32</v>
      </c>
      <c r="AG20" s="349" t="s">
        <v>0</v>
      </c>
      <c r="AH20" s="182"/>
      <c r="AI20" s="182"/>
      <c r="AJ20" s="3125"/>
      <c r="AK20" s="3125"/>
      <c r="AL20" s="3125" t="str">
        <f>IF(AJ20="","",SUM(AJ20:AK20))</f>
        <v/>
      </c>
      <c r="AM20" s="3374" t="str">
        <f>IF(AJ20="","",AL20-NormTid)</f>
        <v/>
      </c>
      <c r="AN20" s="3374" t="str">
        <f>IF(AM20="","",AM20+'November 2021'!AN20)</f>
        <v/>
      </c>
    </row>
    <row r="21" spans="1:40" ht="22.35" customHeight="1" thickBot="1">
      <c r="A21" s="3375">
        <v>8500</v>
      </c>
      <c r="B21" s="3376" t="s">
        <v>49</v>
      </c>
      <c r="C21" s="3377" t="s">
        <v>32</v>
      </c>
      <c r="D21" s="3352" t="s">
        <v>36</v>
      </c>
      <c r="E21" s="3352" t="s">
        <v>36</v>
      </c>
      <c r="F21" s="3378" t="s">
        <v>37</v>
      </c>
      <c r="G21" s="3378" t="s">
        <v>37</v>
      </c>
      <c r="H21" s="3352" t="s">
        <v>36</v>
      </c>
      <c r="I21" s="3379" t="s">
        <v>36</v>
      </c>
      <c r="J21" s="3352" t="s">
        <v>36</v>
      </c>
      <c r="K21" s="3352" t="s">
        <v>36</v>
      </c>
      <c r="L21" s="3352" t="s">
        <v>36</v>
      </c>
      <c r="M21" s="3378" t="s">
        <v>111</v>
      </c>
      <c r="N21" s="3378" t="s">
        <v>111</v>
      </c>
      <c r="O21" s="3352" t="s">
        <v>36</v>
      </c>
      <c r="P21" s="3352" t="s">
        <v>32</v>
      </c>
      <c r="Q21" s="3377" t="s">
        <v>36</v>
      </c>
      <c r="R21" s="3352" t="s">
        <v>36</v>
      </c>
      <c r="S21" s="3377" t="s">
        <v>36</v>
      </c>
      <c r="T21" s="3378"/>
      <c r="U21" s="3378"/>
      <c r="V21" s="3378">
        <v>1</v>
      </c>
      <c r="W21" s="3378" t="s">
        <v>50</v>
      </c>
      <c r="X21" s="3378" t="s">
        <v>50</v>
      </c>
      <c r="Y21" s="3380" t="s">
        <v>50</v>
      </c>
      <c r="Z21" s="3380">
        <v>1</v>
      </c>
      <c r="AA21" s="3378"/>
      <c r="AB21" s="3381" t="s">
        <v>35</v>
      </c>
      <c r="AC21" s="3352" t="s">
        <v>36</v>
      </c>
      <c r="AD21" s="3352" t="s">
        <v>36</v>
      </c>
      <c r="AE21" s="3352" t="s">
        <v>36</v>
      </c>
      <c r="AF21" s="3352" t="s">
        <v>36</v>
      </c>
      <c r="AG21" s="3352" t="s">
        <v>36</v>
      </c>
      <c r="AH21" s="182"/>
      <c r="AI21" s="182"/>
      <c r="AJ21" s="3125">
        <v>84.25</v>
      </c>
      <c r="AK21" s="3125">
        <v>2.25</v>
      </c>
      <c r="AL21" s="3125">
        <f t="shared" ref="AL21:AL23" si="0">IF(AJ21="","",SUM(AJ21:AK21))</f>
        <v>86.5</v>
      </c>
      <c r="AM21" s="3374">
        <f>IF(AJ21="","",AL21-NormTid)</f>
        <v>-73.830000000000013</v>
      </c>
      <c r="AN21" s="3374">
        <f>IF(AM21="","",AM21+'November 2021'!AN21)</f>
        <v>77.439999999999884</v>
      </c>
    </row>
    <row r="22" spans="1:40" ht="22.35" customHeight="1" thickBot="1">
      <c r="A22" s="3375">
        <v>8500</v>
      </c>
      <c r="B22" s="3376" t="s">
        <v>51</v>
      </c>
      <c r="C22" s="3377" t="s">
        <v>36</v>
      </c>
      <c r="D22" s="3352" t="s">
        <v>36</v>
      </c>
      <c r="E22" s="3352" t="s">
        <v>36</v>
      </c>
      <c r="F22" s="3378"/>
      <c r="G22" s="3378"/>
      <c r="H22" s="3352" t="s">
        <v>36</v>
      </c>
      <c r="I22" s="610" t="s">
        <v>32</v>
      </c>
      <c r="J22" s="3352" t="s">
        <v>36</v>
      </c>
      <c r="K22" s="3352" t="s">
        <v>36</v>
      </c>
      <c r="L22" s="3352" t="s">
        <v>36</v>
      </c>
      <c r="M22" s="3378"/>
      <c r="N22" s="3382"/>
      <c r="O22" s="3352">
        <v>4</v>
      </c>
      <c r="P22" s="3352">
        <v>4</v>
      </c>
      <c r="Q22" s="3352">
        <v>4</v>
      </c>
      <c r="R22" s="3352">
        <v>4</v>
      </c>
      <c r="S22" s="3352">
        <v>4</v>
      </c>
      <c r="T22" s="3378"/>
      <c r="U22" s="3382"/>
      <c r="V22" s="3352" t="s">
        <v>36</v>
      </c>
      <c r="W22" s="3352" t="s">
        <v>36</v>
      </c>
      <c r="X22" s="3352" t="s">
        <v>36</v>
      </c>
      <c r="Y22" s="3352" t="s">
        <v>36</v>
      </c>
      <c r="Z22" s="349" t="s">
        <v>36</v>
      </c>
      <c r="AA22" s="3378"/>
      <c r="AB22" s="3378"/>
      <c r="AC22" s="3353">
        <v>1</v>
      </c>
      <c r="AD22" s="3353">
        <v>1</v>
      </c>
      <c r="AE22" s="3353">
        <v>1</v>
      </c>
      <c r="AF22" s="3353">
        <v>1</v>
      </c>
      <c r="AG22" s="3383">
        <v>1</v>
      </c>
      <c r="AH22" s="182"/>
      <c r="AI22" s="182"/>
      <c r="AJ22" s="3125">
        <v>82.5</v>
      </c>
      <c r="AK22" s="3125">
        <v>3.25</v>
      </c>
      <c r="AL22" s="3125">
        <f t="shared" si="0"/>
        <v>85.75</v>
      </c>
      <c r="AM22" s="3374">
        <f>IF(AJ22="","",AL22-NormTid)</f>
        <v>-74.580000000000013</v>
      </c>
      <c r="AN22" s="3374">
        <f>IF(AM22="","",AM22+'November 2021'!AN22)</f>
        <v>33.539999999999907</v>
      </c>
    </row>
    <row r="23" spans="1:40" ht="22.35" customHeight="1">
      <c r="A23" s="3375"/>
      <c r="B23" s="3384" t="s">
        <v>75</v>
      </c>
      <c r="C23" s="3385"/>
      <c r="D23" s="3380">
        <v>1</v>
      </c>
      <c r="E23" s="3378">
        <v>1</v>
      </c>
      <c r="F23" s="3378" t="s">
        <v>111</v>
      </c>
      <c r="G23" s="3378" t="s">
        <v>111</v>
      </c>
      <c r="H23" s="3353">
        <v>4</v>
      </c>
      <c r="I23" s="3353">
        <v>4</v>
      </c>
      <c r="J23" s="3353">
        <v>4</v>
      </c>
      <c r="K23" s="3354">
        <v>4</v>
      </c>
      <c r="L23" s="3353">
        <v>4</v>
      </c>
      <c r="M23" s="3355" t="s">
        <v>37</v>
      </c>
      <c r="N23" s="3352" t="s">
        <v>37</v>
      </c>
      <c r="O23" s="3386" t="s">
        <v>36</v>
      </c>
      <c r="P23" s="3378" t="s">
        <v>36</v>
      </c>
      <c r="Q23" s="3378" t="s">
        <v>36</v>
      </c>
      <c r="R23" s="3387" t="s">
        <v>36</v>
      </c>
      <c r="S23" s="3387" t="s">
        <v>36</v>
      </c>
      <c r="T23" s="3378"/>
      <c r="U23" s="3378"/>
      <c r="V23" s="3353">
        <v>1</v>
      </c>
      <c r="W23" s="3353">
        <v>1</v>
      </c>
      <c r="X23" s="3353">
        <v>1</v>
      </c>
      <c r="Y23" s="3353">
        <v>1</v>
      </c>
      <c r="Z23" s="349" t="s">
        <v>36</v>
      </c>
      <c r="AA23" s="3353"/>
      <c r="AB23" s="3353"/>
      <c r="AC23" s="3353">
        <v>2</v>
      </c>
      <c r="AD23" s="3356">
        <v>2</v>
      </c>
      <c r="AE23" s="3353">
        <v>2</v>
      </c>
      <c r="AF23" s="3353">
        <v>2</v>
      </c>
      <c r="AG23" s="3358">
        <v>2</v>
      </c>
      <c r="AJ23" s="3125">
        <v>155.25</v>
      </c>
      <c r="AK23" s="3125">
        <v>7.25</v>
      </c>
      <c r="AL23" s="3125">
        <f t="shared" si="0"/>
        <v>162.5</v>
      </c>
      <c r="AM23" s="3374">
        <f>IF(AJ23="","",AL23-NormTid)</f>
        <v>2.1699999999999875</v>
      </c>
      <c r="AN23" s="3374">
        <f>IF(AM23="","",AM23)</f>
        <v>2.1699999999999875</v>
      </c>
    </row>
    <row r="24" spans="1:40" ht="22.35" customHeight="1" thickBot="1">
      <c r="A24" s="1283"/>
      <c r="B24" s="3388" t="s">
        <v>54</v>
      </c>
      <c r="C24" s="3378" t="s">
        <v>32</v>
      </c>
      <c r="D24" s="3378" t="s">
        <v>32</v>
      </c>
      <c r="E24" s="3378" t="s">
        <v>32</v>
      </c>
      <c r="F24" s="3378"/>
      <c r="G24" s="3378"/>
      <c r="H24" s="3378" t="s">
        <v>32</v>
      </c>
      <c r="I24" s="3378" t="s">
        <v>32</v>
      </c>
      <c r="J24" s="3378" t="s">
        <v>32</v>
      </c>
      <c r="K24" s="3378" t="s">
        <v>32</v>
      </c>
      <c r="L24" s="3378" t="s">
        <v>32</v>
      </c>
      <c r="M24" s="3378"/>
      <c r="N24" s="3382"/>
      <c r="O24" s="3382" t="s">
        <v>32</v>
      </c>
      <c r="P24" s="3389" t="s">
        <v>32</v>
      </c>
      <c r="Q24" s="3390" t="s">
        <v>32</v>
      </c>
      <c r="R24" s="3382" t="s">
        <v>32</v>
      </c>
      <c r="S24" s="3378" t="s">
        <v>32</v>
      </c>
      <c r="T24" s="3378"/>
      <c r="U24" s="3389"/>
      <c r="V24" s="3382" t="s">
        <v>32</v>
      </c>
      <c r="W24" s="3382" t="s">
        <v>32</v>
      </c>
      <c r="X24" s="3391" t="s">
        <v>32</v>
      </c>
      <c r="Y24" s="3391" t="s">
        <v>32</v>
      </c>
      <c r="Z24" s="3378"/>
      <c r="AA24" s="3378"/>
      <c r="AB24" s="3378"/>
      <c r="AC24" s="3391" t="s">
        <v>32</v>
      </c>
      <c r="AD24" s="3391" t="s">
        <v>32</v>
      </c>
      <c r="AE24" s="3391" t="s">
        <v>32</v>
      </c>
      <c r="AF24" s="3391" t="s">
        <v>32</v>
      </c>
      <c r="AG24" s="3383"/>
    </row>
    <row r="25" spans="1:40" ht="22.35" customHeight="1">
      <c r="A25" s="102"/>
      <c r="C25" t="s">
        <v>0</v>
      </c>
      <c r="D25" t="s">
        <v>0</v>
      </c>
      <c r="H25" s="211" t="s">
        <v>183</v>
      </c>
      <c r="I25" t="s">
        <v>0</v>
      </c>
      <c r="J25" t="s">
        <v>0</v>
      </c>
      <c r="K25" t="s">
        <v>0</v>
      </c>
      <c r="O25" s="232" t="s">
        <v>0</v>
      </c>
      <c r="Q25" s="653"/>
      <c r="R25" s="653"/>
      <c r="V25" t="s">
        <v>0</v>
      </c>
      <c r="Y25" s="3392" t="s">
        <v>32</v>
      </c>
      <c r="AG25" t="s">
        <v>0</v>
      </c>
    </row>
    <row r="26" spans="1:40" ht="22.35" customHeight="1">
      <c r="A26" s="102"/>
      <c r="D26" t="s">
        <v>0</v>
      </c>
      <c r="E26" t="s">
        <v>0</v>
      </c>
      <c r="I26" t="s">
        <v>0</v>
      </c>
      <c r="J26" t="s">
        <v>0</v>
      </c>
      <c r="K26" t="s">
        <v>0</v>
      </c>
      <c r="L26" t="s">
        <v>0</v>
      </c>
      <c r="O26" s="3380" t="s">
        <v>0</v>
      </c>
      <c r="P26" s="3393" t="s">
        <v>0</v>
      </c>
      <c r="Q26" s="3378" t="s">
        <v>0</v>
      </c>
      <c r="R26" s="3378" t="s">
        <v>0</v>
      </c>
      <c r="S26" s="3393">
        <v>21</v>
      </c>
      <c r="T26" s="3378">
        <v>21</v>
      </c>
      <c r="U26" s="3378">
        <v>21</v>
      </c>
      <c r="V26" s="740"/>
      <c r="X26" t="s">
        <v>0</v>
      </c>
    </row>
    <row r="27" spans="1:40" ht="22.35" customHeight="1">
      <c r="A27" s="102"/>
      <c r="O27" t="s">
        <v>0</v>
      </c>
      <c r="P27" t="s">
        <v>0</v>
      </c>
      <c r="Q27" t="s">
        <v>0</v>
      </c>
      <c r="R27" t="s">
        <v>0</v>
      </c>
      <c r="S27" t="s">
        <v>0</v>
      </c>
    </row>
    <row r="28" spans="1:40" ht="22.35" customHeight="1">
      <c r="A28" s="102"/>
      <c r="P28" t="s">
        <v>0</v>
      </c>
      <c r="Q28" t="s">
        <v>0</v>
      </c>
      <c r="R28" t="s">
        <v>0</v>
      </c>
      <c r="S28" t="s">
        <v>0</v>
      </c>
    </row>
    <row r="29" spans="1:40" ht="22.35" customHeight="1">
      <c r="A29" s="102"/>
      <c r="G29" s="192"/>
      <c r="R29" s="211" t="s">
        <v>0</v>
      </c>
      <c r="S29" t="s">
        <v>0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3394" t="s">
        <v>61</v>
      </c>
      <c r="B32" s="3337"/>
      <c r="C32" s="3337"/>
      <c r="D32" s="3395" t="s">
        <v>62</v>
      </c>
      <c r="E32" s="3396"/>
      <c r="F32" s="3324"/>
      <c r="G32" s="3324"/>
      <c r="H32" s="3324"/>
      <c r="I32" s="3324"/>
      <c r="J32" s="3324"/>
      <c r="K32" s="3324"/>
      <c r="L32" s="3332"/>
      <c r="M32" s="3397" t="s">
        <v>63</v>
      </c>
      <c r="N32" s="3337"/>
      <c r="O32" s="3398"/>
      <c r="P32" s="3337"/>
      <c r="Q32" s="3337"/>
      <c r="R32" s="3337"/>
      <c r="S32" s="3399"/>
      <c r="T32" s="3395" t="s">
        <v>64</v>
      </c>
      <c r="U32" s="3324"/>
      <c r="V32" s="3396"/>
      <c r="W32" s="3324"/>
      <c r="X32" s="3324"/>
      <c r="Y32" s="3324"/>
      <c r="Z32" s="3332"/>
      <c r="AA32" s="162" t="s">
        <v>65</v>
      </c>
      <c r="AD32" s="100"/>
      <c r="AG32" s="103"/>
      <c r="AK32" s="1"/>
    </row>
    <row r="33" spans="1:38" ht="22.35" customHeight="1">
      <c r="A33" s="3400" t="s">
        <v>66</v>
      </c>
      <c r="B33" s="3324"/>
      <c r="C33" s="3324"/>
      <c r="D33" s="3401"/>
      <c r="E33" s="3324"/>
      <c r="F33" s="3324"/>
      <c r="G33" s="3332"/>
      <c r="H33" s="3339" t="s">
        <v>67</v>
      </c>
      <c r="I33" s="3324"/>
      <c r="J33" s="3324"/>
      <c r="K33" s="3324"/>
      <c r="L33" s="3324"/>
      <c r="M33" s="3402"/>
      <c r="N33" s="3324"/>
      <c r="O33" s="3324"/>
      <c r="P33" s="3324"/>
      <c r="Q33" s="3324"/>
      <c r="R33" s="3324"/>
      <c r="S33" s="3324"/>
      <c r="T33" s="3401"/>
      <c r="U33" s="161" t="s">
        <v>68</v>
      </c>
      <c r="AA33" s="3398"/>
      <c r="AB33" s="3337"/>
      <c r="AC33" s="3337"/>
      <c r="AD33" s="3337"/>
      <c r="AE33" s="3337"/>
      <c r="AF33" s="3337"/>
      <c r="AG33" s="3403"/>
      <c r="AK33" s="64"/>
    </row>
    <row r="34" spans="1:38" ht="22.35" customHeight="1" thickBot="1">
      <c r="A34" s="3404" t="s">
        <v>69</v>
      </c>
      <c r="B34" s="3405"/>
      <c r="C34" s="3405"/>
      <c r="D34" s="3406"/>
      <c r="E34" s="3405"/>
      <c r="F34" s="3405"/>
      <c r="G34" s="3407"/>
      <c r="H34" s="3408" t="s">
        <v>70</v>
      </c>
      <c r="I34" s="3407"/>
      <c r="J34" s="3405"/>
      <c r="K34" s="3405"/>
      <c r="L34" s="3405"/>
      <c r="M34" s="3409"/>
      <c r="N34" s="3405"/>
      <c r="O34" s="3405"/>
      <c r="P34" s="3405"/>
      <c r="Q34" s="3410"/>
      <c r="R34" s="3410"/>
      <c r="S34" s="3410"/>
      <c r="T34" s="3406"/>
      <c r="U34" s="3411" t="s">
        <v>71</v>
      </c>
      <c r="V34" s="3405"/>
      <c r="W34" s="3405"/>
      <c r="X34" s="3405"/>
      <c r="Y34" s="3405"/>
      <c r="Z34" s="3405"/>
      <c r="AA34" s="3405"/>
      <c r="AB34" s="3405"/>
      <c r="AC34" s="3405"/>
      <c r="AD34" s="3405"/>
      <c r="AE34" s="3405"/>
      <c r="AF34" s="3405"/>
      <c r="AG34" s="3412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3413" t="s">
        <v>28</v>
      </c>
      <c r="B36" s="3414" t="s">
        <v>29</v>
      </c>
      <c r="C36" s="3342">
        <v>1</v>
      </c>
      <c r="D36" s="3342">
        <v>2</v>
      </c>
      <c r="E36" s="3342">
        <v>3</v>
      </c>
      <c r="F36" s="3343">
        <v>4</v>
      </c>
      <c r="G36" s="3343">
        <v>5</v>
      </c>
      <c r="H36" s="3342">
        <v>6</v>
      </c>
      <c r="I36" s="3342">
        <v>7</v>
      </c>
      <c r="J36" s="3342">
        <v>8</v>
      </c>
      <c r="K36" s="3342">
        <v>9</v>
      </c>
      <c r="L36" s="3342">
        <v>10</v>
      </c>
      <c r="M36" s="3343">
        <v>11</v>
      </c>
      <c r="N36" s="3343">
        <v>12</v>
      </c>
      <c r="O36" s="3342">
        <v>13</v>
      </c>
      <c r="P36" s="3342">
        <v>14</v>
      </c>
      <c r="Q36" s="3342">
        <v>15</v>
      </c>
      <c r="R36" s="3342">
        <v>16</v>
      </c>
      <c r="S36" s="3342">
        <v>17</v>
      </c>
      <c r="T36" s="3343">
        <v>18</v>
      </c>
      <c r="U36" s="3343">
        <v>19</v>
      </c>
      <c r="V36" s="3342">
        <v>20</v>
      </c>
      <c r="W36" s="3342">
        <v>21</v>
      </c>
      <c r="X36" s="3342">
        <v>22</v>
      </c>
      <c r="Y36" s="3342">
        <v>23</v>
      </c>
      <c r="Z36" s="3344">
        <v>24</v>
      </c>
      <c r="AA36" s="3343">
        <v>25</v>
      </c>
      <c r="AB36" s="3343">
        <v>26</v>
      </c>
      <c r="AC36" s="3342">
        <v>27</v>
      </c>
      <c r="AD36" s="3342">
        <v>28</v>
      </c>
      <c r="AE36" s="3342">
        <v>29</v>
      </c>
      <c r="AF36" s="3342">
        <v>30</v>
      </c>
      <c r="AG36" s="3345">
        <v>31</v>
      </c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>
        <v>4</v>
      </c>
      <c r="D37" s="349">
        <v>4</v>
      </c>
      <c r="E37" s="361">
        <v>4</v>
      </c>
      <c r="F37" s="361"/>
      <c r="G37" s="361"/>
      <c r="H37" s="361">
        <v>3</v>
      </c>
      <c r="I37" s="361">
        <v>3</v>
      </c>
      <c r="J37" s="361">
        <v>3</v>
      </c>
      <c r="K37" s="361">
        <v>3</v>
      </c>
      <c r="L37" s="361">
        <v>3</v>
      </c>
      <c r="M37" s="361"/>
      <c r="N37" s="361"/>
      <c r="O37" s="400">
        <v>11</v>
      </c>
      <c r="P37" s="361">
        <v>11</v>
      </c>
      <c r="Q37" s="350">
        <v>11</v>
      </c>
      <c r="R37" s="349">
        <v>11</v>
      </c>
      <c r="S37" s="361">
        <v>11</v>
      </c>
      <c r="T37" s="361" t="s">
        <v>73</v>
      </c>
      <c r="U37" s="361" t="s">
        <v>73</v>
      </c>
      <c r="V37" s="361" t="s">
        <v>36</v>
      </c>
      <c r="W37" s="361" t="s">
        <v>36</v>
      </c>
      <c r="X37" s="350" t="s">
        <v>36</v>
      </c>
      <c r="Y37" s="350" t="s">
        <v>36</v>
      </c>
      <c r="Z37" s="361" t="s">
        <v>36</v>
      </c>
      <c r="AA37" s="361" t="s">
        <v>74</v>
      </c>
      <c r="AB37" s="350" t="s">
        <v>74</v>
      </c>
      <c r="AC37" s="350">
        <v>8</v>
      </c>
      <c r="AD37" s="350">
        <v>8</v>
      </c>
      <c r="AE37" s="361">
        <v>8</v>
      </c>
      <c r="AF37" s="361">
        <v>8</v>
      </c>
      <c r="AG37" s="399">
        <v>8</v>
      </c>
      <c r="AH37" s="181"/>
      <c r="AI37" s="182"/>
    </row>
    <row r="38" spans="1:38" ht="22.35" customHeight="1">
      <c r="A38" s="3415">
        <v>6</v>
      </c>
      <c r="B38" s="3388" t="s">
        <v>0</v>
      </c>
      <c r="C38" s="3352" t="s">
        <v>36</v>
      </c>
      <c r="D38" s="3352" t="s">
        <v>36</v>
      </c>
      <c r="E38" s="3352" t="s">
        <v>36</v>
      </c>
      <c r="F38" s="3352"/>
      <c r="G38" s="3352"/>
      <c r="H38" s="3352">
        <v>1</v>
      </c>
      <c r="I38" s="3352">
        <v>1</v>
      </c>
      <c r="J38" s="3352">
        <v>1</v>
      </c>
      <c r="K38" s="3352">
        <v>1</v>
      </c>
      <c r="L38" s="3352">
        <v>1</v>
      </c>
      <c r="M38" s="3352"/>
      <c r="N38" s="3352"/>
      <c r="O38" s="3352">
        <v>9</v>
      </c>
      <c r="P38" s="3352">
        <v>9</v>
      </c>
      <c r="Q38" s="3352">
        <v>9</v>
      </c>
      <c r="R38" s="3352">
        <v>9</v>
      </c>
      <c r="S38" s="3352">
        <v>9</v>
      </c>
      <c r="T38" s="3352" t="s">
        <v>76</v>
      </c>
      <c r="U38" s="3352" t="s">
        <v>77</v>
      </c>
      <c r="V38" s="3352" t="s">
        <v>36</v>
      </c>
      <c r="W38" s="3352" t="s">
        <v>36</v>
      </c>
      <c r="X38" s="3352" t="s">
        <v>36</v>
      </c>
      <c r="Y38" s="3352" t="s">
        <v>36</v>
      </c>
      <c r="Z38" s="3352" t="s">
        <v>36</v>
      </c>
      <c r="AA38" s="3352" t="s">
        <v>78</v>
      </c>
      <c r="AB38" s="3352" t="s">
        <v>74</v>
      </c>
      <c r="AC38" s="3352">
        <v>6</v>
      </c>
      <c r="AD38" s="3352">
        <v>6</v>
      </c>
      <c r="AE38" s="3352">
        <v>6</v>
      </c>
      <c r="AF38" s="3352">
        <v>6</v>
      </c>
      <c r="AG38" s="3416">
        <v>6</v>
      </c>
      <c r="AH38" s="181"/>
      <c r="AI38" s="182"/>
    </row>
    <row r="39" spans="1:38" ht="22.35" customHeight="1" thickBot="1">
      <c r="A39" s="3417">
        <v>11</v>
      </c>
      <c r="B39" s="3418" t="s">
        <v>79</v>
      </c>
      <c r="C39" s="3419" t="s">
        <v>32</v>
      </c>
      <c r="D39" s="3342">
        <v>1</v>
      </c>
      <c r="E39" s="3419">
        <v>1</v>
      </c>
      <c r="F39" s="3420"/>
      <c r="G39" s="3420"/>
      <c r="H39" s="3342">
        <v>79</v>
      </c>
      <c r="I39" s="3421">
        <v>79</v>
      </c>
      <c r="J39" s="3419">
        <v>1</v>
      </c>
      <c r="K39" s="3421">
        <v>79</v>
      </c>
      <c r="L39" s="3419">
        <v>1</v>
      </c>
      <c r="M39" s="3421"/>
      <c r="N39" s="3421"/>
      <c r="O39" s="3421">
        <v>3</v>
      </c>
      <c r="P39" s="3342">
        <v>3</v>
      </c>
      <c r="Q39" s="3419">
        <v>1</v>
      </c>
      <c r="R39" s="3342">
        <v>3</v>
      </c>
      <c r="S39" s="3419">
        <v>1</v>
      </c>
      <c r="T39" s="3422" t="s">
        <v>0</v>
      </c>
      <c r="U39" s="3422" t="s">
        <v>0</v>
      </c>
      <c r="V39" s="3422">
        <v>99</v>
      </c>
      <c r="W39" s="3422" t="s">
        <v>32</v>
      </c>
      <c r="X39" s="3423" t="s">
        <v>36</v>
      </c>
      <c r="Y39" s="3420" t="s">
        <v>173</v>
      </c>
      <c r="Z39" s="3424" t="s">
        <v>36</v>
      </c>
      <c r="AA39" s="3420" t="s">
        <v>0</v>
      </c>
      <c r="AB39" s="3425" t="s">
        <v>0</v>
      </c>
      <c r="AC39" s="3422" t="s">
        <v>32</v>
      </c>
      <c r="AD39" s="3422" t="s">
        <v>32</v>
      </c>
      <c r="AE39" s="3423" t="s">
        <v>36</v>
      </c>
      <c r="AF39" s="3420" t="s">
        <v>32</v>
      </c>
      <c r="AG39" s="3424" t="s">
        <v>36</v>
      </c>
      <c r="AH39" s="181"/>
      <c r="AI39" s="182"/>
    </row>
    <row r="40" spans="1:38" ht="22.35" customHeight="1">
      <c r="A40" s="359">
        <v>2</v>
      </c>
      <c r="B40" s="175" t="s">
        <v>81</v>
      </c>
      <c r="C40" s="541">
        <v>3</v>
      </c>
      <c r="D40" s="541">
        <v>3</v>
      </c>
      <c r="E40" s="541">
        <v>3</v>
      </c>
      <c r="F40" s="541"/>
      <c r="G40" s="541"/>
      <c r="H40" s="361">
        <v>11</v>
      </c>
      <c r="I40" s="361">
        <v>11</v>
      </c>
      <c r="J40" s="349">
        <v>11</v>
      </c>
      <c r="K40" s="349">
        <v>11</v>
      </c>
      <c r="L40" s="361">
        <v>11</v>
      </c>
      <c r="M40" s="361" t="s">
        <v>73</v>
      </c>
      <c r="N40" s="361" t="s">
        <v>73</v>
      </c>
      <c r="O40" s="350" t="s">
        <v>36</v>
      </c>
      <c r="P40" s="361" t="s">
        <v>36</v>
      </c>
      <c r="Q40" s="350" t="s">
        <v>36</v>
      </c>
      <c r="R40" s="350" t="s">
        <v>36</v>
      </c>
      <c r="S40" s="349" t="s">
        <v>36</v>
      </c>
      <c r="T40" s="350" t="s">
        <v>74</v>
      </c>
      <c r="U40" s="350" t="s">
        <v>74</v>
      </c>
      <c r="V40" s="350">
        <v>8</v>
      </c>
      <c r="W40" s="350">
        <v>8</v>
      </c>
      <c r="X40" s="350">
        <v>8</v>
      </c>
      <c r="Y40" s="361">
        <v>8</v>
      </c>
      <c r="Z40" s="361">
        <v>8</v>
      </c>
      <c r="AA40" s="361"/>
      <c r="AB40" s="361"/>
      <c r="AC40" s="350" t="s">
        <v>36</v>
      </c>
      <c r="AD40" s="350" t="s">
        <v>36</v>
      </c>
      <c r="AE40" s="361" t="s">
        <v>36</v>
      </c>
      <c r="AF40" s="361" t="s">
        <v>36</v>
      </c>
      <c r="AG40" s="362" t="s">
        <v>36</v>
      </c>
      <c r="AH40" s="181"/>
      <c r="AI40" s="182"/>
    </row>
    <row r="41" spans="1:38" ht="22.35" customHeight="1">
      <c r="A41" s="3415">
        <v>7</v>
      </c>
      <c r="B41" s="3359" t="s">
        <v>82</v>
      </c>
      <c r="C41" s="3356">
        <v>1</v>
      </c>
      <c r="D41" s="3356">
        <v>1</v>
      </c>
      <c r="E41" s="3356">
        <v>1</v>
      </c>
      <c r="F41" s="3356"/>
      <c r="G41" s="3426"/>
      <c r="H41" s="3426">
        <v>9</v>
      </c>
      <c r="I41" s="3427">
        <v>9</v>
      </c>
      <c r="J41" s="3428">
        <v>9</v>
      </c>
      <c r="K41" s="3428">
        <v>9</v>
      </c>
      <c r="L41" s="3428">
        <v>9</v>
      </c>
      <c r="M41" s="3428" t="s">
        <v>76</v>
      </c>
      <c r="N41" s="3428" t="s">
        <v>77</v>
      </c>
      <c r="O41" s="3428" t="s">
        <v>36</v>
      </c>
      <c r="P41" s="3356" t="s">
        <v>36</v>
      </c>
      <c r="Q41" s="3356" t="s">
        <v>36</v>
      </c>
      <c r="R41" s="3356" t="s">
        <v>36</v>
      </c>
      <c r="S41" s="3356" t="s">
        <v>36</v>
      </c>
      <c r="T41" s="3356" t="s">
        <v>78</v>
      </c>
      <c r="U41" s="3429" t="s">
        <v>74</v>
      </c>
      <c r="V41" s="3429">
        <v>2</v>
      </c>
      <c r="W41" s="3429">
        <v>2</v>
      </c>
      <c r="X41" s="3426" t="s">
        <v>421</v>
      </c>
      <c r="Y41" s="3426" t="s">
        <v>421</v>
      </c>
      <c r="Z41" s="3426" t="s">
        <v>421</v>
      </c>
      <c r="AA41" s="3426"/>
      <c r="AB41" s="3426"/>
      <c r="AC41" s="3426" t="s">
        <v>36</v>
      </c>
      <c r="AD41" s="3426" t="s">
        <v>36</v>
      </c>
      <c r="AE41" s="3426" t="s">
        <v>36</v>
      </c>
      <c r="AF41" s="3426" t="s">
        <v>36</v>
      </c>
      <c r="AG41" s="3430" t="s">
        <v>36</v>
      </c>
      <c r="AH41" s="181"/>
      <c r="AI41" s="182"/>
    </row>
    <row r="42" spans="1:38" ht="22.35" customHeight="1" thickBot="1">
      <c r="A42" s="3417">
        <v>12</v>
      </c>
      <c r="B42" s="3431" t="s">
        <v>0</v>
      </c>
      <c r="C42" s="3421">
        <v>5</v>
      </c>
      <c r="D42" s="3421">
        <v>5</v>
      </c>
      <c r="E42" s="3421">
        <v>5</v>
      </c>
      <c r="F42" s="3421"/>
      <c r="G42" s="3421"/>
      <c r="H42" s="3421">
        <v>10</v>
      </c>
      <c r="I42" s="3420">
        <v>10</v>
      </c>
      <c r="J42" s="3420">
        <v>10</v>
      </c>
      <c r="K42" s="3342">
        <v>10</v>
      </c>
      <c r="L42" s="3420">
        <v>10</v>
      </c>
      <c r="M42" s="3420" t="s">
        <v>77</v>
      </c>
      <c r="N42" s="3420" t="s">
        <v>77</v>
      </c>
      <c r="O42" s="3420" t="s">
        <v>36</v>
      </c>
      <c r="P42" s="3420" t="s">
        <v>36</v>
      </c>
      <c r="Q42" s="3420" t="s">
        <v>36</v>
      </c>
      <c r="R42" s="3420" t="s">
        <v>36</v>
      </c>
      <c r="S42" s="3420" t="s">
        <v>36</v>
      </c>
      <c r="T42" s="3420" t="s">
        <v>80</v>
      </c>
      <c r="U42" s="3425" t="s">
        <v>80</v>
      </c>
      <c r="V42" s="3425">
        <v>7</v>
      </c>
      <c r="W42" s="3425">
        <v>7</v>
      </c>
      <c r="X42" s="3420">
        <v>7</v>
      </c>
      <c r="Y42" s="3420">
        <v>7</v>
      </c>
      <c r="Z42" s="3420">
        <v>7</v>
      </c>
      <c r="AA42" s="3420"/>
      <c r="AB42" s="3420"/>
      <c r="AC42" s="3342">
        <v>4</v>
      </c>
      <c r="AD42" s="3342">
        <v>4</v>
      </c>
      <c r="AE42" s="3342">
        <v>4</v>
      </c>
      <c r="AF42" s="3342">
        <v>4</v>
      </c>
      <c r="AG42" s="3432">
        <v>4</v>
      </c>
      <c r="AH42" s="181"/>
      <c r="AI42" s="182"/>
    </row>
    <row r="43" spans="1:38" ht="22.35" customHeight="1">
      <c r="A43" s="359">
        <v>3</v>
      </c>
      <c r="B43" s="363" t="s">
        <v>84</v>
      </c>
      <c r="C43" s="349">
        <v>11</v>
      </c>
      <c r="D43" s="350">
        <v>11</v>
      </c>
      <c r="E43" s="361">
        <v>11</v>
      </c>
      <c r="F43" s="361" t="s">
        <v>73</v>
      </c>
      <c r="G43" s="361" t="s">
        <v>73</v>
      </c>
      <c r="H43" s="361" t="s">
        <v>36</v>
      </c>
      <c r="I43" s="361" t="s">
        <v>36</v>
      </c>
      <c r="J43" s="350" t="s">
        <v>36</v>
      </c>
      <c r="K43" s="350" t="s">
        <v>36</v>
      </c>
      <c r="L43" s="350" t="s">
        <v>36</v>
      </c>
      <c r="M43" s="350" t="s">
        <v>74</v>
      </c>
      <c r="N43" s="350" t="s">
        <v>74</v>
      </c>
      <c r="O43" s="350">
        <v>8</v>
      </c>
      <c r="P43" s="350">
        <v>8</v>
      </c>
      <c r="Q43" s="350">
        <v>8</v>
      </c>
      <c r="R43" s="361">
        <v>8</v>
      </c>
      <c r="S43" s="361">
        <v>8</v>
      </c>
      <c r="T43" s="361"/>
      <c r="U43" s="361"/>
      <c r="V43" s="350" t="s">
        <v>36</v>
      </c>
      <c r="W43" s="350" t="s">
        <v>36</v>
      </c>
      <c r="X43" s="349" t="s">
        <v>36</v>
      </c>
      <c r="Y43" s="361" t="s">
        <v>36</v>
      </c>
      <c r="Z43" s="361" t="s">
        <v>36</v>
      </c>
      <c r="AA43" s="361"/>
      <c r="AB43" s="361"/>
      <c r="AC43" s="364">
        <v>1</v>
      </c>
      <c r="AD43" s="361">
        <v>1</v>
      </c>
      <c r="AE43" s="361">
        <v>1</v>
      </c>
      <c r="AF43" s="361">
        <v>1</v>
      </c>
      <c r="AG43" s="362">
        <v>1</v>
      </c>
      <c r="AH43" s="181"/>
      <c r="AI43" s="182"/>
    </row>
    <row r="44" spans="1:38" ht="22.35" customHeight="1">
      <c r="A44" s="3415">
        <v>8</v>
      </c>
      <c r="B44" s="3359" t="s">
        <v>85</v>
      </c>
      <c r="C44" s="3357">
        <v>9</v>
      </c>
      <c r="D44" s="3357">
        <v>9</v>
      </c>
      <c r="E44" s="3433">
        <v>9</v>
      </c>
      <c r="F44" s="3433" t="s">
        <v>76</v>
      </c>
      <c r="G44" s="3434" t="s">
        <v>77</v>
      </c>
      <c r="H44" s="3356" t="s">
        <v>36</v>
      </c>
      <c r="I44" s="3426" t="s">
        <v>36</v>
      </c>
      <c r="J44" s="3355" t="s">
        <v>36</v>
      </c>
      <c r="K44" s="3352" t="s">
        <v>36</v>
      </c>
      <c r="L44" s="3352" t="s">
        <v>36</v>
      </c>
      <c r="M44" s="3352" t="s">
        <v>78</v>
      </c>
      <c r="N44" s="3356" t="s">
        <v>74</v>
      </c>
      <c r="O44" s="3367">
        <v>6</v>
      </c>
      <c r="P44" s="3367">
        <v>6</v>
      </c>
      <c r="Q44" s="3367">
        <v>6</v>
      </c>
      <c r="R44" s="3435">
        <v>6</v>
      </c>
      <c r="S44" s="3435">
        <v>6</v>
      </c>
      <c r="T44" s="3435"/>
      <c r="U44" s="3435"/>
      <c r="V44" s="3426" t="s">
        <v>36</v>
      </c>
      <c r="W44" s="3426" t="s">
        <v>36</v>
      </c>
      <c r="X44" s="3355" t="s">
        <v>36</v>
      </c>
      <c r="Y44" s="3426" t="s">
        <v>36</v>
      </c>
      <c r="Z44" s="3426" t="s">
        <v>36</v>
      </c>
      <c r="AA44" s="3426"/>
      <c r="AB44" s="3426"/>
      <c r="AC44" s="3426">
        <v>5</v>
      </c>
      <c r="AD44" s="3356">
        <v>5</v>
      </c>
      <c r="AE44" s="3356">
        <v>5</v>
      </c>
      <c r="AF44" s="3357">
        <v>5</v>
      </c>
      <c r="AG44" s="3436">
        <v>5</v>
      </c>
      <c r="AH44" s="181"/>
      <c r="AI44" s="182"/>
    </row>
    <row r="45" spans="1:38" ht="22.35" customHeight="1" thickBot="1">
      <c r="A45" s="3417">
        <v>13</v>
      </c>
      <c r="B45" s="3418" t="s">
        <v>86</v>
      </c>
      <c r="C45" s="3342">
        <v>10</v>
      </c>
      <c r="D45" s="3342">
        <v>10</v>
      </c>
      <c r="E45" s="3420">
        <v>10</v>
      </c>
      <c r="F45" s="3437" t="s">
        <v>77</v>
      </c>
      <c r="G45" s="3437" t="s">
        <v>77</v>
      </c>
      <c r="H45" s="3420" t="s">
        <v>36</v>
      </c>
      <c r="I45" s="3420" t="s">
        <v>36</v>
      </c>
      <c r="J45" s="3342" t="s">
        <v>36</v>
      </c>
      <c r="K45" s="3420" t="s">
        <v>36</v>
      </c>
      <c r="L45" s="3425" t="s">
        <v>36</v>
      </c>
      <c r="M45" s="3420" t="s">
        <v>80</v>
      </c>
      <c r="N45" s="3425" t="s">
        <v>80</v>
      </c>
      <c r="O45" s="3425">
        <v>7</v>
      </c>
      <c r="P45" s="3425">
        <v>7</v>
      </c>
      <c r="Q45" s="3420">
        <v>7</v>
      </c>
      <c r="R45" s="3420">
        <v>7</v>
      </c>
      <c r="S45" s="3420">
        <v>7</v>
      </c>
      <c r="T45" s="3420"/>
      <c r="U45" s="3420"/>
      <c r="V45" s="3420">
        <v>4</v>
      </c>
      <c r="W45" s="3420">
        <v>4</v>
      </c>
      <c r="X45" s="3420">
        <v>4</v>
      </c>
      <c r="Y45" s="3342">
        <v>4</v>
      </c>
      <c r="Z45" s="3420">
        <v>4</v>
      </c>
      <c r="AA45" s="3420"/>
      <c r="AB45" s="3420"/>
      <c r="AC45" s="3420">
        <v>3</v>
      </c>
      <c r="AD45" s="3420">
        <v>3</v>
      </c>
      <c r="AE45" s="3342">
        <v>3</v>
      </c>
      <c r="AF45" s="3420">
        <v>3</v>
      </c>
      <c r="AG45" s="3438">
        <v>3</v>
      </c>
      <c r="AH45" s="181"/>
      <c r="AI45" s="182"/>
    </row>
    <row r="46" spans="1:38" ht="22.35" customHeight="1">
      <c r="A46" s="359">
        <v>4</v>
      </c>
      <c r="B46" s="360" t="s">
        <v>87</v>
      </c>
      <c r="C46" s="361" t="s">
        <v>36</v>
      </c>
      <c r="D46" s="350" t="s">
        <v>36</v>
      </c>
      <c r="E46" s="361" t="s">
        <v>36</v>
      </c>
      <c r="F46" s="349" t="s">
        <v>74</v>
      </c>
      <c r="G46" s="349" t="s">
        <v>74</v>
      </c>
      <c r="H46" s="349">
        <v>8</v>
      </c>
      <c r="I46" s="349">
        <v>8</v>
      </c>
      <c r="J46" s="349">
        <v>8</v>
      </c>
      <c r="K46" s="349">
        <v>8</v>
      </c>
      <c r="L46" s="349">
        <v>8</v>
      </c>
      <c r="M46" s="349"/>
      <c r="N46" s="349"/>
      <c r="O46" s="349" t="s">
        <v>36</v>
      </c>
      <c r="P46" s="349" t="s">
        <v>36</v>
      </c>
      <c r="Q46" s="349" t="s">
        <v>36</v>
      </c>
      <c r="R46" s="349" t="s">
        <v>36</v>
      </c>
      <c r="S46" s="349" t="s">
        <v>36</v>
      </c>
      <c r="T46" s="361"/>
      <c r="U46" s="361"/>
      <c r="V46" s="541">
        <v>1</v>
      </c>
      <c r="W46" s="361">
        <v>1</v>
      </c>
      <c r="X46" s="361">
        <v>1</v>
      </c>
      <c r="Y46" s="349">
        <v>1</v>
      </c>
      <c r="Z46" s="361">
        <v>1</v>
      </c>
      <c r="AA46" s="361"/>
      <c r="AB46" s="361"/>
      <c r="AC46" s="361">
        <v>9</v>
      </c>
      <c r="AD46" s="361">
        <v>9</v>
      </c>
      <c r="AE46" s="350">
        <v>9</v>
      </c>
      <c r="AF46" s="361">
        <v>9</v>
      </c>
      <c r="AG46" s="362">
        <v>9</v>
      </c>
      <c r="AH46" s="181"/>
      <c r="AI46" s="182"/>
    </row>
    <row r="47" spans="1:38" ht="22.35" customHeight="1">
      <c r="A47" s="3415">
        <v>9</v>
      </c>
      <c r="B47" s="3359" t="s">
        <v>88</v>
      </c>
      <c r="C47" s="3426" t="s">
        <v>36</v>
      </c>
      <c r="D47" s="3426" t="s">
        <v>36</v>
      </c>
      <c r="E47" s="3426" t="s">
        <v>36</v>
      </c>
      <c r="F47" s="3426" t="s">
        <v>78</v>
      </c>
      <c r="G47" s="3426" t="s">
        <v>74</v>
      </c>
      <c r="H47" s="3426">
        <v>6</v>
      </c>
      <c r="I47" s="3426">
        <v>6</v>
      </c>
      <c r="J47" s="3426">
        <v>6</v>
      </c>
      <c r="K47" s="3426">
        <v>6</v>
      </c>
      <c r="L47" s="3426">
        <v>6</v>
      </c>
      <c r="M47" s="3426"/>
      <c r="N47" s="3426"/>
      <c r="O47" s="3426" t="s">
        <v>36</v>
      </c>
      <c r="P47" s="3426" t="s">
        <v>36</v>
      </c>
      <c r="Q47" s="3355" t="s">
        <v>36</v>
      </c>
      <c r="R47" s="3426" t="s">
        <v>36</v>
      </c>
      <c r="S47" s="3426" t="s">
        <v>36</v>
      </c>
      <c r="T47" s="3426"/>
      <c r="U47" s="3426"/>
      <c r="V47" s="3426">
        <v>5</v>
      </c>
      <c r="W47" s="3426">
        <v>5</v>
      </c>
      <c r="X47" s="3426">
        <v>5</v>
      </c>
      <c r="Y47" s="3426">
        <v>5</v>
      </c>
      <c r="Z47" s="3426">
        <v>5</v>
      </c>
      <c r="AA47" s="3426"/>
      <c r="AB47" s="3426"/>
      <c r="AC47" s="3426">
        <v>10</v>
      </c>
      <c r="AD47" s="3426">
        <v>10</v>
      </c>
      <c r="AE47" s="3426">
        <v>10</v>
      </c>
      <c r="AF47" s="3426">
        <v>10</v>
      </c>
      <c r="AG47" s="3430">
        <v>10</v>
      </c>
      <c r="AH47" s="181"/>
      <c r="AI47" s="182"/>
    </row>
    <row r="48" spans="1:38" ht="22.35" customHeight="1" thickBot="1">
      <c r="A48" s="3417">
        <v>14</v>
      </c>
      <c r="B48" s="3418" t="s">
        <v>89</v>
      </c>
      <c r="C48" s="3342" t="s">
        <v>36</v>
      </c>
      <c r="D48" s="3420" t="s">
        <v>36</v>
      </c>
      <c r="E48" s="3420" t="s">
        <v>36</v>
      </c>
      <c r="F48" s="3420" t="s">
        <v>80</v>
      </c>
      <c r="G48" s="3425" t="s">
        <v>80</v>
      </c>
      <c r="H48" s="3425">
        <v>7</v>
      </c>
      <c r="I48" s="3425">
        <v>7</v>
      </c>
      <c r="J48" s="3420">
        <v>7</v>
      </c>
      <c r="K48" s="3420">
        <v>7</v>
      </c>
      <c r="L48" s="3420">
        <v>7</v>
      </c>
      <c r="M48" s="3420"/>
      <c r="N48" s="3420"/>
      <c r="O48" s="3342">
        <v>4</v>
      </c>
      <c r="P48" s="3420">
        <v>4</v>
      </c>
      <c r="Q48" s="3420">
        <v>4</v>
      </c>
      <c r="R48" s="3342">
        <v>4</v>
      </c>
      <c r="S48" s="3420">
        <v>4</v>
      </c>
      <c r="T48" s="3420"/>
      <c r="U48" s="3420"/>
      <c r="V48" s="3420">
        <v>3</v>
      </c>
      <c r="W48" s="3420">
        <v>3</v>
      </c>
      <c r="X48" s="3342">
        <v>3</v>
      </c>
      <c r="Y48" s="3420">
        <v>3</v>
      </c>
      <c r="Z48" s="3439">
        <v>3</v>
      </c>
      <c r="AA48" s="3420"/>
      <c r="AB48" s="3420"/>
      <c r="AC48" s="3342">
        <v>11</v>
      </c>
      <c r="AD48" s="3420">
        <v>11</v>
      </c>
      <c r="AE48" s="3420">
        <v>11</v>
      </c>
      <c r="AF48" s="3342">
        <v>11</v>
      </c>
      <c r="AG48" s="3432">
        <v>11</v>
      </c>
      <c r="AH48" s="181"/>
      <c r="AI48" s="182"/>
    </row>
    <row r="49" spans="1:40" ht="22.35" customHeight="1">
      <c r="A49" s="359">
        <v>5</v>
      </c>
      <c r="B49" s="3359" t="s">
        <v>90</v>
      </c>
      <c r="C49" s="350">
        <v>8</v>
      </c>
      <c r="D49" s="361">
        <v>8</v>
      </c>
      <c r="E49" s="361">
        <v>8</v>
      </c>
      <c r="F49" s="350"/>
      <c r="G49" s="350"/>
      <c r="H49" s="350" t="s">
        <v>36</v>
      </c>
      <c r="I49" s="350" t="s">
        <v>36</v>
      </c>
      <c r="J49" s="350" t="s">
        <v>36</v>
      </c>
      <c r="K49" s="361" t="s">
        <v>36</v>
      </c>
      <c r="L49" s="361" t="s">
        <v>36</v>
      </c>
      <c r="M49" s="361"/>
      <c r="N49" s="351"/>
      <c r="O49" s="349">
        <v>1</v>
      </c>
      <c r="P49" s="361">
        <v>1</v>
      </c>
      <c r="Q49" s="361">
        <v>1</v>
      </c>
      <c r="R49" s="349">
        <v>1</v>
      </c>
      <c r="S49" s="361">
        <v>1</v>
      </c>
      <c r="T49" s="361"/>
      <c r="U49" s="350"/>
      <c r="V49" s="350">
        <v>9</v>
      </c>
      <c r="W49" s="350">
        <v>9</v>
      </c>
      <c r="X49" s="350">
        <v>9</v>
      </c>
      <c r="Y49" s="351">
        <v>9</v>
      </c>
      <c r="Z49" s="350">
        <v>9</v>
      </c>
      <c r="AA49" s="350" t="s">
        <v>76</v>
      </c>
      <c r="AB49" s="350" t="s">
        <v>77</v>
      </c>
      <c r="AC49" s="350" t="s">
        <v>36</v>
      </c>
      <c r="AD49" s="361" t="s">
        <v>36</v>
      </c>
      <c r="AE49" s="361" t="s">
        <v>36</v>
      </c>
      <c r="AF49" s="349" t="s">
        <v>36</v>
      </c>
      <c r="AG49" s="352" t="s">
        <v>36</v>
      </c>
      <c r="AH49" s="181"/>
      <c r="AI49" s="182"/>
    </row>
    <row r="50" spans="1:40" ht="22.35" customHeight="1">
      <c r="A50" s="3415">
        <v>10</v>
      </c>
      <c r="B50" s="3359" t="s">
        <v>91</v>
      </c>
      <c r="C50" s="3440">
        <v>6</v>
      </c>
      <c r="D50" s="3440">
        <v>6</v>
      </c>
      <c r="E50" s="3440">
        <v>6</v>
      </c>
      <c r="F50" s="3362"/>
      <c r="G50" s="3362"/>
      <c r="H50" s="3362" t="s">
        <v>36</v>
      </c>
      <c r="I50" s="3362" t="s">
        <v>36</v>
      </c>
      <c r="J50" s="3362" t="s">
        <v>36</v>
      </c>
      <c r="K50" s="3441" t="s">
        <v>36</v>
      </c>
      <c r="L50" s="3441" t="s">
        <v>363</v>
      </c>
      <c r="M50" s="3352"/>
      <c r="N50" s="3352"/>
      <c r="O50" s="3352">
        <v>5</v>
      </c>
      <c r="P50" s="3352">
        <v>5</v>
      </c>
      <c r="Q50" s="3352">
        <v>5</v>
      </c>
      <c r="R50" s="3442">
        <v>5</v>
      </c>
      <c r="S50" s="3442">
        <v>5</v>
      </c>
      <c r="T50" s="3352"/>
      <c r="U50" s="3352"/>
      <c r="V50" s="3352">
        <v>10</v>
      </c>
      <c r="W50" s="3356">
        <v>10</v>
      </c>
      <c r="X50" s="3426">
        <v>10</v>
      </c>
      <c r="Y50" s="3355">
        <v>10</v>
      </c>
      <c r="Z50" s="3426">
        <v>10</v>
      </c>
      <c r="AA50" s="3426" t="s">
        <v>77</v>
      </c>
      <c r="AB50" s="3426" t="s">
        <v>77</v>
      </c>
      <c r="AC50" s="3426" t="s">
        <v>36</v>
      </c>
      <c r="AD50" s="3426" t="s">
        <v>36</v>
      </c>
      <c r="AE50" s="3426" t="s">
        <v>36</v>
      </c>
      <c r="AF50" s="3426" t="s">
        <v>36</v>
      </c>
      <c r="AG50" s="3430" t="s">
        <v>36</v>
      </c>
      <c r="AH50" s="181"/>
      <c r="AI50" s="182"/>
    </row>
    <row r="51" spans="1:40" ht="22.35" customHeight="1" thickBot="1">
      <c r="A51" s="3417">
        <v>15</v>
      </c>
      <c r="B51" s="3418" t="s">
        <v>92</v>
      </c>
      <c r="C51" s="3420">
        <v>7</v>
      </c>
      <c r="D51" s="3420">
        <v>7</v>
      </c>
      <c r="E51" s="3420">
        <v>7</v>
      </c>
      <c r="F51" s="3425"/>
      <c r="G51" s="3425"/>
      <c r="H51" s="3425">
        <v>4</v>
      </c>
      <c r="I51" s="3425">
        <v>4</v>
      </c>
      <c r="J51" s="3425">
        <v>4</v>
      </c>
      <c r="K51" s="3342">
        <v>4</v>
      </c>
      <c r="L51" s="3420">
        <v>4</v>
      </c>
      <c r="M51" s="3420"/>
      <c r="N51" s="3420"/>
      <c r="O51" s="3443">
        <v>3</v>
      </c>
      <c r="P51" s="3443">
        <v>3</v>
      </c>
      <c r="Q51" s="3443">
        <v>3</v>
      </c>
      <c r="R51" s="3443">
        <v>3</v>
      </c>
      <c r="S51" s="3443">
        <v>3</v>
      </c>
      <c r="T51" s="3443"/>
      <c r="U51" s="3443"/>
      <c r="V51" s="3420">
        <v>11</v>
      </c>
      <c r="W51" s="3420">
        <v>11</v>
      </c>
      <c r="X51" s="3420">
        <v>11</v>
      </c>
      <c r="Y51" s="3342">
        <v>11</v>
      </c>
      <c r="Z51" s="3420">
        <v>11</v>
      </c>
      <c r="AA51" s="3420" t="s">
        <v>73</v>
      </c>
      <c r="AB51" s="3420" t="s">
        <v>73</v>
      </c>
      <c r="AC51" s="3420" t="s">
        <v>36</v>
      </c>
      <c r="AD51" s="3420" t="s">
        <v>36</v>
      </c>
      <c r="AE51" s="3342" t="s">
        <v>36</v>
      </c>
      <c r="AF51" s="3425" t="s">
        <v>36</v>
      </c>
      <c r="AG51" s="3444" t="s">
        <v>36</v>
      </c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>
      <c r="A54" s="3445" t="s">
        <v>28</v>
      </c>
      <c r="B54" s="3445"/>
      <c r="C54" s="3427"/>
      <c r="D54" s="3445" t="s">
        <v>94</v>
      </c>
      <c r="E54" s="3446"/>
      <c r="F54" s="3427"/>
      <c r="G54" s="3445" t="s">
        <v>95</v>
      </c>
      <c r="H54" s="3446"/>
      <c r="I54" s="3427"/>
      <c r="J54" s="3445" t="s">
        <v>96</v>
      </c>
      <c r="K54" s="3446"/>
      <c r="L54" s="3427"/>
      <c r="M54" s="3445" t="s">
        <v>97</v>
      </c>
      <c r="N54" s="3446"/>
      <c r="O54" s="3427"/>
      <c r="P54" s="3445" t="s">
        <v>98</v>
      </c>
      <c r="Q54" s="3446"/>
      <c r="R54" s="3447"/>
      <c r="S54" s="3448" t="s">
        <v>99</v>
      </c>
      <c r="T54" s="3446"/>
      <c r="U54" s="3427"/>
      <c r="V54" s="3445" t="s">
        <v>100</v>
      </c>
      <c r="W54" s="3446"/>
      <c r="X54" s="3449" t="s">
        <v>101</v>
      </c>
      <c r="Y54" s="3446"/>
      <c r="Z54" s="3446"/>
      <c r="AA54" s="3450"/>
      <c r="AB54" s="3326"/>
      <c r="AC54" s="3326"/>
      <c r="AD54" s="3326"/>
      <c r="AE54" s="3326"/>
      <c r="AF54" s="3326"/>
      <c r="AG54" s="3327"/>
      <c r="AH54" s="1"/>
      <c r="AK54" s="192"/>
    </row>
    <row r="55" spans="1:40" ht="22.35" customHeight="1">
      <c r="A55" s="3451">
        <v>8517</v>
      </c>
      <c r="B55" s="3452" t="s">
        <v>381</v>
      </c>
      <c r="C55" s="3453" t="s">
        <v>394</v>
      </c>
      <c r="D55" s="3454"/>
      <c r="E55" s="3325"/>
      <c r="F55" s="3453" t="s">
        <v>394</v>
      </c>
      <c r="G55" s="3454"/>
      <c r="H55" s="3454"/>
      <c r="I55" s="3453" t="s">
        <v>394</v>
      </c>
      <c r="J55" s="3454"/>
      <c r="K55" s="3454"/>
      <c r="L55" s="3453" t="s">
        <v>394</v>
      </c>
      <c r="M55" s="3454"/>
      <c r="N55" s="3454"/>
      <c r="O55" s="3453" t="s">
        <v>394</v>
      </c>
      <c r="P55" s="3454"/>
      <c r="Q55" s="3325"/>
      <c r="R55" s="3453"/>
      <c r="S55" s="3454"/>
      <c r="T55" s="3325"/>
      <c r="U55" s="3453" t="s">
        <v>383</v>
      </c>
      <c r="V55" s="3454"/>
      <c r="W55" s="3325"/>
      <c r="X55" s="3323"/>
      <c r="Y55" s="3326"/>
      <c r="Z55" s="3326"/>
      <c r="AA55" s="3326"/>
      <c r="AB55" s="3326"/>
      <c r="AC55" s="3326"/>
      <c r="AD55" s="3326"/>
      <c r="AE55" s="3326"/>
      <c r="AF55" s="3326"/>
      <c r="AG55" s="3327"/>
      <c r="AH55" s="1"/>
    </row>
    <row r="56" spans="1:40" ht="22.35" customHeight="1">
      <c r="B56" s="3350" t="s">
        <v>102</v>
      </c>
      <c r="C56" s="3455" t="s">
        <v>103</v>
      </c>
      <c r="D56" s="3456"/>
      <c r="E56" s="3457"/>
      <c r="F56" s="3455" t="s">
        <v>103</v>
      </c>
      <c r="G56" s="3458"/>
      <c r="H56" s="3457"/>
      <c r="I56" s="3453" t="s">
        <v>103</v>
      </c>
      <c r="J56" s="3454"/>
      <c r="K56" s="3459"/>
      <c r="L56" s="3453" t="s">
        <v>103</v>
      </c>
      <c r="M56" s="3454"/>
      <c r="N56" s="3459"/>
      <c r="O56" s="3453" t="s">
        <v>104</v>
      </c>
      <c r="P56" s="3454"/>
      <c r="Q56" s="3325"/>
      <c r="R56" s="3460" t="s">
        <v>0</v>
      </c>
      <c r="S56" s="3454"/>
      <c r="T56" s="3459"/>
      <c r="U56" s="3454" t="s">
        <v>0</v>
      </c>
      <c r="V56" s="3454"/>
      <c r="W56" s="3325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3461"/>
      <c r="B57" s="3452" t="s">
        <v>105</v>
      </c>
      <c r="C57" s="3453" t="s">
        <v>396</v>
      </c>
      <c r="D57" s="3454"/>
      <c r="E57" s="3325"/>
      <c r="F57" s="3453" t="s">
        <v>396</v>
      </c>
      <c r="G57" s="3454"/>
      <c r="H57" s="3325"/>
      <c r="I57" s="3453" t="s">
        <v>396</v>
      </c>
      <c r="J57" s="3454"/>
      <c r="K57" s="3325"/>
      <c r="L57" s="3453" t="s">
        <v>396</v>
      </c>
      <c r="M57" s="3454"/>
      <c r="N57" s="3325"/>
      <c r="O57" s="3453" t="s">
        <v>397</v>
      </c>
      <c r="P57" s="3454"/>
      <c r="Q57" s="3325"/>
      <c r="R57" s="112"/>
      <c r="S57" s="113"/>
      <c r="T57" s="3459"/>
      <c r="U57" s="3454"/>
      <c r="V57" s="3454"/>
      <c r="W57" s="3325"/>
      <c r="X57" s="3323"/>
      <c r="Y57" s="3326"/>
      <c r="Z57" s="3326"/>
      <c r="AA57" s="3326"/>
      <c r="AB57" s="3326"/>
      <c r="AC57" s="3326"/>
      <c r="AD57" s="3326"/>
      <c r="AE57" s="3326"/>
      <c r="AF57" s="3326"/>
      <c r="AG57" s="3327"/>
      <c r="AH57" s="1"/>
    </row>
    <row r="58" spans="1:40" ht="22.35" customHeight="1">
      <c r="A58" s="3445"/>
      <c r="B58" s="3350"/>
      <c r="C58" s="3462"/>
      <c r="D58" s="3462"/>
      <c r="E58" s="3463"/>
      <c r="F58" s="3462"/>
      <c r="G58" s="3462"/>
      <c r="H58" s="3463"/>
      <c r="I58" s="3462"/>
      <c r="J58" s="3462"/>
      <c r="K58" s="3463"/>
      <c r="L58" s="3462"/>
      <c r="M58" s="3462"/>
      <c r="N58" s="3463"/>
      <c r="O58" s="3462"/>
      <c r="P58" s="3462"/>
      <c r="Q58" s="3463"/>
      <c r="R58" s="3462"/>
      <c r="S58" s="3462"/>
      <c r="T58" s="3463"/>
      <c r="U58" s="3462"/>
      <c r="V58" s="3462"/>
      <c r="W58" s="3463"/>
      <c r="X58" s="3323"/>
      <c r="Y58" s="3326"/>
      <c r="Z58" s="3326"/>
      <c r="AA58" s="3326"/>
      <c r="AB58" s="3326"/>
      <c r="AC58" s="3326"/>
      <c r="AD58" s="3326"/>
      <c r="AE58" s="3326"/>
      <c r="AF58" s="3326"/>
      <c r="AG58" s="3327"/>
      <c r="AH58" s="1"/>
      <c r="AJ58" t="s">
        <v>422</v>
      </c>
      <c r="AK58" t="s">
        <v>0</v>
      </c>
    </row>
    <row r="59" spans="1:40" ht="22.35" customHeight="1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>
      <c r="A60" s="3464"/>
      <c r="B60" s="3341" t="s">
        <v>29</v>
      </c>
      <c r="C60" s="3342">
        <v>1</v>
      </c>
      <c r="D60" s="3342">
        <v>2</v>
      </c>
      <c r="E60" s="3342">
        <v>3</v>
      </c>
      <c r="F60" s="3343">
        <v>4</v>
      </c>
      <c r="G60" s="3343">
        <v>5</v>
      </c>
      <c r="H60" s="3342">
        <v>6</v>
      </c>
      <c r="I60" s="3342">
        <v>7</v>
      </c>
      <c r="J60" s="3342">
        <v>8</v>
      </c>
      <c r="K60" s="3342">
        <v>9</v>
      </c>
      <c r="L60" s="3342">
        <v>10</v>
      </c>
      <c r="M60" s="3343">
        <v>11</v>
      </c>
      <c r="N60" s="3343">
        <v>12</v>
      </c>
      <c r="O60" s="3342">
        <v>13</v>
      </c>
      <c r="P60" s="3342">
        <v>14</v>
      </c>
      <c r="Q60" s="3342">
        <v>15</v>
      </c>
      <c r="R60" s="3342">
        <v>16</v>
      </c>
      <c r="S60" s="3342">
        <v>17</v>
      </c>
      <c r="T60" s="3343">
        <v>18</v>
      </c>
      <c r="U60" s="3343">
        <v>19</v>
      </c>
      <c r="V60" s="3342">
        <v>20</v>
      </c>
      <c r="W60" s="3342">
        <v>21</v>
      </c>
      <c r="X60" s="3342">
        <v>22</v>
      </c>
      <c r="Y60" s="3342">
        <v>23</v>
      </c>
      <c r="Z60" s="3344">
        <v>24</v>
      </c>
      <c r="AA60" s="3343">
        <v>25</v>
      </c>
      <c r="AB60" s="3343">
        <v>26</v>
      </c>
      <c r="AC60" s="3342">
        <v>27</v>
      </c>
      <c r="AD60" s="3342">
        <v>28</v>
      </c>
      <c r="AE60" s="3342">
        <v>29</v>
      </c>
      <c r="AF60" s="3342">
        <v>30</v>
      </c>
      <c r="AG60" s="3345">
        <v>31</v>
      </c>
      <c r="AH60" s="1"/>
      <c r="AJ60" s="3346" t="s">
        <v>30</v>
      </c>
      <c r="AK60" s="3346" t="s">
        <v>43</v>
      </c>
      <c r="AL60" s="3346" t="s">
        <v>44</v>
      </c>
      <c r="AM60" s="3346" t="s">
        <v>45</v>
      </c>
      <c r="AN60" s="3346" t="s">
        <v>46</v>
      </c>
    </row>
    <row r="61" spans="1:40" ht="22.35" customHeight="1" thickBot="1">
      <c r="A61" s="303"/>
      <c r="B61" s="304" t="s">
        <v>107</v>
      </c>
      <c r="C61" s="305" t="s">
        <v>108</v>
      </c>
      <c r="D61" s="305" t="s">
        <v>108</v>
      </c>
      <c r="E61" s="305" t="s">
        <v>108</v>
      </c>
      <c r="F61" s="653" t="s">
        <v>109</v>
      </c>
      <c r="G61" s="653" t="s">
        <v>109</v>
      </c>
      <c r="H61" s="653" t="s">
        <v>36</v>
      </c>
      <c r="I61" s="653" t="s">
        <v>36</v>
      </c>
      <c r="J61" s="653" t="s">
        <v>36</v>
      </c>
      <c r="K61" s="598" t="s">
        <v>36</v>
      </c>
      <c r="L61" s="653" t="s">
        <v>36</v>
      </c>
      <c r="M61" s="653"/>
      <c r="N61" s="3465" t="s">
        <v>0</v>
      </c>
      <c r="O61" s="507">
        <v>25</v>
      </c>
      <c r="P61" s="507">
        <v>25</v>
      </c>
      <c r="Q61" s="507">
        <v>25</v>
      </c>
      <c r="R61" s="507">
        <v>25</v>
      </c>
      <c r="S61" s="507">
        <v>25</v>
      </c>
      <c r="T61" s="307"/>
      <c r="U61" s="307"/>
      <c r="V61" s="3392" t="s">
        <v>32</v>
      </c>
      <c r="W61" s="3392" t="s">
        <v>32</v>
      </c>
      <c r="X61" s="3392" t="s">
        <v>32</v>
      </c>
      <c r="Y61" s="3392" t="s">
        <v>32</v>
      </c>
      <c r="Z61" s="3392" t="s">
        <v>32</v>
      </c>
      <c r="AA61" s="653"/>
      <c r="AB61" s="653"/>
      <c r="AC61" s="653">
        <v>89</v>
      </c>
      <c r="AD61" s="611">
        <v>89</v>
      </c>
      <c r="AE61" s="683">
        <v>89</v>
      </c>
      <c r="AF61" s="683">
        <v>89</v>
      </c>
      <c r="AG61" s="3466">
        <v>26</v>
      </c>
      <c r="AH61" s="1"/>
      <c r="AJ61" s="3125">
        <v>160.25</v>
      </c>
      <c r="AK61" s="3125">
        <v>7.5</v>
      </c>
      <c r="AL61" s="3125">
        <f>IF(AJ61="","",SUM(AJ61:AK61))</f>
        <v>167.75</v>
      </c>
      <c r="AM61" s="3374">
        <f t="shared" ref="AM61:AM73" si="1">IF(AJ61="","",AL61-NormTid)</f>
        <v>7.4199999999999875</v>
      </c>
      <c r="AN61" s="3374">
        <f>IF(AM61="","",AM61+'November 2021'!AN61)</f>
        <v>64.039999999999907</v>
      </c>
    </row>
    <row r="62" spans="1:40" ht="22.35" customHeight="1" thickBot="1">
      <c r="A62" s="3351"/>
      <c r="B62" s="3467" t="s">
        <v>110</v>
      </c>
      <c r="C62" s="3252" t="s">
        <v>50</v>
      </c>
      <c r="D62" s="3252" t="s">
        <v>50</v>
      </c>
      <c r="E62" s="3252" t="s">
        <v>50</v>
      </c>
      <c r="F62" s="3252" t="s">
        <v>111</v>
      </c>
      <c r="G62" s="3252" t="s">
        <v>111</v>
      </c>
      <c r="H62" s="3352" t="s">
        <v>36</v>
      </c>
      <c r="I62" s="3352" t="s">
        <v>36</v>
      </c>
      <c r="J62" s="3352" t="s">
        <v>36</v>
      </c>
      <c r="K62" s="3352" t="s">
        <v>36</v>
      </c>
      <c r="L62" s="3352" t="s">
        <v>36</v>
      </c>
      <c r="M62" s="3468" t="s">
        <v>111</v>
      </c>
      <c r="N62" s="3468" t="s">
        <v>111</v>
      </c>
      <c r="O62" s="3252">
        <v>26</v>
      </c>
      <c r="P62" s="3252">
        <v>26</v>
      </c>
      <c r="Q62" s="3252">
        <v>26</v>
      </c>
      <c r="R62" s="3252">
        <v>26</v>
      </c>
      <c r="S62" s="3252">
        <v>26</v>
      </c>
      <c r="T62" s="3252"/>
      <c r="U62" s="3252">
        <v>26</v>
      </c>
      <c r="V62" s="3469" t="s">
        <v>36</v>
      </c>
      <c r="W62" s="3252" t="s">
        <v>115</v>
      </c>
      <c r="X62" s="3252" t="s">
        <v>115</v>
      </c>
      <c r="Y62" s="3252" t="s">
        <v>115</v>
      </c>
      <c r="Z62" s="3469" t="s">
        <v>36</v>
      </c>
      <c r="AA62" s="3252"/>
      <c r="AB62" s="3252"/>
      <c r="AC62" s="507">
        <v>25</v>
      </c>
      <c r="AD62" s="507">
        <v>25</v>
      </c>
      <c r="AE62" s="507">
        <v>25</v>
      </c>
      <c r="AF62" s="507">
        <v>25</v>
      </c>
      <c r="AG62" s="507" t="s">
        <v>36</v>
      </c>
      <c r="AH62" s="1"/>
      <c r="AJ62" s="3125">
        <v>117.75</v>
      </c>
      <c r="AK62" s="3125">
        <v>5.5</v>
      </c>
      <c r="AL62" s="3125">
        <f t="shared" ref="AL62:AL73" si="2">IF(AJ62="","",SUM(AJ62:AK62))</f>
        <v>123.25</v>
      </c>
      <c r="AM62" s="3374">
        <f t="shared" si="1"/>
        <v>-37.080000000000013</v>
      </c>
      <c r="AN62" s="3374">
        <f>IF(AM62="","",AM62+'November 2021'!AN62)</f>
        <v>45.029999999999902</v>
      </c>
    </row>
    <row r="63" spans="1:40" ht="22.35" customHeight="1">
      <c r="A63" s="3351"/>
      <c r="B63" s="3351" t="s">
        <v>112</v>
      </c>
      <c r="C63" s="3470">
        <v>26</v>
      </c>
      <c r="D63" s="3470">
        <v>26</v>
      </c>
      <c r="E63" s="3465">
        <v>26</v>
      </c>
      <c r="F63" s="3465"/>
      <c r="G63" s="3465">
        <v>26</v>
      </c>
      <c r="H63" s="3471" t="s">
        <v>36</v>
      </c>
      <c r="I63" s="3470">
        <v>3</v>
      </c>
      <c r="J63" t="s">
        <v>32</v>
      </c>
      <c r="K63" t="s">
        <v>32</v>
      </c>
      <c r="L63" s="3465" t="s">
        <v>36</v>
      </c>
      <c r="M63" s="3465"/>
      <c r="N63" s="3465" t="s">
        <v>0</v>
      </c>
      <c r="O63" s="3392" t="s">
        <v>32</v>
      </c>
      <c r="P63" s="3392" t="s">
        <v>32</v>
      </c>
      <c r="Q63" s="3392" t="s">
        <v>32</v>
      </c>
      <c r="R63" s="3392" t="s">
        <v>32</v>
      </c>
      <c r="S63" s="3392" t="s">
        <v>32</v>
      </c>
      <c r="T63" s="3465"/>
      <c r="U63" s="3469"/>
      <c r="V63" s="507">
        <v>25</v>
      </c>
      <c r="W63" s="507">
        <v>25</v>
      </c>
      <c r="X63" s="507">
        <v>25</v>
      </c>
      <c r="Y63" s="507">
        <v>25</v>
      </c>
      <c r="Z63" s="3352" t="s">
        <v>36</v>
      </c>
      <c r="AA63" s="3377" t="s">
        <v>0</v>
      </c>
      <c r="AB63" s="3252"/>
      <c r="AC63" s="349" t="s">
        <v>173</v>
      </c>
      <c r="AD63" s="349" t="s">
        <v>173</v>
      </c>
      <c r="AE63" s="3469" t="s">
        <v>36</v>
      </c>
      <c r="AF63" s="3469" t="s">
        <v>36</v>
      </c>
      <c r="AG63" s="3469" t="s">
        <v>36</v>
      </c>
      <c r="AH63" s="1"/>
      <c r="AJ63" s="3125">
        <v>121.75</v>
      </c>
      <c r="AK63" s="3125">
        <v>5</v>
      </c>
      <c r="AL63" s="3125">
        <f t="shared" si="2"/>
        <v>126.75</v>
      </c>
      <c r="AM63" s="3374">
        <f t="shared" si="1"/>
        <v>-33.580000000000013</v>
      </c>
      <c r="AN63" s="3374">
        <f>IF(AM63="","",AM63+'November 2021'!AN63)</f>
        <v>3.7799999999999017</v>
      </c>
    </row>
    <row r="64" spans="1:40" ht="22.35" customHeight="1">
      <c r="A64" s="3351"/>
      <c r="B64" s="3351" t="s">
        <v>114</v>
      </c>
      <c r="C64" s="3377" t="s">
        <v>36</v>
      </c>
      <c r="D64" s="3377" t="s">
        <v>36</v>
      </c>
      <c r="E64" s="3377" t="s">
        <v>36</v>
      </c>
      <c r="F64" s="3252"/>
      <c r="G64" s="3252"/>
      <c r="H64" s="3392" t="s">
        <v>32</v>
      </c>
      <c r="I64" s="3392" t="s">
        <v>32</v>
      </c>
      <c r="J64" s="3392" t="s">
        <v>32</v>
      </c>
      <c r="K64" s="3392" t="s">
        <v>32</v>
      </c>
      <c r="L64" s="3392" t="s">
        <v>32</v>
      </c>
      <c r="M64" s="3252"/>
      <c r="N64" s="3252" t="s">
        <v>0</v>
      </c>
      <c r="O64" s="3469">
        <v>6</v>
      </c>
      <c r="P64" s="3469">
        <v>6</v>
      </c>
      <c r="Q64" s="3469">
        <v>6</v>
      </c>
      <c r="R64" s="3469">
        <v>6</v>
      </c>
      <c r="S64" s="3441">
        <v>6</v>
      </c>
      <c r="T64" s="3441" t="s">
        <v>76</v>
      </c>
      <c r="U64" s="3472"/>
      <c r="V64" s="3473" t="s">
        <v>32</v>
      </c>
      <c r="W64" s="3473" t="s">
        <v>32</v>
      </c>
      <c r="X64" s="3473" t="s">
        <v>278</v>
      </c>
      <c r="Y64" t="s">
        <v>126</v>
      </c>
      <c r="Z64" t="s">
        <v>36</v>
      </c>
      <c r="AA64" s="3252"/>
      <c r="AB64" s="3252"/>
      <c r="AC64" s="3392" t="s">
        <v>32</v>
      </c>
      <c r="AD64" s="3392" t="s">
        <v>32</v>
      </c>
      <c r="AE64" s="3392" t="s">
        <v>32</v>
      </c>
      <c r="AF64" s="3474" t="s">
        <v>32</v>
      </c>
      <c r="AG64" s="3392" t="s">
        <v>32</v>
      </c>
      <c r="AH64" s="1"/>
      <c r="AJ64" s="3125">
        <v>154</v>
      </c>
      <c r="AK64" s="3125">
        <v>5.25</v>
      </c>
      <c r="AL64" s="3125">
        <f t="shared" si="2"/>
        <v>159.25</v>
      </c>
      <c r="AM64" s="3374">
        <f t="shared" si="1"/>
        <v>-1.0800000000000125</v>
      </c>
      <c r="AN64" s="3374">
        <f>IF(AM64="","",AM64+'November 2021'!AN64)</f>
        <v>47.529999999999916</v>
      </c>
    </row>
    <row r="65" spans="1:40" ht="22.35" customHeight="1">
      <c r="A65" s="3351"/>
      <c r="B65" s="3351" t="s">
        <v>117</v>
      </c>
      <c r="C65" s="557" t="s">
        <v>32</v>
      </c>
      <c r="D65" t="s">
        <v>32</v>
      </c>
      <c r="E65" s="3475" t="s">
        <v>36</v>
      </c>
      <c r="F65" s="3252"/>
      <c r="G65" s="3252"/>
      <c r="H65" s="3252">
        <v>5</v>
      </c>
      <c r="I65" s="3252">
        <v>5</v>
      </c>
      <c r="J65" t="s">
        <v>32</v>
      </c>
      <c r="K65" t="s">
        <v>32</v>
      </c>
      <c r="L65" s="3252">
        <v>5</v>
      </c>
      <c r="M65" s="3392"/>
      <c r="N65" s="3392"/>
      <c r="O65" s="3252" t="s">
        <v>50</v>
      </c>
      <c r="P65" s="3252" t="s">
        <v>50</v>
      </c>
      <c r="Q65" s="3466" t="s">
        <v>50</v>
      </c>
      <c r="R65" s="3476" t="s">
        <v>50</v>
      </c>
      <c r="S65" s="3476" t="s">
        <v>50</v>
      </c>
      <c r="T65" s="3392"/>
      <c r="U65" s="3392"/>
      <c r="V65" s="3469" t="s">
        <v>124</v>
      </c>
      <c r="W65" s="3469" t="s">
        <v>124</v>
      </c>
      <c r="X65" s="3469" t="s">
        <v>124</v>
      </c>
      <c r="Y65" s="3469" t="s">
        <v>124</v>
      </c>
      <c r="Z65" s="3469" t="s">
        <v>36</v>
      </c>
      <c r="AA65" s="3392"/>
      <c r="AB65" s="3392"/>
      <c r="AC65" s="3392" t="s">
        <v>32</v>
      </c>
      <c r="AD65" s="3392" t="s">
        <v>32</v>
      </c>
      <c r="AE65" s="3392" t="s">
        <v>32</v>
      </c>
      <c r="AF65" s="3392" t="s">
        <v>32</v>
      </c>
      <c r="AG65" s="3252" t="s">
        <v>36</v>
      </c>
      <c r="AH65" s="1"/>
      <c r="AJ65" s="3125">
        <v>141.75</v>
      </c>
      <c r="AK65" s="3125">
        <v>4.5</v>
      </c>
      <c r="AL65" s="3125">
        <f t="shared" si="2"/>
        <v>146.25</v>
      </c>
      <c r="AM65" s="3374">
        <f t="shared" si="1"/>
        <v>-14.080000000000013</v>
      </c>
      <c r="AN65" s="3374">
        <f>IF(AM65="","",AM65+'November 2021'!AN65)</f>
        <v>6.0299999999999017</v>
      </c>
    </row>
    <row r="66" spans="1:40" ht="22.35" customHeight="1">
      <c r="A66" s="3351"/>
      <c r="B66" s="3351" t="s">
        <v>119</v>
      </c>
      <c r="C66" s="3466" t="s">
        <v>32</v>
      </c>
      <c r="D66" s="3466" t="s">
        <v>32</v>
      </c>
      <c r="E66" s="3466" t="s">
        <v>32</v>
      </c>
      <c r="F66" s="3466"/>
      <c r="G66" s="3466"/>
      <c r="H66" s="3466" t="s">
        <v>32</v>
      </c>
      <c r="I66" s="3466" t="s">
        <v>32</v>
      </c>
      <c r="J66" s="3466" t="s">
        <v>32</v>
      </c>
      <c r="K66" s="3466" t="s">
        <v>32</v>
      </c>
      <c r="L66" s="3466" t="s">
        <v>32</v>
      </c>
      <c r="M66" s="3466"/>
      <c r="N66" s="3466"/>
      <c r="O66" s="3466" t="s">
        <v>32</v>
      </c>
      <c r="P66" s="3466" t="s">
        <v>32</v>
      </c>
      <c r="Q66" s="3466" t="s">
        <v>32</v>
      </c>
      <c r="R66" s="3466" t="s">
        <v>32</v>
      </c>
      <c r="S66" s="3466" t="s">
        <v>32</v>
      </c>
      <c r="T66" s="3466"/>
      <c r="U66" s="3466"/>
      <c r="V66" s="3466" t="s">
        <v>32</v>
      </c>
      <c r="W66" s="3466" t="s">
        <v>32</v>
      </c>
      <c r="X66" s="3466" t="s">
        <v>32</v>
      </c>
      <c r="Y66" s="3466" t="s">
        <v>32</v>
      </c>
      <c r="Z66" s="3466" t="s">
        <v>32</v>
      </c>
      <c r="AA66" s="3466"/>
      <c r="AB66" s="3466"/>
      <c r="AC66" s="3466" t="s">
        <v>32</v>
      </c>
      <c r="AD66" s="3466" t="s">
        <v>32</v>
      </c>
      <c r="AE66" s="3466" t="s">
        <v>32</v>
      </c>
      <c r="AF66" s="3466" t="s">
        <v>32</v>
      </c>
      <c r="AG66" s="3466" t="s">
        <v>32</v>
      </c>
      <c r="AH66" s="1"/>
      <c r="AJ66" s="3125"/>
      <c r="AK66" s="3125"/>
      <c r="AL66" s="3125" t="str">
        <f t="shared" si="2"/>
        <v/>
      </c>
      <c r="AM66" s="3374" t="str">
        <f t="shared" si="1"/>
        <v/>
      </c>
      <c r="AN66" s="3374" t="str">
        <f>IF(AM66="","",AM66+'November 2021'!AN66)</f>
        <v/>
      </c>
    </row>
    <row r="67" spans="1:40" ht="22.35" customHeight="1">
      <c r="A67" s="3351"/>
      <c r="B67" s="3351" t="s">
        <v>120</v>
      </c>
      <c r="C67" s="677" t="s">
        <v>32</v>
      </c>
      <c r="D67" s="232" t="s">
        <v>32</v>
      </c>
      <c r="E67" s="3252">
        <v>5</v>
      </c>
      <c r="H67" s="3252">
        <v>26</v>
      </c>
      <c r="I67" s="3252">
        <v>26</v>
      </c>
      <c r="J67" s="3252">
        <v>26</v>
      </c>
      <c r="K67" s="3252">
        <v>26</v>
      </c>
      <c r="L67" s="3252">
        <v>26</v>
      </c>
      <c r="M67" s="3252"/>
      <c r="N67" s="3470">
        <v>26</v>
      </c>
      <c r="O67" s="3355" t="s">
        <v>122</v>
      </c>
      <c r="P67" s="3355" t="s">
        <v>122</v>
      </c>
      <c r="Q67" s="3477" t="s">
        <v>122</v>
      </c>
      <c r="R67" s="3477" t="s">
        <v>122</v>
      </c>
      <c r="S67" s="3355">
        <v>89</v>
      </c>
      <c r="T67" s="3355">
        <v>89</v>
      </c>
      <c r="U67" s="3469"/>
      <c r="V67" s="3469" t="s">
        <v>50</v>
      </c>
      <c r="W67" s="3478" t="s">
        <v>108</v>
      </c>
      <c r="X67" s="3478" t="s">
        <v>108</v>
      </c>
      <c r="Y67" s="3469">
        <v>26</v>
      </c>
      <c r="Z67" s="3469">
        <v>26</v>
      </c>
      <c r="AA67" s="3252"/>
      <c r="AB67" s="3469" t="s">
        <v>0</v>
      </c>
      <c r="AC67" s="3252" t="s">
        <v>108</v>
      </c>
      <c r="AD67" s="3252" t="s">
        <v>108</v>
      </c>
      <c r="AE67" s="3252" t="s">
        <v>108</v>
      </c>
      <c r="AF67" s="3252" t="s">
        <v>108</v>
      </c>
      <c r="AG67" s="3252" t="s">
        <v>108</v>
      </c>
      <c r="AH67" s="1"/>
      <c r="AJ67" s="3125">
        <v>182.75</v>
      </c>
      <c r="AK67" s="3125">
        <v>9.75</v>
      </c>
      <c r="AL67" s="3125">
        <f t="shared" si="2"/>
        <v>192.5</v>
      </c>
      <c r="AM67" s="3374">
        <f t="shared" si="1"/>
        <v>32.169999999999987</v>
      </c>
      <c r="AN67" s="3374">
        <f>IF(AM67="","",AM67+'November 2021'!AN67)</f>
        <v>52.8599999999999</v>
      </c>
    </row>
    <row r="68" spans="1:40" ht="22.35" customHeight="1">
      <c r="A68" s="3479"/>
      <c r="B68" s="3467" t="s">
        <v>423</v>
      </c>
      <c r="C68" s="3352" t="s">
        <v>36</v>
      </c>
      <c r="D68" s="3377" t="s">
        <v>36</v>
      </c>
      <c r="E68" s="3377" t="s">
        <v>36</v>
      </c>
      <c r="F68" s="3480"/>
      <c r="G68" s="3480" t="s">
        <v>111</v>
      </c>
      <c r="H68" s="3480">
        <v>25</v>
      </c>
      <c r="I68" s="3480">
        <v>25</v>
      </c>
      <c r="J68" s="3480">
        <v>25</v>
      </c>
      <c r="K68" s="3480">
        <v>25</v>
      </c>
      <c r="L68" s="3480">
        <v>25</v>
      </c>
      <c r="M68" s="3252"/>
      <c r="N68" s="3252" t="s">
        <v>111</v>
      </c>
      <c r="O68" s="3377" t="s">
        <v>36</v>
      </c>
      <c r="P68" s="3377" t="s">
        <v>36</v>
      </c>
      <c r="Q68" s="3377" t="s">
        <v>36</v>
      </c>
      <c r="R68" s="3377" t="s">
        <v>36</v>
      </c>
      <c r="S68" s="3352" t="s">
        <v>36</v>
      </c>
      <c r="T68" s="3252"/>
      <c r="U68" s="3481"/>
      <c r="V68" s="3482">
        <v>26</v>
      </c>
      <c r="W68" s="3469">
        <v>26</v>
      </c>
      <c r="X68" s="3469">
        <v>26</v>
      </c>
      <c r="Y68" s="3352" t="s">
        <v>36</v>
      </c>
      <c r="Z68" s="3352" t="s">
        <v>36</v>
      </c>
      <c r="AA68" s="3252"/>
      <c r="AB68" s="3252"/>
      <c r="AC68" s="3352" t="s">
        <v>36</v>
      </c>
      <c r="AD68" s="3352" t="s">
        <v>36</v>
      </c>
      <c r="AE68" s="3352" t="s">
        <v>36</v>
      </c>
      <c r="AF68" s="3352" t="s">
        <v>36</v>
      </c>
      <c r="AG68" s="3352" t="s">
        <v>36</v>
      </c>
      <c r="AH68" s="1"/>
      <c r="AJ68" s="3125">
        <v>58</v>
      </c>
      <c r="AK68" s="3125">
        <v>4.25</v>
      </c>
      <c r="AL68" s="3125">
        <f t="shared" si="2"/>
        <v>62.25</v>
      </c>
      <c r="AM68" s="3374">
        <f t="shared" si="1"/>
        <v>-98.080000000000013</v>
      </c>
      <c r="AN68" s="3374">
        <f>IF(AM68="","",AM68+'November 2021'!AN68)</f>
        <v>-9.2200000000000983</v>
      </c>
    </row>
    <row r="69" spans="1:40" ht="22.35" customHeight="1">
      <c r="A69" s="3351"/>
      <c r="B69" s="3351" t="s">
        <v>128</v>
      </c>
      <c r="C69" s="3465" t="s">
        <v>135</v>
      </c>
      <c r="D69" s="3465" t="s">
        <v>135</v>
      </c>
      <c r="E69" s="3465" t="s">
        <v>135</v>
      </c>
      <c r="F69" s="3465"/>
      <c r="G69" s="3252"/>
      <c r="H69" s="3252" t="s">
        <v>135</v>
      </c>
      <c r="I69" s="3252" t="s">
        <v>135</v>
      </c>
      <c r="J69" s="3252" t="s">
        <v>135</v>
      </c>
      <c r="K69" s="3252" t="s">
        <v>135</v>
      </c>
      <c r="L69" s="3252" t="s">
        <v>135</v>
      </c>
      <c r="M69" s="3252"/>
      <c r="N69" s="3469"/>
      <c r="O69" s="3252" t="s">
        <v>135</v>
      </c>
      <c r="P69" s="3252" t="s">
        <v>135</v>
      </c>
      <c r="Q69" s="3252" t="s">
        <v>135</v>
      </c>
      <c r="R69" s="3252" t="s">
        <v>135</v>
      </c>
      <c r="S69" s="3252" t="s">
        <v>135</v>
      </c>
      <c r="T69" s="3469"/>
      <c r="U69" s="3469"/>
      <c r="V69" s="3252" t="s">
        <v>135</v>
      </c>
      <c r="W69" s="3252" t="s">
        <v>135</v>
      </c>
      <c r="X69" s="3252" t="s">
        <v>135</v>
      </c>
      <c r="Y69" s="3252" t="s">
        <v>135</v>
      </c>
      <c r="Z69" s="3252" t="s">
        <v>135</v>
      </c>
      <c r="AA69" s="3252"/>
      <c r="AB69" s="3252"/>
      <c r="AC69" s="3469" t="s">
        <v>36</v>
      </c>
      <c r="AD69" s="3469" t="s">
        <v>36</v>
      </c>
      <c r="AE69" s="3469" t="s">
        <v>113</v>
      </c>
      <c r="AF69" s="3469" t="s">
        <v>113</v>
      </c>
      <c r="AG69" s="3469" t="s">
        <v>36</v>
      </c>
      <c r="AH69" s="1"/>
      <c r="AJ69" s="3125">
        <v>145.5</v>
      </c>
      <c r="AK69" s="3125">
        <v>0.75</v>
      </c>
      <c r="AL69" s="3125">
        <f t="shared" si="2"/>
        <v>146.25</v>
      </c>
      <c r="AM69" s="3374">
        <f t="shared" si="1"/>
        <v>-14.080000000000013</v>
      </c>
      <c r="AN69" s="3374">
        <f>IF(AM69="","",AM69+'November 2021'!AN69)</f>
        <v>2.7799999999999017</v>
      </c>
    </row>
    <row r="70" spans="1:40" ht="22.35" customHeight="1" thickBot="1">
      <c r="A70" s="3351"/>
      <c r="B70" s="3351" t="s">
        <v>130</v>
      </c>
      <c r="C70" s="3483">
        <v>25</v>
      </c>
      <c r="D70" s="3483">
        <v>25</v>
      </c>
      <c r="E70" s="3483">
        <v>25</v>
      </c>
      <c r="F70" s="3466"/>
      <c r="G70" s="3466"/>
      <c r="H70" s="3466" t="s">
        <v>50</v>
      </c>
      <c r="I70" s="3483" t="s">
        <v>32</v>
      </c>
      <c r="J70" s="617" t="s">
        <v>32</v>
      </c>
      <c r="K70" s="617" t="s">
        <v>278</v>
      </c>
      <c r="L70" s="3252" t="s">
        <v>173</v>
      </c>
      <c r="M70" s="3252" t="s">
        <v>111</v>
      </c>
      <c r="N70" s="3469" t="s">
        <v>111</v>
      </c>
      <c r="O70" s="3421">
        <v>10</v>
      </c>
      <c r="P70" s="3420">
        <v>10</v>
      </c>
      <c r="Q70" s="3342">
        <v>10</v>
      </c>
      <c r="R70" s="3342">
        <v>10</v>
      </c>
      <c r="S70" s="3420">
        <v>10</v>
      </c>
      <c r="T70" s="3422" t="s">
        <v>77</v>
      </c>
      <c r="U70" s="3422" t="s">
        <v>77</v>
      </c>
      <c r="V70" s="3469" t="s">
        <v>36</v>
      </c>
      <c r="W70" s="3469" t="s">
        <v>36</v>
      </c>
      <c r="X70" s="3469" t="s">
        <v>36</v>
      </c>
      <c r="Y70" s="3469" t="s">
        <v>36</v>
      </c>
      <c r="Z70" s="3469" t="s">
        <v>36</v>
      </c>
      <c r="AA70" s="3252"/>
      <c r="AB70" s="3252" t="s">
        <v>0</v>
      </c>
      <c r="AC70" s="3252">
        <v>26</v>
      </c>
      <c r="AD70" s="3252">
        <v>26</v>
      </c>
      <c r="AE70" s="3252">
        <v>26</v>
      </c>
      <c r="AF70" s="3252">
        <v>26</v>
      </c>
      <c r="AG70" s="3469" t="s">
        <v>36</v>
      </c>
      <c r="AH70" s="1"/>
      <c r="AJ70" s="3125">
        <v>151</v>
      </c>
      <c r="AK70" s="3125">
        <v>9</v>
      </c>
      <c r="AL70" s="3125">
        <f t="shared" si="2"/>
        <v>160</v>
      </c>
      <c r="AM70" s="3374">
        <f t="shared" si="1"/>
        <v>-0.33000000000001251</v>
      </c>
      <c r="AN70" s="3374">
        <f>IF(AM70="","",AM70+'November 2021'!AN70)</f>
        <v>28.029999999999902</v>
      </c>
    </row>
    <row r="71" spans="1:40" ht="22.35" customHeight="1">
      <c r="A71" s="3351"/>
      <c r="B71" s="3351" t="s">
        <v>131</v>
      </c>
      <c r="C71" s="3378" t="s">
        <v>122</v>
      </c>
      <c r="D71" s="3378" t="s">
        <v>122</v>
      </c>
      <c r="E71" s="3378" t="s">
        <v>122</v>
      </c>
      <c r="F71" s="3252"/>
      <c r="G71" s="3252"/>
      <c r="H71" s="3378" t="s">
        <v>122</v>
      </c>
      <c r="I71" s="3378" t="s">
        <v>122</v>
      </c>
      <c r="J71" s="3378" t="s">
        <v>122</v>
      </c>
      <c r="K71" s="3378" t="s">
        <v>122</v>
      </c>
      <c r="L71" s="3378" t="s">
        <v>122</v>
      </c>
      <c r="M71" s="3252"/>
      <c r="N71" s="3252"/>
      <c r="O71" s="3484" t="s">
        <v>32</v>
      </c>
      <c r="P71" s="3484" t="s">
        <v>32</v>
      </c>
      <c r="Q71" s="3484" t="s">
        <v>32</v>
      </c>
      <c r="R71" s="3484" t="s">
        <v>32</v>
      </c>
      <c r="S71" s="3484" t="s">
        <v>32</v>
      </c>
      <c r="T71" s="3484"/>
      <c r="U71" s="3484"/>
      <c r="V71" s="3378" t="s">
        <v>122</v>
      </c>
      <c r="W71" s="3378" t="s">
        <v>122</v>
      </c>
      <c r="X71" s="3378" t="s">
        <v>122</v>
      </c>
      <c r="Y71" s="3378" t="s">
        <v>122</v>
      </c>
      <c r="Z71" s="3377" t="s">
        <v>36</v>
      </c>
      <c r="AA71" s="3252"/>
      <c r="AB71" s="3352" t="s">
        <v>0</v>
      </c>
      <c r="AC71" s="3352" t="s">
        <v>36</v>
      </c>
      <c r="AD71" s="3352" t="s">
        <v>36</v>
      </c>
      <c r="AE71" s="3352" t="s">
        <v>36</v>
      </c>
      <c r="AF71" s="3352" t="s">
        <v>36</v>
      </c>
      <c r="AG71" s="3378" t="s">
        <v>122</v>
      </c>
      <c r="AH71" s="1"/>
      <c r="AJ71" s="3125">
        <v>132.5</v>
      </c>
      <c r="AK71" s="3125">
        <v>0</v>
      </c>
      <c r="AL71" s="3125">
        <f t="shared" si="2"/>
        <v>132.5</v>
      </c>
      <c r="AM71" s="3374">
        <f t="shared" si="1"/>
        <v>-27.830000000000013</v>
      </c>
      <c r="AN71" s="3374">
        <f>IF(AM71="","",AM71+'November 2021'!AN71)</f>
        <v>-2.9600000000001003</v>
      </c>
    </row>
    <row r="72" spans="1:40" ht="22.35" customHeight="1">
      <c r="A72" s="3351"/>
      <c r="B72" s="3351" t="s">
        <v>133</v>
      </c>
      <c r="C72" s="3252" t="s">
        <v>50</v>
      </c>
      <c r="D72" s="3252" t="s">
        <v>50</v>
      </c>
      <c r="E72" s="3252" t="s">
        <v>50</v>
      </c>
      <c r="F72" s="3252"/>
      <c r="G72" s="3252"/>
      <c r="H72" s="3252" t="s">
        <v>50</v>
      </c>
      <c r="I72" s="3252" t="s">
        <v>50</v>
      </c>
      <c r="J72" s="3252" t="s">
        <v>50</v>
      </c>
      <c r="K72" s="3252" t="s">
        <v>50</v>
      </c>
      <c r="L72" s="3252" t="s">
        <v>50</v>
      </c>
      <c r="M72" s="3252"/>
      <c r="N72" s="3252"/>
      <c r="O72" s="3252" t="s">
        <v>50</v>
      </c>
      <c r="P72" s="3252" t="s">
        <v>50</v>
      </c>
      <c r="Q72" s="3252" t="s">
        <v>50</v>
      </c>
      <c r="R72" s="3252" t="s">
        <v>50</v>
      </c>
      <c r="S72" s="3252" t="s">
        <v>50</v>
      </c>
      <c r="T72" s="3252"/>
      <c r="U72" s="3252"/>
      <c r="V72" s="3252" t="s">
        <v>50</v>
      </c>
      <c r="W72" s="3252" t="s">
        <v>50</v>
      </c>
      <c r="X72" s="3252" t="s">
        <v>50</v>
      </c>
      <c r="Y72" s="3252" t="s">
        <v>50</v>
      </c>
      <c r="Z72" s="3252" t="s">
        <v>50</v>
      </c>
      <c r="AA72" s="3252"/>
      <c r="AB72" s="3252"/>
      <c r="AC72" s="3485" t="s">
        <v>50</v>
      </c>
      <c r="AD72" s="3485" t="s">
        <v>50</v>
      </c>
      <c r="AE72" s="3485" t="s">
        <v>50</v>
      </c>
      <c r="AF72" s="3486" t="s">
        <v>50</v>
      </c>
      <c r="AG72" s="3485" t="s">
        <v>50</v>
      </c>
      <c r="AH72" s="1"/>
      <c r="AJ72" s="3125">
        <v>171.5</v>
      </c>
      <c r="AK72" s="3125">
        <v>0.5</v>
      </c>
      <c r="AL72" s="3125">
        <f t="shared" si="2"/>
        <v>172</v>
      </c>
      <c r="AM72" s="3374">
        <f t="shared" si="1"/>
        <v>11.669999999999987</v>
      </c>
      <c r="AN72" s="3374">
        <f>IF(AM72="","",AM72+'November 2021'!AN72)</f>
        <v>-6.2100000000001003</v>
      </c>
    </row>
    <row r="73" spans="1:40" ht="22.35" customHeight="1" thickBot="1">
      <c r="A73" s="3110"/>
      <c r="B73" s="3487" t="s">
        <v>139</v>
      </c>
      <c r="C73" s="751" t="s">
        <v>32</v>
      </c>
      <c r="D73" s="662" t="s">
        <v>32</v>
      </c>
      <c r="E73" s="3252">
        <v>3</v>
      </c>
      <c r="F73" s="3421"/>
      <c r="G73" s="3421"/>
      <c r="H73" s="3421">
        <v>10</v>
      </c>
      <c r="I73" s="3420">
        <v>10</v>
      </c>
      <c r="J73" s="3420">
        <v>10</v>
      </c>
      <c r="K73" s="3342">
        <v>10</v>
      </c>
      <c r="L73" s="3420">
        <v>10</v>
      </c>
      <c r="M73" s="3420" t="s">
        <v>77</v>
      </c>
      <c r="N73" s="3420" t="s">
        <v>77</v>
      </c>
      <c r="O73" s="3420" t="s">
        <v>36</v>
      </c>
      <c r="P73" s="3420" t="s">
        <v>36</v>
      </c>
      <c r="Q73" s="3420" t="s">
        <v>36</v>
      </c>
      <c r="R73" s="3420" t="s">
        <v>36</v>
      </c>
      <c r="S73" s="3420" t="s">
        <v>36</v>
      </c>
      <c r="T73" s="3420" t="s">
        <v>80</v>
      </c>
      <c r="U73" s="3425" t="s">
        <v>80</v>
      </c>
      <c r="V73" s="3425">
        <v>7</v>
      </c>
      <c r="W73" s="3425">
        <v>7</v>
      </c>
      <c r="X73" s="3420">
        <v>7</v>
      </c>
      <c r="Y73" s="3420">
        <v>7</v>
      </c>
      <c r="Z73" s="3420">
        <v>7</v>
      </c>
      <c r="AA73" s="3420"/>
      <c r="AB73" s="3420"/>
      <c r="AC73" s="3342">
        <v>4</v>
      </c>
      <c r="AD73" s="3342">
        <v>4</v>
      </c>
      <c r="AE73" s="3342">
        <v>4</v>
      </c>
      <c r="AF73" s="3342">
        <v>4</v>
      </c>
      <c r="AG73" s="3432">
        <v>4</v>
      </c>
      <c r="AJ73" s="3125">
        <v>188.25</v>
      </c>
      <c r="AK73" s="3125">
        <v>10</v>
      </c>
      <c r="AL73" s="3125">
        <f t="shared" si="2"/>
        <v>198.25</v>
      </c>
      <c r="AM73" s="3374">
        <f t="shared" si="1"/>
        <v>37.919999999999987</v>
      </c>
      <c r="AN73" s="3374">
        <f>IF(AM73="","",AM73+'November 2021'!AN75)</f>
        <v>50.589999999999975</v>
      </c>
    </row>
    <row r="74" spans="1:40" ht="22.35" customHeight="1" thickBot="1">
      <c r="A74" s="3467"/>
      <c r="B74" s="3110" t="s">
        <v>140</v>
      </c>
      <c r="C74" s="751">
        <v>5</v>
      </c>
      <c r="D74" s="232">
        <v>5</v>
      </c>
      <c r="E74" s="3475" t="s">
        <v>32</v>
      </c>
      <c r="F74" s="3252"/>
      <c r="G74" s="3252" t="s">
        <v>111</v>
      </c>
      <c r="H74" s="349" t="s">
        <v>108</v>
      </c>
      <c r="I74" s="349" t="s">
        <v>108</v>
      </c>
      <c r="J74" s="349" t="s">
        <v>108</v>
      </c>
      <c r="K74" s="349" t="s">
        <v>108</v>
      </c>
      <c r="L74" s="349" t="s">
        <v>108</v>
      </c>
      <c r="M74" s="349" t="s">
        <v>109</v>
      </c>
      <c r="N74" s="349" t="s">
        <v>109</v>
      </c>
      <c r="O74" s="3420" t="s">
        <v>36</v>
      </c>
      <c r="P74" s="3439" t="s">
        <v>36</v>
      </c>
      <c r="Q74" s="3439" t="s">
        <v>36</v>
      </c>
      <c r="R74" s="3420" t="s">
        <v>36</v>
      </c>
      <c r="S74" s="3420" t="s">
        <v>122</v>
      </c>
      <c r="T74" s="3475"/>
      <c r="U74" s="3252"/>
      <c r="V74" s="3355" t="s">
        <v>108</v>
      </c>
      <c r="W74" s="3355" t="s">
        <v>108</v>
      </c>
      <c r="X74" s="3355" t="s">
        <v>108</v>
      </c>
      <c r="Y74" s="3355" t="s">
        <v>108</v>
      </c>
      <c r="Z74" s="3355" t="s">
        <v>108</v>
      </c>
      <c r="AA74" s="3355" t="s">
        <v>109</v>
      </c>
      <c r="AB74" s="3355" t="s">
        <v>109</v>
      </c>
      <c r="AC74" s="3252" t="s">
        <v>36</v>
      </c>
      <c r="AD74" s="3252" t="s">
        <v>36</v>
      </c>
      <c r="AE74" s="3252" t="s">
        <v>36</v>
      </c>
      <c r="AF74" s="3252" t="s">
        <v>36</v>
      </c>
      <c r="AG74" s="3252" t="s">
        <v>36</v>
      </c>
      <c r="AJ74" s="3125">
        <v>155</v>
      </c>
      <c r="AK74" s="3125">
        <v>11</v>
      </c>
      <c r="AL74" s="3125">
        <f t="shared" ref="AL74:AL79" si="3">IF(AJ74="","",SUM(AJ74:AK74))</f>
        <v>166</v>
      </c>
      <c r="AM74" s="3374">
        <f t="shared" ref="AM74:AM79" si="4">IF(AJ74="","",AL74-NormTid)</f>
        <v>5.6699999999999875</v>
      </c>
      <c r="AN74" s="3374">
        <f>IF(AM74="","",AM74+'November 2021'!AN76)</f>
        <v>24.589999999999975</v>
      </c>
    </row>
    <row r="75" spans="1:40" ht="22.35" customHeight="1" thickBot="1">
      <c r="A75" s="663"/>
      <c r="B75" s="3110" t="s">
        <v>359</v>
      </c>
      <c r="C75" s="3252">
        <v>3</v>
      </c>
      <c r="D75" s="3252">
        <v>3</v>
      </c>
      <c r="E75" s="3392" t="s">
        <v>32</v>
      </c>
      <c r="F75" s="3420" t="s">
        <v>77</v>
      </c>
      <c r="G75" s="3420" t="s">
        <v>77</v>
      </c>
      <c r="H75" s="3252" t="s">
        <v>36</v>
      </c>
      <c r="I75" s="3252" t="s">
        <v>36</v>
      </c>
      <c r="J75" s="3252" t="s">
        <v>36</v>
      </c>
      <c r="K75" s="3252" t="s">
        <v>36</v>
      </c>
      <c r="L75" s="3252">
        <v>79</v>
      </c>
      <c r="M75" s="3252"/>
      <c r="N75" s="3252"/>
      <c r="O75" s="3426">
        <v>79</v>
      </c>
      <c r="P75" s="3426">
        <v>79</v>
      </c>
      <c r="Q75" s="3426">
        <v>79</v>
      </c>
      <c r="R75" s="3426">
        <v>79</v>
      </c>
      <c r="S75" s="3488">
        <v>79</v>
      </c>
      <c r="T75" s="3352" t="s">
        <v>0</v>
      </c>
      <c r="U75" s="3252"/>
      <c r="V75" s="3355">
        <v>6</v>
      </c>
      <c r="W75" s="3355">
        <v>6</v>
      </c>
      <c r="X75" s="3355">
        <v>6</v>
      </c>
      <c r="Y75" s="3477">
        <v>6</v>
      </c>
      <c r="Z75" s="3469" t="s">
        <v>36</v>
      </c>
      <c r="AA75" s="3420" t="s">
        <v>80</v>
      </c>
      <c r="AB75" s="3425" t="s">
        <v>80</v>
      </c>
      <c r="AC75" s="3425">
        <v>7</v>
      </c>
      <c r="AD75" s="3425">
        <v>7</v>
      </c>
      <c r="AE75" s="3420">
        <v>7</v>
      </c>
      <c r="AF75" s="3420">
        <v>7</v>
      </c>
      <c r="AG75" s="3438">
        <v>7</v>
      </c>
      <c r="AH75" s="1"/>
      <c r="AJ75" s="3125">
        <v>186.5</v>
      </c>
      <c r="AK75" s="3125">
        <v>8.5</v>
      </c>
      <c r="AL75" s="3125">
        <f t="shared" si="3"/>
        <v>195</v>
      </c>
      <c r="AM75" s="3374">
        <f t="shared" si="4"/>
        <v>34.669999999999987</v>
      </c>
      <c r="AN75" s="3374">
        <f>IF(AM75="","",AM75+'November 2021'!AN77)</f>
        <v>43.589999999999975</v>
      </c>
    </row>
    <row r="76" spans="1:40" ht="22.35" customHeight="1" thickBot="1">
      <c r="A76" s="3467"/>
      <c r="B76" s="3467" t="s">
        <v>398</v>
      </c>
      <c r="C76" s="3392" t="s">
        <v>32</v>
      </c>
      <c r="D76" s="3392" t="s">
        <v>32</v>
      </c>
      <c r="E76" s="3428">
        <v>9</v>
      </c>
      <c r="F76" s="3428" t="s">
        <v>76</v>
      </c>
      <c r="G76" s="3428" t="s">
        <v>77</v>
      </c>
      <c r="H76" s="3252" t="s">
        <v>36</v>
      </c>
      <c r="I76" s="3252" t="s">
        <v>36</v>
      </c>
      <c r="J76">
        <v>79</v>
      </c>
      <c r="K76" s="3475" t="s">
        <v>173</v>
      </c>
      <c r="L76" s="3378" t="s">
        <v>32</v>
      </c>
      <c r="M76" s="3252"/>
      <c r="N76" s="3252"/>
      <c r="O76" s="3484" t="s">
        <v>122</v>
      </c>
      <c r="P76" s="3484" t="s">
        <v>122</v>
      </c>
      <c r="Q76" s="3484" t="s">
        <v>122</v>
      </c>
      <c r="R76" s="3484" t="s">
        <v>122</v>
      </c>
      <c r="S76" s="3391" t="s">
        <v>32</v>
      </c>
      <c r="T76" s="3252"/>
      <c r="U76" s="3252"/>
      <c r="V76" s="3252" t="s">
        <v>141</v>
      </c>
      <c r="W76" s="3252">
        <v>99</v>
      </c>
      <c r="X76" s="3252">
        <v>99</v>
      </c>
      <c r="Y76" s="3252">
        <v>99</v>
      </c>
      <c r="Z76" s="3378" t="s">
        <v>32</v>
      </c>
      <c r="AA76" s="3252"/>
      <c r="AB76" s="3252"/>
      <c r="AC76" s="3232" t="s">
        <v>132</v>
      </c>
      <c r="AD76" s="3232" t="s">
        <v>132</v>
      </c>
      <c r="AE76" s="3232" t="s">
        <v>132</v>
      </c>
      <c r="AF76" s="3232" t="s">
        <v>132</v>
      </c>
      <c r="AG76" s="3378" t="s">
        <v>32</v>
      </c>
      <c r="AH76" s="1"/>
      <c r="AJ76" s="3125">
        <v>174.75</v>
      </c>
      <c r="AK76" s="3125">
        <v>2.5</v>
      </c>
      <c r="AL76" s="3125">
        <f t="shared" si="3"/>
        <v>177.25</v>
      </c>
      <c r="AM76" s="3374">
        <f t="shared" si="4"/>
        <v>16.919999999999987</v>
      </c>
      <c r="AN76" s="3374">
        <f>IF(AM76="","",AM76+'November 2021'!AN78)</f>
        <v>-14.660000000000025</v>
      </c>
    </row>
    <row r="77" spans="1:40" ht="22.35" customHeight="1" thickBot="1">
      <c r="A77" s="3467"/>
      <c r="B77" s="3467" t="s">
        <v>399</v>
      </c>
      <c r="C77" s="3489" t="s">
        <v>32</v>
      </c>
      <c r="D77" s="3489" t="s">
        <v>32</v>
      </c>
      <c r="E77" s="3489" t="s">
        <v>32</v>
      </c>
      <c r="F77" s="207"/>
      <c r="G77" s="207"/>
      <c r="H77" s="582">
        <v>69</v>
      </c>
      <c r="I77" s="582">
        <v>69</v>
      </c>
      <c r="J77" s="207">
        <v>3</v>
      </c>
      <c r="K77" s="582">
        <v>69</v>
      </c>
      <c r="L77" s="582">
        <v>69</v>
      </c>
      <c r="M77" s="207"/>
      <c r="N77" s="207"/>
      <c r="O77" s="3490">
        <v>5</v>
      </c>
      <c r="P77" s="3490">
        <v>5</v>
      </c>
      <c r="Q77" s="3490">
        <v>5</v>
      </c>
      <c r="R77" s="3355">
        <v>5</v>
      </c>
      <c r="S77" s="3355">
        <v>5</v>
      </c>
      <c r="T77" s="3490" t="s">
        <v>109</v>
      </c>
      <c r="U77" s="3490" t="s">
        <v>109</v>
      </c>
      <c r="V77" s="3420" t="s">
        <v>36</v>
      </c>
      <c r="W77" s="3420" t="s">
        <v>36</v>
      </c>
      <c r="X77" s="3420" t="s">
        <v>36</v>
      </c>
      <c r="Y77" s="3420" t="s">
        <v>36</v>
      </c>
      <c r="Z77" s="3420" t="s">
        <v>36</v>
      </c>
      <c r="AA77" s="203"/>
      <c r="AB77" s="203"/>
      <c r="AC77" s="635">
        <v>25</v>
      </c>
      <c r="AD77" s="635">
        <v>25</v>
      </c>
      <c r="AE77" s="635">
        <v>25</v>
      </c>
      <c r="AF77" s="635">
        <v>25</v>
      </c>
      <c r="AG77" s="225" t="s">
        <v>36</v>
      </c>
      <c r="AH77" s="1"/>
      <c r="AJ77" s="3125">
        <v>145</v>
      </c>
      <c r="AK77" s="3125">
        <v>7</v>
      </c>
      <c r="AL77" s="3125">
        <f t="shared" si="3"/>
        <v>152</v>
      </c>
      <c r="AM77" s="3374">
        <f t="shared" si="4"/>
        <v>-8.3300000000000125</v>
      </c>
      <c r="AN77" s="3374">
        <f>IF(AM77="","",AM77+'November 2021'!AN79)</f>
        <v>-8.3300000000000125</v>
      </c>
    </row>
    <row r="78" spans="1:40" ht="22.35" customHeight="1" thickBot="1">
      <c r="A78" s="3467"/>
      <c r="B78" s="3467" t="s">
        <v>424</v>
      </c>
      <c r="C78" s="3489" t="s">
        <v>32</v>
      </c>
      <c r="D78" s="3489" t="s">
        <v>32</v>
      </c>
      <c r="E78" s="3489" t="s">
        <v>32</v>
      </c>
      <c r="F78" s="207"/>
      <c r="G78" s="207"/>
      <c r="H78" s="3491">
        <v>6</v>
      </c>
      <c r="I78" s="3491">
        <v>6</v>
      </c>
      <c r="J78" s="3491">
        <v>6</v>
      </c>
      <c r="K78" s="3491">
        <v>6</v>
      </c>
      <c r="L78" s="3491">
        <v>6</v>
      </c>
      <c r="M78" s="207"/>
      <c r="N78" s="207"/>
      <c r="O78" s="3492">
        <v>9</v>
      </c>
      <c r="P78" s="3125">
        <v>21</v>
      </c>
      <c r="Q78" s="3125">
        <v>21</v>
      </c>
      <c r="R78" s="3125">
        <v>21</v>
      </c>
      <c r="S78" s="3378">
        <v>9</v>
      </c>
      <c r="T78" s="3378" t="s">
        <v>0</v>
      </c>
      <c r="U78" s="3378" t="s">
        <v>0</v>
      </c>
      <c r="V78" s="3378">
        <v>21</v>
      </c>
      <c r="W78" s="3378">
        <v>21</v>
      </c>
      <c r="X78" s="3378">
        <v>21</v>
      </c>
      <c r="Y78" s="3378">
        <v>21</v>
      </c>
      <c r="Z78" s="3420" t="s">
        <v>36</v>
      </c>
      <c r="AA78" s="203"/>
      <c r="AB78" s="203"/>
      <c r="AC78" s="582">
        <v>69</v>
      </c>
      <c r="AD78" s="582">
        <v>69</v>
      </c>
      <c r="AE78" s="680">
        <v>89</v>
      </c>
      <c r="AF78" s="680">
        <v>69</v>
      </c>
      <c r="AG78" s="207" t="s">
        <v>36</v>
      </c>
      <c r="AH78" s="1"/>
      <c r="AJ78" s="3125">
        <v>176</v>
      </c>
      <c r="AK78" s="3125">
        <v>8.75</v>
      </c>
      <c r="AL78" s="3125">
        <f t="shared" si="3"/>
        <v>184.75</v>
      </c>
      <c r="AM78" s="3374">
        <f t="shared" si="4"/>
        <v>24.419999999999987</v>
      </c>
      <c r="AN78" s="3374">
        <f>IF(AM78="","",AM78+'November 2021'!AN80)</f>
        <v>24.419999999999987</v>
      </c>
    </row>
    <row r="79" spans="1:40" ht="22.35" customHeight="1" thickBot="1">
      <c r="A79" s="3467"/>
      <c r="B79" s="3467"/>
      <c r="C79" s="203"/>
      <c r="D79" s="207"/>
      <c r="E79" s="207"/>
      <c r="F79" s="207"/>
      <c r="G79" s="207"/>
      <c r="H79" s="207"/>
      <c r="I79" s="203"/>
      <c r="J79" s="203"/>
      <c r="K79" s="207"/>
      <c r="L79" s="207"/>
      <c r="M79" s="207"/>
      <c r="N79" s="207"/>
      <c r="O79" s="207"/>
      <c r="P79" s="203"/>
      <c r="Q79" s="203"/>
      <c r="R79" s="203"/>
      <c r="S79" s="208"/>
      <c r="T79" s="208"/>
      <c r="U79" s="208"/>
      <c r="V79" s="203"/>
      <c r="W79" s="203"/>
      <c r="X79" s="203"/>
      <c r="Y79" s="203"/>
      <c r="Z79" s="203"/>
      <c r="AA79" s="203"/>
      <c r="AB79" s="203"/>
      <c r="AC79" s="203"/>
      <c r="AD79" s="203"/>
      <c r="AE79" s="203"/>
      <c r="AF79" s="203"/>
      <c r="AG79" s="225"/>
      <c r="AH79" s="1"/>
      <c r="AJ79" s="3125"/>
      <c r="AK79" s="3125"/>
      <c r="AL79" s="3125" t="str">
        <f t="shared" si="3"/>
        <v/>
      </c>
      <c r="AM79" s="3374" t="str">
        <f t="shared" si="4"/>
        <v/>
      </c>
      <c r="AN79" s="3374" t="str">
        <f>IF(AM79="","",AM79+'November 2021'!AN81)</f>
        <v/>
      </c>
    </row>
    <row r="80" spans="1:40" ht="22.35" customHeight="1" thickBot="1">
      <c r="A80" s="3119"/>
      <c r="B80" s="3479" t="s">
        <v>134</v>
      </c>
      <c r="C80" s="3355" t="s">
        <v>211</v>
      </c>
      <c r="D80" s="3355" t="s">
        <v>211</v>
      </c>
      <c r="E80" s="3355" t="s">
        <v>211</v>
      </c>
      <c r="F80" s="3355"/>
      <c r="G80" s="3355"/>
      <c r="H80" s="3355" t="s">
        <v>212</v>
      </c>
      <c r="I80" s="3355" t="s">
        <v>212</v>
      </c>
      <c r="J80" s="3355" t="s">
        <v>212</v>
      </c>
      <c r="K80" s="3367" t="s">
        <v>212</v>
      </c>
      <c r="L80" s="3355" t="s">
        <v>212</v>
      </c>
      <c r="M80" s="3428" t="s">
        <v>212</v>
      </c>
      <c r="N80" s="3355"/>
      <c r="O80" s="3367" t="s">
        <v>213</v>
      </c>
      <c r="P80" s="3355" t="s">
        <v>213</v>
      </c>
      <c r="Q80" s="3355" t="s">
        <v>213</v>
      </c>
      <c r="R80" s="3367" t="s">
        <v>213</v>
      </c>
      <c r="S80" s="3355" t="s">
        <v>36</v>
      </c>
      <c r="T80" s="3355"/>
      <c r="U80" s="3355"/>
      <c r="V80" s="3367" t="s">
        <v>211</v>
      </c>
      <c r="W80" s="3367" t="s">
        <v>211</v>
      </c>
      <c r="X80" s="3367" t="s">
        <v>211</v>
      </c>
      <c r="Y80" s="3367" t="s">
        <v>211</v>
      </c>
      <c r="Z80" s="3367" t="s">
        <v>211</v>
      </c>
      <c r="AA80" s="3367"/>
      <c r="AB80" s="3367"/>
      <c r="AC80" s="3367" t="s">
        <v>212</v>
      </c>
      <c r="AD80" s="3367" t="s">
        <v>212</v>
      </c>
      <c r="AE80" s="3367" t="s">
        <v>212</v>
      </c>
      <c r="AF80" s="3367" t="s">
        <v>212</v>
      </c>
      <c r="AG80" s="3367" t="s">
        <v>212</v>
      </c>
      <c r="AH80" s="1"/>
    </row>
    <row r="81" spans="1:36" ht="22.35" customHeight="1" thickBot="1">
      <c r="A81" s="994"/>
      <c r="B81" s="3351" t="s">
        <v>366</v>
      </c>
      <c r="C81" s="361" t="s">
        <v>36</v>
      </c>
      <c r="D81" s="350" t="s">
        <v>36</v>
      </c>
      <c r="E81" s="361" t="s">
        <v>36</v>
      </c>
      <c r="F81" s="349" t="s">
        <v>74</v>
      </c>
      <c r="G81" s="349" t="s">
        <v>74</v>
      </c>
      <c r="H81" s="349">
        <v>8</v>
      </c>
      <c r="I81" s="349">
        <v>8</v>
      </c>
      <c r="J81" s="349">
        <v>8</v>
      </c>
      <c r="K81" s="349">
        <v>8</v>
      </c>
      <c r="L81" s="349">
        <v>8</v>
      </c>
      <c r="M81" s="349"/>
      <c r="N81" s="349"/>
      <c r="O81" s="349" t="s">
        <v>36</v>
      </c>
      <c r="P81" s="349" t="s">
        <v>36</v>
      </c>
      <c r="Q81" s="349" t="s">
        <v>36</v>
      </c>
      <c r="R81" s="349" t="s">
        <v>36</v>
      </c>
      <c r="S81" s="349" t="s">
        <v>36</v>
      </c>
      <c r="T81" s="361"/>
      <c r="U81" s="361"/>
      <c r="V81" s="541">
        <v>1</v>
      </c>
      <c r="W81" s="361">
        <v>1</v>
      </c>
      <c r="X81" s="361">
        <v>1</v>
      </c>
      <c r="Y81" s="349">
        <v>1</v>
      </c>
      <c r="Z81" s="361">
        <v>1</v>
      </c>
      <c r="AA81" s="361"/>
      <c r="AB81" s="361"/>
      <c r="AC81" s="361">
        <v>9</v>
      </c>
      <c r="AD81" s="361">
        <v>9</v>
      </c>
      <c r="AE81" s="350">
        <v>9</v>
      </c>
      <c r="AF81" s="361">
        <v>9</v>
      </c>
      <c r="AG81" s="362">
        <v>9</v>
      </c>
      <c r="AH81" s="1"/>
      <c r="AJ81" t="s">
        <v>0</v>
      </c>
    </row>
    <row r="82" spans="1:36" ht="22.35" customHeight="1" thickBot="1">
      <c r="A82" s="592"/>
      <c r="B82" s="3493"/>
      <c r="C82" s="746"/>
      <c r="D82" s="752"/>
      <c r="E82" s="746"/>
      <c r="F82" s="747"/>
      <c r="G82" s="747"/>
      <c r="H82" s="747"/>
      <c r="I82" s="747"/>
      <c r="J82" s="747"/>
      <c r="K82" s="747"/>
      <c r="L82" s="747"/>
      <c r="M82" s="747"/>
      <c r="N82" s="747"/>
      <c r="O82" s="747"/>
      <c r="P82" s="747"/>
      <c r="Q82" s="747"/>
      <c r="R82" s="747"/>
      <c r="S82" s="747"/>
      <c r="T82" s="746"/>
      <c r="U82" s="746"/>
      <c r="V82" s="753"/>
      <c r="W82" s="746"/>
      <c r="X82" s="746"/>
      <c r="Y82" s="747"/>
      <c r="Z82" s="746"/>
      <c r="AA82" s="746"/>
      <c r="AB82" s="746"/>
      <c r="AC82" s="746"/>
      <c r="AD82" s="746"/>
      <c r="AE82" s="752"/>
      <c r="AF82" s="746"/>
      <c r="AG82" s="754"/>
      <c r="AH82" s="1"/>
    </row>
    <row r="83" spans="1:36" ht="22.35" customHeight="1" thickBot="1">
      <c r="A83" s="205"/>
      <c r="B83" s="3111" t="s">
        <v>138</v>
      </c>
      <c r="C83" s="3494">
        <v>1</v>
      </c>
      <c r="D83" s="3494">
        <v>2</v>
      </c>
      <c r="E83" s="3494">
        <v>3</v>
      </c>
      <c r="F83" s="3495">
        <v>4</v>
      </c>
      <c r="G83" s="3495">
        <v>5</v>
      </c>
      <c r="H83" s="3494">
        <v>6</v>
      </c>
      <c r="I83" s="3494">
        <v>7</v>
      </c>
      <c r="J83" s="3494">
        <v>8</v>
      </c>
      <c r="K83" s="3494">
        <v>9</v>
      </c>
      <c r="L83" s="3494">
        <v>10</v>
      </c>
      <c r="M83" s="3495">
        <v>11</v>
      </c>
      <c r="N83" s="3495">
        <v>12</v>
      </c>
      <c r="O83" s="3494">
        <v>13</v>
      </c>
      <c r="P83" s="3494">
        <v>14</v>
      </c>
      <c r="Q83" s="3494">
        <v>15</v>
      </c>
      <c r="R83" s="3494">
        <v>16</v>
      </c>
      <c r="S83" s="3494">
        <v>17</v>
      </c>
      <c r="T83" s="3495">
        <v>18</v>
      </c>
      <c r="U83" s="3495">
        <v>19</v>
      </c>
      <c r="V83" s="3494">
        <v>20</v>
      </c>
      <c r="W83" s="3494">
        <v>21</v>
      </c>
      <c r="X83" s="3494">
        <v>22</v>
      </c>
      <c r="Y83" s="3494">
        <v>23</v>
      </c>
      <c r="Z83" s="3496">
        <v>24</v>
      </c>
      <c r="AA83" s="3495">
        <v>25</v>
      </c>
      <c r="AB83" s="3495">
        <v>26</v>
      </c>
      <c r="AC83" s="3494">
        <v>27</v>
      </c>
      <c r="AD83" s="3494">
        <v>28</v>
      </c>
      <c r="AE83" s="3494">
        <v>29</v>
      </c>
      <c r="AF83" s="3494">
        <v>30</v>
      </c>
      <c r="AG83" s="3497">
        <v>31</v>
      </c>
      <c r="AH83" s="1"/>
    </row>
    <row r="84" spans="1:36" ht="22.35" customHeight="1" thickBot="1">
      <c r="A84" s="592"/>
      <c r="B84" s="3467" t="s">
        <v>425</v>
      </c>
      <c r="C84" s="3252">
        <v>69</v>
      </c>
      <c r="D84" s="3252">
        <v>69</v>
      </c>
      <c r="E84" s="3252">
        <v>69</v>
      </c>
      <c r="F84" s="3498"/>
      <c r="G84" s="3498"/>
      <c r="H84" s="3352">
        <v>1</v>
      </c>
      <c r="I84" s="3352">
        <v>1</v>
      </c>
      <c r="J84" s="3352">
        <v>1</v>
      </c>
      <c r="K84" s="3352">
        <v>1</v>
      </c>
      <c r="L84" s="3352">
        <v>1</v>
      </c>
      <c r="M84" s="3352"/>
      <c r="N84" s="3352"/>
      <c r="O84" s="3352">
        <v>9</v>
      </c>
      <c r="P84" s="3352">
        <v>9</v>
      </c>
      <c r="Q84" s="3352">
        <v>9</v>
      </c>
      <c r="R84" s="3352">
        <v>9</v>
      </c>
      <c r="S84" s="3499">
        <v>9</v>
      </c>
      <c r="T84" s="3499" t="s">
        <v>76</v>
      </c>
      <c r="U84" s="3352" t="s">
        <v>77</v>
      </c>
      <c r="V84" s="3352" t="s">
        <v>36</v>
      </c>
      <c r="W84" s="3352" t="s">
        <v>36</v>
      </c>
      <c r="X84" s="3352" t="s">
        <v>36</v>
      </c>
      <c r="Y84" s="3352" t="s">
        <v>36</v>
      </c>
      <c r="Z84" s="3352" t="s">
        <v>36</v>
      </c>
      <c r="AA84" s="3352" t="s">
        <v>78</v>
      </c>
      <c r="AB84" s="3352" t="s">
        <v>74</v>
      </c>
      <c r="AC84" s="3352">
        <v>6</v>
      </c>
      <c r="AD84" s="3352">
        <v>6</v>
      </c>
      <c r="AE84" s="3352">
        <v>6</v>
      </c>
      <c r="AF84" s="3352">
        <v>6</v>
      </c>
      <c r="AG84" s="3416">
        <v>6</v>
      </c>
      <c r="AH84" s="1"/>
    </row>
    <row r="85" spans="1:36" ht="22.35" customHeight="1" thickBot="1">
      <c r="B85" s="206" t="s">
        <v>142</v>
      </c>
      <c r="C85" s="203"/>
      <c r="D85" s="207"/>
      <c r="E85" s="207"/>
      <c r="F85" s="207"/>
      <c r="G85" s="207"/>
      <c r="H85" s="207"/>
      <c r="I85" s="203"/>
      <c r="J85" s="203"/>
      <c r="K85" s="207"/>
      <c r="L85" s="207"/>
      <c r="M85" s="207"/>
      <c r="N85" s="207"/>
      <c r="O85" s="207"/>
      <c r="P85" s="203"/>
      <c r="Q85" s="203"/>
      <c r="R85" s="203"/>
      <c r="S85" s="208"/>
      <c r="T85" s="208"/>
      <c r="U85" s="208"/>
      <c r="V85" s="203"/>
      <c r="W85" s="203"/>
      <c r="X85" s="203"/>
      <c r="Y85" s="203"/>
      <c r="Z85" s="203"/>
      <c r="AA85" s="203"/>
      <c r="AB85" s="203"/>
      <c r="AC85" s="203"/>
      <c r="AD85" s="203"/>
      <c r="AE85" s="203"/>
      <c r="AF85" s="203"/>
      <c r="AG85" s="225"/>
      <c r="AH85" s="1"/>
    </row>
    <row r="86" spans="1:36" ht="22.35" customHeight="1" thickBot="1">
      <c r="B86" s="508"/>
      <c r="C86" s="203" t="s">
        <v>32</v>
      </c>
      <c r="D86" s="203" t="s">
        <v>32</v>
      </c>
      <c r="E86" s="203" t="s">
        <v>32</v>
      </c>
      <c r="F86" s="203" t="s">
        <v>32</v>
      </c>
      <c r="G86" s="203"/>
      <c r="H86" s="203"/>
      <c r="I86" s="203" t="s">
        <v>32</v>
      </c>
      <c r="J86" s="203" t="s">
        <v>32</v>
      </c>
      <c r="K86" s="203" t="s">
        <v>32</v>
      </c>
      <c r="L86" s="203" t="s">
        <v>32</v>
      </c>
      <c r="M86" s="203" t="s">
        <v>32</v>
      </c>
      <c r="N86" s="509"/>
      <c r="O86" s="509"/>
      <c r="P86" s="509" t="s">
        <v>32</v>
      </c>
      <c r="Q86" s="510" t="s">
        <v>32</v>
      </c>
      <c r="R86" s="509" t="s">
        <v>32</v>
      </c>
      <c r="S86" s="203" t="s">
        <v>32</v>
      </c>
      <c r="T86" s="203" t="s">
        <v>32</v>
      </c>
      <c r="U86" s="509"/>
      <c r="V86" s="509"/>
      <c r="W86" s="509" t="s">
        <v>32</v>
      </c>
      <c r="X86" s="203" t="s">
        <v>32</v>
      </c>
      <c r="Y86" s="509" t="s">
        <v>32</v>
      </c>
      <c r="Z86" s="203"/>
      <c r="AA86" s="203"/>
      <c r="AB86" s="203"/>
      <c r="AC86" s="203"/>
      <c r="AD86" s="203" t="s">
        <v>32</v>
      </c>
      <c r="AE86" s="203" t="s">
        <v>32</v>
      </c>
      <c r="AF86" s="203" t="s">
        <v>32</v>
      </c>
      <c r="AG86" s="225"/>
      <c r="AH86" s="1"/>
    </row>
    <row r="87" spans="1:36" ht="22.35" customHeight="1">
      <c r="A87" s="64" t="s">
        <v>143</v>
      </c>
      <c r="AH87" s="1"/>
    </row>
    <row r="88" spans="1:36" ht="22.35" customHeight="1" thickBot="1">
      <c r="A88" s="3500"/>
      <c r="B88" s="3414" t="s">
        <v>29</v>
      </c>
      <c r="C88" s="3342">
        <v>1</v>
      </c>
      <c r="D88" s="3342">
        <v>2</v>
      </c>
      <c r="E88" s="3342">
        <v>3</v>
      </c>
      <c r="F88" s="3343">
        <v>4</v>
      </c>
      <c r="G88" s="3343">
        <v>5</v>
      </c>
      <c r="H88" s="3342">
        <v>6</v>
      </c>
      <c r="I88" s="3342">
        <v>7</v>
      </c>
      <c r="J88" s="3342">
        <v>8</v>
      </c>
      <c r="K88" s="3342">
        <v>9</v>
      </c>
      <c r="L88" s="3342">
        <v>10</v>
      </c>
      <c r="M88" s="3343">
        <v>11</v>
      </c>
      <c r="N88" s="3343">
        <v>12</v>
      </c>
      <c r="O88" s="3342">
        <v>13</v>
      </c>
      <c r="P88" s="3342">
        <v>14</v>
      </c>
      <c r="Q88" s="3342">
        <v>15</v>
      </c>
      <c r="R88" s="3342">
        <v>16</v>
      </c>
      <c r="S88" s="3342">
        <v>17</v>
      </c>
      <c r="T88" s="3343">
        <v>18</v>
      </c>
      <c r="U88" s="3343">
        <v>19</v>
      </c>
      <c r="V88" s="3342">
        <v>20</v>
      </c>
      <c r="W88" s="3342">
        <v>21</v>
      </c>
      <c r="X88" s="3342">
        <v>22</v>
      </c>
      <c r="Y88" s="3342">
        <v>23</v>
      </c>
      <c r="Z88" s="3344">
        <v>24</v>
      </c>
      <c r="AA88" s="3343">
        <v>25</v>
      </c>
      <c r="AB88" s="3343">
        <v>26</v>
      </c>
      <c r="AC88" s="3342">
        <v>27</v>
      </c>
      <c r="AD88" s="3342">
        <v>28</v>
      </c>
      <c r="AE88" s="3342">
        <v>29</v>
      </c>
      <c r="AF88" s="3342">
        <v>30</v>
      </c>
      <c r="AG88" s="3345">
        <v>31</v>
      </c>
      <c r="AH88" s="1"/>
    </row>
    <row r="89" spans="1:36" ht="22.35" customHeight="1">
      <c r="A89" s="365"/>
      <c r="B89" s="366" t="s">
        <v>144</v>
      </c>
      <c r="C89" s="349"/>
      <c r="D89" s="364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349"/>
      <c r="AB89" s="349"/>
      <c r="AC89" s="349"/>
      <c r="AD89" s="349"/>
      <c r="AE89" s="349"/>
      <c r="AF89" s="349"/>
      <c r="AG89" s="352"/>
      <c r="AH89" s="1"/>
    </row>
    <row r="90" spans="1:36" ht="22.35" customHeight="1">
      <c r="A90" s="3501">
        <v>2</v>
      </c>
      <c r="B90" s="3359" t="s">
        <v>414</v>
      </c>
      <c r="C90" s="3362" t="s">
        <v>125</v>
      </c>
      <c r="D90" s="3362" t="s">
        <v>125</v>
      </c>
      <c r="E90" s="3362" t="s">
        <v>125</v>
      </c>
      <c r="F90" s="3352"/>
      <c r="G90" s="3352"/>
      <c r="H90" s="3502" t="s">
        <v>125</v>
      </c>
      <c r="I90" s="3502" t="s">
        <v>125</v>
      </c>
      <c r="J90" s="3362" t="s">
        <v>346</v>
      </c>
      <c r="K90" s="3502" t="s">
        <v>125</v>
      </c>
      <c r="L90" s="3502" t="s">
        <v>125</v>
      </c>
      <c r="M90" s="3477"/>
      <c r="N90" s="3477"/>
      <c r="O90" s="3502">
        <v>8</v>
      </c>
      <c r="P90" s="3502">
        <v>8</v>
      </c>
      <c r="Q90" s="3502">
        <v>8</v>
      </c>
      <c r="R90" s="3502">
        <v>8</v>
      </c>
      <c r="S90" s="3502">
        <v>8</v>
      </c>
      <c r="T90" s="3427"/>
      <c r="U90" s="3477"/>
      <c r="V90" s="3502">
        <v>89</v>
      </c>
      <c r="W90" s="3502">
        <v>89</v>
      </c>
      <c r="X90" s="3502">
        <v>89</v>
      </c>
      <c r="Y90" s="3502">
        <v>89</v>
      </c>
      <c r="Z90" s="3502">
        <v>89</v>
      </c>
      <c r="AA90" s="3477"/>
      <c r="AB90" s="3477"/>
      <c r="AC90" s="3502">
        <v>5</v>
      </c>
      <c r="AD90" s="3502">
        <v>5</v>
      </c>
      <c r="AE90" s="3503">
        <v>5</v>
      </c>
      <c r="AF90" s="3503">
        <v>5</v>
      </c>
      <c r="AG90" s="3504"/>
      <c r="AH90" s="1"/>
    </row>
    <row r="91" spans="1:36" ht="22.35" customHeight="1">
      <c r="A91" s="3501">
        <v>3</v>
      </c>
      <c r="B91" s="3359"/>
      <c r="C91" s="3355"/>
      <c r="D91" s="3355"/>
      <c r="E91" s="3355"/>
      <c r="F91" s="3355"/>
      <c r="G91" s="3355"/>
      <c r="H91" s="3355"/>
      <c r="I91" s="3355"/>
      <c r="J91" s="3355"/>
      <c r="K91" s="3355"/>
      <c r="L91" s="3355"/>
      <c r="M91" s="3355"/>
      <c r="N91" s="3355"/>
      <c r="O91" s="3355"/>
      <c r="P91" s="3355"/>
      <c r="Q91" s="3355"/>
      <c r="R91" s="3355"/>
      <c r="S91" s="3355"/>
      <c r="T91" s="3355"/>
      <c r="U91" s="3355"/>
      <c r="V91" s="3355"/>
      <c r="W91" s="3355"/>
      <c r="X91" s="3355"/>
      <c r="Y91" s="3355"/>
      <c r="Z91" s="3355"/>
      <c r="AA91" s="3355"/>
      <c r="AB91" s="3355"/>
      <c r="AC91" s="3355"/>
      <c r="AD91" s="3355"/>
      <c r="AE91" s="3355"/>
      <c r="AF91" s="3355"/>
      <c r="AG91" s="3416"/>
      <c r="AH91" s="1"/>
    </row>
    <row r="92" spans="1:36" ht="22.35" customHeight="1" thickBot="1">
      <c r="A92" s="3464">
        <v>4</v>
      </c>
      <c r="B92" s="3418"/>
      <c r="C92" s="3505"/>
      <c r="D92" s="3505"/>
      <c r="E92" s="3505"/>
      <c r="F92" s="3505"/>
      <c r="G92" s="3505"/>
      <c r="H92" s="3505"/>
      <c r="I92" s="3505"/>
      <c r="J92" s="3505"/>
      <c r="K92" s="3505"/>
      <c r="L92" s="3505"/>
      <c r="M92" s="3505"/>
      <c r="N92" s="3505"/>
      <c r="O92" s="3505"/>
      <c r="P92" s="3505"/>
      <c r="Q92" s="3505"/>
      <c r="R92" s="3505"/>
      <c r="S92" s="3505"/>
      <c r="T92" s="3505"/>
      <c r="U92" s="3505"/>
      <c r="V92" s="3505"/>
      <c r="W92" s="3505"/>
      <c r="X92" s="3505"/>
      <c r="Y92" s="3505"/>
      <c r="Z92" s="3505"/>
      <c r="AA92" s="3505"/>
      <c r="AB92" s="3505"/>
      <c r="AC92" s="3505"/>
      <c r="AD92" s="3505"/>
      <c r="AE92" s="3505"/>
      <c r="AF92" s="3505"/>
      <c r="AG92" s="3432"/>
      <c r="AH92" s="1"/>
    </row>
    <row r="93" spans="1:36" ht="22.35" customHeight="1">
      <c r="A93" s="209"/>
      <c r="B93" s="210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1"/>
    </row>
    <row r="94" spans="1:36" ht="22.35" customHeight="1">
      <c r="A94" s="209"/>
      <c r="B94" s="21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1"/>
    </row>
    <row r="95" spans="1:36" ht="22.35" customHeight="1" thickBot="1">
      <c r="A95" s="64" t="s">
        <v>145</v>
      </c>
    </row>
    <row r="96" spans="1:36" ht="22.35" customHeight="1" thickBot="1">
      <c r="B96" s="323" t="s">
        <v>146</v>
      </c>
      <c r="C96" s="252"/>
      <c r="D96" s="314" t="s">
        <v>94</v>
      </c>
      <c r="E96" s="314"/>
      <c r="F96" s="279"/>
      <c r="G96" s="252"/>
      <c r="H96" s="314" t="s">
        <v>95</v>
      </c>
      <c r="I96" s="314"/>
      <c r="J96" s="279"/>
      <c r="K96" s="252"/>
      <c r="L96" s="314" t="s">
        <v>96</v>
      </c>
      <c r="M96" s="314"/>
      <c r="N96" s="279"/>
      <c r="O96" s="252"/>
      <c r="P96" s="314" t="s">
        <v>97</v>
      </c>
      <c r="Q96" s="314"/>
      <c r="R96" s="279"/>
      <c r="S96" s="252"/>
      <c r="T96" s="314" t="s">
        <v>98</v>
      </c>
      <c r="U96" s="314"/>
      <c r="V96" s="279"/>
      <c r="W96" s="252"/>
      <c r="X96" s="314" t="s">
        <v>99</v>
      </c>
      <c r="Y96" s="314"/>
      <c r="Z96" s="279"/>
      <c r="AA96" s="252"/>
      <c r="AB96" s="314" t="s">
        <v>100</v>
      </c>
      <c r="AC96" s="314"/>
      <c r="AD96" s="314"/>
      <c r="AE96" s="314" t="s">
        <v>147</v>
      </c>
      <c r="AF96" s="314"/>
      <c r="AG96" s="314"/>
      <c r="AH96" s="314"/>
      <c r="AI96" s="267"/>
    </row>
    <row r="97" spans="1:35" ht="22.35" customHeight="1">
      <c r="B97" s="441" t="s">
        <v>148</v>
      </c>
      <c r="C97" s="368" t="s">
        <v>149</v>
      </c>
      <c r="D97" s="314"/>
      <c r="E97" s="357"/>
      <c r="F97" s="372"/>
      <c r="G97" s="368" t="s">
        <v>149</v>
      </c>
      <c r="H97" s="357"/>
      <c r="I97" s="357"/>
      <c r="J97" s="372"/>
      <c r="K97" s="252" t="s">
        <v>149</v>
      </c>
      <c r="L97" s="314"/>
      <c r="M97" s="314"/>
      <c r="N97" s="279"/>
      <c r="O97" s="252" t="s">
        <v>150</v>
      </c>
      <c r="P97" s="314"/>
      <c r="Q97" s="357"/>
      <c r="R97" s="372"/>
      <c r="S97" s="368" t="s">
        <v>151</v>
      </c>
      <c r="T97" s="357"/>
      <c r="U97" s="357"/>
      <c r="V97" s="357"/>
      <c r="W97" s="523"/>
      <c r="X97" s="524"/>
      <c r="Y97" s="524"/>
      <c r="Z97" s="525"/>
      <c r="AA97" s="357"/>
      <c r="AB97" s="357"/>
      <c r="AC97" s="357"/>
      <c r="AD97" s="357"/>
      <c r="AE97" s="368">
        <v>37</v>
      </c>
      <c r="AF97" s="314"/>
      <c r="AG97" s="357"/>
      <c r="AH97" s="357"/>
      <c r="AI97" s="358"/>
    </row>
    <row r="98" spans="1:35" ht="22.35" customHeight="1">
      <c r="B98" s="3506" t="s">
        <v>152</v>
      </c>
      <c r="C98" s="3507" t="s">
        <v>153</v>
      </c>
      <c r="D98" s="3324"/>
      <c r="E98" s="3324"/>
      <c r="F98" s="3332"/>
      <c r="G98" s="3507" t="s">
        <v>154</v>
      </c>
      <c r="H98" s="3324"/>
      <c r="I98" s="3324"/>
      <c r="J98" s="3332"/>
      <c r="K98" s="3507" t="s">
        <v>155</v>
      </c>
      <c r="L98" s="3324" t="s">
        <v>156</v>
      </c>
      <c r="M98" s="3324"/>
      <c r="N98" s="3332"/>
      <c r="O98" s="3507" t="s">
        <v>155</v>
      </c>
      <c r="P98" s="3324" t="s">
        <v>156</v>
      </c>
      <c r="Q98" s="3324"/>
      <c r="R98" s="3332"/>
      <c r="S98" s="3507" t="s">
        <v>154</v>
      </c>
      <c r="T98" s="3324" t="s">
        <v>157</v>
      </c>
      <c r="U98" s="3324"/>
      <c r="V98" s="3332"/>
      <c r="W98" s="8" t="s">
        <v>109</v>
      </c>
      <c r="X98" s="14" t="s">
        <v>158</v>
      </c>
      <c r="Y98" s="14"/>
      <c r="Z98" s="14"/>
      <c r="AA98" s="3507" t="s">
        <v>109</v>
      </c>
      <c r="AB98" s="3324" t="s">
        <v>158</v>
      </c>
      <c r="AC98" s="3507"/>
      <c r="AD98" s="3507"/>
      <c r="AE98" s="3507">
        <v>68</v>
      </c>
      <c r="AF98" s="3324"/>
      <c r="AG98" s="3324"/>
      <c r="AH98" s="3324"/>
      <c r="AI98" s="3333"/>
    </row>
    <row r="99" spans="1:35" ht="22.35" customHeight="1">
      <c r="B99" s="3506" t="s">
        <v>159</v>
      </c>
      <c r="C99" s="3508" t="s">
        <v>160</v>
      </c>
      <c r="D99" s="3324"/>
      <c r="E99" s="3324"/>
      <c r="F99" s="3332"/>
      <c r="G99" s="3324" t="s">
        <v>160</v>
      </c>
      <c r="H99" s="3324"/>
      <c r="I99" s="3324"/>
      <c r="J99" s="3332"/>
      <c r="K99" s="3324" t="s">
        <v>160</v>
      </c>
      <c r="L99" s="3324"/>
      <c r="M99" s="3324"/>
      <c r="N99" s="3332"/>
      <c r="O99" s="3324" t="s">
        <v>160</v>
      </c>
      <c r="P99" s="3324"/>
      <c r="Q99" s="3324"/>
      <c r="R99" s="3332"/>
      <c r="S99" s="3324" t="s">
        <v>160</v>
      </c>
      <c r="T99" s="3324"/>
      <c r="U99" s="3324"/>
      <c r="V99" s="3332"/>
      <c r="W99" s="3507"/>
      <c r="X99" s="3324"/>
      <c r="Y99" s="3324"/>
      <c r="Z99" s="3332"/>
      <c r="AA99" s="3507"/>
      <c r="AB99" s="3324"/>
      <c r="AC99" s="3324"/>
      <c r="AD99" s="3324"/>
      <c r="AE99" s="3507">
        <v>0</v>
      </c>
      <c r="AF99" s="3324"/>
      <c r="AG99" s="3324"/>
      <c r="AH99" s="3324"/>
      <c r="AI99" s="3333"/>
    </row>
    <row r="100" spans="1:35" ht="22.35" customHeight="1" thickBot="1">
      <c r="B100" s="3509" t="s">
        <v>161</v>
      </c>
      <c r="C100" s="3510" t="s">
        <v>149</v>
      </c>
      <c r="D100" s="516"/>
      <c r="E100" s="3405"/>
      <c r="F100" s="3407"/>
      <c r="G100" s="3510" t="s">
        <v>149</v>
      </c>
      <c r="H100" s="516"/>
      <c r="I100" s="3405"/>
      <c r="J100" s="3407"/>
      <c r="K100" s="3510" t="s">
        <v>149</v>
      </c>
      <c r="L100" s="516"/>
      <c r="M100" s="3405"/>
      <c r="N100" s="3407"/>
      <c r="O100" s="3510" t="s">
        <v>150</v>
      </c>
      <c r="P100" s="3405"/>
      <c r="Q100" s="3405"/>
      <c r="R100" s="3407"/>
      <c r="S100" s="3510" t="s">
        <v>151</v>
      </c>
      <c r="T100" s="3405"/>
      <c r="U100" s="3405"/>
      <c r="V100" s="3405"/>
      <c r="W100" s="3511"/>
      <c r="X100" s="3405"/>
      <c r="Y100" s="3405"/>
      <c r="Z100" s="3512"/>
      <c r="AA100" s="3405"/>
      <c r="AB100" s="3405"/>
      <c r="AC100" s="3405"/>
      <c r="AD100" s="3405"/>
      <c r="AE100" s="3510">
        <v>37</v>
      </c>
      <c r="AF100" s="3405"/>
      <c r="AG100" s="3405"/>
      <c r="AH100" s="3405"/>
      <c r="AI100" s="3412"/>
    </row>
    <row r="101" spans="1:35" ht="22.35" customHeight="1">
      <c r="D101" s="14"/>
    </row>
    <row r="102" spans="1:35" ht="22.35" customHeight="1" thickBot="1">
      <c r="A102" s="3447"/>
      <c r="B102" s="3447" t="s">
        <v>29</v>
      </c>
      <c r="C102" s="3342">
        <v>1</v>
      </c>
      <c r="D102" s="3342">
        <v>2</v>
      </c>
      <c r="E102" s="3342">
        <v>3</v>
      </c>
      <c r="F102" s="3343">
        <v>4</v>
      </c>
      <c r="G102" s="3343">
        <v>5</v>
      </c>
      <c r="H102" s="3342">
        <v>6</v>
      </c>
      <c r="I102" s="3342">
        <v>7</v>
      </c>
      <c r="J102" s="3342">
        <v>8</v>
      </c>
      <c r="K102" s="3342">
        <v>9</v>
      </c>
      <c r="L102" s="3342">
        <v>10</v>
      </c>
      <c r="M102" s="3343">
        <v>11</v>
      </c>
      <c r="N102" s="3343">
        <v>12</v>
      </c>
      <c r="O102" s="3342">
        <v>13</v>
      </c>
      <c r="P102" s="3342">
        <v>14</v>
      </c>
      <c r="Q102" s="3342">
        <v>15</v>
      </c>
      <c r="R102" s="3342">
        <v>16</v>
      </c>
      <c r="S102" s="3342">
        <v>17</v>
      </c>
      <c r="T102" s="3343">
        <v>18</v>
      </c>
      <c r="U102" s="3343">
        <v>19</v>
      </c>
      <c r="V102" s="3342">
        <v>20</v>
      </c>
      <c r="W102" s="3342">
        <v>21</v>
      </c>
      <c r="X102" s="3342">
        <v>22</v>
      </c>
      <c r="Y102" s="3342">
        <v>23</v>
      </c>
      <c r="Z102" s="3344">
        <v>24</v>
      </c>
      <c r="AA102" s="3343">
        <v>25</v>
      </c>
      <c r="AB102" s="3343">
        <v>26</v>
      </c>
      <c r="AC102" s="3342">
        <v>27</v>
      </c>
      <c r="AD102" s="3342">
        <v>28</v>
      </c>
      <c r="AE102" s="3342">
        <v>29</v>
      </c>
      <c r="AF102" s="3342">
        <v>30</v>
      </c>
      <c r="AG102" s="3345">
        <v>31</v>
      </c>
      <c r="AH102" s="176"/>
      <c r="AI102" s="177"/>
    </row>
    <row r="103" spans="1:35" ht="22.35" customHeight="1" thickBot="1">
      <c r="A103" s="367">
        <v>1</v>
      </c>
      <c r="B103" s="526" t="s">
        <v>162</v>
      </c>
      <c r="C103" s="349" t="s">
        <v>163</v>
      </c>
      <c r="D103" s="349" t="s">
        <v>163</v>
      </c>
      <c r="E103" s="349" t="s">
        <v>163</v>
      </c>
      <c r="F103" s="349"/>
      <c r="G103" s="349"/>
      <c r="H103" s="349" t="s">
        <v>108</v>
      </c>
      <c r="I103" s="349" t="s">
        <v>108</v>
      </c>
      <c r="J103" s="349" t="s">
        <v>108</v>
      </c>
      <c r="K103" s="349" t="s">
        <v>108</v>
      </c>
      <c r="L103" s="349" t="s">
        <v>108</v>
      </c>
      <c r="M103" s="349" t="s">
        <v>109</v>
      </c>
      <c r="N103" s="349" t="s">
        <v>109</v>
      </c>
      <c r="O103" s="349" t="s">
        <v>36</v>
      </c>
      <c r="P103" s="511" t="s">
        <v>36</v>
      </c>
      <c r="Q103" s="349" t="s">
        <v>36</v>
      </c>
      <c r="R103" s="349" t="s">
        <v>36</v>
      </c>
      <c r="S103" s="349" t="s">
        <v>36</v>
      </c>
      <c r="T103" s="349"/>
      <c r="U103" s="349"/>
      <c r="V103" s="349" t="s">
        <v>163</v>
      </c>
      <c r="W103" s="349" t="s">
        <v>163</v>
      </c>
      <c r="X103" s="512" t="s">
        <v>163</v>
      </c>
      <c r="Y103" s="512" t="s">
        <v>163</v>
      </c>
      <c r="Z103" s="512" t="s">
        <v>163</v>
      </c>
      <c r="AA103" s="512"/>
      <c r="AB103" s="349"/>
      <c r="AC103" s="349" t="s">
        <v>163</v>
      </c>
      <c r="AD103" s="349" t="s">
        <v>163</v>
      </c>
      <c r="AE103" s="349" t="s">
        <v>163</v>
      </c>
      <c r="AF103" s="349" t="s">
        <v>163</v>
      </c>
      <c r="AG103" s="349" t="s">
        <v>163</v>
      </c>
      <c r="AH103" s="181"/>
      <c r="AI103" s="182"/>
    </row>
    <row r="104" spans="1:35" ht="22.35" customHeight="1">
      <c r="A104" s="3513">
        <v>2</v>
      </c>
      <c r="B104" s="3514" t="s">
        <v>164</v>
      </c>
      <c r="C104" s="3515" t="s">
        <v>52</v>
      </c>
      <c r="D104" s="3515" t="s">
        <v>141</v>
      </c>
      <c r="E104" s="3515" t="s">
        <v>141</v>
      </c>
      <c r="F104" s="3515"/>
      <c r="G104" s="3515"/>
      <c r="H104" s="3515" t="s">
        <v>141</v>
      </c>
      <c r="I104" s="3515" t="s">
        <v>50</v>
      </c>
      <c r="J104" s="3515" t="s">
        <v>50</v>
      </c>
      <c r="K104" s="3515" t="s">
        <v>50</v>
      </c>
      <c r="L104" s="3515" t="s">
        <v>50</v>
      </c>
      <c r="M104" s="3378"/>
      <c r="N104" s="3355"/>
      <c r="O104" s="3516" t="s">
        <v>108</v>
      </c>
      <c r="P104" s="3355" t="s">
        <v>108</v>
      </c>
      <c r="Q104" s="3355" t="s">
        <v>108</v>
      </c>
      <c r="R104" s="3355" t="s">
        <v>108</v>
      </c>
      <c r="S104" s="3355" t="s">
        <v>108</v>
      </c>
      <c r="T104" s="3355" t="s">
        <v>109</v>
      </c>
      <c r="U104" s="3355" t="s">
        <v>109</v>
      </c>
      <c r="V104" s="3481">
        <v>26</v>
      </c>
      <c r="W104" s="3428" t="s">
        <v>36</v>
      </c>
      <c r="X104" s="3355" t="s">
        <v>36</v>
      </c>
      <c r="Y104" s="3355" t="s">
        <v>36</v>
      </c>
      <c r="Z104" s="3355" t="s">
        <v>36</v>
      </c>
      <c r="AA104" s="3355"/>
      <c r="AB104" s="3355"/>
      <c r="AC104" s="349">
        <v>79</v>
      </c>
      <c r="AD104" s="349" t="s">
        <v>163</v>
      </c>
      <c r="AE104" s="349">
        <v>99</v>
      </c>
      <c r="AF104" s="349">
        <v>99</v>
      </c>
      <c r="AG104" s="349" t="s">
        <v>163</v>
      </c>
      <c r="AH104" s="181"/>
      <c r="AI104" s="182"/>
    </row>
    <row r="105" spans="1:35" ht="22.35" customHeight="1">
      <c r="A105" s="3513">
        <v>3</v>
      </c>
      <c r="B105" s="3514" t="s">
        <v>165</v>
      </c>
      <c r="C105" s="3355" t="s">
        <v>115</v>
      </c>
      <c r="D105" s="3355" t="s">
        <v>115</v>
      </c>
      <c r="E105" s="3355" t="s">
        <v>115</v>
      </c>
      <c r="F105" s="3429"/>
      <c r="G105" s="557" t="s">
        <v>32</v>
      </c>
      <c r="H105" s="3355" t="s">
        <v>115</v>
      </c>
      <c r="I105" s="3355" t="s">
        <v>115</v>
      </c>
      <c r="J105" s="3516" t="s">
        <v>115</v>
      </c>
      <c r="K105" s="3355" t="s">
        <v>115</v>
      </c>
      <c r="L105" s="3516" t="s">
        <v>115</v>
      </c>
      <c r="M105" s="3515"/>
      <c r="N105" s="557" t="s">
        <v>32</v>
      </c>
      <c r="O105" s="3355" t="s">
        <v>115</v>
      </c>
      <c r="P105" s="3355" t="s">
        <v>115</v>
      </c>
      <c r="Q105" s="3355" t="s">
        <v>115</v>
      </c>
      <c r="R105" s="3355" t="s">
        <v>115</v>
      </c>
      <c r="S105" s="3355" t="s">
        <v>115</v>
      </c>
      <c r="T105" s="3355"/>
      <c r="U105" s="557" t="s">
        <v>32</v>
      </c>
      <c r="V105" s="3355" t="s">
        <v>115</v>
      </c>
      <c r="W105" s="3517" t="s">
        <v>115</v>
      </c>
      <c r="X105" s="3517" t="s">
        <v>115</v>
      </c>
      <c r="Y105" s="3517" t="s">
        <v>115</v>
      </c>
      <c r="Z105" s="3355" t="s">
        <v>115</v>
      </c>
      <c r="AA105" s="3355" t="s">
        <v>0</v>
      </c>
      <c r="AB105" s="3355" t="s">
        <v>0</v>
      </c>
      <c r="AC105" s="3355" t="s">
        <v>115</v>
      </c>
      <c r="AD105" s="3355" t="s">
        <v>115</v>
      </c>
      <c r="AE105" s="3355" t="s">
        <v>115</v>
      </c>
      <c r="AF105" s="3355" t="s">
        <v>115</v>
      </c>
      <c r="AG105" s="3355" t="s">
        <v>115</v>
      </c>
      <c r="AH105" s="181"/>
      <c r="AI105" s="182"/>
    </row>
    <row r="106" spans="1:35" ht="22.35" customHeight="1" thickBot="1">
      <c r="A106" s="3518">
        <v>4</v>
      </c>
      <c r="B106" s="3431" t="s">
        <v>162</v>
      </c>
      <c r="C106" s="3519" t="s">
        <v>108</v>
      </c>
      <c r="D106" s="3519" t="s">
        <v>108</v>
      </c>
      <c r="E106" s="3519" t="s">
        <v>108</v>
      </c>
      <c r="F106" s="3519" t="s">
        <v>109</v>
      </c>
      <c r="G106" s="3519" t="s">
        <v>109</v>
      </c>
      <c r="H106" s="3519" t="s">
        <v>36</v>
      </c>
      <c r="I106" s="3519" t="s">
        <v>36</v>
      </c>
      <c r="J106" s="3519" t="s">
        <v>36</v>
      </c>
      <c r="K106" s="3519" t="s">
        <v>36</v>
      </c>
      <c r="L106" s="3519" t="s">
        <v>36</v>
      </c>
      <c r="M106" s="3519"/>
      <c r="N106" s="3519"/>
      <c r="O106" s="3519" t="s">
        <v>163</v>
      </c>
      <c r="P106" s="3519" t="s">
        <v>163</v>
      </c>
      <c r="Q106" s="3519" t="s">
        <v>163</v>
      </c>
      <c r="R106" s="3519" t="s">
        <v>163</v>
      </c>
      <c r="S106" s="3519" t="s">
        <v>163</v>
      </c>
      <c r="T106" s="3519"/>
      <c r="U106" s="3519"/>
      <c r="V106" s="3519" t="s">
        <v>163</v>
      </c>
      <c r="W106" s="3519" t="s">
        <v>163</v>
      </c>
      <c r="X106" s="3519" t="s">
        <v>163</v>
      </c>
      <c r="Y106" s="3519" t="s">
        <v>163</v>
      </c>
      <c r="Z106" s="3519" t="s">
        <v>163</v>
      </c>
      <c r="AA106" s="3342" t="s">
        <v>0</v>
      </c>
      <c r="AB106" s="3342" t="s">
        <v>0</v>
      </c>
      <c r="AC106" s="3342" t="s">
        <v>108</v>
      </c>
      <c r="AD106" s="3342" t="s">
        <v>108</v>
      </c>
      <c r="AE106" s="3342" t="s">
        <v>108</v>
      </c>
      <c r="AF106" s="3519" t="s">
        <v>108</v>
      </c>
      <c r="AG106" s="3432" t="s">
        <v>109</v>
      </c>
      <c r="AH106" s="181"/>
      <c r="AI106" s="182"/>
    </row>
    <row r="107" spans="1:35" ht="22.35" customHeight="1" thickBot="1">
      <c r="A107" s="212"/>
      <c r="B107" s="200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13"/>
      <c r="AF107" s="213"/>
      <c r="AG107" s="214"/>
      <c r="AH107" s="215"/>
      <c r="AI107" s="182"/>
    </row>
    <row r="108" spans="1:35" ht="22.35" customHeight="1">
      <c r="A108" s="72"/>
      <c r="B108" s="248" t="s">
        <v>167</v>
      </c>
      <c r="C108" s="368"/>
      <c r="D108" s="369" t="s">
        <v>94</v>
      </c>
      <c r="E108" s="370"/>
      <c r="F108" s="368"/>
      <c r="G108" s="371" t="s">
        <v>95</v>
      </c>
      <c r="H108" s="372"/>
      <c r="I108" s="373"/>
      <c r="J108" s="371" t="s">
        <v>96</v>
      </c>
      <c r="K108" s="374"/>
      <c r="L108" s="373"/>
      <c r="M108" s="375" t="s">
        <v>97</v>
      </c>
      <c r="N108" s="374"/>
      <c r="O108" s="373"/>
      <c r="P108" s="371" t="s">
        <v>98</v>
      </c>
      <c r="Q108" s="376"/>
      <c r="R108" s="373"/>
      <c r="S108" s="371" t="s">
        <v>99</v>
      </c>
      <c r="T108" s="377"/>
      <c r="U108" s="373"/>
      <c r="V108" s="371" t="s">
        <v>100</v>
      </c>
      <c r="W108" s="376"/>
      <c r="X108" s="378" t="s">
        <v>147</v>
      </c>
      <c r="Y108" s="379"/>
      <c r="Z108" s="379"/>
      <c r="AA108" s="380"/>
      <c r="AB108" s="235" t="s">
        <v>101</v>
      </c>
      <c r="AC108" s="236"/>
      <c r="AD108" s="236"/>
      <c r="AE108" s="237"/>
      <c r="AF108" s="237"/>
      <c r="AG108" s="238"/>
      <c r="AH108" s="215"/>
      <c r="AI108" s="182"/>
    </row>
    <row r="109" spans="1:35" ht="22.35" customHeight="1">
      <c r="A109" s="72"/>
      <c r="B109" s="3520" t="s">
        <v>169</v>
      </c>
      <c r="C109" s="3521" t="s">
        <v>170</v>
      </c>
      <c r="D109" s="3326"/>
      <c r="E109" s="3327"/>
      <c r="F109" s="3521" t="s">
        <v>170</v>
      </c>
      <c r="G109" s="3326"/>
      <c r="H109" s="3327"/>
      <c r="I109" s="3521" t="s">
        <v>170</v>
      </c>
      <c r="J109" s="3326"/>
      <c r="K109" s="3327"/>
      <c r="L109" s="3521" t="s">
        <v>170</v>
      </c>
      <c r="M109" s="3326"/>
      <c r="N109" s="3327"/>
      <c r="O109" s="3521" t="s">
        <v>171</v>
      </c>
      <c r="P109" s="3326"/>
      <c r="Q109" s="3327"/>
      <c r="R109" s="3521"/>
      <c r="S109" s="3326"/>
      <c r="T109" s="3327"/>
      <c r="U109" s="3521"/>
      <c r="V109" s="3326"/>
      <c r="W109" s="3327"/>
      <c r="X109" s="3521"/>
      <c r="Y109" s="3522"/>
      <c r="Z109" s="3522"/>
      <c r="AA109" s="3522"/>
      <c r="AB109" s="3323"/>
      <c r="AC109" s="3522"/>
      <c r="AD109" s="3522"/>
      <c r="AE109" s="3522"/>
      <c r="AF109" s="3522"/>
      <c r="AG109" s="3523"/>
      <c r="AH109" s="215"/>
      <c r="AI109" s="182"/>
    </row>
    <row r="110" spans="1:35" ht="22.35" customHeight="1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5"/>
      <c r="AI110" s="182"/>
    </row>
    <row r="111" spans="1:35" ht="22.35" customHeight="1" thickBot="1">
      <c r="A111" s="3500" t="s">
        <v>28</v>
      </c>
      <c r="B111" s="3414" t="s">
        <v>29</v>
      </c>
      <c r="C111" s="3342">
        <v>1</v>
      </c>
      <c r="D111" s="3342">
        <v>2</v>
      </c>
      <c r="E111" s="3342">
        <v>3</v>
      </c>
      <c r="F111" s="3343">
        <v>4</v>
      </c>
      <c r="G111" s="3343">
        <v>5</v>
      </c>
      <c r="H111" s="3342">
        <v>6</v>
      </c>
      <c r="I111" s="3342">
        <v>7</v>
      </c>
      <c r="J111" s="3342">
        <v>8</v>
      </c>
      <c r="K111" s="3342">
        <v>9</v>
      </c>
      <c r="L111" s="3342">
        <v>10</v>
      </c>
      <c r="M111" s="3343">
        <v>11</v>
      </c>
      <c r="N111" s="3343">
        <v>12</v>
      </c>
      <c r="O111" s="3342">
        <v>13</v>
      </c>
      <c r="P111" s="3342">
        <v>14</v>
      </c>
      <c r="Q111" s="3342">
        <v>15</v>
      </c>
      <c r="R111" s="3342">
        <v>16</v>
      </c>
      <c r="S111" s="3342">
        <v>17</v>
      </c>
      <c r="T111" s="3343">
        <v>18</v>
      </c>
      <c r="U111" s="3343">
        <v>19</v>
      </c>
      <c r="V111" s="3342">
        <v>20</v>
      </c>
      <c r="W111" s="3342">
        <v>21</v>
      </c>
      <c r="X111" s="3342">
        <v>22</v>
      </c>
      <c r="Y111" s="3342">
        <v>23</v>
      </c>
      <c r="Z111" s="3344">
        <v>24</v>
      </c>
      <c r="AA111" s="3343">
        <v>25</v>
      </c>
      <c r="AB111" s="3343">
        <v>26</v>
      </c>
      <c r="AC111" s="3342">
        <v>27</v>
      </c>
      <c r="AD111" s="3342">
        <v>28</v>
      </c>
      <c r="AE111" s="3342">
        <v>29</v>
      </c>
      <c r="AF111" s="3342">
        <v>30</v>
      </c>
      <c r="AG111" s="3345">
        <v>31</v>
      </c>
      <c r="AH111" s="215"/>
      <c r="AI111" s="182"/>
    </row>
    <row r="112" spans="1:35" ht="22.35" customHeight="1">
      <c r="A112" s="381">
        <v>8520</v>
      </c>
      <c r="B112" s="382" t="s">
        <v>172</v>
      </c>
      <c r="C112" s="349" t="s">
        <v>173</v>
      </c>
      <c r="D112" s="349" t="s">
        <v>173</v>
      </c>
      <c r="E112" s="349" t="s">
        <v>173</v>
      </c>
      <c r="F112" s="349"/>
      <c r="G112" s="349"/>
      <c r="H112" s="349" t="s">
        <v>173</v>
      </c>
      <c r="I112" s="349" t="s">
        <v>173</v>
      </c>
      <c r="J112" s="349" t="s">
        <v>173</v>
      </c>
      <c r="K112" s="546" t="s">
        <v>173</v>
      </c>
      <c r="L112" s="546" t="s">
        <v>173</v>
      </c>
      <c r="M112" s="349"/>
      <c r="N112" s="349"/>
      <c r="O112" s="349" t="s">
        <v>173</v>
      </c>
      <c r="P112" s="349" t="s">
        <v>173</v>
      </c>
      <c r="Q112" s="349" t="s">
        <v>173</v>
      </c>
      <c r="R112" s="349" t="s">
        <v>173</v>
      </c>
      <c r="S112" s="349" t="s">
        <v>173</v>
      </c>
      <c r="T112" s="349"/>
      <c r="U112" s="349"/>
      <c r="V112" s="349" t="s">
        <v>173</v>
      </c>
      <c r="W112" s="349" t="s">
        <v>173</v>
      </c>
      <c r="X112" s="664" t="s">
        <v>173</v>
      </c>
      <c r="Y112" s="664" t="s">
        <v>173</v>
      </c>
      <c r="Z112" s="349" t="s">
        <v>173</v>
      </c>
      <c r="AA112" s="349"/>
      <c r="AB112" s="349"/>
      <c r="AC112" s="664" t="s">
        <v>173</v>
      </c>
      <c r="AD112" s="664" t="s">
        <v>173</v>
      </c>
      <c r="AE112" s="349" t="s">
        <v>173</v>
      </c>
      <c r="AF112" s="349" t="s">
        <v>173</v>
      </c>
      <c r="AG112" s="352" t="s">
        <v>183</v>
      </c>
      <c r="AH112" s="215"/>
      <c r="AI112" s="182"/>
    </row>
    <row r="113" spans="1:35" ht="22.35" customHeight="1">
      <c r="A113" s="221"/>
      <c r="B113" s="220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5"/>
      <c r="AI113" s="182"/>
    </row>
    <row r="114" spans="1:35" ht="22.35" customHeight="1">
      <c r="AH114" s="107"/>
      <c r="AI114" s="107"/>
    </row>
    <row r="115" spans="1:35" ht="22.35" customHeight="1" thickBot="1">
      <c r="A115" s="172" t="s">
        <v>174</v>
      </c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>
      <c r="A116" s="172"/>
      <c r="B116" s="248" t="s">
        <v>175</v>
      </c>
      <c r="C116" s="383"/>
      <c r="D116" s="384" t="s">
        <v>94</v>
      </c>
      <c r="E116" s="385"/>
      <c r="F116" s="386"/>
      <c r="G116" s="383"/>
      <c r="H116" s="384" t="s">
        <v>95</v>
      </c>
      <c r="I116" s="385"/>
      <c r="J116" s="386"/>
      <c r="K116" s="383"/>
      <c r="L116" s="384" t="s">
        <v>96</v>
      </c>
      <c r="M116" s="385"/>
      <c r="N116" s="386"/>
      <c r="O116" s="383"/>
      <c r="P116" s="384" t="s">
        <v>97</v>
      </c>
      <c r="Q116" s="385"/>
      <c r="R116" s="386"/>
      <c r="S116" s="383"/>
      <c r="T116" s="384" t="s">
        <v>98</v>
      </c>
      <c r="U116" s="385"/>
      <c r="V116" s="386"/>
      <c r="W116" s="383"/>
      <c r="X116" s="384" t="s">
        <v>99</v>
      </c>
      <c r="Y116" s="385"/>
      <c r="Z116" s="386"/>
      <c r="AA116" s="383"/>
      <c r="AB116" s="384" t="s">
        <v>100</v>
      </c>
      <c r="AC116" s="385"/>
      <c r="AD116" s="385"/>
      <c r="AE116" s="387" t="s">
        <v>101</v>
      </c>
      <c r="AF116" s="385"/>
      <c r="AG116" s="385"/>
      <c r="AH116" s="385"/>
      <c r="AI116" s="388"/>
    </row>
    <row r="117" spans="1:35" ht="22.35" customHeight="1">
      <c r="A117" s="172"/>
      <c r="B117" s="3524" t="s">
        <v>148</v>
      </c>
      <c r="C117" s="3525">
        <v>69</v>
      </c>
      <c r="D117" s="3526" t="s">
        <v>176</v>
      </c>
      <c r="E117" s="3526"/>
      <c r="F117" s="3527"/>
      <c r="G117" s="3525">
        <v>69</v>
      </c>
      <c r="H117" s="3526" t="s">
        <v>176</v>
      </c>
      <c r="I117" s="3526"/>
      <c r="J117" s="3527"/>
      <c r="K117" s="3525">
        <v>69</v>
      </c>
      <c r="L117" s="3526" t="s">
        <v>176</v>
      </c>
      <c r="M117" s="3526"/>
      <c r="N117" s="3527"/>
      <c r="O117" s="3525">
        <v>69</v>
      </c>
      <c r="P117" s="3526" t="s">
        <v>176</v>
      </c>
      <c r="Q117" s="3526"/>
      <c r="R117" s="3527"/>
      <c r="S117" s="3525">
        <v>69</v>
      </c>
      <c r="T117" s="3526" t="s">
        <v>176</v>
      </c>
      <c r="U117" s="3526"/>
      <c r="V117" s="3527"/>
      <c r="W117" s="3525"/>
      <c r="X117" s="3528"/>
      <c r="Y117" s="3528"/>
      <c r="Z117" s="3529"/>
      <c r="AA117" s="3525"/>
      <c r="AB117" s="3526"/>
      <c r="AC117" s="3526"/>
      <c r="AD117" s="3454"/>
      <c r="AE117" s="3530">
        <v>35</v>
      </c>
      <c r="AF117" s="3526"/>
      <c r="AG117" s="3526"/>
      <c r="AH117" s="3454"/>
      <c r="AI117" s="3531"/>
    </row>
    <row r="118" spans="1:35" ht="22.35" customHeight="1">
      <c r="A118" s="172"/>
      <c r="B118" s="3524" t="s">
        <v>152</v>
      </c>
      <c r="C118" s="3525">
        <v>79</v>
      </c>
      <c r="D118" s="3526" t="s">
        <v>177</v>
      </c>
      <c r="E118" s="3526"/>
      <c r="F118" s="3527"/>
      <c r="G118" s="3525">
        <v>79</v>
      </c>
      <c r="H118" s="3526" t="s">
        <v>177</v>
      </c>
      <c r="I118" s="3526"/>
      <c r="J118" s="3527"/>
      <c r="K118" s="3525">
        <v>79</v>
      </c>
      <c r="L118" s="3526" t="s">
        <v>177</v>
      </c>
      <c r="M118" s="3526"/>
      <c r="N118" s="3527"/>
      <c r="O118" s="3525">
        <v>79</v>
      </c>
      <c r="P118" s="3526" t="s">
        <v>177</v>
      </c>
      <c r="Q118" s="3526"/>
      <c r="R118" s="3527"/>
      <c r="S118" s="3525">
        <v>79</v>
      </c>
      <c r="T118" s="3526" t="s">
        <v>177</v>
      </c>
      <c r="U118" s="3526"/>
      <c r="V118" s="3527"/>
      <c r="W118" s="3525"/>
      <c r="X118" s="3526"/>
      <c r="Y118" s="3526"/>
      <c r="Z118" s="3527"/>
      <c r="AA118" s="3526"/>
      <c r="AB118" s="3526"/>
      <c r="AC118" s="3526"/>
      <c r="AD118" s="3454"/>
      <c r="AE118" s="3530">
        <v>40</v>
      </c>
      <c r="AF118" s="3526"/>
      <c r="AG118" s="3526"/>
      <c r="AH118" s="3454"/>
      <c r="AI118" s="3531"/>
    </row>
    <row r="119" spans="1:35" ht="22.35" customHeight="1">
      <c r="A119" s="172"/>
      <c r="B119" s="3524" t="s">
        <v>159</v>
      </c>
      <c r="C119" s="3525">
        <v>89</v>
      </c>
      <c r="D119" s="3526" t="s">
        <v>178</v>
      </c>
      <c r="E119" s="3526"/>
      <c r="F119" s="3527"/>
      <c r="G119" s="3525">
        <v>89</v>
      </c>
      <c r="H119" s="3526" t="s">
        <v>178</v>
      </c>
      <c r="I119" s="3526"/>
      <c r="J119" s="3527"/>
      <c r="K119" s="3525">
        <v>89</v>
      </c>
      <c r="L119" s="3526" t="s">
        <v>178</v>
      </c>
      <c r="M119" s="3526"/>
      <c r="N119" s="3527"/>
      <c r="O119" s="3525">
        <v>89</v>
      </c>
      <c r="P119" s="3526" t="s">
        <v>178</v>
      </c>
      <c r="Q119" s="3526"/>
      <c r="R119" s="3527"/>
      <c r="S119" s="3525">
        <v>89</v>
      </c>
      <c r="T119" s="3526" t="s">
        <v>179</v>
      </c>
      <c r="U119" s="3526"/>
      <c r="V119" s="3527"/>
      <c r="W119" s="3532"/>
      <c r="X119" s="3533" t="s">
        <v>180</v>
      </c>
      <c r="Y119" s="3533"/>
      <c r="Z119" s="3534"/>
      <c r="AA119" s="3532"/>
      <c r="AB119" s="3533"/>
      <c r="AC119" s="3533"/>
      <c r="AD119" s="3456"/>
      <c r="AE119" s="3530">
        <v>44</v>
      </c>
      <c r="AF119" s="3526"/>
      <c r="AG119" s="3526"/>
      <c r="AH119" s="3454"/>
      <c r="AI119" s="3531"/>
    </row>
    <row r="120" spans="1:35" ht="22.35" customHeight="1">
      <c r="A120" s="172"/>
      <c r="B120" s="38" t="s">
        <v>161</v>
      </c>
      <c r="C120" s="3532">
        <v>99</v>
      </c>
      <c r="D120" s="3533" t="s">
        <v>181</v>
      </c>
      <c r="E120" s="3533"/>
      <c r="F120" s="3534"/>
      <c r="G120" s="3532">
        <v>99</v>
      </c>
      <c r="H120" s="3533" t="s">
        <v>181</v>
      </c>
      <c r="I120" s="3533"/>
      <c r="J120" s="3534"/>
      <c r="K120" s="3532">
        <v>99</v>
      </c>
      <c r="L120" s="3533" t="s">
        <v>181</v>
      </c>
      <c r="M120" s="3533"/>
      <c r="N120" s="3534"/>
      <c r="O120" s="3532">
        <v>99</v>
      </c>
      <c r="P120" s="3533" t="s">
        <v>181</v>
      </c>
      <c r="Q120" s="3533"/>
      <c r="R120" s="3534"/>
      <c r="S120" s="3532">
        <v>99</v>
      </c>
      <c r="T120" s="3533" t="s">
        <v>160</v>
      </c>
      <c r="U120" s="3533"/>
      <c r="V120" s="3456"/>
      <c r="W120" s="3455"/>
      <c r="X120" s="3456"/>
      <c r="Y120" s="3533"/>
      <c r="Z120" s="3534"/>
      <c r="AA120" s="3455"/>
      <c r="AB120" s="3456"/>
      <c r="AC120" s="3533"/>
      <c r="AD120" s="3534"/>
      <c r="AE120" s="3535">
        <v>28</v>
      </c>
      <c r="AF120" s="3533"/>
      <c r="AG120" s="3533"/>
      <c r="AH120" s="3456"/>
      <c r="AI120" s="3536"/>
    </row>
    <row r="121" spans="1:35" ht="22.35" customHeight="1" thickBot="1">
      <c r="A121" s="172"/>
      <c r="B121" s="3537" t="s">
        <v>182</v>
      </c>
      <c r="C121" s="3538" t="s">
        <v>183</v>
      </c>
      <c r="D121" s="3539" t="s">
        <v>184</v>
      </c>
      <c r="E121" s="3540"/>
      <c r="F121" s="3407"/>
      <c r="G121" s="3538" t="s">
        <v>183</v>
      </c>
      <c r="H121" s="3539" t="s">
        <v>184</v>
      </c>
      <c r="I121" s="3405"/>
      <c r="J121" s="3540"/>
      <c r="K121" s="3538" t="s">
        <v>183</v>
      </c>
      <c r="L121" s="3539" t="s">
        <v>184</v>
      </c>
      <c r="M121" s="3540"/>
      <c r="N121" s="3541"/>
      <c r="O121" s="3538" t="s">
        <v>183</v>
      </c>
      <c r="P121" s="3539" t="s">
        <v>184</v>
      </c>
      <c r="Q121" s="3540"/>
      <c r="R121" s="3539"/>
      <c r="S121" s="3538" t="s">
        <v>183</v>
      </c>
      <c r="T121" s="3409" t="s">
        <v>185</v>
      </c>
      <c r="U121" s="3539"/>
      <c r="V121" s="3541"/>
      <c r="W121" s="3540"/>
      <c r="X121" s="3539"/>
      <c r="Y121" s="3539"/>
      <c r="Z121" s="3539"/>
      <c r="AA121" s="3542"/>
      <c r="AB121" s="3543"/>
      <c r="AC121" s="3539"/>
      <c r="AD121" s="3544"/>
      <c r="AE121" s="3539"/>
      <c r="AF121" s="3539"/>
      <c r="AG121" s="3539"/>
      <c r="AH121" s="3545"/>
      <c r="AI121" s="3546"/>
    </row>
    <row r="122" spans="1:35" ht="22.35" customHeight="1">
      <c r="A122" s="108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>
      <c r="A123" s="3500"/>
      <c r="B123" s="3414" t="s">
        <v>29</v>
      </c>
      <c r="C123" s="3342">
        <v>1</v>
      </c>
      <c r="D123" s="3342">
        <v>2</v>
      </c>
      <c r="E123" s="3342">
        <v>3</v>
      </c>
      <c r="F123" s="3343">
        <v>4</v>
      </c>
      <c r="G123" s="3343">
        <v>5</v>
      </c>
      <c r="H123" s="3342">
        <v>6</v>
      </c>
      <c r="I123" s="3342">
        <v>7</v>
      </c>
      <c r="J123" s="3342">
        <v>8</v>
      </c>
      <c r="K123" s="3342">
        <v>9</v>
      </c>
      <c r="L123" s="3342">
        <v>10</v>
      </c>
      <c r="M123" s="3343">
        <v>11</v>
      </c>
      <c r="N123" s="3343">
        <v>12</v>
      </c>
      <c r="O123" s="3342">
        <v>13</v>
      </c>
      <c r="P123" s="3342">
        <v>14</v>
      </c>
      <c r="Q123" s="3342">
        <v>15</v>
      </c>
      <c r="R123" s="3342">
        <v>16</v>
      </c>
      <c r="S123" s="3342">
        <v>17</v>
      </c>
      <c r="T123" s="3343">
        <v>18</v>
      </c>
      <c r="U123" s="3343">
        <v>19</v>
      </c>
      <c r="V123" s="3342">
        <v>20</v>
      </c>
      <c r="W123" s="3342">
        <v>21</v>
      </c>
      <c r="X123" s="3342">
        <v>22</v>
      </c>
      <c r="Y123" s="3342">
        <v>23</v>
      </c>
      <c r="Z123" s="3344">
        <v>24</v>
      </c>
      <c r="AA123" s="3343">
        <v>25</v>
      </c>
      <c r="AB123" s="3343">
        <v>26</v>
      </c>
      <c r="AC123" s="3342">
        <v>27</v>
      </c>
      <c r="AD123" s="3342">
        <v>28</v>
      </c>
      <c r="AE123" s="3342">
        <v>29</v>
      </c>
      <c r="AF123" s="3342">
        <v>30</v>
      </c>
      <c r="AG123" s="3345">
        <v>31</v>
      </c>
      <c r="AH123" s="176"/>
      <c r="AI123" s="177"/>
    </row>
    <row r="124" spans="1:35" ht="22.35" customHeight="1" thickBot="1">
      <c r="A124" s="367">
        <v>1</v>
      </c>
      <c r="B124" s="389" t="s">
        <v>186</v>
      </c>
      <c r="C124" s="361">
        <v>89</v>
      </c>
      <c r="D124" s="361">
        <v>89</v>
      </c>
      <c r="E124" s="349">
        <v>89</v>
      </c>
      <c r="F124" s="349">
        <v>89</v>
      </c>
      <c r="G124" s="350"/>
      <c r="H124" s="361">
        <v>99</v>
      </c>
      <c r="I124" s="350">
        <v>99</v>
      </c>
      <c r="J124" s="350">
        <v>99</v>
      </c>
      <c r="K124" s="361">
        <v>99</v>
      </c>
      <c r="L124" s="350" t="s">
        <v>36</v>
      </c>
      <c r="M124" s="349"/>
      <c r="N124" s="361"/>
      <c r="O124" s="361" t="s">
        <v>183</v>
      </c>
      <c r="P124" s="361" t="s">
        <v>183</v>
      </c>
      <c r="Q124" s="361" t="s">
        <v>183</v>
      </c>
      <c r="R124" s="361" t="s">
        <v>183</v>
      </c>
      <c r="S124" s="349" t="s">
        <v>183</v>
      </c>
      <c r="T124" s="349"/>
      <c r="U124" s="361"/>
      <c r="V124" s="361">
        <v>69</v>
      </c>
      <c r="W124" s="361">
        <v>69</v>
      </c>
      <c r="X124" s="361">
        <v>69</v>
      </c>
      <c r="Y124" s="361">
        <v>69</v>
      </c>
      <c r="Z124" s="361">
        <v>69</v>
      </c>
      <c r="AA124" s="350"/>
      <c r="AB124" s="3342"/>
      <c r="AC124" s="668">
        <v>79</v>
      </c>
      <c r="AD124" s="361">
        <v>79</v>
      </c>
      <c r="AE124" s="361">
        <v>79</v>
      </c>
      <c r="AF124" s="350">
        <v>79</v>
      </c>
      <c r="AG124" s="362">
        <v>79</v>
      </c>
      <c r="AH124" s="201"/>
      <c r="AI124" s="107"/>
    </row>
    <row r="125" spans="1:35" ht="22.35" customHeight="1" thickBot="1">
      <c r="A125" s="3513">
        <v>2</v>
      </c>
      <c r="B125" s="3547" t="s">
        <v>188</v>
      </c>
      <c r="C125" s="3362">
        <v>99</v>
      </c>
      <c r="D125" s="3362">
        <v>99</v>
      </c>
      <c r="E125" s="3362" t="s">
        <v>36</v>
      </c>
      <c r="F125" s="3362"/>
      <c r="G125" s="3362"/>
      <c r="H125" s="3440" t="s">
        <v>426</v>
      </c>
      <c r="I125" s="3426" t="s">
        <v>183</v>
      </c>
      <c r="J125" s="3426" t="s">
        <v>183</v>
      </c>
      <c r="K125" s="3426" t="s">
        <v>183</v>
      </c>
      <c r="L125" s="3355" t="s">
        <v>183</v>
      </c>
      <c r="M125" s="3355"/>
      <c r="N125" s="3426"/>
      <c r="O125" s="3426">
        <v>69</v>
      </c>
      <c r="P125" s="3426">
        <v>69</v>
      </c>
      <c r="Q125" s="3426">
        <v>69</v>
      </c>
      <c r="R125" s="3356">
        <v>69</v>
      </c>
      <c r="S125" s="3426">
        <v>69</v>
      </c>
      <c r="T125" s="3355"/>
      <c r="U125" s="3426"/>
      <c r="V125" s="3426">
        <v>79</v>
      </c>
      <c r="W125" s="3426">
        <v>79</v>
      </c>
      <c r="X125" s="3426">
        <v>79</v>
      </c>
      <c r="Y125" s="3426">
        <v>79</v>
      </c>
      <c r="Z125" s="3426">
        <v>79</v>
      </c>
      <c r="AA125" s="3355"/>
      <c r="AB125" s="3342"/>
      <c r="AC125" s="3548">
        <v>89</v>
      </c>
      <c r="AD125" s="3548">
        <v>89</v>
      </c>
      <c r="AE125" s="3548">
        <v>89</v>
      </c>
      <c r="AF125" s="3549">
        <v>89</v>
      </c>
      <c r="AG125" s="3550">
        <v>89</v>
      </c>
      <c r="AH125" s="202"/>
      <c r="AI125" s="171"/>
    </row>
    <row r="126" spans="1:35" ht="22.35" customHeight="1" thickBot="1">
      <c r="A126" s="3513">
        <v>3</v>
      </c>
      <c r="B126" s="3547" t="s">
        <v>353</v>
      </c>
      <c r="C126" s="3551" t="s">
        <v>183</v>
      </c>
      <c r="D126" s="3551" t="s">
        <v>183</v>
      </c>
      <c r="E126" s="3552" t="s">
        <v>183</v>
      </c>
      <c r="F126" s="3551"/>
      <c r="G126" s="3551"/>
      <c r="H126" s="3551">
        <v>69</v>
      </c>
      <c r="I126" s="3551">
        <v>69</v>
      </c>
      <c r="J126" s="3551">
        <v>69</v>
      </c>
      <c r="K126" s="3551">
        <v>69</v>
      </c>
      <c r="L126" s="3551">
        <v>69</v>
      </c>
      <c r="M126" s="3551"/>
      <c r="N126" s="3551"/>
      <c r="O126" s="3367">
        <v>79</v>
      </c>
      <c r="P126" s="3367">
        <v>79</v>
      </c>
      <c r="Q126" s="3367">
        <v>79</v>
      </c>
      <c r="R126" s="3367">
        <v>79</v>
      </c>
      <c r="S126" s="3367">
        <v>79</v>
      </c>
      <c r="T126" s="3367"/>
      <c r="U126" s="3367"/>
      <c r="V126" s="3551">
        <v>89</v>
      </c>
      <c r="W126" s="3427">
        <v>89</v>
      </c>
      <c r="X126" s="3427">
        <v>89</v>
      </c>
      <c r="Y126" s="3551">
        <v>89</v>
      </c>
      <c r="Z126" s="3551">
        <v>89</v>
      </c>
      <c r="AA126" s="3551">
        <v>89</v>
      </c>
      <c r="AB126" s="3342"/>
      <c r="AC126" s="3551">
        <v>99</v>
      </c>
      <c r="AD126" s="3551">
        <v>99</v>
      </c>
      <c r="AE126" s="3553">
        <v>99</v>
      </c>
      <c r="AF126" s="3553">
        <v>99</v>
      </c>
      <c r="AG126" s="3554" t="s">
        <v>36</v>
      </c>
      <c r="AH126" s="201"/>
      <c r="AI126" s="107"/>
    </row>
    <row r="127" spans="1:35" ht="22.35" customHeight="1" thickBot="1">
      <c r="A127" s="3513">
        <v>4</v>
      </c>
      <c r="B127" s="3547"/>
      <c r="C127" s="3355">
        <v>69</v>
      </c>
      <c r="D127" s="3355">
        <v>69</v>
      </c>
      <c r="E127" s="3355">
        <v>69</v>
      </c>
      <c r="F127" s="3355"/>
      <c r="G127" s="3355"/>
      <c r="H127" s="3355">
        <v>79</v>
      </c>
      <c r="I127" s="3355">
        <v>79</v>
      </c>
      <c r="J127" s="3355">
        <v>79</v>
      </c>
      <c r="K127" s="3355">
        <v>79</v>
      </c>
      <c r="L127" s="3355">
        <v>79</v>
      </c>
      <c r="M127" s="3355"/>
      <c r="N127" s="3355"/>
      <c r="O127" s="3355">
        <v>89</v>
      </c>
      <c r="P127" s="3355">
        <v>89</v>
      </c>
      <c r="Q127" s="3477">
        <v>89</v>
      </c>
      <c r="R127" s="3477">
        <v>89</v>
      </c>
      <c r="S127" s="3355">
        <v>89</v>
      </c>
      <c r="T127" s="3355">
        <v>89</v>
      </c>
      <c r="U127" s="3355"/>
      <c r="V127" s="3355">
        <v>99</v>
      </c>
      <c r="W127" s="3355">
        <v>99</v>
      </c>
      <c r="X127" s="3355">
        <v>99</v>
      </c>
      <c r="Y127" s="3477">
        <v>99</v>
      </c>
      <c r="Z127" s="3477" t="s">
        <v>36</v>
      </c>
      <c r="AA127" s="3355"/>
      <c r="AB127" s="3342"/>
      <c r="AC127" s="3355" t="s">
        <v>183</v>
      </c>
      <c r="AD127" s="3355" t="s">
        <v>183</v>
      </c>
      <c r="AE127" s="3355" t="s">
        <v>183</v>
      </c>
      <c r="AF127" s="3477" t="s">
        <v>343</v>
      </c>
      <c r="AG127" s="3555" t="s">
        <v>343</v>
      </c>
      <c r="AH127" s="201"/>
      <c r="AI127" s="107"/>
    </row>
    <row r="128" spans="1:35" ht="22.35" customHeight="1" thickBot="1">
      <c r="A128" s="3518">
        <v>5</v>
      </c>
      <c r="B128" s="3556" t="s">
        <v>190</v>
      </c>
      <c r="C128" s="3505">
        <v>79</v>
      </c>
      <c r="D128" s="3505">
        <v>79</v>
      </c>
      <c r="E128" s="3505">
        <v>79</v>
      </c>
      <c r="F128" s="3342"/>
      <c r="G128" s="557"/>
      <c r="H128" s="3420">
        <v>89</v>
      </c>
      <c r="I128" s="3420">
        <v>89</v>
      </c>
      <c r="J128" s="3420">
        <v>89</v>
      </c>
      <c r="K128" s="3420">
        <v>89</v>
      </c>
      <c r="L128" s="3342">
        <v>89</v>
      </c>
      <c r="M128" s="3342">
        <v>89</v>
      </c>
      <c r="N128" s="3505"/>
      <c r="O128" s="3505">
        <v>99</v>
      </c>
      <c r="P128" s="3505">
        <v>99</v>
      </c>
      <c r="Q128" s="3505">
        <v>99</v>
      </c>
      <c r="R128" s="3505">
        <v>99</v>
      </c>
      <c r="S128" s="3342" t="s">
        <v>36</v>
      </c>
      <c r="T128" s="3557"/>
      <c r="U128" s="3557"/>
      <c r="V128" s="3505" t="s">
        <v>183</v>
      </c>
      <c r="W128" s="3505" t="s">
        <v>183</v>
      </c>
      <c r="X128" s="3505" t="s">
        <v>183</v>
      </c>
      <c r="Y128" s="3505" t="s">
        <v>183</v>
      </c>
      <c r="Z128" s="3505" t="s">
        <v>183</v>
      </c>
      <c r="AA128" s="3421"/>
      <c r="AB128" s="3342"/>
      <c r="AC128" s="3505">
        <v>69</v>
      </c>
      <c r="AD128" s="3505">
        <v>69</v>
      </c>
      <c r="AE128" s="3505">
        <v>69</v>
      </c>
      <c r="AF128" s="3558">
        <v>69</v>
      </c>
      <c r="AG128" s="3559">
        <v>69</v>
      </c>
      <c r="AH128" s="201"/>
      <c r="AI128" s="107"/>
    </row>
    <row r="129" spans="1:35" ht="22.35" customHeight="1">
      <c r="A129" s="212"/>
      <c r="B129" s="229"/>
      <c r="C129" s="230"/>
      <c r="D129" s="230"/>
      <c r="E129" s="230"/>
      <c r="F129" s="211"/>
      <c r="G129" s="228"/>
      <c r="H129" s="228"/>
      <c r="I129" s="228"/>
      <c r="J129" s="228"/>
      <c r="K129" s="228"/>
      <c r="L129" s="211"/>
      <c r="M129" s="211"/>
      <c r="N129" s="230"/>
      <c r="O129" s="230"/>
      <c r="P129" s="230"/>
      <c r="Q129" s="230"/>
      <c r="R129" s="230"/>
      <c r="S129" s="211"/>
      <c r="T129" s="231"/>
      <c r="U129" s="230"/>
      <c r="V129" s="230"/>
      <c r="W129" s="230"/>
      <c r="X129" s="230"/>
      <c r="Y129" s="230"/>
      <c r="Z129" s="232"/>
      <c r="AA129" s="232"/>
      <c r="AB129" s="230"/>
      <c r="AC129" s="230"/>
      <c r="AD129" s="230"/>
      <c r="AE129" s="230"/>
      <c r="AF129" s="230"/>
      <c r="AG129" s="232"/>
      <c r="AH129" s="201"/>
      <c r="AI129" s="107"/>
    </row>
    <row r="130" spans="1:35" ht="22.35" customHeight="1">
      <c r="A130" s="109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35" ht="22.35" customHeight="1" thickBot="1">
      <c r="A131" s="172" t="s">
        <v>191</v>
      </c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35" ht="22.35" customHeight="1">
      <c r="A132" s="172"/>
      <c r="B132" s="248" t="s">
        <v>175</v>
      </c>
      <c r="C132" s="383"/>
      <c r="D132" s="384" t="s">
        <v>94</v>
      </c>
      <c r="E132" s="385"/>
      <c r="F132" s="386"/>
      <c r="G132" s="383"/>
      <c r="H132" s="384" t="s">
        <v>95</v>
      </c>
      <c r="I132" s="385"/>
      <c r="J132" s="386"/>
      <c r="K132" s="383"/>
      <c r="L132" s="384" t="s">
        <v>96</v>
      </c>
      <c r="M132" s="385"/>
      <c r="N132" s="386"/>
      <c r="O132" s="383"/>
      <c r="P132" s="384" t="s">
        <v>97</v>
      </c>
      <c r="Q132" s="385"/>
      <c r="R132" s="386"/>
      <c r="S132" s="383"/>
      <c r="T132" s="384" t="s">
        <v>98</v>
      </c>
      <c r="U132" s="385"/>
      <c r="V132" s="386"/>
      <c r="W132" s="383"/>
      <c r="X132" s="384" t="s">
        <v>99</v>
      </c>
      <c r="Y132" s="385"/>
      <c r="Z132" s="386"/>
      <c r="AA132" s="383"/>
      <c r="AB132" s="384" t="s">
        <v>100</v>
      </c>
      <c r="AC132" s="385"/>
      <c r="AD132" s="385"/>
      <c r="AE132" s="387" t="s">
        <v>101</v>
      </c>
      <c r="AF132" s="385"/>
      <c r="AG132" s="385"/>
      <c r="AH132" s="385"/>
      <c r="AI132" s="388"/>
    </row>
    <row r="133" spans="1:35" ht="22.35" customHeight="1">
      <c r="A133" s="172"/>
      <c r="B133" s="3524" t="s">
        <v>192</v>
      </c>
      <c r="C133" s="3453" t="s">
        <v>193</v>
      </c>
      <c r="D133" s="3526"/>
      <c r="E133" s="3526"/>
      <c r="F133" s="3527"/>
      <c r="G133" s="3453" t="s">
        <v>193</v>
      </c>
      <c r="H133" s="3526"/>
      <c r="I133" s="3526"/>
      <c r="J133" s="3527"/>
      <c r="K133" s="3453" t="s">
        <v>193</v>
      </c>
      <c r="L133" s="3526"/>
      <c r="M133" s="3526"/>
      <c r="N133" s="3527"/>
      <c r="O133" s="3453" t="s">
        <v>193</v>
      </c>
      <c r="P133" s="3526"/>
      <c r="Q133" s="3526"/>
      <c r="R133" s="3527"/>
      <c r="S133" s="3453" t="s">
        <v>193</v>
      </c>
      <c r="T133" s="3526"/>
      <c r="U133" s="3526"/>
      <c r="V133" s="3527"/>
      <c r="W133" s="3453" t="s">
        <v>194</v>
      </c>
      <c r="X133" s="3528"/>
      <c r="Y133" s="3528"/>
      <c r="Z133" s="3529"/>
      <c r="AA133" s="3453" t="s">
        <v>194</v>
      </c>
      <c r="AB133" s="3526"/>
      <c r="AC133" s="3526"/>
      <c r="AD133" s="3454"/>
      <c r="AE133" s="3530">
        <v>69</v>
      </c>
      <c r="AF133" s="194"/>
      <c r="AG133" s="194"/>
      <c r="AH133" s="194"/>
      <c r="AI133" s="195"/>
    </row>
    <row r="134" spans="1:35" ht="22.35" customHeight="1">
      <c r="A134" s="172"/>
      <c r="B134" s="3524" t="s">
        <v>152</v>
      </c>
      <c r="C134" s="3453" t="s">
        <v>160</v>
      </c>
      <c r="D134" s="3526"/>
      <c r="E134" s="3526"/>
      <c r="F134" s="3527"/>
      <c r="G134" s="3453" t="s">
        <v>160</v>
      </c>
      <c r="H134" s="3526"/>
      <c r="I134" s="3526"/>
      <c r="J134" s="3527"/>
      <c r="K134" s="3453" t="s">
        <v>160</v>
      </c>
      <c r="L134" s="3526"/>
      <c r="M134" s="3526"/>
      <c r="N134" s="3527"/>
      <c r="O134" s="3453" t="s">
        <v>160</v>
      </c>
      <c r="P134" s="3526"/>
      <c r="Q134" s="3526"/>
      <c r="R134" s="3527"/>
      <c r="S134" s="3453" t="s">
        <v>160</v>
      </c>
      <c r="T134" s="3526"/>
      <c r="U134" s="3526"/>
      <c r="V134" s="3527"/>
      <c r="W134" s="3453" t="s">
        <v>160</v>
      </c>
      <c r="X134" s="3526"/>
      <c r="Y134" s="3526"/>
      <c r="Z134" s="3527"/>
      <c r="AA134" s="3526" t="s">
        <v>160</v>
      </c>
      <c r="AB134" s="3526"/>
      <c r="AC134" s="3526"/>
      <c r="AD134" s="3454"/>
      <c r="AE134" s="3530">
        <v>0</v>
      </c>
      <c r="AF134" s="194"/>
      <c r="AG134" s="194"/>
      <c r="AH134" s="194"/>
      <c r="AI134" s="195"/>
    </row>
    <row r="135" spans="1:35" ht="22.35" customHeight="1">
      <c r="A135" s="172"/>
      <c r="B135" s="3524" t="s">
        <v>195</v>
      </c>
      <c r="C135" s="3453" t="s">
        <v>193</v>
      </c>
      <c r="D135" s="3526"/>
      <c r="E135" s="3526"/>
      <c r="F135" s="3527"/>
      <c r="G135" s="3453" t="s">
        <v>193</v>
      </c>
      <c r="H135" s="3526"/>
      <c r="I135" s="3526"/>
      <c r="J135" s="3527"/>
      <c r="K135" s="3453" t="s">
        <v>193</v>
      </c>
      <c r="L135" s="3526"/>
      <c r="M135" s="3526"/>
      <c r="N135" s="3527"/>
      <c r="O135" s="3453" t="s">
        <v>193</v>
      </c>
      <c r="P135" s="3526"/>
      <c r="Q135" s="3526"/>
      <c r="R135" s="3527"/>
      <c r="S135" s="3453" t="s">
        <v>193</v>
      </c>
      <c r="T135" s="3526"/>
      <c r="U135" s="3526"/>
      <c r="V135" s="3527"/>
      <c r="W135" s="3453" t="s">
        <v>194</v>
      </c>
      <c r="X135" s="3528"/>
      <c r="Y135" s="3528"/>
      <c r="Z135" s="3529"/>
      <c r="AA135" s="3453" t="s">
        <v>194</v>
      </c>
      <c r="AB135" s="3526"/>
      <c r="AC135" s="3526"/>
      <c r="AD135" s="3454"/>
      <c r="AE135" s="3530">
        <v>69</v>
      </c>
      <c r="AF135" s="3526"/>
      <c r="AG135" s="3526" t="s">
        <v>0</v>
      </c>
      <c r="AH135" s="3454"/>
      <c r="AI135" s="3531"/>
    </row>
    <row r="136" spans="1:35" ht="22.35" customHeight="1">
      <c r="A136" s="172"/>
      <c r="B136" s="3524" t="s">
        <v>161</v>
      </c>
      <c r="C136" s="3453" t="s">
        <v>160</v>
      </c>
      <c r="D136" s="3526"/>
      <c r="E136" s="3526"/>
      <c r="F136" s="3527"/>
      <c r="G136" s="3453" t="s">
        <v>160</v>
      </c>
      <c r="H136" s="3526"/>
      <c r="I136" s="3526"/>
      <c r="J136" s="3527"/>
      <c r="K136" s="3453" t="s">
        <v>160</v>
      </c>
      <c r="L136" s="3526"/>
      <c r="M136" s="3526"/>
      <c r="N136" s="3527"/>
      <c r="O136" s="3453" t="s">
        <v>160</v>
      </c>
      <c r="P136" s="3526"/>
      <c r="Q136" s="3526"/>
      <c r="R136" s="3527"/>
      <c r="S136" s="3453" t="s">
        <v>160</v>
      </c>
      <c r="T136" s="3526"/>
      <c r="U136" s="3526"/>
      <c r="V136" s="3527"/>
      <c r="W136" s="3453" t="s">
        <v>160</v>
      </c>
      <c r="X136" s="3526"/>
      <c r="Y136" s="3526"/>
      <c r="Z136" s="3527"/>
      <c r="AA136" s="3526" t="s">
        <v>160</v>
      </c>
      <c r="AB136" s="3526"/>
      <c r="AC136" s="3526"/>
      <c r="AD136" s="3454"/>
      <c r="AE136" s="3530">
        <v>0</v>
      </c>
      <c r="AF136" s="3526"/>
      <c r="AG136" s="3526"/>
      <c r="AH136" s="3454"/>
      <c r="AI136" s="3531"/>
    </row>
    <row r="137" spans="1:35" ht="22.35" customHeight="1">
      <c r="A137" s="172"/>
      <c r="B137" s="3524" t="s">
        <v>196</v>
      </c>
      <c r="C137" s="3453" t="s">
        <v>193</v>
      </c>
      <c r="D137" s="3526"/>
      <c r="E137" s="3526"/>
      <c r="F137" s="3527"/>
      <c r="G137" s="3453" t="s">
        <v>193</v>
      </c>
      <c r="H137" s="3526"/>
      <c r="I137" s="3526"/>
      <c r="J137" s="3527"/>
      <c r="K137" s="3453" t="s">
        <v>193</v>
      </c>
      <c r="L137" s="3526"/>
      <c r="M137" s="3526"/>
      <c r="N137" s="3527"/>
      <c r="O137" s="3453" t="s">
        <v>193</v>
      </c>
      <c r="P137" s="3526"/>
      <c r="Q137" s="3526"/>
      <c r="R137" s="3527"/>
      <c r="S137" s="3453" t="s">
        <v>193</v>
      </c>
      <c r="T137" s="3526"/>
      <c r="U137" s="3526"/>
      <c r="V137" s="3527"/>
      <c r="W137" s="3453" t="s">
        <v>197</v>
      </c>
      <c r="X137" s="3533"/>
      <c r="Y137" s="3533"/>
      <c r="Z137" s="3534"/>
      <c r="AA137" s="3453" t="s">
        <v>197</v>
      </c>
      <c r="AB137" s="3533"/>
      <c r="AC137" s="3533"/>
      <c r="AD137" s="3456"/>
      <c r="AE137" s="3530">
        <v>66</v>
      </c>
      <c r="AF137" s="3526"/>
      <c r="AG137" s="3526"/>
      <c r="AH137" s="3454"/>
      <c r="AI137" s="3531"/>
    </row>
    <row r="138" spans="1:35" ht="22.35" customHeight="1" thickBot="1">
      <c r="A138" s="172"/>
      <c r="B138" s="3524" t="s">
        <v>198</v>
      </c>
      <c r="C138" s="3560" t="s">
        <v>160</v>
      </c>
      <c r="D138" s="3561"/>
      <c r="E138" s="3561"/>
      <c r="F138" s="3562"/>
      <c r="G138" s="3560" t="s">
        <v>160</v>
      </c>
      <c r="H138" s="3561"/>
      <c r="I138" s="3561"/>
      <c r="J138" s="3562"/>
      <c r="K138" s="3560" t="s">
        <v>160</v>
      </c>
      <c r="L138" s="3561"/>
      <c r="M138" s="3561"/>
      <c r="N138" s="3562"/>
      <c r="O138" s="3560" t="s">
        <v>160</v>
      </c>
      <c r="P138" s="3561"/>
      <c r="Q138" s="3561"/>
      <c r="R138" s="3562"/>
      <c r="S138" s="3560" t="s">
        <v>160</v>
      </c>
      <c r="T138" s="3561"/>
      <c r="U138" s="3561"/>
      <c r="V138" s="3545"/>
      <c r="W138" s="3560" t="s">
        <v>160</v>
      </c>
      <c r="X138" s="3545"/>
      <c r="Y138" s="3561"/>
      <c r="Z138" s="3562"/>
      <c r="AA138" s="3560" t="s">
        <v>160</v>
      </c>
      <c r="AB138" s="3545"/>
      <c r="AC138" s="3561"/>
      <c r="AD138" s="3562"/>
      <c r="AE138" s="3563" t="s">
        <v>168</v>
      </c>
      <c r="AF138" s="3561"/>
      <c r="AG138" s="3561"/>
      <c r="AH138" s="3545"/>
      <c r="AI138" s="3546"/>
    </row>
    <row r="139" spans="1:35" ht="22.35" customHeight="1">
      <c r="A139" s="108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35" ht="22.35" customHeight="1" thickBot="1">
      <c r="A140" s="3500"/>
      <c r="B140" s="3341" t="s">
        <v>29</v>
      </c>
      <c r="C140" s="3342">
        <v>1</v>
      </c>
      <c r="D140" s="3342">
        <v>2</v>
      </c>
      <c r="E140" s="3342">
        <v>3</v>
      </c>
      <c r="F140" s="3343">
        <v>4</v>
      </c>
      <c r="G140" s="3343">
        <v>5</v>
      </c>
      <c r="H140" s="3342">
        <v>6</v>
      </c>
      <c r="I140" s="3342">
        <v>7</v>
      </c>
      <c r="J140" s="3342">
        <v>8</v>
      </c>
      <c r="K140" s="3342">
        <v>9</v>
      </c>
      <c r="L140" s="3342">
        <v>10</v>
      </c>
      <c r="M140" s="3343">
        <v>11</v>
      </c>
      <c r="N140" s="3343">
        <v>12</v>
      </c>
      <c r="O140" s="3342">
        <v>13</v>
      </c>
      <c r="P140" s="3342">
        <v>14</v>
      </c>
      <c r="Q140" s="3342">
        <v>15</v>
      </c>
      <c r="R140" s="3342">
        <v>16</v>
      </c>
      <c r="S140" s="3342">
        <v>17</v>
      </c>
      <c r="T140" s="3343">
        <v>18</v>
      </c>
      <c r="U140" s="3343">
        <v>19</v>
      </c>
      <c r="V140" s="3342">
        <v>20</v>
      </c>
      <c r="W140" s="3342">
        <v>21</v>
      </c>
      <c r="X140" s="3342">
        <v>22</v>
      </c>
      <c r="Y140" s="3342">
        <v>23</v>
      </c>
      <c r="Z140" s="3344">
        <v>24</v>
      </c>
      <c r="AA140" s="3343">
        <v>25</v>
      </c>
      <c r="AB140" s="3343">
        <v>26</v>
      </c>
      <c r="AC140" s="3342">
        <v>27</v>
      </c>
      <c r="AD140" s="3342">
        <v>28</v>
      </c>
      <c r="AE140" s="3342">
        <v>29</v>
      </c>
      <c r="AF140" s="3342">
        <v>30</v>
      </c>
      <c r="AG140" s="3345">
        <v>31</v>
      </c>
      <c r="AH140" s="176"/>
      <c r="AI140" s="177"/>
    </row>
    <row r="141" spans="1:35" ht="22.35" customHeight="1">
      <c r="A141" s="317">
        <v>1</v>
      </c>
      <c r="B141" s="227" t="s">
        <v>199</v>
      </c>
      <c r="C141" s="309" t="s">
        <v>36</v>
      </c>
      <c r="D141" s="309" t="s">
        <v>36</v>
      </c>
      <c r="E141" s="309" t="s">
        <v>36</v>
      </c>
      <c r="F141" s="309"/>
      <c r="G141" s="312"/>
      <c r="H141" s="309">
        <v>21</v>
      </c>
      <c r="I141" s="310">
        <v>21</v>
      </c>
      <c r="J141" s="312">
        <v>21</v>
      </c>
      <c r="K141" s="309">
        <v>21</v>
      </c>
      <c r="L141" s="310">
        <v>21</v>
      </c>
      <c r="M141" s="312">
        <v>21</v>
      </c>
      <c r="N141" s="312">
        <v>21</v>
      </c>
      <c r="O141" s="309" t="s">
        <v>36</v>
      </c>
      <c r="P141" s="309" t="s">
        <v>36</v>
      </c>
      <c r="Q141" s="309" t="s">
        <v>36</v>
      </c>
      <c r="R141" s="309" t="s">
        <v>36</v>
      </c>
      <c r="S141" s="309" t="s">
        <v>36</v>
      </c>
      <c r="T141" s="309"/>
      <c r="U141" s="309"/>
      <c r="V141" s="309">
        <v>22</v>
      </c>
      <c r="W141" s="310">
        <v>22</v>
      </c>
      <c r="X141" s="309">
        <v>22</v>
      </c>
      <c r="Y141" s="309">
        <v>22</v>
      </c>
      <c r="Z141" s="310">
        <v>22</v>
      </c>
      <c r="AA141" s="309">
        <v>22</v>
      </c>
      <c r="AB141" s="309">
        <v>22</v>
      </c>
      <c r="AC141" s="309" t="s">
        <v>36</v>
      </c>
      <c r="AD141" s="309" t="s">
        <v>36</v>
      </c>
      <c r="AE141" s="309" t="s">
        <v>36</v>
      </c>
      <c r="AF141" s="309" t="s">
        <v>36</v>
      </c>
      <c r="AG141" s="311" t="s">
        <v>36</v>
      </c>
      <c r="AH141" s="107"/>
      <c r="AI141" s="107"/>
    </row>
    <row r="142" spans="1:35" ht="22.35" customHeight="1">
      <c r="A142" s="3186">
        <v>2</v>
      </c>
      <c r="B142" s="3376" t="s">
        <v>200</v>
      </c>
      <c r="C142" s="3378" t="s">
        <v>36</v>
      </c>
      <c r="D142" s="3378" t="s">
        <v>36</v>
      </c>
      <c r="E142" s="3378" t="s">
        <v>36</v>
      </c>
      <c r="F142" s="3378"/>
      <c r="G142" s="3378"/>
      <c r="H142" s="3378">
        <v>22</v>
      </c>
      <c r="I142" s="3468">
        <v>22</v>
      </c>
      <c r="J142" s="3378">
        <v>22</v>
      </c>
      <c r="K142" s="3378">
        <v>22</v>
      </c>
      <c r="L142" s="3468">
        <v>22</v>
      </c>
      <c r="M142" s="3380">
        <v>22</v>
      </c>
      <c r="N142" s="3380">
        <v>22</v>
      </c>
      <c r="O142" s="3380" t="s">
        <v>36</v>
      </c>
      <c r="P142" s="3380" t="s">
        <v>36</v>
      </c>
      <c r="Q142" s="3380" t="s">
        <v>36</v>
      </c>
      <c r="R142" s="3380" t="s">
        <v>36</v>
      </c>
      <c r="S142" s="3380" t="s">
        <v>36</v>
      </c>
      <c r="T142" s="3380"/>
      <c r="U142" s="3380"/>
      <c r="V142" s="3380">
        <v>23</v>
      </c>
      <c r="W142" s="3468">
        <v>23</v>
      </c>
      <c r="X142" s="3378">
        <v>23</v>
      </c>
      <c r="Y142" s="3378">
        <v>23</v>
      </c>
      <c r="Z142" s="3468">
        <v>23</v>
      </c>
      <c r="AA142" s="3380">
        <v>23</v>
      </c>
      <c r="AB142" s="3380">
        <v>23</v>
      </c>
      <c r="AC142" s="3380" t="s">
        <v>36</v>
      </c>
      <c r="AD142" s="3380" t="s">
        <v>36</v>
      </c>
      <c r="AE142" s="3380" t="s">
        <v>36</v>
      </c>
      <c r="AF142" s="3380" t="s">
        <v>36</v>
      </c>
      <c r="AG142" s="3383" t="s">
        <v>36</v>
      </c>
      <c r="AH142" s="107"/>
      <c r="AI142" s="107"/>
    </row>
    <row r="143" spans="1:35" ht="22.35" customHeight="1">
      <c r="A143" s="3186">
        <v>3</v>
      </c>
      <c r="B143" s="3376" t="s">
        <v>201</v>
      </c>
      <c r="C143" s="3378" t="s">
        <v>36</v>
      </c>
      <c r="D143" s="3378" t="s">
        <v>36</v>
      </c>
      <c r="E143" s="3378" t="s">
        <v>36</v>
      </c>
      <c r="F143" s="3378"/>
      <c r="G143" s="3380"/>
      <c r="H143" s="3380">
        <v>23</v>
      </c>
      <c r="I143" s="3382">
        <v>23</v>
      </c>
      <c r="J143" s="3382">
        <v>23</v>
      </c>
      <c r="K143" s="3382">
        <v>23</v>
      </c>
      <c r="L143" s="3382">
        <v>23</v>
      </c>
      <c r="M143" s="3382">
        <v>23</v>
      </c>
      <c r="N143" s="3382">
        <v>23</v>
      </c>
      <c r="O143" s="3382" t="s">
        <v>36</v>
      </c>
      <c r="P143" s="3378" t="s">
        <v>36</v>
      </c>
      <c r="Q143" s="3378" t="s">
        <v>36</v>
      </c>
      <c r="R143" s="3387" t="s">
        <v>36</v>
      </c>
      <c r="S143" s="3387" t="s">
        <v>36</v>
      </c>
      <c r="T143" s="3378"/>
      <c r="U143" s="3380"/>
      <c r="V143" s="3236">
        <v>21</v>
      </c>
      <c r="W143" s="3236">
        <v>21</v>
      </c>
      <c r="X143" s="3236">
        <v>21</v>
      </c>
      <c r="Y143" s="3236">
        <v>21</v>
      </c>
      <c r="Z143" s="3468">
        <v>21</v>
      </c>
      <c r="AA143" s="3378">
        <v>21</v>
      </c>
      <c r="AB143" s="3378">
        <v>21</v>
      </c>
      <c r="AC143" s="3378" t="s">
        <v>36</v>
      </c>
      <c r="AD143" s="3378" t="s">
        <v>36</v>
      </c>
      <c r="AE143" s="3378" t="s">
        <v>36</v>
      </c>
      <c r="AF143" s="3378" t="s">
        <v>36</v>
      </c>
      <c r="AG143" s="3383" t="s">
        <v>36</v>
      </c>
      <c r="AH143" s="107"/>
      <c r="AI143" s="107"/>
    </row>
    <row r="144" spans="1:35" ht="22.35" customHeight="1">
      <c r="A144" s="3186">
        <v>4</v>
      </c>
      <c r="B144" s="3376" t="s">
        <v>202</v>
      </c>
      <c r="C144" s="3378">
        <v>23</v>
      </c>
      <c r="D144" s="3378">
        <v>23</v>
      </c>
      <c r="E144" s="3468">
        <v>23</v>
      </c>
      <c r="F144" s="3378">
        <v>23</v>
      </c>
      <c r="G144" s="3564">
        <v>23</v>
      </c>
      <c r="H144" s="3378" t="s">
        <v>36</v>
      </c>
      <c r="I144" s="3378" t="s">
        <v>36</v>
      </c>
      <c r="J144" s="3378" t="s">
        <v>36</v>
      </c>
      <c r="K144" s="3378" t="s">
        <v>36</v>
      </c>
      <c r="L144" s="3378" t="s">
        <v>36</v>
      </c>
      <c r="M144" s="3378"/>
      <c r="N144" s="3378"/>
      <c r="O144" s="3565">
        <v>21</v>
      </c>
      <c r="P144" s="3565">
        <v>21</v>
      </c>
      <c r="Q144" s="3565">
        <v>21</v>
      </c>
      <c r="R144" s="3565">
        <v>21</v>
      </c>
      <c r="S144" s="3565">
        <v>21</v>
      </c>
      <c r="T144" s="3566">
        <v>21</v>
      </c>
      <c r="U144" s="3566">
        <v>21</v>
      </c>
      <c r="V144" s="3382" t="s">
        <v>36</v>
      </c>
      <c r="W144" s="3378" t="s">
        <v>36</v>
      </c>
      <c r="X144" s="3378" t="s">
        <v>36</v>
      </c>
      <c r="Y144" s="3378" t="s">
        <v>36</v>
      </c>
      <c r="Z144" s="3378" t="s">
        <v>36</v>
      </c>
      <c r="AA144" s="3378"/>
      <c r="AB144" s="3378"/>
      <c r="AC144" s="3378">
        <v>22</v>
      </c>
      <c r="AD144" s="3468">
        <v>22</v>
      </c>
      <c r="AE144" s="3378">
        <v>22</v>
      </c>
      <c r="AF144" s="3378">
        <v>22</v>
      </c>
      <c r="AG144" s="3567">
        <v>22</v>
      </c>
      <c r="AH144" s="107"/>
      <c r="AI144" s="107"/>
    </row>
    <row r="145" spans="1:35" ht="22.35" customHeight="1">
      <c r="A145" s="3186">
        <v>5</v>
      </c>
      <c r="B145" s="3376" t="s">
        <v>203</v>
      </c>
      <c r="C145" s="3378">
        <v>21</v>
      </c>
      <c r="D145" s="3378">
        <v>21</v>
      </c>
      <c r="E145" s="3468">
        <v>21</v>
      </c>
      <c r="F145" s="3380">
        <v>21</v>
      </c>
      <c r="G145" s="3378">
        <v>21</v>
      </c>
      <c r="H145" s="3378" t="s">
        <v>36</v>
      </c>
      <c r="I145" s="3378" t="s">
        <v>36</v>
      </c>
      <c r="J145" s="3378" t="s">
        <v>36</v>
      </c>
      <c r="K145" s="3378" t="s">
        <v>36</v>
      </c>
      <c r="L145" s="3378" t="s">
        <v>36</v>
      </c>
      <c r="M145" s="3378"/>
      <c r="N145" s="3378"/>
      <c r="O145" s="3378">
        <v>22</v>
      </c>
      <c r="P145" s="3468">
        <v>22</v>
      </c>
      <c r="Q145" s="3378">
        <v>22</v>
      </c>
      <c r="R145" s="3378">
        <v>22</v>
      </c>
      <c r="S145" s="3468">
        <v>22</v>
      </c>
      <c r="T145" s="3378">
        <v>22</v>
      </c>
      <c r="U145" s="3378">
        <v>22</v>
      </c>
      <c r="V145" s="3378" t="s">
        <v>36</v>
      </c>
      <c r="W145" s="3378" t="s">
        <v>36</v>
      </c>
      <c r="X145" s="3378" t="s">
        <v>36</v>
      </c>
      <c r="Y145" s="3378" t="s">
        <v>36</v>
      </c>
      <c r="Z145" s="3378" t="s">
        <v>36</v>
      </c>
      <c r="AA145" s="3378"/>
      <c r="AB145" s="3378"/>
      <c r="AC145" s="3380">
        <v>23</v>
      </c>
      <c r="AD145" s="3380">
        <v>23</v>
      </c>
      <c r="AE145" s="3568">
        <v>23</v>
      </c>
      <c r="AF145" s="3568" t="s">
        <v>372</v>
      </c>
      <c r="AG145" s="3569">
        <v>23</v>
      </c>
      <c r="AH145" s="107"/>
      <c r="AI145" s="107"/>
    </row>
    <row r="146" spans="1:35" ht="22.35" customHeight="1" thickBot="1">
      <c r="A146" s="1068">
        <v>6</v>
      </c>
      <c r="B146" s="1069" t="s">
        <v>204</v>
      </c>
      <c r="C146" s="996">
        <v>22</v>
      </c>
      <c r="D146" s="996">
        <v>22</v>
      </c>
      <c r="E146" s="998">
        <v>22</v>
      </c>
      <c r="F146" s="996">
        <v>22</v>
      </c>
      <c r="G146" s="996">
        <v>22</v>
      </c>
      <c r="H146" s="1070" t="s">
        <v>36</v>
      </c>
      <c r="I146" s="1070" t="s">
        <v>36</v>
      </c>
      <c r="J146" s="1070" t="s">
        <v>36</v>
      </c>
      <c r="K146" s="1070" t="s">
        <v>36</v>
      </c>
      <c r="L146" s="1070" t="s">
        <v>36</v>
      </c>
      <c r="M146" s="1070"/>
      <c r="N146" s="1072"/>
      <c r="O146" s="1072">
        <v>23</v>
      </c>
      <c r="P146" s="998">
        <v>23</v>
      </c>
      <c r="Q146" s="996">
        <v>23</v>
      </c>
      <c r="R146" s="996">
        <v>23</v>
      </c>
      <c r="S146" s="998">
        <v>23</v>
      </c>
      <c r="T146" s="996">
        <v>23</v>
      </c>
      <c r="U146" s="996">
        <v>23</v>
      </c>
      <c r="V146" s="996" t="s">
        <v>36</v>
      </c>
      <c r="W146" s="996" t="s">
        <v>36</v>
      </c>
      <c r="X146" s="996" t="s">
        <v>36</v>
      </c>
      <c r="Y146" s="996" t="s">
        <v>36</v>
      </c>
      <c r="Z146" s="996" t="s">
        <v>36</v>
      </c>
      <c r="AA146" s="996"/>
      <c r="AB146" s="1072"/>
      <c r="AC146" s="1072">
        <v>21</v>
      </c>
      <c r="AD146" s="998">
        <v>21</v>
      </c>
      <c r="AE146" s="1126">
        <v>21</v>
      </c>
      <c r="AF146" s="1126">
        <v>21</v>
      </c>
      <c r="AG146" s="3570">
        <v>21</v>
      </c>
      <c r="AH146" s="107"/>
      <c r="AI146" s="107"/>
    </row>
    <row r="147" spans="1:35" ht="22.35" customHeight="1">
      <c r="A147" s="212"/>
      <c r="B147" s="210"/>
      <c r="C147" s="211"/>
      <c r="D147" s="211"/>
      <c r="E147" s="228"/>
      <c r="F147" s="211"/>
      <c r="G147" s="211"/>
      <c r="H147" s="233"/>
      <c r="I147" s="233"/>
      <c r="J147" s="233"/>
      <c r="K147" s="233"/>
      <c r="L147" s="233"/>
      <c r="M147" s="233"/>
      <c r="N147" s="202"/>
      <c r="O147" s="202"/>
      <c r="P147" s="228"/>
      <c r="Q147" s="211"/>
      <c r="R147" s="211"/>
      <c r="S147" s="228"/>
      <c r="T147" s="211"/>
      <c r="U147" s="211"/>
      <c r="V147" s="211"/>
      <c r="W147" s="211"/>
      <c r="X147" s="211"/>
      <c r="Y147" s="211"/>
      <c r="Z147" s="211"/>
      <c r="AA147" s="211"/>
      <c r="AB147" s="202"/>
      <c r="AC147" s="202"/>
      <c r="AD147" s="228"/>
      <c r="AE147" s="211"/>
      <c r="AF147" s="211"/>
      <c r="AG147" s="228"/>
      <c r="AH147" s="107"/>
      <c r="AI147" s="107"/>
    </row>
    <row r="148" spans="1:35" ht="22.35" customHeight="1">
      <c r="A148" s="109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>
      <c r="A149" s="161" t="s">
        <v>205</v>
      </c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>
      <c r="A150" s="1"/>
      <c r="B150" s="248" t="s">
        <v>175</v>
      </c>
      <c r="C150" s="368"/>
      <c r="D150" s="384" t="s">
        <v>94</v>
      </c>
      <c r="E150" s="357"/>
      <c r="F150" s="372"/>
      <c r="G150" s="368"/>
      <c r="H150" s="384" t="s">
        <v>95</v>
      </c>
      <c r="I150" s="357"/>
      <c r="J150" s="372"/>
      <c r="K150" s="368"/>
      <c r="L150" s="384" t="s">
        <v>96</v>
      </c>
      <c r="M150" s="357"/>
      <c r="N150" s="372"/>
      <c r="O150" s="368"/>
      <c r="P150" s="384" t="s">
        <v>97</v>
      </c>
      <c r="Q150" s="357"/>
      <c r="R150" s="372"/>
      <c r="S150" s="368"/>
      <c r="T150" s="384" t="s">
        <v>98</v>
      </c>
      <c r="U150" s="357"/>
      <c r="V150" s="372"/>
      <c r="W150" s="368"/>
      <c r="X150" s="384" t="s">
        <v>99</v>
      </c>
      <c r="Y150" s="357"/>
      <c r="Z150" s="372"/>
      <c r="AA150" s="368"/>
      <c r="AB150" s="384" t="s">
        <v>100</v>
      </c>
      <c r="AC150" s="357"/>
      <c r="AD150" s="357"/>
      <c r="AE150" s="387" t="s">
        <v>101</v>
      </c>
      <c r="AF150" s="357"/>
      <c r="AG150" s="357"/>
      <c r="AH150" s="357"/>
      <c r="AI150" s="358"/>
    </row>
    <row r="151" spans="1:35" ht="22.35" customHeight="1">
      <c r="A151" s="1"/>
      <c r="B151" s="3524" t="s">
        <v>148</v>
      </c>
      <c r="C151" s="3453" t="s">
        <v>176</v>
      </c>
      <c r="D151" s="3324"/>
      <c r="E151" s="3324"/>
      <c r="F151" s="3527"/>
      <c r="G151" s="3453" t="s">
        <v>176</v>
      </c>
      <c r="H151" s="3324"/>
      <c r="I151" s="3324"/>
      <c r="J151" s="3527"/>
      <c r="K151" s="3453" t="s">
        <v>176</v>
      </c>
      <c r="L151" s="3324"/>
      <c r="M151" s="3324"/>
      <c r="N151" s="3527"/>
      <c r="O151" s="3453" t="s">
        <v>206</v>
      </c>
      <c r="P151" s="3324"/>
      <c r="Q151" s="3324"/>
      <c r="R151" s="3527"/>
      <c r="S151" s="3453" t="s">
        <v>160</v>
      </c>
      <c r="T151" s="3324"/>
      <c r="U151" s="3324"/>
      <c r="V151" s="3527"/>
      <c r="W151" s="3571"/>
      <c r="X151" s="3572"/>
      <c r="Y151" s="3572"/>
      <c r="Z151" s="3529"/>
      <c r="AA151" s="3525"/>
      <c r="AB151" s="3324"/>
      <c r="AC151" s="3324"/>
      <c r="AD151" s="3454"/>
      <c r="AE151" s="3530">
        <v>27</v>
      </c>
      <c r="AF151" s="3324"/>
      <c r="AG151" s="3324"/>
      <c r="AH151" s="3454"/>
      <c r="AI151" s="3333"/>
    </row>
    <row r="152" spans="1:35" ht="22.35" customHeight="1">
      <c r="A152" s="1"/>
      <c r="B152" s="3524" t="s">
        <v>152</v>
      </c>
      <c r="C152" s="3453" t="s">
        <v>207</v>
      </c>
      <c r="D152" s="3324"/>
      <c r="E152" s="3324"/>
      <c r="F152" s="3527"/>
      <c r="G152" s="3453" t="s">
        <v>207</v>
      </c>
      <c r="H152" s="3324"/>
      <c r="I152" s="3324"/>
      <c r="J152" s="3527"/>
      <c r="K152" s="3453" t="s">
        <v>207</v>
      </c>
      <c r="L152" s="3324"/>
      <c r="M152" s="3324"/>
      <c r="N152" s="3527"/>
      <c r="O152" s="3453" t="s">
        <v>207</v>
      </c>
      <c r="P152" s="3324"/>
      <c r="Q152" s="3324"/>
      <c r="R152" s="3527"/>
      <c r="S152" s="3453" t="s">
        <v>176</v>
      </c>
      <c r="T152" s="3324"/>
      <c r="U152" s="3324"/>
      <c r="V152" s="3527"/>
      <c r="W152" s="3453"/>
      <c r="X152" s="3324"/>
      <c r="Y152" s="3324"/>
      <c r="Z152" s="3527"/>
      <c r="AA152" s="3324"/>
      <c r="AB152" s="3324"/>
      <c r="AC152" s="3324"/>
      <c r="AD152" s="3454"/>
      <c r="AE152" s="3530">
        <v>39</v>
      </c>
      <c r="AF152" s="3324"/>
      <c r="AG152" s="3324"/>
      <c r="AH152" s="3454"/>
      <c r="AI152" s="3333"/>
    </row>
    <row r="153" spans="1:35" ht="22.35" customHeight="1">
      <c r="A153" s="1"/>
      <c r="B153" s="3524" t="s">
        <v>159</v>
      </c>
      <c r="C153" s="3453" t="s">
        <v>207</v>
      </c>
      <c r="D153" s="3324"/>
      <c r="E153" s="3324"/>
      <c r="F153" s="3527"/>
      <c r="G153" s="3453" t="s">
        <v>207</v>
      </c>
      <c r="H153" s="3324"/>
      <c r="I153" s="3324"/>
      <c r="J153" s="3527"/>
      <c r="K153" s="3453" t="s">
        <v>207</v>
      </c>
      <c r="L153" s="3324"/>
      <c r="M153" s="3324"/>
      <c r="N153" s="3527"/>
      <c r="O153" s="3453" t="s">
        <v>207</v>
      </c>
      <c r="P153" s="3324"/>
      <c r="Q153" s="3324"/>
      <c r="R153" s="3527"/>
      <c r="S153" s="3453" t="s">
        <v>207</v>
      </c>
      <c r="T153" s="3324"/>
      <c r="U153" s="3324"/>
      <c r="V153" s="3527"/>
      <c r="W153" s="3455" t="s">
        <v>208</v>
      </c>
      <c r="X153" s="3337"/>
      <c r="Y153" s="3337"/>
      <c r="Z153" s="3534"/>
      <c r="AA153" s="3532"/>
      <c r="AB153" s="3337"/>
      <c r="AC153" s="3337"/>
      <c r="AD153" s="3456"/>
      <c r="AE153" s="3530">
        <v>45</v>
      </c>
      <c r="AF153" s="3324"/>
      <c r="AG153" s="3324"/>
      <c r="AH153" s="3454"/>
      <c r="AI153" s="3333"/>
    </row>
    <row r="154" spans="1:35" ht="22.35" customHeight="1" thickBot="1">
      <c r="A154" s="1"/>
      <c r="B154" s="454" t="s">
        <v>161</v>
      </c>
      <c r="C154" s="3560"/>
      <c r="D154" s="3405"/>
      <c r="E154" s="3405"/>
      <c r="F154" s="3562"/>
      <c r="G154" s="3560"/>
      <c r="H154" s="3405"/>
      <c r="I154" s="3405"/>
      <c r="J154" s="3562"/>
      <c r="K154" s="3560"/>
      <c r="L154" s="3405"/>
      <c r="M154" s="3405"/>
      <c r="N154" s="3562"/>
      <c r="O154" s="3560"/>
      <c r="P154" s="3405"/>
      <c r="Q154" s="3405"/>
      <c r="R154" s="3562"/>
      <c r="S154" s="3560"/>
      <c r="T154" s="3405"/>
      <c r="U154" s="3405"/>
      <c r="V154" s="3545"/>
      <c r="W154" s="3560"/>
      <c r="X154" s="3545"/>
      <c r="Y154" s="3405"/>
      <c r="Z154" s="3562"/>
      <c r="AA154" s="3560"/>
      <c r="AB154" s="3545"/>
      <c r="AC154" s="3405"/>
      <c r="AD154" s="3562"/>
      <c r="AE154" s="3573"/>
      <c r="AF154" s="3405"/>
      <c r="AG154" s="3405"/>
      <c r="AH154" s="3545"/>
      <c r="AI154" s="3412"/>
    </row>
    <row r="155" spans="1:35" ht="22.35" customHeight="1">
      <c r="A155" s="108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>
      <c r="A156" s="3500"/>
      <c r="B156" s="3414" t="s">
        <v>29</v>
      </c>
      <c r="C156" s="3342">
        <v>1</v>
      </c>
      <c r="D156" s="3342">
        <v>2</v>
      </c>
      <c r="E156" s="3342">
        <v>3</v>
      </c>
      <c r="F156" s="3343">
        <v>4</v>
      </c>
      <c r="G156" s="3343">
        <v>5</v>
      </c>
      <c r="H156" s="3342">
        <v>6</v>
      </c>
      <c r="I156" s="3342">
        <v>7</v>
      </c>
      <c r="J156" s="3342">
        <v>8</v>
      </c>
      <c r="K156" s="3342">
        <v>9</v>
      </c>
      <c r="L156" s="3342">
        <v>10</v>
      </c>
      <c r="M156" s="3343">
        <v>11</v>
      </c>
      <c r="N156" s="3343">
        <v>12</v>
      </c>
      <c r="O156" s="3342">
        <v>13</v>
      </c>
      <c r="P156" s="3342">
        <v>14</v>
      </c>
      <c r="Q156" s="3342">
        <v>15</v>
      </c>
      <c r="R156" s="3342">
        <v>16</v>
      </c>
      <c r="S156" s="3342">
        <v>17</v>
      </c>
      <c r="T156" s="3343">
        <v>18</v>
      </c>
      <c r="U156" s="3343">
        <v>19</v>
      </c>
      <c r="V156" s="3342">
        <v>20</v>
      </c>
      <c r="W156" s="3342">
        <v>21</v>
      </c>
      <c r="X156" s="3342">
        <v>22</v>
      </c>
      <c r="Y156" s="3342">
        <v>23</v>
      </c>
      <c r="Z156" s="3344">
        <v>24</v>
      </c>
      <c r="AA156" s="3343">
        <v>25</v>
      </c>
      <c r="AB156" s="3343">
        <v>26</v>
      </c>
      <c r="AC156" s="3342">
        <v>27</v>
      </c>
      <c r="AD156" s="3342">
        <v>28</v>
      </c>
      <c r="AE156" s="3342">
        <v>29</v>
      </c>
      <c r="AF156" s="3342">
        <v>30</v>
      </c>
      <c r="AG156" s="3345">
        <v>31</v>
      </c>
      <c r="AH156" s="176"/>
      <c r="AI156" s="177"/>
    </row>
    <row r="157" spans="1:35" ht="22.35" customHeight="1" thickBot="1">
      <c r="A157" s="367">
        <v>1</v>
      </c>
      <c r="B157" s="390" t="s">
        <v>209</v>
      </c>
      <c r="C157" s="350" t="s">
        <v>32</v>
      </c>
      <c r="D157" s="349" t="s">
        <v>32</v>
      </c>
      <c r="E157" s="349" t="s">
        <v>32</v>
      </c>
      <c r="F157" s="349"/>
      <c r="G157" s="349"/>
      <c r="H157" s="349" t="s">
        <v>32</v>
      </c>
      <c r="I157" s="610" t="s">
        <v>32</v>
      </c>
      <c r="J157" s="349" t="s">
        <v>32</v>
      </c>
      <c r="K157" s="349" t="s">
        <v>32</v>
      </c>
      <c r="L157" s="539" t="s">
        <v>32</v>
      </c>
      <c r="M157" s="349"/>
      <c r="N157" s="349"/>
      <c r="O157" s="349" t="s">
        <v>32</v>
      </c>
      <c r="P157" s="349" t="s">
        <v>32</v>
      </c>
      <c r="Q157" s="349" t="s">
        <v>32</v>
      </c>
      <c r="R157" s="349" t="s">
        <v>32</v>
      </c>
      <c r="S157" s="349" t="s">
        <v>32</v>
      </c>
      <c r="T157" s="350"/>
      <c r="U157" s="349"/>
      <c r="V157" s="539" t="s">
        <v>32</v>
      </c>
      <c r="W157" s="539" t="s">
        <v>32</v>
      </c>
      <c r="X157" s="541" t="s">
        <v>32</v>
      </c>
      <c r="Y157" s="541" t="s">
        <v>32</v>
      </c>
      <c r="Z157" s="350" t="s">
        <v>32</v>
      </c>
      <c r="AA157" s="351"/>
      <c r="AB157" s="350"/>
      <c r="AC157" s="566" t="s">
        <v>32</v>
      </c>
      <c r="AD157" s="566" t="s">
        <v>32</v>
      </c>
      <c r="AE157" s="566" t="s">
        <v>32</v>
      </c>
      <c r="AF157" s="566" t="s">
        <v>32</v>
      </c>
      <c r="AG157" s="352" t="s">
        <v>32</v>
      </c>
      <c r="AH157" s="215"/>
      <c r="AI157" s="182"/>
    </row>
    <row r="158" spans="1:35" ht="22.35" customHeight="1">
      <c r="A158" s="3513">
        <v>2</v>
      </c>
      <c r="B158" s="3574" t="s">
        <v>210</v>
      </c>
      <c r="C158" s="3355" t="s">
        <v>213</v>
      </c>
      <c r="D158" s="3355" t="s">
        <v>213</v>
      </c>
      <c r="E158" s="3355" t="s">
        <v>36</v>
      </c>
      <c r="F158" s="3355"/>
      <c r="G158" s="3355"/>
      <c r="H158" s="3355" t="s">
        <v>211</v>
      </c>
      <c r="I158" s="3355" t="s">
        <v>211</v>
      </c>
      <c r="J158" s="3355" t="s">
        <v>211</v>
      </c>
      <c r="K158" s="3355" t="s">
        <v>211</v>
      </c>
      <c r="L158" s="3355" t="s">
        <v>211</v>
      </c>
      <c r="M158" s="3355"/>
      <c r="N158" s="3355"/>
      <c r="O158" s="3355" t="s">
        <v>212</v>
      </c>
      <c r="P158" s="3355" t="s">
        <v>212</v>
      </c>
      <c r="Q158" s="3355" t="s">
        <v>212</v>
      </c>
      <c r="R158" s="3355" t="s">
        <v>212</v>
      </c>
      <c r="S158" s="3355" t="s">
        <v>212</v>
      </c>
      <c r="T158" s="3428" t="s">
        <v>212</v>
      </c>
      <c r="U158" s="3355"/>
      <c r="V158" s="3355" t="s">
        <v>213</v>
      </c>
      <c r="W158" s="3355" t="s">
        <v>213</v>
      </c>
      <c r="X158" s="349" t="s">
        <v>173</v>
      </c>
      <c r="Y158" s="3367" t="s">
        <v>213</v>
      </c>
      <c r="Z158" s="3355" t="s">
        <v>36</v>
      </c>
      <c r="AA158" s="3355"/>
      <c r="AB158" s="3355"/>
      <c r="AC158" s="3355" t="s">
        <v>211</v>
      </c>
      <c r="AD158" s="3355" t="s">
        <v>211</v>
      </c>
      <c r="AE158" s="3355" t="s">
        <v>211</v>
      </c>
      <c r="AF158" s="3355" t="s">
        <v>211</v>
      </c>
      <c r="AG158" s="3355" t="s">
        <v>211</v>
      </c>
      <c r="AH158" s="215"/>
      <c r="AI158" s="182"/>
    </row>
    <row r="159" spans="1:35" ht="22.35" customHeight="1">
      <c r="A159" s="3513">
        <v>3</v>
      </c>
      <c r="B159" s="3575" t="s">
        <v>214</v>
      </c>
      <c r="C159" s="3355" t="s">
        <v>211</v>
      </c>
      <c r="D159" s="3355" t="s">
        <v>211</v>
      </c>
      <c r="E159" s="3355" t="s">
        <v>211</v>
      </c>
      <c r="F159" s="3355"/>
      <c r="G159" s="3355"/>
      <c r="H159" s="3355" t="s">
        <v>212</v>
      </c>
      <c r="I159" s="3355" t="s">
        <v>212</v>
      </c>
      <c r="J159" s="3355" t="s">
        <v>212</v>
      </c>
      <c r="K159" s="3367" t="s">
        <v>212</v>
      </c>
      <c r="L159" s="3355" t="s">
        <v>212</v>
      </c>
      <c r="M159" s="3428" t="s">
        <v>212</v>
      </c>
      <c r="N159" s="3355"/>
      <c r="O159" s="3355" t="s">
        <v>213</v>
      </c>
      <c r="P159" s="3355" t="s">
        <v>213</v>
      </c>
      <c r="Q159" s="3355" t="s">
        <v>213</v>
      </c>
      <c r="R159" s="3355" t="s">
        <v>213</v>
      </c>
      <c r="S159" s="3355" t="s">
        <v>36</v>
      </c>
      <c r="T159" s="3355"/>
      <c r="U159" s="3355"/>
      <c r="V159" s="3355" t="s">
        <v>211</v>
      </c>
      <c r="W159" s="3355" t="s">
        <v>211</v>
      </c>
      <c r="X159" s="3355" t="s">
        <v>211</v>
      </c>
      <c r="Y159" s="3355" t="s">
        <v>211</v>
      </c>
      <c r="Z159" s="3355" t="s">
        <v>211</v>
      </c>
      <c r="AA159" s="3428"/>
      <c r="AB159" s="3428"/>
      <c r="AC159" s="3355" t="s">
        <v>212</v>
      </c>
      <c r="AD159" s="3355" t="s">
        <v>212</v>
      </c>
      <c r="AE159" s="3355" t="s">
        <v>212</v>
      </c>
      <c r="AF159" s="3355" t="s">
        <v>212</v>
      </c>
      <c r="AG159" s="3355" t="s">
        <v>212</v>
      </c>
      <c r="AH159" s="215"/>
      <c r="AI159" s="182"/>
    </row>
    <row r="160" spans="1:35" ht="22.35" customHeight="1">
      <c r="A160" s="3513">
        <v>4</v>
      </c>
      <c r="B160" s="3575" t="s">
        <v>215</v>
      </c>
      <c r="C160" s="3355"/>
      <c r="D160" s="3355"/>
      <c r="E160" s="3355" t="s">
        <v>32</v>
      </c>
      <c r="F160" s="3355" t="s">
        <v>212</v>
      </c>
      <c r="G160" s="3355"/>
      <c r="H160" s="3355"/>
      <c r="I160" s="3355" t="s">
        <v>125</v>
      </c>
      <c r="J160" s="3355" t="s">
        <v>125</v>
      </c>
      <c r="K160" s="3355"/>
      <c r="L160" s="3355" t="s">
        <v>32</v>
      </c>
      <c r="M160" s="3355"/>
      <c r="N160" s="3355"/>
      <c r="O160" s="3355"/>
      <c r="P160" s="3355" t="s">
        <v>125</v>
      </c>
      <c r="Q160" s="3352" t="s">
        <v>32</v>
      </c>
      <c r="R160" s="3352"/>
      <c r="S160" s="3352" t="s">
        <v>32</v>
      </c>
      <c r="T160" s="3352"/>
      <c r="U160" s="3352"/>
      <c r="V160" s="3355"/>
      <c r="W160" s="3576" t="s">
        <v>125</v>
      </c>
      <c r="X160" s="3355"/>
      <c r="Y160" s="3355"/>
      <c r="Z160" s="3355" t="s">
        <v>125</v>
      </c>
      <c r="AA160" s="3355" t="s">
        <v>212</v>
      </c>
      <c r="AB160" s="3355"/>
      <c r="AC160" s="3355"/>
      <c r="AD160" s="3576" t="s">
        <v>32</v>
      </c>
      <c r="AE160" s="3576" t="s">
        <v>125</v>
      </c>
      <c r="AF160" s="3355"/>
      <c r="AG160" s="3577" t="s">
        <v>125</v>
      </c>
      <c r="AH160" s="215"/>
      <c r="AI160" s="182"/>
    </row>
    <row r="161" spans="1:35" ht="22.35" customHeight="1">
      <c r="A161" s="3513">
        <v>5</v>
      </c>
      <c r="B161" s="3575" t="s">
        <v>216</v>
      </c>
      <c r="C161" s="3355"/>
      <c r="D161" s="3355" t="s">
        <v>32</v>
      </c>
      <c r="E161" s="3355"/>
      <c r="F161" s="3355"/>
      <c r="G161" s="3355"/>
      <c r="H161" s="3355" t="s">
        <v>125</v>
      </c>
      <c r="I161" s="3355"/>
      <c r="J161" s="3355"/>
      <c r="K161" s="3355" t="s">
        <v>32</v>
      </c>
      <c r="L161" s="3355"/>
      <c r="M161" s="3355"/>
      <c r="N161" s="3355"/>
      <c r="O161" s="3355" t="s">
        <v>125</v>
      </c>
      <c r="P161" s="3355"/>
      <c r="Q161" s="3355"/>
      <c r="R161" s="3355" t="s">
        <v>32</v>
      </c>
      <c r="S161" s="3355"/>
      <c r="T161" s="3355"/>
      <c r="U161" s="3355"/>
      <c r="V161" s="3355" t="s">
        <v>125</v>
      </c>
      <c r="W161" s="3355"/>
      <c r="X161" s="3355"/>
      <c r="Y161" s="3355" t="s">
        <v>125</v>
      </c>
      <c r="Z161" s="3355"/>
      <c r="AA161" s="3355"/>
      <c r="AB161" s="3355"/>
      <c r="AC161" s="3355" t="s">
        <v>125</v>
      </c>
      <c r="AD161" s="3355"/>
      <c r="AE161" s="3355"/>
      <c r="AF161" s="3355" t="s">
        <v>125</v>
      </c>
      <c r="AG161" s="3416"/>
      <c r="AH161" s="215"/>
      <c r="AI161" s="182"/>
    </row>
    <row r="162" spans="1:35" ht="22.35" customHeight="1">
      <c r="A162" s="3513">
        <v>6</v>
      </c>
      <c r="B162" s="3359" t="s">
        <v>217</v>
      </c>
      <c r="C162" s="3355" t="s">
        <v>32</v>
      </c>
      <c r="D162" s="3355" t="s">
        <v>32</v>
      </c>
      <c r="E162" s="3363" t="s">
        <v>32</v>
      </c>
      <c r="F162" s="3355"/>
      <c r="G162" s="3355"/>
      <c r="H162" s="3355" t="s">
        <v>32</v>
      </c>
      <c r="I162" s="3355" t="s">
        <v>32</v>
      </c>
      <c r="J162" s="3356" t="s">
        <v>32</v>
      </c>
      <c r="K162" s="3355" t="s">
        <v>32</v>
      </c>
      <c r="L162" s="3355" t="s">
        <v>32</v>
      </c>
      <c r="M162" s="3355"/>
      <c r="N162" s="3355"/>
      <c r="O162" s="3355" t="s">
        <v>32</v>
      </c>
      <c r="P162" s="3355" t="s">
        <v>125</v>
      </c>
      <c r="Q162" s="3355" t="s">
        <v>32</v>
      </c>
      <c r="R162" s="3355" t="s">
        <v>32</v>
      </c>
      <c r="S162" s="3355" t="s">
        <v>32</v>
      </c>
      <c r="T162" s="3352"/>
      <c r="U162" s="3352"/>
      <c r="V162" s="3352" t="s">
        <v>32</v>
      </c>
      <c r="W162" s="3352" t="s">
        <v>32</v>
      </c>
      <c r="X162" s="3352" t="s">
        <v>32</v>
      </c>
      <c r="Y162" s="3355" t="s">
        <v>32</v>
      </c>
      <c r="Z162" s="3355"/>
      <c r="AA162" s="3355"/>
      <c r="AB162" s="3355"/>
      <c r="AC162" s="3576" t="s">
        <v>32</v>
      </c>
      <c r="AD162" s="3367" t="s">
        <v>125</v>
      </c>
      <c r="AE162" s="3355" t="s">
        <v>32</v>
      </c>
      <c r="AF162" s="3367" t="s">
        <v>32</v>
      </c>
      <c r="AG162" s="3550"/>
      <c r="AH162" s="201"/>
      <c r="AI162" s="107"/>
    </row>
    <row r="163" spans="1:35" ht="22.35" customHeight="1" thickBot="1">
      <c r="A163" s="3518"/>
      <c r="B163" s="3418"/>
      <c r="C163" s="3342"/>
      <c r="D163" s="3342"/>
      <c r="E163" s="3342"/>
      <c r="F163" s="3342"/>
      <c r="G163" s="3342"/>
      <c r="H163" s="3342"/>
      <c r="I163" s="3342"/>
      <c r="J163" s="3342"/>
      <c r="K163" s="3342"/>
      <c r="L163" s="3342"/>
      <c r="M163" s="3342"/>
      <c r="N163" s="3342"/>
      <c r="O163" s="3342"/>
      <c r="P163" s="3342"/>
      <c r="Q163" s="3342"/>
      <c r="R163" s="3342"/>
      <c r="S163" s="3342"/>
      <c r="T163" s="3342"/>
      <c r="U163" s="3342"/>
      <c r="V163" s="3342"/>
      <c r="W163" s="3342"/>
      <c r="X163" s="3342"/>
      <c r="Y163" s="3342"/>
      <c r="Z163" s="3342"/>
      <c r="AA163" s="3342"/>
      <c r="AB163" s="3342"/>
      <c r="AC163" s="3342"/>
      <c r="AD163" s="3342"/>
      <c r="AE163" s="3342"/>
      <c r="AF163" s="3342"/>
      <c r="AG163" s="3432"/>
      <c r="AH163" s="107"/>
      <c r="AI163" s="107"/>
    </row>
    <row r="164" spans="1:35" ht="22.35" customHeight="1">
      <c r="A164" s="212"/>
      <c r="B164" s="210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107"/>
      <c r="AI164" s="107"/>
    </row>
    <row r="165" spans="1:35" ht="22.35" customHeight="1">
      <c r="A165" s="212"/>
      <c r="B165" s="210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107"/>
      <c r="AI165" s="107"/>
    </row>
    <row r="166" spans="1:35" ht="22.35" customHeight="1" thickBot="1">
      <c r="A166" s="150" t="s">
        <v>218</v>
      </c>
      <c r="B166" s="72"/>
      <c r="C166" s="106"/>
      <c r="D166" s="72"/>
      <c r="E166" s="72"/>
      <c r="F166" s="106"/>
      <c r="G166" s="72"/>
      <c r="H166" s="72"/>
      <c r="I166" s="106"/>
      <c r="J166" s="106"/>
      <c r="K166" s="72"/>
      <c r="L166" s="106"/>
      <c r="M166" s="72"/>
      <c r="N166" s="72"/>
      <c r="O166" s="106"/>
      <c r="P166" s="72"/>
      <c r="Q166" s="106"/>
      <c r="R166" s="106"/>
      <c r="S166" s="72"/>
      <c r="T166" s="72"/>
      <c r="U166" s="106"/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>
      <c r="A167" s="109"/>
      <c r="B167" s="239" t="s">
        <v>220</v>
      </c>
      <c r="C167" s="240"/>
      <c r="D167" s="241" t="s">
        <v>94</v>
      </c>
      <c r="E167" s="242"/>
      <c r="F167" s="243"/>
      <c r="G167" s="244"/>
      <c r="H167" s="241" t="s">
        <v>95</v>
      </c>
      <c r="I167" s="242"/>
      <c r="J167" s="243"/>
      <c r="K167" s="244"/>
      <c r="L167" s="241" t="s">
        <v>96</v>
      </c>
      <c r="M167" s="242"/>
      <c r="N167" s="243"/>
      <c r="O167" s="244"/>
      <c r="P167" s="241" t="s">
        <v>97</v>
      </c>
      <c r="Q167" s="242"/>
      <c r="R167" s="243"/>
      <c r="S167" s="244"/>
      <c r="T167" s="241" t="s">
        <v>98</v>
      </c>
      <c r="U167" s="242"/>
      <c r="V167" s="243"/>
      <c r="W167" s="244"/>
      <c r="X167" s="241" t="s">
        <v>99</v>
      </c>
      <c r="Y167" s="242"/>
      <c r="Z167" s="243"/>
      <c r="AA167" s="244"/>
      <c r="AB167" s="241" t="s">
        <v>100</v>
      </c>
      <c r="AC167" s="242"/>
      <c r="AD167" s="242"/>
      <c r="AE167" s="245" t="s">
        <v>101</v>
      </c>
      <c r="AF167" s="242"/>
      <c r="AG167" s="242"/>
      <c r="AH167" s="242"/>
      <c r="AI167" s="246"/>
    </row>
    <row r="168" spans="1:35" ht="22.35" customHeight="1">
      <c r="A168" s="109"/>
      <c r="B168" s="3196" t="s">
        <v>221</v>
      </c>
      <c r="C168" s="3197" t="s">
        <v>113</v>
      </c>
      <c r="D168" s="3578" t="s">
        <v>222</v>
      </c>
      <c r="E168" s="3579"/>
      <c r="F168" s="3580"/>
      <c r="G168" s="3201"/>
      <c r="H168" s="3578" t="s">
        <v>222</v>
      </c>
      <c r="I168" s="3579"/>
      <c r="J168" s="3580"/>
      <c r="K168" s="3201"/>
      <c r="L168" s="3578" t="s">
        <v>222</v>
      </c>
      <c r="M168" s="3579"/>
      <c r="N168" s="3580"/>
      <c r="O168" s="3201"/>
      <c r="P168" s="3578" t="s">
        <v>223</v>
      </c>
      <c r="Q168" s="3579"/>
      <c r="R168" s="3580"/>
      <c r="S168" s="3201"/>
      <c r="T168" s="3578" t="s">
        <v>224</v>
      </c>
      <c r="U168" s="3580"/>
      <c r="V168" s="3580"/>
      <c r="W168" s="3202"/>
      <c r="X168" s="3581"/>
      <c r="Y168" s="3581"/>
      <c r="Z168" s="3582"/>
      <c r="AA168" s="3202"/>
      <c r="AB168" s="3581"/>
      <c r="AC168" s="3581"/>
      <c r="AD168" s="3581"/>
      <c r="AE168" s="3202"/>
      <c r="AF168" s="3581"/>
      <c r="AG168" s="3581"/>
      <c r="AH168" s="3583"/>
      <c r="AI168" s="3206"/>
    </row>
    <row r="169" spans="1:35" ht="22.35" customHeight="1">
      <c r="A169" s="109"/>
      <c r="B169" s="3196" t="s">
        <v>221</v>
      </c>
      <c r="C169" s="3197" t="s">
        <v>118</v>
      </c>
      <c r="D169" s="3578" t="s">
        <v>222</v>
      </c>
      <c r="E169" s="3579"/>
      <c r="F169" s="3580"/>
      <c r="G169" s="3201"/>
      <c r="H169" s="3578" t="s">
        <v>222</v>
      </c>
      <c r="I169" s="3579"/>
      <c r="J169" s="3580"/>
      <c r="K169" s="3201"/>
      <c r="L169" s="3578" t="s">
        <v>222</v>
      </c>
      <c r="M169" s="3579"/>
      <c r="N169" s="3580"/>
      <c r="O169" s="3201"/>
      <c r="P169" s="3578" t="s">
        <v>223</v>
      </c>
      <c r="Q169" s="3579"/>
      <c r="R169" s="3580"/>
      <c r="S169" s="3201"/>
      <c r="T169" s="3578" t="s">
        <v>224</v>
      </c>
      <c r="U169" s="3580"/>
      <c r="V169" s="3580"/>
      <c r="W169" s="3202"/>
      <c r="X169" s="3581"/>
      <c r="Y169" s="3581"/>
      <c r="Z169" s="3582"/>
      <c r="AA169" s="3202"/>
      <c r="AB169" s="3581"/>
      <c r="AC169" s="3581"/>
      <c r="AD169" s="3581"/>
      <c r="AE169" s="3202"/>
      <c r="AF169" s="3581"/>
      <c r="AG169" s="3581"/>
      <c r="AH169" s="3583"/>
      <c r="AI169" s="3206"/>
    </row>
    <row r="170" spans="1:35" ht="22.35" customHeight="1">
      <c r="A170" s="109"/>
      <c r="B170" s="3196" t="s">
        <v>225</v>
      </c>
      <c r="C170" s="3197" t="s">
        <v>126</v>
      </c>
      <c r="D170" s="3578" t="s">
        <v>222</v>
      </c>
      <c r="E170" s="3579"/>
      <c r="F170" s="3580"/>
      <c r="G170" s="3201"/>
      <c r="H170" s="3578" t="s">
        <v>222</v>
      </c>
      <c r="I170" s="3579"/>
      <c r="J170" s="3580"/>
      <c r="K170" s="3201"/>
      <c r="L170" s="3578" t="s">
        <v>222</v>
      </c>
      <c r="M170" s="3579"/>
      <c r="N170" s="3580"/>
      <c r="O170" s="3201"/>
      <c r="P170" s="3578" t="s">
        <v>223</v>
      </c>
      <c r="Q170" s="3579"/>
      <c r="R170" s="3580"/>
      <c r="S170" s="3201"/>
      <c r="T170" s="3578" t="s">
        <v>224</v>
      </c>
      <c r="U170" s="3580"/>
      <c r="V170" s="3580"/>
      <c r="W170" s="3202"/>
      <c r="X170" s="3581"/>
      <c r="Y170" s="3581"/>
      <c r="Z170" s="3582"/>
      <c r="AA170" s="3202"/>
      <c r="AB170" s="3581"/>
      <c r="AC170" s="3581"/>
      <c r="AD170" s="3581"/>
      <c r="AE170" s="3202"/>
      <c r="AF170" s="3581"/>
      <c r="AG170" s="3581"/>
      <c r="AH170" s="3583"/>
      <c r="AI170" s="3206"/>
    </row>
    <row r="171" spans="1:35" ht="22.35" customHeight="1">
      <c r="A171" s="109"/>
      <c r="B171" s="3196" t="s">
        <v>226</v>
      </c>
      <c r="C171" s="3197" t="s">
        <v>50</v>
      </c>
      <c r="D171" s="3578" t="s">
        <v>227</v>
      </c>
      <c r="E171" s="3579"/>
      <c r="F171" s="3580"/>
      <c r="G171" s="3201"/>
      <c r="H171" s="3578" t="s">
        <v>227</v>
      </c>
      <c r="I171" s="3579"/>
      <c r="J171" s="3580"/>
      <c r="K171" s="3201"/>
      <c r="L171" s="3578" t="s">
        <v>228</v>
      </c>
      <c r="M171" s="3579"/>
      <c r="N171" s="3580"/>
      <c r="O171" s="3201"/>
      <c r="P171" s="3578" t="s">
        <v>229</v>
      </c>
      <c r="Q171" s="3579"/>
      <c r="R171" s="3580"/>
      <c r="S171" s="3201"/>
      <c r="T171" s="3578" t="s">
        <v>230</v>
      </c>
      <c r="U171" s="3580"/>
      <c r="V171" s="3580"/>
      <c r="W171" s="3202"/>
      <c r="X171" s="3581"/>
      <c r="Y171" s="3581"/>
      <c r="Z171" s="3582"/>
      <c r="AA171" s="3202"/>
      <c r="AB171" s="3581"/>
      <c r="AC171" s="3581"/>
      <c r="AD171" s="3581"/>
      <c r="AE171" s="3202"/>
      <c r="AF171" s="3581"/>
      <c r="AG171" s="3581"/>
      <c r="AH171" s="3583"/>
      <c r="AI171" s="3206"/>
    </row>
    <row r="172" spans="1:35" ht="22.35" customHeight="1">
      <c r="A172" s="109"/>
      <c r="B172" s="3196" t="s">
        <v>231</v>
      </c>
      <c r="C172" s="3197" t="s">
        <v>115</v>
      </c>
      <c r="D172" s="3578" t="s">
        <v>232</v>
      </c>
      <c r="E172" s="3579"/>
      <c r="F172" s="3580"/>
      <c r="G172" s="3201"/>
      <c r="H172" s="3578" t="s">
        <v>232</v>
      </c>
      <c r="I172" s="3579"/>
      <c r="J172" s="3580"/>
      <c r="K172" s="3201"/>
      <c r="L172" s="3578" t="s">
        <v>233</v>
      </c>
      <c r="M172" s="3579"/>
      <c r="N172" s="3580"/>
      <c r="O172" s="3201"/>
      <c r="P172" s="3578" t="s">
        <v>234</v>
      </c>
      <c r="Q172" s="3579"/>
      <c r="R172" s="3580"/>
      <c r="S172" s="3201"/>
      <c r="T172" s="3578" t="s">
        <v>235</v>
      </c>
      <c r="U172" s="3580"/>
      <c r="V172" s="3580"/>
      <c r="W172" s="3202"/>
      <c r="X172" s="3581"/>
      <c r="Y172" s="3581"/>
      <c r="Z172" s="3582"/>
      <c r="AA172" s="3202"/>
      <c r="AB172" s="3581"/>
      <c r="AC172" s="3581"/>
      <c r="AD172" s="3581"/>
      <c r="AE172" s="3202"/>
      <c r="AF172" s="3581"/>
      <c r="AG172" s="3581"/>
      <c r="AH172" s="3583"/>
      <c r="AI172" s="3206"/>
    </row>
    <row r="173" spans="1:35" ht="22.35" customHeight="1">
      <c r="A173" s="109"/>
      <c r="B173" s="3196" t="s">
        <v>236</v>
      </c>
      <c r="C173" s="3197" t="s">
        <v>132</v>
      </c>
      <c r="D173" s="3578" t="s">
        <v>222</v>
      </c>
      <c r="E173" s="3579"/>
      <c r="F173" s="3580"/>
      <c r="G173" s="3201"/>
      <c r="H173" s="3578" t="s">
        <v>222</v>
      </c>
      <c r="I173" s="3579"/>
      <c r="J173" s="3580"/>
      <c r="K173" s="3201"/>
      <c r="L173" s="3578" t="s">
        <v>222</v>
      </c>
      <c r="M173" s="3579"/>
      <c r="N173" s="3580"/>
      <c r="O173" s="3201"/>
      <c r="P173" s="3578" t="s">
        <v>222</v>
      </c>
      <c r="Q173" s="3579"/>
      <c r="R173" s="3580"/>
      <c r="S173" s="3201"/>
      <c r="T173" s="3578" t="s">
        <v>232</v>
      </c>
      <c r="U173" s="3580"/>
      <c r="V173" s="3580"/>
      <c r="W173" s="3202"/>
      <c r="X173" s="3581"/>
      <c r="Y173" s="3581"/>
      <c r="Z173" s="3582"/>
      <c r="AA173" s="3202"/>
      <c r="AB173" s="3581"/>
      <c r="AC173" s="3581"/>
      <c r="AD173" s="3581"/>
      <c r="AE173" s="3202"/>
      <c r="AF173" s="3581"/>
      <c r="AG173" s="3581"/>
      <c r="AH173" s="3583"/>
      <c r="AI173" s="3206"/>
    </row>
    <row r="174" spans="1:35" ht="22.35" customHeight="1">
      <c r="A174" s="109"/>
      <c r="B174" s="3196" t="s">
        <v>237</v>
      </c>
      <c r="C174" s="3197" t="s">
        <v>135</v>
      </c>
      <c r="D174" s="3578" t="s">
        <v>222</v>
      </c>
      <c r="E174" s="3579"/>
      <c r="F174" s="3580"/>
      <c r="G174" s="3201"/>
      <c r="H174" s="3578" t="s">
        <v>222</v>
      </c>
      <c r="I174" s="3579"/>
      <c r="J174" s="3580"/>
      <c r="K174" s="3201"/>
      <c r="L174" s="3578" t="s">
        <v>222</v>
      </c>
      <c r="M174" s="3579"/>
      <c r="N174" s="3580"/>
      <c r="O174" s="3201"/>
      <c r="P174" s="3578" t="s">
        <v>223</v>
      </c>
      <c r="Q174" s="3579"/>
      <c r="R174" s="3580"/>
      <c r="S174" s="3201"/>
      <c r="T174" s="3578" t="s">
        <v>224</v>
      </c>
      <c r="U174" s="3580"/>
      <c r="V174" s="3580"/>
      <c r="W174" s="3202"/>
      <c r="X174" s="3581"/>
      <c r="Y174" s="3581"/>
      <c r="Z174" s="3582"/>
      <c r="AA174" s="3202"/>
      <c r="AB174" s="3581"/>
      <c r="AC174" s="3581"/>
      <c r="AD174" s="3581"/>
      <c r="AE174" s="3202"/>
      <c r="AF174" s="3581"/>
      <c r="AG174" s="3581"/>
      <c r="AH174" s="3583"/>
      <c r="AI174" s="3206"/>
    </row>
    <row r="175" spans="1:35" ht="22.35" customHeight="1">
      <c r="A175" s="109"/>
      <c r="B175" s="3196" t="s">
        <v>237</v>
      </c>
      <c r="C175" s="3197" t="s">
        <v>52</v>
      </c>
      <c r="D175" s="3578" t="s">
        <v>222</v>
      </c>
      <c r="E175" s="3579"/>
      <c r="F175" s="3580"/>
      <c r="G175" s="3201"/>
      <c r="H175" s="3578" t="s">
        <v>222</v>
      </c>
      <c r="I175" s="3579"/>
      <c r="J175" s="3580"/>
      <c r="K175" s="3201"/>
      <c r="L175" s="3578" t="s">
        <v>222</v>
      </c>
      <c r="M175" s="3579"/>
      <c r="N175" s="3580"/>
      <c r="O175" s="3201"/>
      <c r="P175" s="3578" t="s">
        <v>223</v>
      </c>
      <c r="Q175" s="3579"/>
      <c r="R175" s="3580"/>
      <c r="S175" s="3201"/>
      <c r="T175" s="3578" t="s">
        <v>224</v>
      </c>
      <c r="U175" s="3580"/>
      <c r="V175" s="3580"/>
      <c r="W175" s="3202"/>
      <c r="X175" s="3581"/>
      <c r="Y175" s="3581"/>
      <c r="Z175" s="3582"/>
      <c r="AA175" s="3202"/>
      <c r="AB175" s="3581"/>
      <c r="AC175" s="3581"/>
      <c r="AD175" s="3581"/>
      <c r="AE175" s="3202"/>
      <c r="AF175" s="3581"/>
      <c r="AG175" s="3581"/>
      <c r="AH175" s="3583"/>
      <c r="AI175" s="3206"/>
    </row>
    <row r="176" spans="1:35" ht="22.35" customHeight="1">
      <c r="A176" s="109"/>
      <c r="B176" s="3196" t="s">
        <v>238</v>
      </c>
      <c r="C176" s="3197" t="s">
        <v>141</v>
      </c>
      <c r="D176" s="3578" t="s">
        <v>222</v>
      </c>
      <c r="E176" s="3579"/>
      <c r="F176" s="3580"/>
      <c r="G176" s="3201"/>
      <c r="H176" s="3578" t="s">
        <v>222</v>
      </c>
      <c r="I176" s="3579"/>
      <c r="J176" s="3580"/>
      <c r="K176" s="3201"/>
      <c r="L176" s="3578" t="s">
        <v>222</v>
      </c>
      <c r="M176" s="3579"/>
      <c r="N176" s="3580"/>
      <c r="O176" s="3201"/>
      <c r="P176" s="3578" t="s">
        <v>239</v>
      </c>
      <c r="Q176" s="3579"/>
      <c r="R176" s="3580"/>
      <c r="S176" s="3201"/>
      <c r="T176" s="3578" t="s">
        <v>235</v>
      </c>
      <c r="U176" s="3580"/>
      <c r="V176" s="3580"/>
      <c r="W176" s="3202"/>
      <c r="X176" s="3581"/>
      <c r="Y176" s="3581"/>
      <c r="Z176" s="3582"/>
      <c r="AA176" s="3202"/>
      <c r="AB176" s="3581"/>
      <c r="AC176" s="3581"/>
      <c r="AD176" s="3581"/>
      <c r="AE176" s="3202"/>
      <c r="AF176" s="3581"/>
      <c r="AG176" s="3581"/>
      <c r="AH176" s="3583"/>
      <c r="AI176" s="3206"/>
    </row>
    <row r="177" spans="1:36" ht="22.35" customHeight="1">
      <c r="A177" s="109"/>
      <c r="B177" s="3584" t="s">
        <v>240</v>
      </c>
      <c r="C177" s="3208" t="s">
        <v>124</v>
      </c>
      <c r="D177" s="3209" t="s">
        <v>222</v>
      </c>
      <c r="E177" s="3210"/>
      <c r="F177" s="3211"/>
      <c r="G177" s="3212"/>
      <c r="H177" s="3209" t="s">
        <v>222</v>
      </c>
      <c r="I177" s="3210"/>
      <c r="J177" s="3211"/>
      <c r="K177" s="3212"/>
      <c r="L177" s="3209" t="s">
        <v>222</v>
      </c>
      <c r="M177" s="3210"/>
      <c r="N177" s="3211"/>
      <c r="O177" s="3212"/>
      <c r="P177" s="3209" t="s">
        <v>223</v>
      </c>
      <c r="Q177" s="3210"/>
      <c r="R177" s="3211"/>
      <c r="S177" s="3212"/>
      <c r="T177" s="3209" t="s">
        <v>224</v>
      </c>
      <c r="U177" s="3211"/>
      <c r="V177" s="3213"/>
      <c r="W177" s="3585"/>
      <c r="X177" s="3215"/>
      <c r="Y177" s="3215"/>
      <c r="Z177" s="3213"/>
      <c r="AA177" s="3585"/>
      <c r="AB177" s="3215"/>
      <c r="AC177" s="3215"/>
      <c r="AD177" s="3215"/>
      <c r="AE177" s="3585"/>
      <c r="AF177" s="3215"/>
      <c r="AG177" s="3215"/>
      <c r="AH177" s="3216"/>
      <c r="AI177" s="3217"/>
      <c r="AJ177" s="200"/>
    </row>
    <row r="178" spans="1:36" ht="22.35" customHeight="1">
      <c r="A178" s="109"/>
      <c r="B178" s="3196" t="s">
        <v>241</v>
      </c>
      <c r="C178" s="3197" t="s">
        <v>242</v>
      </c>
      <c r="D178" s="3578" t="s">
        <v>222</v>
      </c>
      <c r="E178" s="3579"/>
      <c r="F178" s="3580"/>
      <c r="G178" s="3201"/>
      <c r="H178" s="3578" t="s">
        <v>222</v>
      </c>
      <c r="I178" s="3579"/>
      <c r="J178" s="3580"/>
      <c r="K178" s="3201"/>
      <c r="L178" s="3578" t="s">
        <v>222</v>
      </c>
      <c r="M178" s="3579"/>
      <c r="N178" s="3580"/>
      <c r="O178" s="3201"/>
      <c r="P178" s="3578" t="s">
        <v>223</v>
      </c>
      <c r="Q178" s="3579"/>
      <c r="R178" s="3580"/>
      <c r="S178" s="3201"/>
      <c r="T178" s="3578" t="s">
        <v>224</v>
      </c>
      <c r="U178" s="3580"/>
      <c r="V178" s="3579"/>
      <c r="W178" s="3202"/>
      <c r="X178" s="3581"/>
      <c r="Y178" s="3581"/>
      <c r="Z178" s="3581"/>
      <c r="AA178" s="3202"/>
      <c r="AB178" s="3581"/>
      <c r="AC178" s="3581"/>
      <c r="AD178" s="3581"/>
      <c r="AE178" s="3202"/>
      <c r="AF178" s="3581"/>
      <c r="AG178" s="3581"/>
      <c r="AH178" s="3583"/>
      <c r="AI178" s="3206"/>
      <c r="AJ178" s="200"/>
    </row>
    <row r="179" spans="1:36" ht="22.35" customHeight="1">
      <c r="A179" s="109"/>
      <c r="B179" s="3196" t="s">
        <v>243</v>
      </c>
      <c r="C179" s="3197" t="s">
        <v>122</v>
      </c>
      <c r="D179" s="3578" t="s">
        <v>244</v>
      </c>
      <c r="E179" s="3579"/>
      <c r="F179" s="3580"/>
      <c r="G179" s="3201"/>
      <c r="H179" s="3578" t="s">
        <v>244</v>
      </c>
      <c r="I179" s="3579"/>
      <c r="J179" s="3580"/>
      <c r="K179" s="3201"/>
      <c r="L179" s="3578" t="s">
        <v>244</v>
      </c>
      <c r="M179" s="3579"/>
      <c r="N179" s="3579"/>
      <c r="O179" s="3201"/>
      <c r="P179" s="3578" t="s">
        <v>244</v>
      </c>
      <c r="Q179" s="3579"/>
      <c r="R179" s="3579"/>
      <c r="S179" s="3201"/>
      <c r="T179" s="3578" t="s">
        <v>235</v>
      </c>
      <c r="U179" s="3580"/>
      <c r="V179" s="3579"/>
      <c r="W179" s="3218"/>
      <c r="X179" s="3581"/>
      <c r="Y179" s="3581"/>
      <c r="Z179" s="3581"/>
      <c r="AA179" s="3202"/>
      <c r="AB179" s="3581"/>
      <c r="AC179" s="3581"/>
      <c r="AD179" s="3581"/>
      <c r="AE179" s="3202"/>
      <c r="AF179" s="3581"/>
      <c r="AG179" s="3581"/>
      <c r="AH179" s="3583"/>
      <c r="AI179" s="3206"/>
      <c r="AJ179" s="200"/>
    </row>
    <row r="180" spans="1:36" ht="22.35" customHeight="1">
      <c r="A180" s="109"/>
      <c r="B180" s="3196" t="s">
        <v>245</v>
      </c>
      <c r="C180" s="3197" t="s">
        <v>246</v>
      </c>
      <c r="D180" s="3578" t="s">
        <v>244</v>
      </c>
      <c r="E180" s="3579"/>
      <c r="F180" s="3580"/>
      <c r="G180" s="3201"/>
      <c r="H180" s="3578" t="s">
        <v>244</v>
      </c>
      <c r="I180" s="3579"/>
      <c r="J180" s="3580"/>
      <c r="K180" s="3201"/>
      <c r="L180" s="3578" t="s">
        <v>244</v>
      </c>
      <c r="M180" s="3579"/>
      <c r="N180" s="3579"/>
      <c r="O180" s="3201"/>
      <c r="P180" s="3578" t="s">
        <v>244</v>
      </c>
      <c r="Q180" s="3579"/>
      <c r="R180" s="3579"/>
      <c r="S180" s="3201"/>
      <c r="T180" s="3578" t="s">
        <v>235</v>
      </c>
      <c r="U180" s="3580"/>
      <c r="V180" s="3579"/>
      <c r="W180" s="3218"/>
      <c r="X180" s="3581"/>
      <c r="Y180" s="3581"/>
      <c r="Z180" s="3582"/>
      <c r="AA180" s="3219"/>
      <c r="AB180" s="3581"/>
      <c r="AC180" s="3581"/>
      <c r="AD180" s="3581"/>
      <c r="AE180" s="3202"/>
      <c r="AF180" s="3581"/>
      <c r="AG180" s="3581"/>
      <c r="AH180" s="3583"/>
      <c r="AI180" s="3206"/>
      <c r="AJ180" s="200"/>
    </row>
    <row r="181" spans="1:36" ht="22.35" customHeight="1" thickBot="1">
      <c r="A181" s="109"/>
      <c r="B181" s="1100" t="s">
        <v>247</v>
      </c>
      <c r="C181" s="1101" t="s">
        <v>127</v>
      </c>
      <c r="D181" s="3220" t="s">
        <v>244</v>
      </c>
      <c r="E181" s="3221"/>
      <c r="F181" s="1104"/>
      <c r="G181" s="1105"/>
      <c r="H181" s="3220" t="s">
        <v>244</v>
      </c>
      <c r="I181" s="3221"/>
      <c r="J181" s="1104"/>
      <c r="K181" s="1105"/>
      <c r="L181" s="3220" t="s">
        <v>244</v>
      </c>
      <c r="M181" s="3221"/>
      <c r="N181" s="3221"/>
      <c r="O181" s="1105"/>
      <c r="P181" s="3220" t="s">
        <v>244</v>
      </c>
      <c r="Q181" s="3221"/>
      <c r="R181" s="3221"/>
      <c r="S181" s="1105"/>
      <c r="T181" s="3220" t="s">
        <v>235</v>
      </c>
      <c r="U181" s="1104"/>
      <c r="V181" s="3221"/>
      <c r="W181" s="1106"/>
      <c r="X181" s="3222"/>
      <c r="Y181" s="3222"/>
      <c r="Z181" s="1108"/>
      <c r="AA181" s="3223"/>
      <c r="AB181" s="3222"/>
      <c r="AC181" s="3222"/>
      <c r="AD181" s="3222"/>
      <c r="AE181" s="1110"/>
      <c r="AF181" s="3222"/>
      <c r="AG181" s="3222"/>
      <c r="AH181" s="3224"/>
      <c r="AI181" s="1112"/>
      <c r="AJ181" s="200"/>
    </row>
    <row r="182" spans="1:36" ht="22.35" customHeight="1">
      <c r="A182" s="109"/>
      <c r="B182" s="218"/>
      <c r="C182" s="219"/>
      <c r="D182" s="220"/>
      <c r="E182" s="221"/>
      <c r="F182" s="221"/>
      <c r="G182" s="222"/>
      <c r="H182" s="220"/>
      <c r="I182" s="221"/>
      <c r="J182" s="221"/>
      <c r="K182" s="222"/>
      <c r="L182" s="220"/>
      <c r="M182" s="221"/>
      <c r="N182" s="221"/>
      <c r="O182" s="222"/>
      <c r="P182" s="210"/>
      <c r="Q182" s="221"/>
      <c r="R182" s="221"/>
      <c r="S182" s="222"/>
      <c r="T182" s="210"/>
      <c r="U182" s="221"/>
      <c r="V182" s="221"/>
      <c r="W182" s="221"/>
      <c r="X182" s="221"/>
      <c r="Y182" s="221"/>
      <c r="Z182" s="221"/>
      <c r="AA182" s="222"/>
      <c r="AB182" s="221"/>
      <c r="AC182" s="221"/>
      <c r="AD182" s="221"/>
      <c r="AE182" s="222"/>
      <c r="AF182" s="221"/>
      <c r="AG182" s="221"/>
      <c r="AH182" s="201"/>
      <c r="AI182" s="201"/>
      <c r="AJ182" s="200"/>
    </row>
    <row r="183" spans="1:36" ht="22.35" customHeight="1" thickBot="1">
      <c r="A183" s="148"/>
      <c r="B183" s="3225" t="s">
        <v>29</v>
      </c>
      <c r="C183" s="3342">
        <v>1</v>
      </c>
      <c r="D183" s="3342">
        <v>2</v>
      </c>
      <c r="E183" s="3342">
        <v>3</v>
      </c>
      <c r="F183" s="3343">
        <v>4</v>
      </c>
      <c r="G183" s="3343">
        <v>5</v>
      </c>
      <c r="H183" s="3342">
        <v>6</v>
      </c>
      <c r="I183" s="3342">
        <v>7</v>
      </c>
      <c r="J183" s="3342">
        <v>8</v>
      </c>
      <c r="K183" s="3342">
        <v>9</v>
      </c>
      <c r="L183" s="3342">
        <v>10</v>
      </c>
      <c r="M183" s="3343">
        <v>11</v>
      </c>
      <c r="N183" s="3343">
        <v>12</v>
      </c>
      <c r="O183" s="3342">
        <v>13</v>
      </c>
      <c r="P183" s="3342">
        <v>14</v>
      </c>
      <c r="Q183" s="3342">
        <v>15</v>
      </c>
      <c r="R183" s="3342">
        <v>16</v>
      </c>
      <c r="S183" s="3342">
        <v>17</v>
      </c>
      <c r="T183" s="3343">
        <v>18</v>
      </c>
      <c r="U183" s="3343">
        <v>19</v>
      </c>
      <c r="V183" s="3342">
        <v>20</v>
      </c>
      <c r="W183" s="3342">
        <v>21</v>
      </c>
      <c r="X183" s="3342">
        <v>22</v>
      </c>
      <c r="Y183" s="3342">
        <v>23</v>
      </c>
      <c r="Z183" s="3344">
        <v>24</v>
      </c>
      <c r="AA183" s="3343">
        <v>25</v>
      </c>
      <c r="AB183" s="3343">
        <v>26</v>
      </c>
      <c r="AC183" s="3342">
        <v>27</v>
      </c>
      <c r="AD183" s="3342">
        <v>28</v>
      </c>
      <c r="AE183" s="3342">
        <v>29</v>
      </c>
      <c r="AF183" s="3342">
        <v>30</v>
      </c>
      <c r="AG183" s="3345">
        <v>31</v>
      </c>
      <c r="AH183" s="183"/>
      <c r="AI183" s="177"/>
    </row>
    <row r="184" spans="1:36" ht="22.35" customHeight="1">
      <c r="A184" s="109"/>
      <c r="B184" s="318" t="s">
        <v>248</v>
      </c>
      <c r="C184" s="514" t="s">
        <v>113</v>
      </c>
      <c r="D184" s="514" t="s">
        <v>113</v>
      </c>
      <c r="E184" s="514" t="s">
        <v>113</v>
      </c>
      <c r="F184" s="514"/>
      <c r="G184" s="514"/>
      <c r="H184" s="514" t="s">
        <v>113</v>
      </c>
      <c r="I184" s="514" t="s">
        <v>113</v>
      </c>
      <c r="J184" s="514" t="s">
        <v>113</v>
      </c>
      <c r="K184" s="514" t="s">
        <v>113</v>
      </c>
      <c r="L184" s="514" t="s">
        <v>113</v>
      </c>
      <c r="M184" s="514"/>
      <c r="N184" s="514"/>
      <c r="O184" s="640" t="s">
        <v>113</v>
      </c>
      <c r="P184" s="514" t="s">
        <v>113</v>
      </c>
      <c r="Q184" s="514" t="s">
        <v>113</v>
      </c>
      <c r="R184" s="514" t="s">
        <v>113</v>
      </c>
      <c r="S184" s="514" t="s">
        <v>113</v>
      </c>
      <c r="T184" s="514"/>
      <c r="U184" s="514"/>
      <c r="V184" s="514" t="s">
        <v>113</v>
      </c>
      <c r="W184" s="514" t="s">
        <v>113</v>
      </c>
      <c r="X184" s="514" t="s">
        <v>113</v>
      </c>
      <c r="Y184" s="514" t="s">
        <v>113</v>
      </c>
      <c r="Z184" s="514" t="s">
        <v>113</v>
      </c>
      <c r="AA184" s="514"/>
      <c r="AB184" s="514"/>
      <c r="AC184" s="561" t="s">
        <v>113</v>
      </c>
      <c r="AD184" s="514" t="s">
        <v>113</v>
      </c>
      <c r="AE184" s="3392" t="s">
        <v>113</v>
      </c>
      <c r="AF184" s="3392" t="s">
        <v>113</v>
      </c>
      <c r="AG184" s="514" t="s">
        <v>113</v>
      </c>
      <c r="AH184" s="182"/>
      <c r="AI184" s="182"/>
    </row>
    <row r="185" spans="1:36" ht="22.35" customHeight="1">
      <c r="A185" s="109"/>
      <c r="B185" s="3226" t="s">
        <v>249</v>
      </c>
      <c r="C185" s="3228" t="s">
        <v>113</v>
      </c>
      <c r="D185" s="3228" t="s">
        <v>113</v>
      </c>
      <c r="E185" s="3228" t="s">
        <v>113</v>
      </c>
      <c r="F185" s="3228"/>
      <c r="G185" s="3228"/>
      <c r="H185" s="3228" t="s">
        <v>113</v>
      </c>
      <c r="I185" s="3228" t="s">
        <v>113</v>
      </c>
      <c r="J185" s="3228" t="s">
        <v>113</v>
      </c>
      <c r="K185" s="3228" t="s">
        <v>113</v>
      </c>
      <c r="L185" s="3228" t="s">
        <v>113</v>
      </c>
      <c r="M185" s="3392"/>
      <c r="N185" s="3392"/>
      <c r="O185" s="3586" t="s">
        <v>113</v>
      </c>
      <c r="P185" s="3392" t="s">
        <v>113</v>
      </c>
      <c r="Q185" s="3587" t="s">
        <v>113</v>
      </c>
      <c r="R185" s="3392" t="s">
        <v>113</v>
      </c>
      <c r="S185" s="3392" t="s">
        <v>113</v>
      </c>
      <c r="T185" s="3392"/>
      <c r="U185" s="3392"/>
      <c r="V185" s="3392" t="s">
        <v>113</v>
      </c>
      <c r="W185" s="3392" t="s">
        <v>113</v>
      </c>
      <c r="X185" s="3392" t="s">
        <v>113</v>
      </c>
      <c r="Y185" s="3392" t="s">
        <v>113</v>
      </c>
      <c r="Z185" s="3392" t="s">
        <v>113</v>
      </c>
      <c r="AA185" s="3392"/>
      <c r="AB185" s="3392"/>
      <c r="AC185" s="3588" t="s">
        <v>113</v>
      </c>
      <c r="AD185" s="3588" t="s">
        <v>113</v>
      </c>
      <c r="AE185" s="3588" t="s">
        <v>113</v>
      </c>
      <c r="AF185" s="3588" t="s">
        <v>113</v>
      </c>
      <c r="AG185" s="3588" t="s">
        <v>113</v>
      </c>
      <c r="AH185" s="182"/>
      <c r="AI185" s="182"/>
    </row>
    <row r="186" spans="1:36" ht="22.35" customHeight="1">
      <c r="A186" s="109"/>
      <c r="B186" s="3226" t="s">
        <v>250</v>
      </c>
      <c r="C186" s="3392" t="s">
        <v>118</v>
      </c>
      <c r="D186" s="3392" t="s">
        <v>118</v>
      </c>
      <c r="E186" s="3392" t="s">
        <v>118</v>
      </c>
      <c r="F186" s="3392"/>
      <c r="G186" s="3392"/>
      <c r="H186" s="3392" t="s">
        <v>118</v>
      </c>
      <c r="I186" s="3392" t="s">
        <v>118</v>
      </c>
      <c r="J186" s="3392" t="s">
        <v>118</v>
      </c>
      <c r="K186" s="3392" t="s">
        <v>118</v>
      </c>
      <c r="L186" s="3392" t="s">
        <v>118</v>
      </c>
      <c r="M186" s="3392"/>
      <c r="N186" s="3392"/>
      <c r="O186" s="3392" t="s">
        <v>118</v>
      </c>
      <c r="P186" s="3392" t="s">
        <v>118</v>
      </c>
      <c r="Q186" s="3392" t="s">
        <v>118</v>
      </c>
      <c r="R186" s="3392" t="s">
        <v>118</v>
      </c>
      <c r="S186" s="3392" t="s">
        <v>118</v>
      </c>
      <c r="T186" s="3392"/>
      <c r="U186" s="3392"/>
      <c r="V186" s="3228" t="s">
        <v>118</v>
      </c>
      <c r="W186" s="3228" t="s">
        <v>118</v>
      </c>
      <c r="X186" s="3228" t="s">
        <v>118</v>
      </c>
      <c r="Y186" s="3228" t="s">
        <v>118</v>
      </c>
      <c r="Z186" s="3228" t="s">
        <v>118</v>
      </c>
      <c r="AA186" s="3392"/>
      <c r="AB186" s="3392"/>
      <c r="AC186" s="3392" t="s">
        <v>118</v>
      </c>
      <c r="AD186" s="3228" t="s">
        <v>113</v>
      </c>
      <c r="AE186" s="3228" t="s">
        <v>113</v>
      </c>
      <c r="AF186" s="3228" t="s">
        <v>113</v>
      </c>
      <c r="AG186" s="3228" t="s">
        <v>118</v>
      </c>
      <c r="AH186" s="182"/>
      <c r="AI186" s="182"/>
    </row>
    <row r="187" spans="1:36" ht="22.35" customHeight="1">
      <c r="A187" s="109"/>
      <c r="B187" s="3226" t="s">
        <v>251</v>
      </c>
      <c r="C187" s="3392" t="s">
        <v>126</v>
      </c>
      <c r="D187" s="3392" t="s">
        <v>126</v>
      </c>
      <c r="E187" s="3392" t="s">
        <v>126</v>
      </c>
      <c r="F187" s="3392"/>
      <c r="G187" s="3392"/>
      <c r="H187" s="3589" t="s">
        <v>126</v>
      </c>
      <c r="I187" s="3589" t="s">
        <v>126</v>
      </c>
      <c r="J187" s="3589" t="s">
        <v>427</v>
      </c>
      <c r="K187" s="3590" t="s">
        <v>126</v>
      </c>
      <c r="L187" s="3590" t="s">
        <v>126</v>
      </c>
      <c r="M187" s="3392"/>
      <c r="N187" s="3392"/>
      <c r="O187" s="3392" t="s">
        <v>126</v>
      </c>
      <c r="P187" s="3392" t="s">
        <v>126</v>
      </c>
      <c r="Q187" s="3392" t="s">
        <v>126</v>
      </c>
      <c r="R187" s="3392" t="s">
        <v>126</v>
      </c>
      <c r="S187" s="3392" t="s">
        <v>126</v>
      </c>
      <c r="T187" s="3392"/>
      <c r="U187" s="3392"/>
      <c r="V187" s="3392" t="s">
        <v>126</v>
      </c>
      <c r="W187" s="3392" t="s">
        <v>126</v>
      </c>
      <c r="X187" s="3392" t="s">
        <v>126</v>
      </c>
      <c r="Y187" s="3228" t="s">
        <v>126</v>
      </c>
      <c r="Z187" s="3392" t="s">
        <v>126</v>
      </c>
      <c r="AA187" s="3392"/>
      <c r="AB187" s="3392"/>
      <c r="AC187" s="3228" t="s">
        <v>126</v>
      </c>
      <c r="AD187" s="3228" t="s">
        <v>126</v>
      </c>
      <c r="AE187" s="3228" t="s">
        <v>126</v>
      </c>
      <c r="AF187" s="3228" t="s">
        <v>126</v>
      </c>
      <c r="AG187" s="3392" t="s">
        <v>126</v>
      </c>
      <c r="AH187" s="182"/>
      <c r="AI187" s="182"/>
    </row>
    <row r="188" spans="1:36" ht="22.35" customHeight="1">
      <c r="A188" s="109"/>
      <c r="B188" s="3388" t="s">
        <v>252</v>
      </c>
      <c r="C188" s="3392" t="s">
        <v>50</v>
      </c>
      <c r="D188" s="3392" t="s">
        <v>50</v>
      </c>
      <c r="E188" s="3392" t="s">
        <v>50</v>
      </c>
      <c r="F188" s="3392"/>
      <c r="G188" s="3392"/>
      <c r="H188" s="3392" t="s">
        <v>50</v>
      </c>
      <c r="I188" s="3392" t="s">
        <v>50</v>
      </c>
      <c r="J188" s="3392" t="s">
        <v>50</v>
      </c>
      <c r="K188" s="3392" t="s">
        <v>50</v>
      </c>
      <c r="L188" s="3392" t="s">
        <v>50</v>
      </c>
      <c r="M188" s="3392"/>
      <c r="N188" s="3392"/>
      <c r="O188" s="3591" t="s">
        <v>50</v>
      </c>
      <c r="P188" s="3591" t="s">
        <v>50</v>
      </c>
      <c r="Q188" s="3591" t="s">
        <v>50</v>
      </c>
      <c r="R188" s="3591" t="s">
        <v>50</v>
      </c>
      <c r="S188" s="3591" t="s">
        <v>50</v>
      </c>
      <c r="T188" s="3591"/>
      <c r="U188" s="3591"/>
      <c r="V188" s="3392" t="s">
        <v>50</v>
      </c>
      <c r="W188" s="3392" t="s">
        <v>50</v>
      </c>
      <c r="X188" s="3392" t="s">
        <v>50</v>
      </c>
      <c r="Y188" s="3392" t="s">
        <v>50</v>
      </c>
      <c r="Z188" s="3392" t="s">
        <v>50</v>
      </c>
      <c r="AA188" s="3392"/>
      <c r="AB188" s="3392"/>
      <c r="AC188" s="3392" t="s">
        <v>50</v>
      </c>
      <c r="AD188" s="3392" t="s">
        <v>50</v>
      </c>
      <c r="AE188" s="3392" t="s">
        <v>50</v>
      </c>
      <c r="AF188" s="3392" t="s">
        <v>50</v>
      </c>
      <c r="AG188" s="3392" t="s">
        <v>50</v>
      </c>
      <c r="AH188" s="182"/>
      <c r="AI188" s="182"/>
    </row>
    <row r="189" spans="1:36" ht="22.35" customHeight="1">
      <c r="A189" s="109"/>
      <c r="B189" s="3351" t="s">
        <v>0</v>
      </c>
      <c r="C189" s="3392" t="s">
        <v>115</v>
      </c>
      <c r="D189" s="3392" t="s">
        <v>115</v>
      </c>
      <c r="E189" s="3392" t="s">
        <v>115</v>
      </c>
      <c r="F189" s="3392"/>
      <c r="G189" s="3392"/>
      <c r="H189" s="3392" t="s">
        <v>115</v>
      </c>
      <c r="I189" s="3392" t="s">
        <v>115</v>
      </c>
      <c r="J189" s="3392" t="s">
        <v>115</v>
      </c>
      <c r="K189" s="3392" t="s">
        <v>115</v>
      </c>
      <c r="L189" s="3392" t="s">
        <v>115</v>
      </c>
      <c r="M189" s="3392"/>
      <c r="N189" s="3392"/>
      <c r="O189" s="3392" t="s">
        <v>115</v>
      </c>
      <c r="P189" s="3392" t="s">
        <v>115</v>
      </c>
      <c r="Q189" s="3392" t="s">
        <v>115</v>
      </c>
      <c r="R189" s="3392" t="s">
        <v>115</v>
      </c>
      <c r="S189" s="3392" t="s">
        <v>115</v>
      </c>
      <c r="T189" s="3392"/>
      <c r="U189" s="3392"/>
      <c r="V189" s="3392" t="s">
        <v>115</v>
      </c>
      <c r="W189" s="3392" t="s">
        <v>115</v>
      </c>
      <c r="X189" s="3392" t="s">
        <v>115</v>
      </c>
      <c r="Y189" s="3392" t="s">
        <v>115</v>
      </c>
      <c r="Z189" s="3392" t="s">
        <v>115</v>
      </c>
      <c r="AA189" s="3392"/>
      <c r="AB189" s="3392"/>
      <c r="AC189" s="3392" t="s">
        <v>115</v>
      </c>
      <c r="AD189" s="3392" t="s">
        <v>115</v>
      </c>
      <c r="AE189" s="3392" t="s">
        <v>115</v>
      </c>
      <c r="AF189" s="3392" t="s">
        <v>115</v>
      </c>
      <c r="AG189" s="3392" t="s">
        <v>115</v>
      </c>
      <c r="AH189" s="182"/>
      <c r="AI189" s="182"/>
    </row>
    <row r="190" spans="1:36" ht="22.35" customHeight="1">
      <c r="A190" s="109"/>
      <c r="B190" s="3226" t="s">
        <v>253</v>
      </c>
      <c r="C190" s="3232" t="s">
        <v>132</v>
      </c>
      <c r="D190" s="3232" t="s">
        <v>132</v>
      </c>
      <c r="E190" s="3232" t="s">
        <v>132</v>
      </c>
      <c r="F190" s="3232"/>
      <c r="G190" s="3232"/>
      <c r="H190" s="3232" t="s">
        <v>132</v>
      </c>
      <c r="I190" s="3232" t="s">
        <v>132</v>
      </c>
      <c r="J190" s="3232" t="s">
        <v>132</v>
      </c>
      <c r="K190" s="3232" t="s">
        <v>132</v>
      </c>
      <c r="L190" s="3232" t="s">
        <v>132</v>
      </c>
      <c r="M190" s="3232"/>
      <c r="N190" s="3232"/>
      <c r="O190" s="3232" t="s">
        <v>132</v>
      </c>
      <c r="P190" s="3232" t="s">
        <v>132</v>
      </c>
      <c r="Q190" s="3232" t="s">
        <v>132</v>
      </c>
      <c r="R190" s="3232" t="s">
        <v>132</v>
      </c>
      <c r="S190" s="3232" t="s">
        <v>132</v>
      </c>
      <c r="T190" s="3232"/>
      <c r="U190" s="3232"/>
      <c r="V190" s="3232" t="s">
        <v>132</v>
      </c>
      <c r="W190" s="3232" t="s">
        <v>132</v>
      </c>
      <c r="X190" s="3232" t="s">
        <v>132</v>
      </c>
      <c r="Y190" s="3232" t="s">
        <v>132</v>
      </c>
      <c r="Z190" s="3232" t="s">
        <v>132</v>
      </c>
      <c r="AA190" s="3232"/>
      <c r="AB190" s="3232"/>
      <c r="AC190" s="3592" t="s">
        <v>132</v>
      </c>
      <c r="AD190" s="3592" t="s">
        <v>132</v>
      </c>
      <c r="AE190" s="3592" t="s">
        <v>132</v>
      </c>
      <c r="AF190" s="3592" t="s">
        <v>132</v>
      </c>
      <c r="AG190" s="3232" t="s">
        <v>132</v>
      </c>
      <c r="AH190" s="182"/>
      <c r="AI190" s="182"/>
    </row>
    <row r="191" spans="1:36" ht="22.35" customHeight="1">
      <c r="A191" s="109"/>
      <c r="B191" s="3467" t="s">
        <v>0</v>
      </c>
      <c r="C191" s="3392" t="s">
        <v>135</v>
      </c>
      <c r="D191" s="3392" t="s">
        <v>135</v>
      </c>
      <c r="E191" s="3392" t="s">
        <v>135</v>
      </c>
      <c r="F191" s="3392"/>
      <c r="G191" s="3392"/>
      <c r="H191" s="3392" t="s">
        <v>135</v>
      </c>
      <c r="I191" s="3392" t="s">
        <v>135</v>
      </c>
      <c r="J191" s="3392" t="s">
        <v>135</v>
      </c>
      <c r="K191" s="3392" t="s">
        <v>135</v>
      </c>
      <c r="L191" s="3392" t="s">
        <v>135</v>
      </c>
      <c r="M191" s="3392"/>
      <c r="N191" s="3392"/>
      <c r="O191" s="3392" t="s">
        <v>135</v>
      </c>
      <c r="P191" s="3392" t="s">
        <v>135</v>
      </c>
      <c r="Q191" s="3392" t="s">
        <v>135</v>
      </c>
      <c r="R191" s="3392" t="s">
        <v>135</v>
      </c>
      <c r="S191" s="3392" t="s">
        <v>135</v>
      </c>
      <c r="T191" s="3392"/>
      <c r="U191" s="3392"/>
      <c r="V191" s="3392" t="s">
        <v>135</v>
      </c>
      <c r="W191" s="3392" t="s">
        <v>135</v>
      </c>
      <c r="X191" s="3392" t="s">
        <v>135</v>
      </c>
      <c r="Y191" s="3392" t="s">
        <v>135</v>
      </c>
      <c r="Z191" s="3392" t="s">
        <v>135</v>
      </c>
      <c r="AA191" s="3392"/>
      <c r="AB191" s="3392"/>
      <c r="AC191" s="3392" t="s">
        <v>135</v>
      </c>
      <c r="AD191" s="3392" t="s">
        <v>135</v>
      </c>
      <c r="AE191" s="3392" t="s">
        <v>135</v>
      </c>
      <c r="AF191" s="3392" t="s">
        <v>135</v>
      </c>
      <c r="AG191" s="3392" t="s">
        <v>135</v>
      </c>
      <c r="AH191" s="182"/>
      <c r="AI191" s="182"/>
    </row>
    <row r="192" spans="1:36" ht="22.35" customHeight="1">
      <c r="A192" s="109"/>
      <c r="B192" s="3226" t="s">
        <v>255</v>
      </c>
      <c r="C192" s="560" t="s">
        <v>52</v>
      </c>
      <c r="D192" s="522" t="s">
        <v>52</v>
      </c>
      <c r="E192" s="522" t="s">
        <v>52</v>
      </c>
      <c r="F192" s="522"/>
      <c r="G192" s="522"/>
      <c r="H192" s="522" t="s">
        <v>52</v>
      </c>
      <c r="I192" s="522" t="s">
        <v>52</v>
      </c>
      <c r="J192" s="522" t="s">
        <v>52</v>
      </c>
      <c r="K192" s="522" t="s">
        <v>52</v>
      </c>
      <c r="L192" s="522" t="s">
        <v>52</v>
      </c>
      <c r="M192" s="522"/>
      <c r="N192" s="522"/>
      <c r="O192" s="522" t="s">
        <v>52</v>
      </c>
      <c r="P192" s="522" t="s">
        <v>52</v>
      </c>
      <c r="Q192" s="522" t="s">
        <v>52</v>
      </c>
      <c r="R192" s="522" t="s">
        <v>52</v>
      </c>
      <c r="S192" s="522" t="s">
        <v>52</v>
      </c>
      <c r="T192" s="522"/>
      <c r="U192" s="522"/>
      <c r="V192" s="522" t="s">
        <v>52</v>
      </c>
      <c r="W192" s="522" t="s">
        <v>52</v>
      </c>
      <c r="X192" s="522" t="s">
        <v>52</v>
      </c>
      <c r="Y192" s="522" t="s">
        <v>52</v>
      </c>
      <c r="Z192" s="522" t="s">
        <v>52</v>
      </c>
      <c r="AA192" s="522"/>
      <c r="AB192" s="522"/>
      <c r="AC192" s="522" t="s">
        <v>52</v>
      </c>
      <c r="AD192" s="522" t="s">
        <v>52</v>
      </c>
      <c r="AE192" s="522" t="s">
        <v>52</v>
      </c>
      <c r="AF192" s="522" t="s">
        <v>52</v>
      </c>
      <c r="AG192" s="522" t="s">
        <v>52</v>
      </c>
      <c r="AH192" s="182"/>
      <c r="AI192" s="182"/>
    </row>
    <row r="193" spans="1:35" ht="22.35" customHeight="1">
      <c r="A193" s="109"/>
      <c r="B193" s="3226" t="s">
        <v>257</v>
      </c>
      <c r="C193" s="3468" t="s">
        <v>141</v>
      </c>
      <c r="D193" s="3238" t="s">
        <v>141</v>
      </c>
      <c r="E193" s="3238" t="s">
        <v>141</v>
      </c>
      <c r="F193" s="3468"/>
      <c r="G193" s="3468"/>
      <c r="H193" s="3238" t="s">
        <v>141</v>
      </c>
      <c r="I193" s="3468" t="s">
        <v>141</v>
      </c>
      <c r="J193" s="3468" t="s">
        <v>141</v>
      </c>
      <c r="K193" s="3468" t="s">
        <v>141</v>
      </c>
      <c r="L193" s="3125" t="s">
        <v>141</v>
      </c>
      <c r="M193" s="3125"/>
      <c r="N193" s="3125"/>
      <c r="O193" s="3593" t="s">
        <v>141</v>
      </c>
      <c r="P193" s="3468" t="s">
        <v>141</v>
      </c>
      <c r="Q193" s="3468" t="s">
        <v>141</v>
      </c>
      <c r="R193" s="3468" t="s">
        <v>141</v>
      </c>
      <c r="S193" s="3468" t="s">
        <v>141</v>
      </c>
      <c r="T193" s="3468"/>
      <c r="U193" s="3468"/>
      <c r="V193" s="3238" t="s">
        <v>141</v>
      </c>
      <c r="W193" s="3468" t="s">
        <v>141</v>
      </c>
      <c r="X193" s="3468" t="s">
        <v>141</v>
      </c>
      <c r="Y193" s="3468" t="s">
        <v>141</v>
      </c>
      <c r="Z193" s="3468" t="s">
        <v>141</v>
      </c>
      <c r="AA193" s="3468"/>
      <c r="AB193" s="3468"/>
      <c r="AC193" s="3468" t="s">
        <v>141</v>
      </c>
      <c r="AD193" s="3468" t="s">
        <v>141</v>
      </c>
      <c r="AE193" s="3468" t="s">
        <v>141</v>
      </c>
      <c r="AF193" s="3468" t="s">
        <v>141</v>
      </c>
      <c r="AG193" s="3468" t="s">
        <v>141</v>
      </c>
      <c r="AH193" s="182"/>
      <c r="AI193" s="182"/>
    </row>
    <row r="194" spans="1:35" ht="22.35" customHeight="1">
      <c r="A194" s="109"/>
      <c r="B194" s="3467" t="s">
        <v>259</v>
      </c>
      <c r="C194" s="3468" t="s">
        <v>124</v>
      </c>
      <c r="D194" s="3468" t="s">
        <v>124</v>
      </c>
      <c r="E194" s="3468" t="s">
        <v>124</v>
      </c>
      <c r="F194" s="3468"/>
      <c r="G194" s="3468"/>
      <c r="H194" s="3468" t="s">
        <v>124</v>
      </c>
      <c r="I194" s="3468" t="s">
        <v>124</v>
      </c>
      <c r="J194" s="3468" t="s">
        <v>124</v>
      </c>
      <c r="K194" s="3468" t="s">
        <v>124</v>
      </c>
      <c r="L194" s="3466" t="s">
        <v>260</v>
      </c>
      <c r="M194" s="3125"/>
      <c r="N194" s="3125"/>
      <c r="O194" s="3237" t="s">
        <v>124</v>
      </c>
      <c r="P194" s="3237" t="s">
        <v>124</v>
      </c>
      <c r="Q194" s="3468" t="s">
        <v>124</v>
      </c>
      <c r="R194" s="3468" t="s">
        <v>124</v>
      </c>
      <c r="S194" s="3468" t="s">
        <v>124</v>
      </c>
      <c r="T194" s="3468"/>
      <c r="U194" s="3468"/>
      <c r="V194" s="3238" t="s">
        <v>124</v>
      </c>
      <c r="W194" s="3238" t="s">
        <v>124</v>
      </c>
      <c r="X194" s="3238" t="s">
        <v>124</v>
      </c>
      <c r="Y194" s="3238" t="s">
        <v>124</v>
      </c>
      <c r="Z194" s="3468" t="s">
        <v>124</v>
      </c>
      <c r="AA194" s="3468"/>
      <c r="AB194" s="3468"/>
      <c r="AC194" s="3594" t="s">
        <v>124</v>
      </c>
      <c r="AD194" s="3594" t="s">
        <v>124</v>
      </c>
      <c r="AE194" s="3594" t="s">
        <v>124</v>
      </c>
      <c r="AF194" s="3594" t="s">
        <v>124</v>
      </c>
      <c r="AG194" s="3564" t="s">
        <v>124</v>
      </c>
      <c r="AH194" s="182"/>
      <c r="AI194" s="182"/>
    </row>
    <row r="195" spans="1:35" ht="22.35" customHeight="1">
      <c r="A195" s="109"/>
      <c r="B195" s="3226" t="s">
        <v>261</v>
      </c>
      <c r="C195" s="3468" t="s">
        <v>242</v>
      </c>
      <c r="D195" s="3468" t="s">
        <v>242</v>
      </c>
      <c r="E195" s="3468" t="s">
        <v>242</v>
      </c>
      <c r="F195" s="3468"/>
      <c r="G195" s="3468"/>
      <c r="H195" s="3468" t="s">
        <v>242</v>
      </c>
      <c r="I195" s="3468" t="s">
        <v>242</v>
      </c>
      <c r="J195" s="3468" t="s">
        <v>242</v>
      </c>
      <c r="K195" s="3468" t="s">
        <v>242</v>
      </c>
      <c r="L195" s="3468" t="s">
        <v>242</v>
      </c>
      <c r="M195" s="3468"/>
      <c r="N195" s="3468"/>
      <c r="O195" s="3468" t="s">
        <v>242</v>
      </c>
      <c r="P195" s="3468" t="s">
        <v>242</v>
      </c>
      <c r="Q195" s="3468" t="s">
        <v>242</v>
      </c>
      <c r="R195" s="3468" t="s">
        <v>242</v>
      </c>
      <c r="S195" s="3466" t="s">
        <v>242</v>
      </c>
      <c r="T195" s="3466" t="s">
        <v>315</v>
      </c>
      <c r="U195" s="3595"/>
      <c r="V195" s="3595" t="s">
        <v>242</v>
      </c>
      <c r="W195" s="3595" t="s">
        <v>242</v>
      </c>
      <c r="X195" s="3468" t="s">
        <v>242</v>
      </c>
      <c r="Y195" s="3468" t="s">
        <v>242</v>
      </c>
      <c r="Z195" s="3125" t="s">
        <v>242</v>
      </c>
      <c r="AA195" s="3468"/>
      <c r="AB195" s="3468"/>
      <c r="AC195" s="3594" t="s">
        <v>242</v>
      </c>
      <c r="AD195" s="3594" t="s">
        <v>242</v>
      </c>
      <c r="AE195" s="3594" t="s">
        <v>242</v>
      </c>
      <c r="AF195" s="3594" t="s">
        <v>242</v>
      </c>
      <c r="AG195" s="3468" t="s">
        <v>242</v>
      </c>
      <c r="AH195" s="182"/>
      <c r="AI195" s="182"/>
    </row>
    <row r="196" spans="1:35" ht="22.35" customHeight="1">
      <c r="A196" s="109"/>
      <c r="B196" s="3467"/>
      <c r="C196" s="3468" t="s">
        <v>122</v>
      </c>
      <c r="D196" s="3468" t="s">
        <v>122</v>
      </c>
      <c r="E196" s="3468" t="s">
        <v>122</v>
      </c>
      <c r="F196" s="3468"/>
      <c r="G196" s="3468"/>
      <c r="H196" s="3468" t="s">
        <v>122</v>
      </c>
      <c r="I196" s="3468" t="s">
        <v>122</v>
      </c>
      <c r="J196" s="3468" t="s">
        <v>122</v>
      </c>
      <c r="K196" s="3468" t="s">
        <v>122</v>
      </c>
      <c r="L196" s="3468" t="s">
        <v>122</v>
      </c>
      <c r="M196" s="3468"/>
      <c r="N196" s="3468"/>
      <c r="O196" s="3468" t="s">
        <v>122</v>
      </c>
      <c r="P196" s="3468" t="s">
        <v>122</v>
      </c>
      <c r="Q196" s="3468" t="s">
        <v>122</v>
      </c>
      <c r="R196" s="3468" t="s">
        <v>122</v>
      </c>
      <c r="S196" s="3468" t="s">
        <v>122</v>
      </c>
      <c r="T196" s="3468"/>
      <c r="U196" s="3468"/>
      <c r="V196" s="3468" t="s">
        <v>122</v>
      </c>
      <c r="W196" s="3468" t="s">
        <v>122</v>
      </c>
      <c r="X196" s="3468" t="s">
        <v>122</v>
      </c>
      <c r="Y196" s="3468" t="s">
        <v>122</v>
      </c>
      <c r="Z196" s="3468" t="s">
        <v>122</v>
      </c>
      <c r="AA196" s="3468"/>
      <c r="AB196" s="3468"/>
      <c r="AC196" s="3468" t="s">
        <v>122</v>
      </c>
      <c r="AD196" s="3468" t="s">
        <v>122</v>
      </c>
      <c r="AE196" s="3468" t="s">
        <v>122</v>
      </c>
      <c r="AF196" s="3468" t="s">
        <v>122</v>
      </c>
      <c r="AG196" s="3468" t="s">
        <v>122</v>
      </c>
      <c r="AH196" s="182"/>
      <c r="AI196" s="182"/>
    </row>
    <row r="197" spans="1:35" ht="22.35" customHeight="1">
      <c r="A197" s="109"/>
      <c r="B197" s="3467" t="s">
        <v>262</v>
      </c>
      <c r="C197" s="3468" t="s">
        <v>246</v>
      </c>
      <c r="D197" s="3468" t="s">
        <v>246</v>
      </c>
      <c r="E197" s="3187" t="s">
        <v>246</v>
      </c>
      <c r="F197" s="3468"/>
      <c r="G197" s="3468"/>
      <c r="H197" s="3468" t="s">
        <v>246</v>
      </c>
      <c r="I197" s="3468" t="s">
        <v>246</v>
      </c>
      <c r="J197" s="3468" t="s">
        <v>246</v>
      </c>
      <c r="K197" s="3468" t="s">
        <v>246</v>
      </c>
      <c r="L197" s="3468" t="s">
        <v>246</v>
      </c>
      <c r="M197" s="3468"/>
      <c r="N197" s="3468"/>
      <c r="O197" s="3468" t="s">
        <v>246</v>
      </c>
      <c r="P197" s="3468" t="s">
        <v>246</v>
      </c>
      <c r="Q197" s="3468" t="s">
        <v>246</v>
      </c>
      <c r="R197" s="3468" t="s">
        <v>246</v>
      </c>
      <c r="S197" s="3468" t="s">
        <v>246</v>
      </c>
      <c r="T197" s="3468"/>
      <c r="U197" s="3468"/>
      <c r="V197" s="3468" t="s">
        <v>246</v>
      </c>
      <c r="W197" s="3468" t="s">
        <v>246</v>
      </c>
      <c r="X197" s="3468" t="s">
        <v>246</v>
      </c>
      <c r="Y197" s="3468" t="s">
        <v>246</v>
      </c>
      <c r="Z197" s="3468" t="s">
        <v>246</v>
      </c>
      <c r="AA197" s="3468"/>
      <c r="AB197" s="3468"/>
      <c r="AC197" s="3238" t="s">
        <v>246</v>
      </c>
      <c r="AD197" s="3238" t="s">
        <v>246</v>
      </c>
      <c r="AE197" s="3238" t="s">
        <v>246</v>
      </c>
      <c r="AF197" s="3238" t="s">
        <v>246</v>
      </c>
      <c r="AG197" s="3468" t="s">
        <v>246</v>
      </c>
      <c r="AH197" s="107"/>
      <c r="AI197" s="107"/>
    </row>
    <row r="198" spans="1:35" ht="21" customHeight="1" thickBot="1">
      <c r="A198" s="148"/>
      <c r="B198" s="995" t="s">
        <v>263</v>
      </c>
      <c r="C198" s="998" t="s">
        <v>127</v>
      </c>
      <c r="D198" s="998" t="s">
        <v>127</v>
      </c>
      <c r="E198" s="998" t="s">
        <v>127</v>
      </c>
      <c r="F198" s="998"/>
      <c r="G198" s="998"/>
      <c r="H198" s="3596" t="s">
        <v>127</v>
      </c>
      <c r="I198" s="998" t="s">
        <v>127</v>
      </c>
      <c r="J198" s="998" t="s">
        <v>127</v>
      </c>
      <c r="K198" s="998" t="s">
        <v>127</v>
      </c>
      <c r="L198" s="998" t="s">
        <v>127</v>
      </c>
      <c r="M198" s="998"/>
      <c r="N198" s="998"/>
      <c r="O198" s="998" t="s">
        <v>127</v>
      </c>
      <c r="P198" s="998" t="s">
        <v>127</v>
      </c>
      <c r="Q198" s="998" t="s">
        <v>127</v>
      </c>
      <c r="R198" s="998" t="s">
        <v>127</v>
      </c>
      <c r="S198" s="998" t="s">
        <v>127</v>
      </c>
      <c r="T198" s="998"/>
      <c r="U198" s="998"/>
      <c r="V198" s="998" t="s">
        <v>127</v>
      </c>
      <c r="W198" s="998" t="s">
        <v>127</v>
      </c>
      <c r="X198" s="998" t="s">
        <v>127</v>
      </c>
      <c r="Y198" s="998" t="s">
        <v>127</v>
      </c>
      <c r="Z198" s="998" t="s">
        <v>127</v>
      </c>
      <c r="AA198" s="998"/>
      <c r="AB198" s="998"/>
      <c r="AC198" s="3597" t="s">
        <v>127</v>
      </c>
      <c r="AD198" s="1072" t="s">
        <v>127</v>
      </c>
      <c r="AE198" s="1072" t="s">
        <v>127</v>
      </c>
      <c r="AF198" s="1072" t="s">
        <v>127</v>
      </c>
      <c r="AG198" s="998" t="s">
        <v>127</v>
      </c>
      <c r="AH198" s="115"/>
    </row>
    <row r="199" spans="1:35" ht="21" customHeight="1">
      <c r="A199" s="148"/>
      <c r="B199" s="229"/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M199" s="228"/>
      <c r="N199" s="228"/>
      <c r="O199" s="228"/>
      <c r="P199" s="228"/>
      <c r="Q199" s="228"/>
      <c r="R199" s="228"/>
      <c r="S199" s="228"/>
      <c r="T199" s="228"/>
      <c r="U199" s="228"/>
      <c r="V199" s="228"/>
      <c r="W199" s="228"/>
      <c r="X199" s="228"/>
      <c r="Y199" s="228"/>
      <c r="Z199" s="228"/>
      <c r="AA199" s="228"/>
      <c r="AB199" s="228"/>
      <c r="AC199" s="228"/>
      <c r="AD199" s="228"/>
      <c r="AE199" s="228"/>
      <c r="AF199" s="228"/>
      <c r="AG199" s="228"/>
      <c r="AH199" s="115"/>
    </row>
    <row r="200" spans="1:35" ht="22.35" customHeight="1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</row>
    <row r="201" spans="1:35" ht="22.35" customHeight="1" thickBot="1">
      <c r="A201" s="1" t="s">
        <v>265</v>
      </c>
      <c r="B201" s="59"/>
    </row>
    <row r="202" spans="1:35" ht="22.35" customHeight="1">
      <c r="A202" s="1"/>
      <c r="B202" s="3241" t="s">
        <v>266</v>
      </c>
      <c r="C202" s="391" t="s">
        <v>94</v>
      </c>
      <c r="D202" s="391"/>
      <c r="E202" s="391"/>
      <c r="F202" s="391"/>
      <c r="G202" s="392" t="s">
        <v>95</v>
      </c>
      <c r="H202" s="391"/>
      <c r="I202" s="391"/>
      <c r="J202" s="391"/>
      <c r="K202" s="392" t="s">
        <v>96</v>
      </c>
      <c r="L202" s="391"/>
      <c r="M202" s="391"/>
      <c r="N202" s="391"/>
      <c r="O202" s="392" t="s">
        <v>97</v>
      </c>
      <c r="P202" s="391"/>
      <c r="Q202" s="391"/>
      <c r="R202" s="391"/>
      <c r="S202" s="392" t="s">
        <v>98</v>
      </c>
      <c r="T202" s="391"/>
      <c r="U202" s="391"/>
      <c r="V202" s="391"/>
      <c r="W202" s="393" t="s">
        <v>99</v>
      </c>
      <c r="X202" s="357"/>
      <c r="Y202" s="391"/>
      <c r="Z202" s="394"/>
      <c r="AA202" s="393" t="s">
        <v>100</v>
      </c>
      <c r="AB202" s="357"/>
      <c r="AC202" s="391"/>
      <c r="AD202" s="394"/>
      <c r="AE202" s="395" t="s">
        <v>101</v>
      </c>
      <c r="AF202" s="391"/>
      <c r="AG202" s="391"/>
      <c r="AH202" s="391"/>
      <c r="AI202" s="358"/>
    </row>
    <row r="203" spans="1:35" ht="22.35" customHeight="1">
      <c r="A203" s="1"/>
      <c r="B203" s="3242">
        <v>3701</v>
      </c>
      <c r="C203" s="110" t="s">
        <v>267</v>
      </c>
      <c r="D203" s="110"/>
      <c r="E203" s="110"/>
      <c r="F203" s="110"/>
      <c r="G203" s="742" t="s">
        <v>268</v>
      </c>
      <c r="H203" s="110"/>
      <c r="I203" s="110"/>
      <c r="J203" s="110"/>
      <c r="K203" s="742" t="s">
        <v>268</v>
      </c>
      <c r="L203" s="110"/>
      <c r="M203" s="110"/>
      <c r="N203" s="110"/>
      <c r="O203" s="742" t="s">
        <v>268</v>
      </c>
      <c r="P203" s="110"/>
      <c r="Q203" s="110"/>
      <c r="R203" s="110"/>
      <c r="S203" s="742" t="s">
        <v>269</v>
      </c>
      <c r="T203" s="110"/>
      <c r="U203" s="110"/>
      <c r="V203" s="110"/>
      <c r="W203" s="3243"/>
      <c r="X203" s="3244"/>
      <c r="Y203" s="3402"/>
      <c r="Z203" s="3245"/>
      <c r="AA203" s="3243"/>
      <c r="AB203" s="3244"/>
      <c r="AC203" s="3402"/>
      <c r="AD203" s="3245"/>
      <c r="AE203" s="3525"/>
      <c r="AF203" s="3402"/>
      <c r="AG203" s="3402"/>
      <c r="AH203" s="3402"/>
      <c r="AI203" s="3333"/>
    </row>
    <row r="204" spans="1:35" ht="22.35" customHeight="1">
      <c r="B204" s="3241">
        <v>3700</v>
      </c>
      <c r="C204" s="3402" t="s">
        <v>170</v>
      </c>
      <c r="D204" s="3402"/>
      <c r="E204" s="3402"/>
      <c r="F204" s="3402"/>
      <c r="G204" s="3246" t="s">
        <v>170</v>
      </c>
      <c r="H204" s="3402"/>
      <c r="I204" s="3402"/>
      <c r="J204" s="3402"/>
      <c r="K204" s="3246" t="s">
        <v>170</v>
      </c>
      <c r="L204" s="3402"/>
      <c r="M204" s="3402"/>
      <c r="N204" s="3402"/>
      <c r="O204" s="3246" t="s">
        <v>170</v>
      </c>
      <c r="P204" s="3402"/>
      <c r="Q204" s="3402"/>
      <c r="R204" s="3402"/>
      <c r="S204" s="3246" t="s">
        <v>171</v>
      </c>
      <c r="T204" s="3402"/>
      <c r="U204" s="3402"/>
      <c r="V204" s="3402"/>
      <c r="W204" s="3402"/>
      <c r="X204" s="3246"/>
      <c r="Y204" s="3402"/>
      <c r="Z204" s="3527"/>
      <c r="AA204" s="3525"/>
      <c r="AB204" s="3402"/>
      <c r="AC204" s="3402"/>
      <c r="AD204" s="3454"/>
      <c r="AE204" s="3247"/>
      <c r="AF204" s="3402"/>
      <c r="AG204" s="3402"/>
      <c r="AH204" s="3454"/>
      <c r="AI204" s="3333"/>
    </row>
    <row r="205" spans="1:35" ht="22.35" customHeight="1">
      <c r="A205" s="1"/>
      <c r="B205" s="3241">
        <v>8514</v>
      </c>
      <c r="C205" s="3402" t="s">
        <v>268</v>
      </c>
      <c r="D205" s="3402"/>
      <c r="E205" s="3402"/>
      <c r="F205" s="3402"/>
      <c r="G205" s="3246" t="s">
        <v>268</v>
      </c>
      <c r="H205" s="3402"/>
      <c r="I205" s="3402"/>
      <c r="J205" s="3402"/>
      <c r="K205" s="3246" t="s">
        <v>268</v>
      </c>
      <c r="L205" s="3402"/>
      <c r="M205" s="3402"/>
      <c r="N205" s="3402"/>
      <c r="O205" s="3246" t="s">
        <v>268</v>
      </c>
      <c r="P205" s="3402"/>
      <c r="Q205" s="3402"/>
      <c r="R205" s="3402"/>
      <c r="S205" s="3246" t="s">
        <v>270</v>
      </c>
      <c r="T205" s="3402"/>
      <c r="U205" s="3402"/>
      <c r="V205" s="3402"/>
      <c r="W205" s="3402"/>
      <c r="X205" s="3246"/>
      <c r="Y205" s="3402"/>
      <c r="Z205" s="3527"/>
      <c r="AA205" s="3453"/>
      <c r="AB205" s="3402"/>
      <c r="AC205" s="3402"/>
      <c r="AD205" s="3454"/>
      <c r="AE205" s="3453"/>
      <c r="AF205" s="3402"/>
      <c r="AG205" s="3402"/>
      <c r="AH205" s="3454"/>
      <c r="AI205" s="3333"/>
    </row>
    <row r="206" spans="1:35" ht="22.35" customHeight="1">
      <c r="A206" s="1"/>
      <c r="B206" s="3241">
        <v>8500</v>
      </c>
      <c r="C206" s="165" t="s">
        <v>271</v>
      </c>
      <c r="D206" s="165"/>
      <c r="E206" s="165"/>
      <c r="F206" s="165"/>
      <c r="G206" s="166" t="s">
        <v>271</v>
      </c>
      <c r="H206" s="165"/>
      <c r="I206" s="165"/>
      <c r="J206" s="165"/>
      <c r="K206" s="166" t="s">
        <v>271</v>
      </c>
      <c r="L206" s="165"/>
      <c r="M206" s="165"/>
      <c r="N206" s="165"/>
      <c r="O206" s="166" t="s">
        <v>271</v>
      </c>
      <c r="P206" s="165"/>
      <c r="Q206" s="165"/>
      <c r="R206" s="165"/>
      <c r="S206" s="166" t="s">
        <v>272</v>
      </c>
      <c r="T206" s="165"/>
      <c r="U206" s="165"/>
      <c r="V206" s="165"/>
      <c r="W206" s="165"/>
      <c r="X206" s="166"/>
      <c r="Y206" s="165"/>
      <c r="Z206" s="121"/>
      <c r="AA206" s="120"/>
      <c r="AB206" s="165"/>
      <c r="AC206" s="165"/>
      <c r="AD206" s="121"/>
      <c r="AE206" s="120"/>
      <c r="AF206" s="165"/>
      <c r="AG206" s="165"/>
      <c r="AH206" s="113"/>
      <c r="AI206" s="119"/>
    </row>
    <row r="207" spans="1:35" ht="22.35" customHeight="1">
      <c r="A207" s="1"/>
      <c r="B207" s="3241">
        <v>8514</v>
      </c>
      <c r="C207" s="168" t="s">
        <v>268</v>
      </c>
      <c r="D207" s="168"/>
      <c r="E207" s="168"/>
      <c r="F207" s="168"/>
      <c r="G207" s="169" t="s">
        <v>268</v>
      </c>
      <c r="H207" s="168"/>
      <c r="I207" s="168"/>
      <c r="J207" s="168"/>
      <c r="K207" s="169" t="s">
        <v>268</v>
      </c>
      <c r="L207" s="168"/>
      <c r="M207" s="168"/>
      <c r="N207" s="168"/>
      <c r="O207" s="169" t="s">
        <v>268</v>
      </c>
      <c r="P207" s="168"/>
      <c r="Q207" s="168"/>
      <c r="R207" s="168"/>
      <c r="S207" s="169" t="s">
        <v>270</v>
      </c>
      <c r="T207" s="168"/>
      <c r="U207" s="168"/>
      <c r="V207" s="168"/>
      <c r="W207" s="168"/>
      <c r="X207" s="149"/>
      <c r="Y207" s="165"/>
      <c r="Z207" s="167"/>
      <c r="AA207" s="156"/>
      <c r="AB207" s="117"/>
      <c r="AC207" s="165"/>
      <c r="AD207" s="165"/>
      <c r="AE207" s="118"/>
      <c r="AF207" s="165"/>
      <c r="AG207" s="165"/>
      <c r="AH207" s="165"/>
      <c r="AI207" s="119"/>
    </row>
    <row r="208" spans="1:35" ht="22.35" customHeight="1" thickBot="1">
      <c r="A208" s="1"/>
      <c r="B208" s="3248" t="s">
        <v>273</v>
      </c>
      <c r="C208" s="3409" t="s">
        <v>274</v>
      </c>
      <c r="D208" s="3409"/>
      <c r="E208" s="3409"/>
      <c r="F208" s="3409"/>
      <c r="G208" s="3249" t="s">
        <v>274</v>
      </c>
      <c r="H208" s="3409"/>
      <c r="I208" s="3409"/>
      <c r="J208" s="3409"/>
      <c r="K208" s="3250" t="s">
        <v>274</v>
      </c>
      <c r="L208" s="3409"/>
      <c r="M208" s="3409"/>
      <c r="N208" s="3409"/>
      <c r="O208" s="3249" t="s">
        <v>274</v>
      </c>
      <c r="P208" s="3409"/>
      <c r="Q208" s="3409"/>
      <c r="R208" s="3409"/>
      <c r="S208" s="3249" t="s">
        <v>275</v>
      </c>
      <c r="T208" s="3409"/>
      <c r="U208" s="3409"/>
      <c r="V208" s="3409"/>
      <c r="W208" s="3409"/>
      <c r="X208" s="3249"/>
      <c r="Y208" s="3409"/>
      <c r="Z208" s="3562"/>
      <c r="AA208" s="3538"/>
      <c r="AB208" s="3409"/>
      <c r="AC208" s="3409"/>
      <c r="AD208" s="3545"/>
      <c r="AE208" s="3251"/>
      <c r="AF208" s="3409"/>
      <c r="AG208" s="3409"/>
      <c r="AH208" s="3545"/>
      <c r="AI208" s="3412"/>
    </row>
    <row r="209" spans="1:35" ht="22.35" customHeight="1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>
      <c r="A210" s="1" t="s">
        <v>276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 thickBot="1">
      <c r="A211" s="3500"/>
      <c r="B211" s="3414" t="s">
        <v>29</v>
      </c>
      <c r="C211" s="3342">
        <v>1</v>
      </c>
      <c r="D211" s="3342">
        <v>2</v>
      </c>
      <c r="E211" s="3342">
        <v>3</v>
      </c>
      <c r="F211" s="3343">
        <v>4</v>
      </c>
      <c r="G211" s="3343">
        <v>5</v>
      </c>
      <c r="H211" s="3342">
        <v>6</v>
      </c>
      <c r="I211" s="3342">
        <v>7</v>
      </c>
      <c r="J211" s="3342">
        <v>8</v>
      </c>
      <c r="K211" s="3342">
        <v>9</v>
      </c>
      <c r="L211" s="3342">
        <v>10</v>
      </c>
      <c r="M211" s="3343">
        <v>11</v>
      </c>
      <c r="N211" s="3343">
        <v>12</v>
      </c>
      <c r="O211" s="3342">
        <v>13</v>
      </c>
      <c r="P211" s="3342">
        <v>14</v>
      </c>
      <c r="Q211" s="3342">
        <v>15</v>
      </c>
      <c r="R211" s="3342">
        <v>16</v>
      </c>
      <c r="S211" s="3342">
        <v>17</v>
      </c>
      <c r="T211" s="3343">
        <v>18</v>
      </c>
      <c r="U211" s="3343">
        <v>19</v>
      </c>
      <c r="V211" s="3342">
        <v>20</v>
      </c>
      <c r="W211" s="3342">
        <v>21</v>
      </c>
      <c r="X211" s="3342">
        <v>22</v>
      </c>
      <c r="Y211" s="3342">
        <v>23</v>
      </c>
      <c r="Z211" s="3344">
        <v>24</v>
      </c>
      <c r="AA211" s="3343">
        <v>25</v>
      </c>
      <c r="AB211" s="3343">
        <v>26</v>
      </c>
      <c r="AC211" s="3342">
        <v>27</v>
      </c>
      <c r="AD211" s="3342">
        <v>28</v>
      </c>
      <c r="AE211" s="3342">
        <v>29</v>
      </c>
      <c r="AF211" s="3342">
        <v>30</v>
      </c>
      <c r="AG211" s="3345">
        <v>31</v>
      </c>
      <c r="AH211" s="176"/>
      <c r="AI211" s="177"/>
    </row>
    <row r="212" spans="1:35" ht="22.35" customHeight="1">
      <c r="A212" s="249"/>
      <c r="B212" s="540" t="s">
        <v>277</v>
      </c>
      <c r="C212" s="3378" t="s">
        <v>32</v>
      </c>
      <c r="D212" s="3378" t="s">
        <v>32</v>
      </c>
      <c r="E212" s="3378" t="s">
        <v>32</v>
      </c>
      <c r="F212" s="3378"/>
      <c r="G212" s="3378"/>
      <c r="H212" s="3378" t="s">
        <v>32</v>
      </c>
      <c r="I212" s="3378" t="s">
        <v>32</v>
      </c>
      <c r="J212" s="3378" t="s">
        <v>32</v>
      </c>
      <c r="K212" s="3378" t="s">
        <v>32</v>
      </c>
      <c r="L212" s="3378" t="s">
        <v>32</v>
      </c>
      <c r="M212" s="3378"/>
      <c r="N212" s="3382"/>
      <c r="O212" s="3391" t="s">
        <v>32</v>
      </c>
      <c r="P212" s="3382" t="s">
        <v>32</v>
      </c>
      <c r="Q212" s="3380" t="s">
        <v>32</v>
      </c>
      <c r="R212" s="3382" t="s">
        <v>32</v>
      </c>
      <c r="S212" s="3382" t="s">
        <v>32</v>
      </c>
      <c r="T212" s="3378"/>
      <c r="U212" s="3382"/>
      <c r="V212" s="3125" t="s">
        <v>32</v>
      </c>
      <c r="W212" s="3125" t="s">
        <v>32</v>
      </c>
      <c r="X212" s="3125" t="s">
        <v>32</v>
      </c>
      <c r="Y212" s="3391" t="s">
        <v>32</v>
      </c>
      <c r="Z212" s="3378"/>
      <c r="AA212" s="3378"/>
      <c r="AB212" s="3378"/>
      <c r="AC212" s="3391" t="s">
        <v>32</v>
      </c>
      <c r="AD212" s="3391" t="s">
        <v>32</v>
      </c>
      <c r="AE212" s="3391" t="s">
        <v>32</v>
      </c>
      <c r="AF212" s="3391" t="s">
        <v>32</v>
      </c>
      <c r="AG212" s="649"/>
      <c r="AH212" s="176"/>
      <c r="AI212" s="177"/>
    </row>
    <row r="213" spans="1:35" ht="22.35" customHeight="1">
      <c r="A213" s="3598"/>
      <c r="B213" s="3599" t="s">
        <v>279</v>
      </c>
      <c r="C213" s="3378" t="s">
        <v>32</v>
      </c>
      <c r="D213" s="3378" t="s">
        <v>32</v>
      </c>
      <c r="E213" s="3378" t="s">
        <v>32</v>
      </c>
      <c r="F213" s="3378"/>
      <c r="G213" s="3378"/>
      <c r="H213" s="3378" t="s">
        <v>32</v>
      </c>
      <c r="I213" s="3378" t="s">
        <v>32</v>
      </c>
      <c r="J213" s="3378" t="s">
        <v>32</v>
      </c>
      <c r="K213" s="3378" t="s">
        <v>32</v>
      </c>
      <c r="L213" s="3378" t="s">
        <v>32</v>
      </c>
      <c r="M213" s="3378"/>
      <c r="N213" s="3382"/>
      <c r="O213" s="3382" t="s">
        <v>32</v>
      </c>
      <c r="P213" s="3382" t="s">
        <v>32</v>
      </c>
      <c r="Q213" s="3380" t="s">
        <v>32</v>
      </c>
      <c r="R213" s="3382" t="s">
        <v>32</v>
      </c>
      <c r="S213" s="3378" t="s">
        <v>32</v>
      </c>
      <c r="T213" s="3378"/>
      <c r="U213" s="3382"/>
      <c r="V213" s="3382" t="s">
        <v>32</v>
      </c>
      <c r="W213" s="3382" t="s">
        <v>32</v>
      </c>
      <c r="X213" s="3378" t="s">
        <v>32</v>
      </c>
      <c r="Y213" s="3382" t="s">
        <v>32</v>
      </c>
      <c r="Z213" s="3378"/>
      <c r="AA213" s="3378"/>
      <c r="AB213" s="3378"/>
      <c r="AC213" s="3378" t="s">
        <v>32</v>
      </c>
      <c r="AD213" s="3380" t="s">
        <v>32</v>
      </c>
      <c r="AE213" s="3380" t="s">
        <v>32</v>
      </c>
      <c r="AF213" s="3380" t="s">
        <v>32</v>
      </c>
      <c r="AG213" s="3255"/>
      <c r="AH213" s="176"/>
      <c r="AI213" s="177"/>
    </row>
    <row r="214" spans="1:35" ht="22.35" customHeight="1">
      <c r="A214" s="3600">
        <v>8514</v>
      </c>
      <c r="B214" s="3601" t="s">
        <v>280</v>
      </c>
      <c r="C214" s="3378" t="s">
        <v>32</v>
      </c>
      <c r="D214" s="3378" t="s">
        <v>32</v>
      </c>
      <c r="E214" s="3378" t="s">
        <v>32</v>
      </c>
      <c r="F214" s="3378"/>
      <c r="G214" s="3378"/>
      <c r="H214" s="3378" t="s">
        <v>32</v>
      </c>
      <c r="I214" s="3378" t="s">
        <v>32</v>
      </c>
      <c r="J214" s="3378" t="s">
        <v>32</v>
      </c>
      <c r="K214" s="3378" t="s">
        <v>32</v>
      </c>
      <c r="L214" s="3378" t="s">
        <v>32</v>
      </c>
      <c r="M214" s="3378"/>
      <c r="N214" s="3382"/>
      <c r="O214" s="3382" t="s">
        <v>32</v>
      </c>
      <c r="P214" s="3382" t="s">
        <v>32</v>
      </c>
      <c r="Q214" s="3380" t="s">
        <v>32</v>
      </c>
      <c r="R214" s="3382" t="s">
        <v>32</v>
      </c>
      <c r="S214" s="3378" t="s">
        <v>32</v>
      </c>
      <c r="T214" s="3378"/>
      <c r="U214" s="3382"/>
      <c r="V214" s="3382" t="s">
        <v>32</v>
      </c>
      <c r="W214" s="3382" t="s">
        <v>32</v>
      </c>
      <c r="X214" s="3382" t="s">
        <v>32</v>
      </c>
      <c r="Y214" s="3391" t="s">
        <v>32</v>
      </c>
      <c r="Z214" s="3378"/>
      <c r="AA214" s="3378"/>
      <c r="AB214" s="3378"/>
      <c r="AC214" s="3391" t="s">
        <v>32</v>
      </c>
      <c r="AD214" s="3391" t="s">
        <v>32</v>
      </c>
      <c r="AE214" s="3391" t="s">
        <v>32</v>
      </c>
      <c r="AF214" s="3391" t="s">
        <v>32</v>
      </c>
      <c r="AG214" s="3255"/>
      <c r="AH214" s="181"/>
      <c r="AI214" s="182"/>
    </row>
    <row r="215" spans="1:35" ht="21" customHeight="1">
      <c r="A215" s="3600">
        <v>3701</v>
      </c>
      <c r="B215" s="3602" t="s">
        <v>281</v>
      </c>
      <c r="C215" s="3378" t="s">
        <v>32</v>
      </c>
      <c r="D215" s="3378" t="s">
        <v>32</v>
      </c>
      <c r="E215" s="3378" t="s">
        <v>32</v>
      </c>
      <c r="F215" s="3378"/>
      <c r="G215" s="3378"/>
      <c r="H215" s="3378" t="s">
        <v>32</v>
      </c>
      <c r="I215" s="3378" t="s">
        <v>32</v>
      </c>
      <c r="J215" s="3378" t="s">
        <v>32</v>
      </c>
      <c r="K215" s="3378" t="s">
        <v>32</v>
      </c>
      <c r="L215" s="3378" t="s">
        <v>32</v>
      </c>
      <c r="M215" s="3378"/>
      <c r="N215" s="3382"/>
      <c r="O215" s="3382" t="s">
        <v>32</v>
      </c>
      <c r="P215" s="3382" t="s">
        <v>32</v>
      </c>
      <c r="Q215" s="3380" t="s">
        <v>32</v>
      </c>
      <c r="R215" s="3382" t="s">
        <v>32</v>
      </c>
      <c r="S215" s="3378" t="s">
        <v>32</v>
      </c>
      <c r="T215" s="3378"/>
      <c r="U215" s="3382"/>
      <c r="V215" s="3382" t="s">
        <v>32</v>
      </c>
      <c r="W215" s="3382" t="s">
        <v>32</v>
      </c>
      <c r="X215" s="3378" t="s">
        <v>32</v>
      </c>
      <c r="Y215" s="3382" t="s">
        <v>32</v>
      </c>
      <c r="Z215" s="3378"/>
      <c r="AA215" s="3568"/>
      <c r="AB215" s="3378"/>
      <c r="AC215" s="3378" t="s">
        <v>32</v>
      </c>
      <c r="AD215" s="3382" t="s">
        <v>32</v>
      </c>
      <c r="AE215" s="3382" t="s">
        <v>32</v>
      </c>
      <c r="AF215" s="3382" t="s">
        <v>32</v>
      </c>
      <c r="AG215" s="3255"/>
      <c r="AH215" s="181"/>
      <c r="AI215" s="182"/>
    </row>
    <row r="216" spans="1:35" ht="21" customHeight="1">
      <c r="A216" s="3600">
        <v>3701</v>
      </c>
      <c r="B216" s="3388" t="s">
        <v>282</v>
      </c>
      <c r="C216" s="3378" t="s">
        <v>32</v>
      </c>
      <c r="D216" s="3603" t="s">
        <v>32</v>
      </c>
      <c r="E216" s="3378" t="s">
        <v>32</v>
      </c>
      <c r="F216" s="3378"/>
      <c r="G216" s="3378"/>
      <c r="H216" s="3378" t="s">
        <v>32</v>
      </c>
      <c r="I216" s="3378" t="s">
        <v>32</v>
      </c>
      <c r="J216" s="3378" t="s">
        <v>32</v>
      </c>
      <c r="K216" s="3378" t="s">
        <v>32</v>
      </c>
      <c r="L216" s="3378" t="s">
        <v>32</v>
      </c>
      <c r="M216" s="3378"/>
      <c r="N216" s="3382"/>
      <c r="O216" s="3382" t="s">
        <v>32</v>
      </c>
      <c r="P216" s="3382" t="s">
        <v>32</v>
      </c>
      <c r="Q216" s="3380" t="s">
        <v>32</v>
      </c>
      <c r="R216" s="3382" t="s">
        <v>32</v>
      </c>
      <c r="S216" s="3568" t="s">
        <v>278</v>
      </c>
      <c r="T216" s="3125"/>
      <c r="U216" s="3125"/>
      <c r="V216" s="3125" t="s">
        <v>32</v>
      </c>
      <c r="W216" s="3382" t="s">
        <v>32</v>
      </c>
      <c r="X216" s="3603" t="s">
        <v>32</v>
      </c>
      <c r="Y216" s="3603" t="s">
        <v>32</v>
      </c>
      <c r="Z216" s="3378"/>
      <c r="AA216" s="3378"/>
      <c r="AB216" s="3378"/>
      <c r="AC216" s="3391" t="s">
        <v>32</v>
      </c>
      <c r="AD216" s="3391" t="s">
        <v>32</v>
      </c>
      <c r="AE216" s="3391" t="s">
        <v>32</v>
      </c>
      <c r="AF216" s="3391" t="s">
        <v>32</v>
      </c>
      <c r="AG216" s="3255"/>
      <c r="AH216" s="181"/>
      <c r="AI216" s="182"/>
    </row>
    <row r="217" spans="1:35" ht="21" customHeight="1">
      <c r="A217" s="3600">
        <v>3701</v>
      </c>
      <c r="B217" s="3388" t="s">
        <v>283</v>
      </c>
      <c r="C217" s="3378" t="s">
        <v>32</v>
      </c>
      <c r="D217" s="3378" t="s">
        <v>32</v>
      </c>
      <c r="E217" s="3378" t="s">
        <v>32</v>
      </c>
      <c r="F217" s="3378"/>
      <c r="G217" s="3378"/>
      <c r="H217" s="3603" t="s">
        <v>32</v>
      </c>
      <c r="I217" s="3378" t="s">
        <v>32</v>
      </c>
      <c r="J217" s="3378" t="s">
        <v>32</v>
      </c>
      <c r="K217" s="3378" t="s">
        <v>32</v>
      </c>
      <c r="L217" s="3378" t="s">
        <v>32</v>
      </c>
      <c r="M217" s="3378"/>
      <c r="N217" s="3382"/>
      <c r="O217" s="3568" t="s">
        <v>32</v>
      </c>
      <c r="P217" s="3568" t="s">
        <v>32</v>
      </c>
      <c r="Q217" s="3568" t="s">
        <v>32</v>
      </c>
      <c r="R217" s="3568" t="s">
        <v>32</v>
      </c>
      <c r="S217" s="3568" t="s">
        <v>32</v>
      </c>
      <c r="T217" s="3378"/>
      <c r="U217" s="3382"/>
      <c r="V217" s="3382" t="s">
        <v>32</v>
      </c>
      <c r="W217" s="3603" t="s">
        <v>32</v>
      </c>
      <c r="X217" s="3378" t="s">
        <v>32</v>
      </c>
      <c r="Y217" s="3387" t="s">
        <v>32</v>
      </c>
      <c r="Z217" s="3378"/>
      <c r="AA217" s="3378"/>
      <c r="AB217" s="3378"/>
      <c r="AC217" s="3603" t="s">
        <v>32</v>
      </c>
      <c r="AD217" s="3603" t="s">
        <v>32</v>
      </c>
      <c r="AE217" s="3603" t="s">
        <v>32</v>
      </c>
      <c r="AF217" s="3603" t="s">
        <v>32</v>
      </c>
      <c r="AG217" s="3255"/>
      <c r="AH217" s="181"/>
      <c r="AI217" s="182"/>
    </row>
    <row r="218" spans="1:35" ht="21" customHeight="1">
      <c r="A218" s="3600">
        <v>3701</v>
      </c>
      <c r="B218" s="3602" t="s">
        <v>284</v>
      </c>
      <c r="C218" s="3378" t="s">
        <v>32</v>
      </c>
      <c r="D218" s="3378" t="s">
        <v>32</v>
      </c>
      <c r="E218" s="3378" t="s">
        <v>32</v>
      </c>
      <c r="F218" s="3378"/>
      <c r="G218" s="3378"/>
      <c r="H218" s="3378" t="s">
        <v>32</v>
      </c>
      <c r="I218" s="3378" t="s">
        <v>32</v>
      </c>
      <c r="J218" s="3378" t="s">
        <v>32</v>
      </c>
      <c r="K218" s="3378" t="s">
        <v>32</v>
      </c>
      <c r="L218" s="3378" t="s">
        <v>32</v>
      </c>
      <c r="M218" s="3378"/>
      <c r="N218" s="3382"/>
      <c r="O218" s="3382" t="s">
        <v>32</v>
      </c>
      <c r="P218" s="3382" t="s">
        <v>32</v>
      </c>
      <c r="Q218" s="3380" t="s">
        <v>32</v>
      </c>
      <c r="R218" s="3382" t="s">
        <v>32</v>
      </c>
      <c r="S218" s="3378" t="s">
        <v>32</v>
      </c>
      <c r="T218" s="3378"/>
      <c r="U218" s="3382"/>
      <c r="V218" s="3382" t="s">
        <v>32</v>
      </c>
      <c r="W218" s="3382" t="s">
        <v>32</v>
      </c>
      <c r="X218" s="3378" t="s">
        <v>32</v>
      </c>
      <c r="Y218" s="3382" t="s">
        <v>32</v>
      </c>
      <c r="Z218" s="3378"/>
      <c r="AA218" s="3378"/>
      <c r="AB218" s="3378"/>
      <c r="AC218" s="3378" t="s">
        <v>32</v>
      </c>
      <c r="AD218" s="3380" t="s">
        <v>32</v>
      </c>
      <c r="AE218" s="3380" t="s">
        <v>32</v>
      </c>
      <c r="AF218" s="3380" t="s">
        <v>32</v>
      </c>
      <c r="AG218" s="3255"/>
      <c r="AH218" s="181"/>
      <c r="AI218" s="182"/>
    </row>
    <row r="219" spans="1:35" ht="22.35" customHeight="1">
      <c r="A219" s="3600">
        <v>3701</v>
      </c>
      <c r="B219" s="3388" t="s">
        <v>285</v>
      </c>
      <c r="C219" s="3378" t="s">
        <v>32</v>
      </c>
      <c r="D219" s="3378" t="s">
        <v>32</v>
      </c>
      <c r="E219" s="3378" t="s">
        <v>32</v>
      </c>
      <c r="F219" s="3378"/>
      <c r="G219" s="3378"/>
      <c r="H219" s="3391" t="s">
        <v>32</v>
      </c>
      <c r="I219" s="3391" t="s">
        <v>32</v>
      </c>
      <c r="J219" s="3378" t="s">
        <v>32</v>
      </c>
      <c r="K219" s="3378" t="s">
        <v>32</v>
      </c>
      <c r="L219" s="3378" t="s">
        <v>32</v>
      </c>
      <c r="M219" s="3378"/>
      <c r="N219" s="3382"/>
      <c r="O219" s="3568" t="s">
        <v>32</v>
      </c>
      <c r="P219" s="3568" t="s">
        <v>32</v>
      </c>
      <c r="Q219" s="3568" t="s">
        <v>32</v>
      </c>
      <c r="R219" s="3568" t="s">
        <v>32</v>
      </c>
      <c r="S219" s="3568" t="s">
        <v>32</v>
      </c>
      <c r="T219" s="3378"/>
      <c r="U219" s="3382"/>
      <c r="V219" s="3568" t="s">
        <v>32</v>
      </c>
      <c r="W219" s="3568" t="s">
        <v>278</v>
      </c>
      <c r="X219" s="3378" t="s">
        <v>32</v>
      </c>
      <c r="Y219" s="3382" t="s">
        <v>32</v>
      </c>
      <c r="Z219" s="3378"/>
      <c r="AA219" s="3378"/>
      <c r="AB219" s="3378"/>
      <c r="AC219" s="3564" t="s">
        <v>32</v>
      </c>
      <c r="AD219" s="3564" t="s">
        <v>32</v>
      </c>
      <c r="AE219" s="3564" t="s">
        <v>32</v>
      </c>
      <c r="AF219" s="3564" t="s">
        <v>32</v>
      </c>
      <c r="AG219" s="3255"/>
      <c r="AH219" s="181"/>
      <c r="AI219" s="182"/>
    </row>
    <row r="220" spans="1:35" ht="22.35" customHeight="1">
      <c r="A220" s="3600">
        <v>3701</v>
      </c>
      <c r="B220" s="3388" t="s">
        <v>286</v>
      </c>
      <c r="C220" s="3378" t="s">
        <v>32</v>
      </c>
      <c r="D220" s="3378" t="s">
        <v>32</v>
      </c>
      <c r="E220" s="3378" t="s">
        <v>32</v>
      </c>
      <c r="F220" s="3378"/>
      <c r="G220" s="3378"/>
      <c r="H220" s="3378" t="s">
        <v>32</v>
      </c>
      <c r="I220" s="3378" t="s">
        <v>32</v>
      </c>
      <c r="J220" s="3378" t="s">
        <v>32</v>
      </c>
      <c r="K220" s="3378" t="s">
        <v>32</v>
      </c>
      <c r="L220" s="3378" t="s">
        <v>32</v>
      </c>
      <c r="M220" s="3378"/>
      <c r="N220" s="3382"/>
      <c r="O220" s="3382" t="s">
        <v>32</v>
      </c>
      <c r="P220" s="3382" t="s">
        <v>32</v>
      </c>
      <c r="Q220" s="3380" t="s">
        <v>32</v>
      </c>
      <c r="R220" s="3382" t="s">
        <v>32</v>
      </c>
      <c r="S220" s="3378" t="s">
        <v>32</v>
      </c>
      <c r="T220" s="3378"/>
      <c r="U220" s="3382"/>
      <c r="V220" s="3382" t="s">
        <v>32</v>
      </c>
      <c r="W220" s="3382" t="s">
        <v>32</v>
      </c>
      <c r="X220" s="3603" t="s">
        <v>32</v>
      </c>
      <c r="Y220" s="3391" t="s">
        <v>32</v>
      </c>
      <c r="Z220" s="3378"/>
      <c r="AA220" s="3378"/>
      <c r="AB220" s="3378"/>
      <c r="AC220" s="3391" t="s">
        <v>32</v>
      </c>
      <c r="AD220" s="3391" t="s">
        <v>32</v>
      </c>
      <c r="AE220" s="3391" t="s">
        <v>32</v>
      </c>
      <c r="AF220" s="3391" t="s">
        <v>32</v>
      </c>
      <c r="AG220" s="3255"/>
      <c r="AH220" s="181"/>
      <c r="AI220" s="182"/>
    </row>
    <row r="221" spans="1:35" ht="22.35" customHeight="1">
      <c r="A221" s="3600">
        <v>3701</v>
      </c>
      <c r="B221" s="3388" t="s">
        <v>287</v>
      </c>
      <c r="C221" s="3378" t="s">
        <v>32</v>
      </c>
      <c r="D221" s="3378" t="s">
        <v>32</v>
      </c>
      <c r="E221" s="3378" t="s">
        <v>32</v>
      </c>
      <c r="F221" s="3378"/>
      <c r="G221" s="3378"/>
      <c r="H221" s="3603" t="s">
        <v>32</v>
      </c>
      <c r="I221" s="3378" t="s">
        <v>32</v>
      </c>
      <c r="J221" s="3378" t="s">
        <v>32</v>
      </c>
      <c r="K221" s="3378" t="s">
        <v>32</v>
      </c>
      <c r="L221" s="3378" t="s">
        <v>32</v>
      </c>
      <c r="M221" s="3378"/>
      <c r="N221" s="3382"/>
      <c r="O221" s="3382" t="s">
        <v>32</v>
      </c>
      <c r="P221" s="3382" t="s">
        <v>32</v>
      </c>
      <c r="Q221" s="3380" t="s">
        <v>32</v>
      </c>
      <c r="R221" s="3382" t="s">
        <v>32</v>
      </c>
      <c r="S221" s="3564" t="s">
        <v>32</v>
      </c>
      <c r="T221" s="3378"/>
      <c r="U221" s="3382"/>
      <c r="V221" s="3391" t="s">
        <v>32</v>
      </c>
      <c r="W221" s="3391" t="s">
        <v>32</v>
      </c>
      <c r="X221" s="3391" t="s">
        <v>32</v>
      </c>
      <c r="Y221" s="3391" t="s">
        <v>32</v>
      </c>
      <c r="Z221" s="3378"/>
      <c r="AA221" s="3378"/>
      <c r="AB221" s="3378"/>
      <c r="AC221" s="3564" t="s">
        <v>32</v>
      </c>
      <c r="AD221" s="3564" t="s">
        <v>32</v>
      </c>
      <c r="AE221" s="3564" t="s">
        <v>32</v>
      </c>
      <c r="AF221" s="3564" t="s">
        <v>32</v>
      </c>
      <c r="AG221" s="3255"/>
      <c r="AH221" s="181"/>
      <c r="AI221" s="182"/>
    </row>
    <row r="222" spans="1:35" ht="22.35" customHeight="1">
      <c r="A222" s="3604">
        <v>3701</v>
      </c>
      <c r="B222" s="3388" t="s">
        <v>288</v>
      </c>
      <c r="C222" s="3378" t="s">
        <v>32</v>
      </c>
      <c r="D222" s="3378" t="s">
        <v>32</v>
      </c>
      <c r="E222" s="3378" t="s">
        <v>32</v>
      </c>
      <c r="F222" s="3378"/>
      <c r="G222" s="3378"/>
      <c r="H222" s="3378" t="s">
        <v>32</v>
      </c>
      <c r="I222" s="3378" t="s">
        <v>32</v>
      </c>
      <c r="J222" s="3378" t="s">
        <v>32</v>
      </c>
      <c r="K222" s="3378" t="s">
        <v>32</v>
      </c>
      <c r="L222" s="3378" t="s">
        <v>32</v>
      </c>
      <c r="M222" s="3378"/>
      <c r="N222" s="3382"/>
      <c r="O222" s="3382" t="s">
        <v>32</v>
      </c>
      <c r="P222" s="3382" t="s">
        <v>32</v>
      </c>
      <c r="Q222" s="3380" t="s">
        <v>32</v>
      </c>
      <c r="R222" s="3382" t="s">
        <v>32</v>
      </c>
      <c r="S222" s="3378" t="s">
        <v>32</v>
      </c>
      <c r="T222" s="3378"/>
      <c r="U222" s="3382"/>
      <c r="V222" s="3382" t="s">
        <v>32</v>
      </c>
      <c r="W222" s="3603" t="s">
        <v>32</v>
      </c>
      <c r="X222" s="3378" t="s">
        <v>32</v>
      </c>
      <c r="Y222" s="3382" t="s">
        <v>32</v>
      </c>
      <c r="Z222" s="3378"/>
      <c r="AA222" s="3378"/>
      <c r="AB222" s="3378"/>
      <c r="AC222" s="3603" t="s">
        <v>32</v>
      </c>
      <c r="AD222" s="3603" t="s">
        <v>32</v>
      </c>
      <c r="AE222" s="3603" t="s">
        <v>32</v>
      </c>
      <c r="AF222" s="3603" t="s">
        <v>32</v>
      </c>
      <c r="AG222" s="3255"/>
      <c r="AH222" s="181"/>
      <c r="AI222" s="182"/>
    </row>
    <row r="223" spans="1:35" ht="22.35" customHeight="1">
      <c r="A223" s="3600">
        <v>3701</v>
      </c>
      <c r="B223" s="3388" t="s">
        <v>289</v>
      </c>
      <c r="C223" s="3378" t="s">
        <v>32</v>
      </c>
      <c r="D223" s="3378" t="s">
        <v>32</v>
      </c>
      <c r="E223" s="3378" t="s">
        <v>32</v>
      </c>
      <c r="F223" s="3378"/>
      <c r="G223" s="3378"/>
      <c r="H223" s="3378" t="s">
        <v>32</v>
      </c>
      <c r="I223" s="3378" t="s">
        <v>32</v>
      </c>
      <c r="J223" s="3378" t="s">
        <v>32</v>
      </c>
      <c r="K223" s="3378" t="s">
        <v>32</v>
      </c>
      <c r="L223" s="3378" t="s">
        <v>32</v>
      </c>
      <c r="M223" s="3378"/>
      <c r="N223" s="3382"/>
      <c r="O223" s="3382" t="s">
        <v>32</v>
      </c>
      <c r="P223" s="3382" t="s">
        <v>32</v>
      </c>
      <c r="Q223" s="3380" t="s">
        <v>32</v>
      </c>
      <c r="R223" s="3382" t="s">
        <v>32</v>
      </c>
      <c r="S223" s="3378" t="s">
        <v>32</v>
      </c>
      <c r="T223" s="3378"/>
      <c r="U223" s="3382"/>
      <c r="V223" s="3382" t="s">
        <v>32</v>
      </c>
      <c r="W223" s="3605" t="s">
        <v>32</v>
      </c>
      <c r="X223" s="3605" t="s">
        <v>32</v>
      </c>
      <c r="Y223" s="3605" t="s">
        <v>32</v>
      </c>
      <c r="Z223" s="3605"/>
      <c r="AA223" s="3605"/>
      <c r="AB223" s="3605"/>
      <c r="AC223" s="3606" t="s">
        <v>32</v>
      </c>
      <c r="AD223" s="3606" t="s">
        <v>32</v>
      </c>
      <c r="AE223" s="3607" t="s">
        <v>32</v>
      </c>
      <c r="AF223" s="3607" t="s">
        <v>32</v>
      </c>
      <c r="AG223" s="3262"/>
      <c r="AH223" s="181"/>
      <c r="AI223" s="182"/>
    </row>
    <row r="224" spans="1:35" ht="22.35" customHeight="1">
      <c r="A224" s="3600">
        <v>3701</v>
      </c>
      <c r="B224" s="3388" t="s">
        <v>290</v>
      </c>
      <c r="C224" s="3378" t="s">
        <v>32</v>
      </c>
      <c r="D224" s="3378" t="s">
        <v>32</v>
      </c>
      <c r="E224" s="3378" t="s">
        <v>32</v>
      </c>
      <c r="F224" s="3378"/>
      <c r="G224" s="3378"/>
      <c r="H224" s="3378" t="s">
        <v>32</v>
      </c>
      <c r="I224" s="3378" t="s">
        <v>32</v>
      </c>
      <c r="J224" s="3378" t="s">
        <v>32</v>
      </c>
      <c r="K224" s="3378" t="s">
        <v>32</v>
      </c>
      <c r="L224" s="3378" t="s">
        <v>32</v>
      </c>
      <c r="M224" s="3378"/>
      <c r="N224" s="3382"/>
      <c r="O224" s="3382" t="s">
        <v>32</v>
      </c>
      <c r="P224" s="3382" t="s">
        <v>32</v>
      </c>
      <c r="Q224" s="3380" t="s">
        <v>32</v>
      </c>
      <c r="R224" s="3236" t="s">
        <v>32</v>
      </c>
      <c r="S224" s="3378" t="s">
        <v>32</v>
      </c>
      <c r="T224" s="3378"/>
      <c r="U224" s="3382"/>
      <c r="V224" s="3382" t="s">
        <v>32</v>
      </c>
      <c r="W224" s="3564" t="s">
        <v>32</v>
      </c>
      <c r="X224" s="3378" t="s">
        <v>32</v>
      </c>
      <c r="Y224" s="3564" t="s">
        <v>32</v>
      </c>
      <c r="Z224" s="3378"/>
      <c r="AA224" s="3378"/>
      <c r="AB224" s="3378"/>
      <c r="AC224" s="3378" t="s">
        <v>32</v>
      </c>
      <c r="AD224" s="3564" t="s">
        <v>32</v>
      </c>
      <c r="AE224" s="3382" t="s">
        <v>32</v>
      </c>
      <c r="AF224" s="3564" t="s">
        <v>32</v>
      </c>
      <c r="AG224" s="3263"/>
      <c r="AH224" s="181"/>
      <c r="AI224" s="182"/>
    </row>
    <row r="225" spans="1:35" ht="22.35" customHeight="1">
      <c r="A225" s="3600"/>
      <c r="B225" s="3388" t="s">
        <v>291</v>
      </c>
      <c r="C225" s="3378" t="s">
        <v>32</v>
      </c>
      <c r="D225" s="3378" t="s">
        <v>32</v>
      </c>
      <c r="E225" s="3378" t="s">
        <v>32</v>
      </c>
      <c r="F225" s="3378"/>
      <c r="G225" s="3378"/>
      <c r="H225" s="3378" t="s">
        <v>32</v>
      </c>
      <c r="I225" s="3378" t="s">
        <v>32</v>
      </c>
      <c r="J225" s="3378" t="s">
        <v>32</v>
      </c>
      <c r="K225" s="3378" t="s">
        <v>32</v>
      </c>
      <c r="L225" s="3378" t="s">
        <v>32</v>
      </c>
      <c r="M225" s="3378"/>
      <c r="N225" s="3382"/>
      <c r="O225" s="3382" t="s">
        <v>32</v>
      </c>
      <c r="P225" s="3382" t="s">
        <v>32</v>
      </c>
      <c r="Q225" s="3380" t="s">
        <v>32</v>
      </c>
      <c r="R225" s="3382" t="s">
        <v>32</v>
      </c>
      <c r="S225" s="3378" t="s">
        <v>32</v>
      </c>
      <c r="T225" s="3378"/>
      <c r="U225" s="3382"/>
      <c r="V225" s="3382" t="s">
        <v>32</v>
      </c>
      <c r="W225" s="3382" t="s">
        <v>32</v>
      </c>
      <c r="X225" s="3382" t="s">
        <v>32</v>
      </c>
      <c r="Y225" s="3382" t="s">
        <v>32</v>
      </c>
      <c r="Z225" s="3378"/>
      <c r="AA225" s="3378"/>
      <c r="AB225" s="3378"/>
      <c r="AC225" s="3391" t="s">
        <v>32</v>
      </c>
      <c r="AD225" s="3391" t="s">
        <v>32</v>
      </c>
      <c r="AE225" s="3391" t="s">
        <v>32</v>
      </c>
      <c r="AF225" s="3391" t="s">
        <v>32</v>
      </c>
      <c r="AG225" s="3255"/>
      <c r="AH225" s="181"/>
      <c r="AI225" s="182"/>
    </row>
    <row r="226" spans="1:35" ht="22.35" customHeight="1">
      <c r="A226" s="3600"/>
      <c r="B226" s="3376" t="s">
        <v>420</v>
      </c>
      <c r="C226" s="3378" t="s">
        <v>32</v>
      </c>
      <c r="D226" s="3378" t="s">
        <v>32</v>
      </c>
      <c r="E226" s="3378" t="s">
        <v>32</v>
      </c>
      <c r="F226" s="3378"/>
      <c r="G226" s="3378"/>
      <c r="H226" s="3378" t="s">
        <v>32</v>
      </c>
      <c r="I226" s="3378" t="s">
        <v>32</v>
      </c>
      <c r="J226" s="3378" t="s">
        <v>32</v>
      </c>
      <c r="K226" s="3378" t="s">
        <v>32</v>
      </c>
      <c r="L226" s="3378" t="s">
        <v>32</v>
      </c>
      <c r="M226" s="3378"/>
      <c r="N226" s="3382"/>
      <c r="O226" s="3382" t="s">
        <v>32</v>
      </c>
      <c r="P226" s="3382" t="s">
        <v>32</v>
      </c>
      <c r="Q226" s="3380" t="s">
        <v>32</v>
      </c>
      <c r="R226" s="3382" t="s">
        <v>32</v>
      </c>
      <c r="S226" s="3378" t="s">
        <v>32</v>
      </c>
      <c r="T226" s="3378"/>
      <c r="U226" s="3382"/>
      <c r="V226" s="3382" t="s">
        <v>32</v>
      </c>
      <c r="W226" s="3382" t="s">
        <v>32</v>
      </c>
      <c r="X226" s="3378" t="s">
        <v>32</v>
      </c>
      <c r="Y226" s="3391" t="s">
        <v>32</v>
      </c>
      <c r="Z226" s="3378"/>
      <c r="AA226" s="3378"/>
      <c r="AB226" s="3378"/>
      <c r="AC226" s="3378" t="s">
        <v>32</v>
      </c>
      <c r="AD226" s="3378" t="s">
        <v>32</v>
      </c>
      <c r="AE226" s="3387" t="s">
        <v>32</v>
      </c>
      <c r="AF226" s="3378" t="s">
        <v>32</v>
      </c>
      <c r="AG226" s="3255"/>
      <c r="AH226" s="181"/>
      <c r="AI226" s="182"/>
    </row>
    <row r="227" spans="1:35" ht="22.35" customHeight="1">
      <c r="A227" s="3600"/>
      <c r="B227" s="3602" t="s">
        <v>293</v>
      </c>
      <c r="C227" s="3378" t="s">
        <v>32</v>
      </c>
      <c r="D227" s="3378" t="s">
        <v>32</v>
      </c>
      <c r="E227" s="3378" t="s">
        <v>32</v>
      </c>
      <c r="F227" s="3378"/>
      <c r="G227" s="3378"/>
      <c r="H227" s="3378" t="s">
        <v>32</v>
      </c>
      <c r="I227" s="3378" t="s">
        <v>32</v>
      </c>
      <c r="J227" s="3378" t="s">
        <v>32</v>
      </c>
      <c r="K227" s="3378" t="s">
        <v>32</v>
      </c>
      <c r="L227" s="3378" t="s">
        <v>32</v>
      </c>
      <c r="M227" s="3378"/>
      <c r="N227" s="3382"/>
      <c r="O227" s="3382" t="s">
        <v>32</v>
      </c>
      <c r="P227" s="3382" t="s">
        <v>32</v>
      </c>
      <c r="Q227" s="3380" t="s">
        <v>32</v>
      </c>
      <c r="R227" s="3382" t="s">
        <v>32</v>
      </c>
      <c r="S227" s="3378" t="s">
        <v>32</v>
      </c>
      <c r="T227" s="3378"/>
      <c r="U227" s="3382"/>
      <c r="V227" s="3382" t="s">
        <v>32</v>
      </c>
      <c r="W227" s="3382" t="s">
        <v>32</v>
      </c>
      <c r="X227" s="3378" t="s">
        <v>32</v>
      </c>
      <c r="Y227" s="3382" t="s">
        <v>32</v>
      </c>
      <c r="Z227" s="3378"/>
      <c r="AA227" s="3378"/>
      <c r="AB227" s="3378"/>
      <c r="AC227" s="3378" t="s">
        <v>32</v>
      </c>
      <c r="AD227" s="3378" t="s">
        <v>32</v>
      </c>
      <c r="AE227" s="3378" t="s">
        <v>32</v>
      </c>
      <c r="AF227" s="3378" t="s">
        <v>32</v>
      </c>
      <c r="AG227" s="3255"/>
      <c r="AH227" s="181"/>
      <c r="AI227" s="182"/>
    </row>
    <row r="228" spans="1:35" ht="22.35" customHeight="1">
      <c r="A228" s="3600"/>
      <c r="B228" s="3388" t="s">
        <v>294</v>
      </c>
      <c r="C228" s="3378" t="s">
        <v>32</v>
      </c>
      <c r="D228" s="3378" t="s">
        <v>32</v>
      </c>
      <c r="E228" s="3378" t="s">
        <v>32</v>
      </c>
      <c r="F228" s="3378"/>
      <c r="G228" s="3378"/>
      <c r="H228" s="3378" t="s">
        <v>32</v>
      </c>
      <c r="I228" s="3378" t="s">
        <v>32</v>
      </c>
      <c r="J228" s="3378" t="s">
        <v>32</v>
      </c>
      <c r="K228" s="3378" t="s">
        <v>32</v>
      </c>
      <c r="L228" s="3378" t="s">
        <v>32</v>
      </c>
      <c r="M228" s="3378"/>
      <c r="N228" s="3382"/>
      <c r="O228" s="3382" t="s">
        <v>32</v>
      </c>
      <c r="P228" s="3382" t="s">
        <v>32</v>
      </c>
      <c r="Q228" s="3380" t="s">
        <v>32</v>
      </c>
      <c r="R228" s="3382" t="s">
        <v>32</v>
      </c>
      <c r="S228" s="3378" t="s">
        <v>32</v>
      </c>
      <c r="T228" s="3378"/>
      <c r="U228" s="3382"/>
      <c r="V228" s="3382" t="s">
        <v>32</v>
      </c>
      <c r="W228" s="3382" t="s">
        <v>32</v>
      </c>
      <c r="X228" s="3378" t="s">
        <v>32</v>
      </c>
      <c r="Y228" s="3382" t="s">
        <v>32</v>
      </c>
      <c r="Z228" s="3378"/>
      <c r="AA228" s="3378"/>
      <c r="AB228" s="3378"/>
      <c r="AC228" s="3378" t="s">
        <v>32</v>
      </c>
      <c r="AD228" s="3378" t="s">
        <v>32</v>
      </c>
      <c r="AE228" s="3378" t="s">
        <v>32</v>
      </c>
      <c r="AF228" s="3378" t="s">
        <v>32</v>
      </c>
      <c r="AG228" s="3255"/>
      <c r="AH228" s="181"/>
      <c r="AI228" s="182"/>
    </row>
    <row r="229" spans="1:35" ht="22.35" customHeight="1">
      <c r="A229" s="3600"/>
      <c r="B229" s="3388" t="s">
        <v>295</v>
      </c>
      <c r="C229" s="3378" t="s">
        <v>32</v>
      </c>
      <c r="D229" s="3378" t="s">
        <v>32</v>
      </c>
      <c r="E229" s="3378" t="s">
        <v>32</v>
      </c>
      <c r="F229" s="3378"/>
      <c r="G229" s="3378"/>
      <c r="H229" s="3378" t="s">
        <v>32</v>
      </c>
      <c r="I229" s="3378" t="s">
        <v>32</v>
      </c>
      <c r="J229" s="3378" t="s">
        <v>32</v>
      </c>
      <c r="K229" s="3378" t="s">
        <v>32</v>
      </c>
      <c r="L229" s="3378" t="s">
        <v>32</v>
      </c>
      <c r="M229" s="3378"/>
      <c r="N229" s="3382"/>
      <c r="O229" s="3382" t="s">
        <v>32</v>
      </c>
      <c r="P229" s="3382" t="s">
        <v>32</v>
      </c>
      <c r="Q229" s="3380" t="s">
        <v>32</v>
      </c>
      <c r="R229" s="3568" t="s">
        <v>32</v>
      </c>
      <c r="S229" s="3568" t="s">
        <v>278</v>
      </c>
      <c r="T229" s="3125"/>
      <c r="U229" s="3125"/>
      <c r="V229" s="3125" t="s">
        <v>32</v>
      </c>
      <c r="W229" s="3382" t="s">
        <v>32</v>
      </c>
      <c r="X229" s="3378" t="s">
        <v>32</v>
      </c>
      <c r="Y229" s="3382" t="s">
        <v>32</v>
      </c>
      <c r="Z229" s="3378"/>
      <c r="AA229" s="3378"/>
      <c r="AB229" s="3378"/>
      <c r="AC229" s="3391" t="s">
        <v>32</v>
      </c>
      <c r="AD229" s="3391" t="s">
        <v>32</v>
      </c>
      <c r="AE229" s="3391" t="s">
        <v>32</v>
      </c>
      <c r="AF229" s="3391" t="s">
        <v>32</v>
      </c>
      <c r="AG229" s="3262"/>
      <c r="AH229" s="181"/>
      <c r="AI229" s="182"/>
    </row>
    <row r="230" spans="1:35" ht="22.35" customHeight="1">
      <c r="A230" s="3600"/>
      <c r="B230" s="3388" t="s">
        <v>296</v>
      </c>
      <c r="C230" s="3378" t="s">
        <v>32</v>
      </c>
      <c r="D230" s="3378" t="s">
        <v>32</v>
      </c>
      <c r="E230" s="3378" t="s">
        <v>32</v>
      </c>
      <c r="F230" s="3378"/>
      <c r="G230" s="3378"/>
      <c r="H230" s="3378" t="s">
        <v>32</v>
      </c>
      <c r="I230" s="3378" t="s">
        <v>32</v>
      </c>
      <c r="J230" s="3378" t="s">
        <v>32</v>
      </c>
      <c r="K230" s="3378" t="s">
        <v>32</v>
      </c>
      <c r="L230" s="3378" t="s">
        <v>32</v>
      </c>
      <c r="M230" s="3378"/>
      <c r="N230" s="3382"/>
      <c r="O230" s="3382" t="s">
        <v>32</v>
      </c>
      <c r="P230" s="3382" t="s">
        <v>32</v>
      </c>
      <c r="Q230" s="3380" t="s">
        <v>32</v>
      </c>
      <c r="R230" s="3382" t="s">
        <v>32</v>
      </c>
      <c r="S230" s="3378" t="s">
        <v>32</v>
      </c>
      <c r="T230" s="3378"/>
      <c r="U230" s="3382"/>
      <c r="V230" s="3391" t="s">
        <v>32</v>
      </c>
      <c r="W230" s="3391" t="s">
        <v>32</v>
      </c>
      <c r="X230" s="3391" t="s">
        <v>32</v>
      </c>
      <c r="Y230" s="3391" t="s">
        <v>32</v>
      </c>
      <c r="Z230" s="3378"/>
      <c r="AA230" s="3378"/>
      <c r="AB230" s="3378"/>
      <c r="AC230" s="3391" t="s">
        <v>32</v>
      </c>
      <c r="AD230" s="3391" t="s">
        <v>32</v>
      </c>
      <c r="AE230" s="3391" t="s">
        <v>32</v>
      </c>
      <c r="AF230" s="3391" t="s">
        <v>32</v>
      </c>
      <c r="AG230" s="3608"/>
      <c r="AH230" s="178"/>
      <c r="AI230" s="107"/>
    </row>
    <row r="231" spans="1:35" ht="22.35" customHeight="1">
      <c r="A231" s="3600"/>
      <c r="B231" s="3388" t="s">
        <v>297</v>
      </c>
      <c r="C231" s="3568" t="s">
        <v>278</v>
      </c>
      <c r="D231" s="3378" t="s">
        <v>32</v>
      </c>
      <c r="E231" s="3378" t="s">
        <v>32</v>
      </c>
      <c r="F231" s="3378"/>
      <c r="G231" s="3378"/>
      <c r="H231" s="3378" t="s">
        <v>32</v>
      </c>
      <c r="I231" s="3378" t="s">
        <v>32</v>
      </c>
      <c r="J231" s="3378" t="s">
        <v>32</v>
      </c>
      <c r="K231" s="3378" t="s">
        <v>32</v>
      </c>
      <c r="L231" s="3378" t="s">
        <v>32</v>
      </c>
      <c r="M231" s="3378"/>
      <c r="N231" s="3382"/>
      <c r="O231" s="3382" t="s">
        <v>32</v>
      </c>
      <c r="P231" s="3382" t="s">
        <v>32</v>
      </c>
      <c r="Q231" s="3380" t="s">
        <v>32</v>
      </c>
      <c r="R231" s="3382" t="s">
        <v>32</v>
      </c>
      <c r="S231" s="3378" t="s">
        <v>32</v>
      </c>
      <c r="T231" s="3378"/>
      <c r="U231" s="3382"/>
      <c r="V231" s="3382" t="s">
        <v>32</v>
      </c>
      <c r="W231" s="3382" t="s">
        <v>32</v>
      </c>
      <c r="X231" s="3382" t="s">
        <v>32</v>
      </c>
      <c r="Y231" s="3382" t="s">
        <v>32</v>
      </c>
      <c r="Z231" s="3378"/>
      <c r="AA231" s="3378"/>
      <c r="AB231" s="3378"/>
      <c r="AC231" s="3564" t="s">
        <v>32</v>
      </c>
      <c r="AD231" s="3391" t="s">
        <v>32</v>
      </c>
      <c r="AE231" s="3391" t="s">
        <v>32</v>
      </c>
      <c r="AF231" s="3391" t="s">
        <v>32</v>
      </c>
      <c r="AG231" s="3608"/>
      <c r="AH231" s="178"/>
      <c r="AI231" s="107"/>
    </row>
    <row r="232" spans="1:35" ht="22.35" customHeight="1">
      <c r="A232" s="3125"/>
      <c r="B232" s="3265"/>
      <c r="C232" s="3378"/>
      <c r="D232" s="3378"/>
      <c r="E232" s="3378"/>
      <c r="F232" s="3378"/>
      <c r="G232" s="3378"/>
      <c r="H232" s="3378"/>
      <c r="I232" s="3378"/>
      <c r="J232" s="3378"/>
      <c r="K232" s="3378"/>
      <c r="L232" s="3378"/>
      <c r="M232" s="3378"/>
      <c r="N232" s="3378"/>
      <c r="O232" s="3378"/>
      <c r="P232" s="3378"/>
      <c r="Q232" s="3378"/>
      <c r="R232" s="3378"/>
      <c r="S232" s="3378"/>
      <c r="T232" s="3378"/>
      <c r="U232" s="3378"/>
      <c r="V232" s="3378"/>
      <c r="W232" s="3378"/>
      <c r="X232" s="3378"/>
      <c r="Y232" s="3378"/>
      <c r="Z232" s="3378"/>
      <c r="AA232" s="3378"/>
      <c r="AB232" s="3378"/>
      <c r="AC232" s="3378"/>
      <c r="AD232" s="3378"/>
      <c r="AE232" s="3378"/>
      <c r="AF232" s="3378"/>
      <c r="AG232" s="3255"/>
      <c r="AH232" s="178"/>
      <c r="AI232" s="107"/>
    </row>
    <row r="233" spans="1:35" ht="22.35" customHeight="1">
      <c r="A233" s="3125"/>
      <c r="B233" s="3388"/>
      <c r="C233" s="3378"/>
      <c r="D233" s="3378"/>
      <c r="E233" s="3378"/>
      <c r="F233" s="3378"/>
      <c r="G233" s="3378"/>
      <c r="H233" s="3378"/>
      <c r="I233" s="3378"/>
      <c r="J233" s="3378"/>
      <c r="K233" s="3378"/>
      <c r="L233" s="3378"/>
      <c r="M233" s="3378"/>
      <c r="N233" s="3382"/>
      <c r="O233" s="3382"/>
      <c r="P233" s="3382"/>
      <c r="Q233" s="3380"/>
      <c r="R233" s="3382"/>
      <c r="S233" s="3378"/>
      <c r="T233" s="3378"/>
      <c r="U233" s="3382"/>
      <c r="V233" s="3382"/>
      <c r="W233" s="3382"/>
      <c r="X233" s="3378"/>
      <c r="Y233" s="3382"/>
      <c r="Z233" s="3378"/>
      <c r="AA233" s="3378"/>
      <c r="AB233" s="3378"/>
      <c r="AC233" s="3378"/>
      <c r="AD233" s="3378"/>
      <c r="AE233" s="3378"/>
      <c r="AF233" s="3382"/>
      <c r="AG233" s="3262"/>
      <c r="AH233" s="178"/>
      <c r="AI233" s="107"/>
    </row>
    <row r="234" spans="1:35" ht="22.35" customHeight="1">
      <c r="A234" s="3125"/>
      <c r="B234" s="3125"/>
      <c r="C234" s="3378"/>
      <c r="D234" s="3378"/>
      <c r="E234" s="3378"/>
      <c r="F234" s="3378"/>
      <c r="G234" s="3378"/>
      <c r="H234" s="3378"/>
      <c r="I234" s="3378"/>
      <c r="J234" s="3378"/>
      <c r="K234" s="3378"/>
      <c r="L234" s="3378"/>
      <c r="M234" s="3378"/>
      <c r="N234" s="3378"/>
      <c r="O234" s="3378"/>
      <c r="P234" s="3378"/>
      <c r="Q234" s="3378"/>
      <c r="R234" s="3378"/>
      <c r="S234" s="3378"/>
      <c r="T234" s="3378"/>
      <c r="U234" s="3378"/>
      <c r="V234" s="3378"/>
      <c r="W234" s="3378"/>
      <c r="X234" s="3378"/>
      <c r="Y234" s="3378"/>
      <c r="Z234" s="3378"/>
      <c r="AA234" s="3378"/>
      <c r="AB234" s="3378"/>
      <c r="AC234" s="3378"/>
      <c r="AD234" s="3378"/>
      <c r="AE234" s="3378"/>
      <c r="AF234" s="3378"/>
      <c r="AG234" s="3255"/>
      <c r="AH234" s="178"/>
      <c r="AI234" s="107"/>
    </row>
    <row r="235" spans="1:35" ht="22.35" customHeight="1">
      <c r="A235" s="3125"/>
      <c r="B235" s="3125"/>
      <c r="C235" s="3378"/>
      <c r="D235" s="3378"/>
      <c r="E235" s="3378"/>
      <c r="F235" s="3378"/>
      <c r="G235" s="3378"/>
      <c r="H235" s="3609"/>
      <c r="I235" s="3378"/>
      <c r="J235" s="3378"/>
      <c r="K235" s="3378"/>
      <c r="L235" s="3378"/>
      <c r="M235" s="3378"/>
      <c r="N235" s="3378"/>
      <c r="O235" s="3378"/>
      <c r="P235" s="3378"/>
      <c r="Q235" s="3378"/>
      <c r="R235" s="3378"/>
      <c r="S235" s="3378"/>
      <c r="T235" s="3378"/>
      <c r="U235" s="3378"/>
      <c r="V235" s="3378"/>
      <c r="W235" s="3378"/>
      <c r="X235" s="3378"/>
      <c r="Y235" s="3378"/>
      <c r="Z235" s="3378"/>
      <c r="AA235" s="3378"/>
      <c r="AB235" s="3378"/>
      <c r="AC235" s="3378"/>
      <c r="AD235" s="3378"/>
      <c r="AE235" s="3378"/>
      <c r="AF235" s="3378"/>
      <c r="AG235" s="3266"/>
      <c r="AH235" s="178"/>
      <c r="AI235" s="107"/>
    </row>
    <row r="236" spans="1:35" ht="22.35" customHeight="1">
      <c r="A236" s="3600"/>
      <c r="B236" s="3267"/>
      <c r="C236" s="3378"/>
      <c r="D236" s="3378"/>
      <c r="E236" s="3378"/>
      <c r="F236" s="3378"/>
      <c r="G236" s="3378"/>
      <c r="H236" s="3378"/>
      <c r="I236" s="3378"/>
      <c r="J236" s="3378"/>
      <c r="K236" s="3378"/>
      <c r="L236" s="3378"/>
      <c r="M236" s="3378"/>
      <c r="N236" s="3378"/>
      <c r="O236" s="3378"/>
      <c r="P236" s="3378"/>
      <c r="Q236" s="3378"/>
      <c r="R236" s="3378"/>
      <c r="S236" s="3378"/>
      <c r="T236" s="3378"/>
      <c r="U236" s="3378"/>
      <c r="V236" s="3378"/>
      <c r="W236" s="3378"/>
      <c r="X236" s="3378"/>
      <c r="Y236" s="3378"/>
      <c r="Z236" s="3378"/>
      <c r="AA236" s="3378"/>
      <c r="AB236" s="3378"/>
      <c r="AC236" s="3378"/>
      <c r="AD236" s="3378"/>
      <c r="AE236" s="3378"/>
      <c r="AF236" s="3378"/>
      <c r="AG236" s="3266"/>
      <c r="AH236" s="178"/>
      <c r="AI236" s="107"/>
    </row>
    <row r="237" spans="1:35" ht="22.35" customHeight="1">
      <c r="A237" s="3600"/>
      <c r="B237" s="3268"/>
      <c r="C237" s="3378"/>
      <c r="D237" s="3378"/>
      <c r="E237" s="3378"/>
      <c r="F237" s="3378"/>
      <c r="G237" s="3378"/>
      <c r="H237" s="3378"/>
      <c r="I237" s="3378"/>
      <c r="J237" s="3378"/>
      <c r="K237" s="3378"/>
      <c r="L237" s="3378"/>
      <c r="M237" s="3378"/>
      <c r="N237" s="3378"/>
      <c r="O237" s="3378"/>
      <c r="P237" s="3378"/>
      <c r="Q237" s="3378"/>
      <c r="R237" s="3378"/>
      <c r="S237" s="3378"/>
      <c r="T237" s="3378"/>
      <c r="U237" s="3378"/>
      <c r="V237" s="3378"/>
      <c r="W237" s="3378"/>
      <c r="X237" s="3378"/>
      <c r="Y237" s="3378"/>
      <c r="Z237" s="3378"/>
      <c r="AA237" s="3378"/>
      <c r="AB237" s="3378"/>
      <c r="AC237" s="3378"/>
      <c r="AD237" s="3378"/>
      <c r="AE237" s="3378"/>
      <c r="AF237" s="3378"/>
      <c r="AG237" s="3266"/>
      <c r="AH237" s="178"/>
      <c r="AI237" s="107"/>
    </row>
    <row r="238" spans="1:35" ht="22.35" customHeight="1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>
      <c r="A242" s="161" t="s">
        <v>298</v>
      </c>
    </row>
    <row r="243" spans="1:35" ht="21" customHeight="1">
      <c r="B243" s="396" t="s">
        <v>266</v>
      </c>
      <c r="C243" s="368"/>
      <c r="D243" s="384" t="s">
        <v>94</v>
      </c>
      <c r="E243" s="357"/>
      <c r="F243" s="372"/>
      <c r="G243" s="368"/>
      <c r="H243" s="384" t="s">
        <v>95</v>
      </c>
      <c r="I243" s="357"/>
      <c r="J243" s="372"/>
      <c r="K243" s="368"/>
      <c r="L243" s="384" t="s">
        <v>96</v>
      </c>
      <c r="M243" s="357"/>
      <c r="N243" s="372"/>
      <c r="O243" s="368"/>
      <c r="P243" s="384" t="s">
        <v>97</v>
      </c>
      <c r="Q243" s="357"/>
      <c r="R243" s="372"/>
      <c r="S243" s="368"/>
      <c r="T243" s="384" t="s">
        <v>98</v>
      </c>
      <c r="U243" s="357"/>
      <c r="V243" s="372"/>
      <c r="W243" s="368"/>
      <c r="X243" s="384" t="s">
        <v>99</v>
      </c>
      <c r="Y243" s="357"/>
      <c r="Z243" s="372"/>
      <c r="AA243" s="368"/>
      <c r="AB243" s="384" t="s">
        <v>100</v>
      </c>
      <c r="AC243" s="357"/>
      <c r="AD243" s="357"/>
      <c r="AE243" s="387" t="s">
        <v>101</v>
      </c>
      <c r="AF243" s="357"/>
      <c r="AG243" s="357"/>
      <c r="AH243" s="357"/>
      <c r="AI243" s="358"/>
    </row>
    <row r="244" spans="1:35" ht="21" customHeight="1">
      <c r="B244" s="3"/>
      <c r="C244" s="537" t="s">
        <v>299</v>
      </c>
      <c r="D244" s="117"/>
      <c r="E244" s="533"/>
      <c r="F244" s="534"/>
      <c r="G244" s="537" t="s">
        <v>299</v>
      </c>
      <c r="H244" s="117"/>
      <c r="I244" s="533"/>
      <c r="J244" s="534"/>
      <c r="K244" s="537" t="s">
        <v>299</v>
      </c>
      <c r="L244" s="117"/>
      <c r="M244" s="533"/>
      <c r="N244" s="534"/>
      <c r="O244" s="537" t="s">
        <v>299</v>
      </c>
      <c r="P244" s="532"/>
      <c r="Q244" s="533"/>
      <c r="R244" s="534"/>
      <c r="S244" s="538" t="s">
        <v>300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A245" s="110"/>
      <c r="B245" s="3269"/>
      <c r="C245" s="3571" t="s">
        <v>178</v>
      </c>
      <c r="D245" s="3270"/>
      <c r="E245" s="533"/>
      <c r="F245" s="534"/>
      <c r="G245" s="3571" t="s">
        <v>178</v>
      </c>
      <c r="H245" s="117"/>
      <c r="I245" s="533"/>
      <c r="J245" s="534"/>
      <c r="K245" s="3571" t="s">
        <v>178</v>
      </c>
      <c r="L245" s="117"/>
      <c r="M245" s="533"/>
      <c r="N245" s="534"/>
      <c r="O245" s="3571" t="s">
        <v>178</v>
      </c>
      <c r="P245" s="117"/>
      <c r="Q245" s="533"/>
      <c r="R245" s="534"/>
      <c r="S245" s="537" t="s">
        <v>301</v>
      </c>
      <c r="T245" s="117"/>
      <c r="U245" s="533"/>
      <c r="V245" s="534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3269"/>
      <c r="C246" s="3571" t="s">
        <v>181</v>
      </c>
      <c r="D246" s="3270"/>
      <c r="E246" s="533"/>
      <c r="F246" s="534"/>
      <c r="G246" s="3571" t="s">
        <v>181</v>
      </c>
      <c r="H246" s="117"/>
      <c r="I246" s="533"/>
      <c r="J246" s="534"/>
      <c r="K246" s="3571" t="s">
        <v>181</v>
      </c>
      <c r="L246" s="117"/>
      <c r="M246" s="533"/>
      <c r="N246" s="534"/>
      <c r="O246" s="3571" t="s">
        <v>181</v>
      </c>
      <c r="P246" s="117"/>
      <c r="Q246" s="533"/>
      <c r="R246" s="534"/>
      <c r="S246" s="3571" t="s">
        <v>176</v>
      </c>
      <c r="T246" s="117"/>
      <c r="U246" s="533"/>
      <c r="V246" s="534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3269"/>
      <c r="C247" s="3453"/>
      <c r="D247" s="3454"/>
      <c r="E247" s="165"/>
      <c r="F247" s="167"/>
      <c r="G247" s="3453"/>
      <c r="H247" s="3454"/>
      <c r="I247" s="165"/>
      <c r="J247" s="167"/>
      <c r="K247" s="3453"/>
      <c r="L247" s="3454"/>
      <c r="M247" s="165"/>
      <c r="N247" s="167"/>
      <c r="O247" s="3453"/>
      <c r="P247" s="3454"/>
      <c r="Q247" s="165"/>
      <c r="R247" s="167"/>
      <c r="S247" s="3453"/>
      <c r="T247" s="3454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3269"/>
      <c r="C248" s="3525"/>
      <c r="D248" s="3454"/>
      <c r="E248" s="165"/>
      <c r="F248" s="167"/>
      <c r="G248" s="117"/>
      <c r="H248" s="117"/>
      <c r="I248" s="165"/>
      <c r="J248" s="167"/>
      <c r="K248" s="117"/>
      <c r="L248" s="117"/>
      <c r="M248" s="165"/>
      <c r="N248" s="167"/>
      <c r="O248" s="117"/>
      <c r="P248" s="117"/>
      <c r="Q248" s="165"/>
      <c r="R248" s="167"/>
      <c r="S248" s="117"/>
      <c r="T248" s="117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B249" s="3269" t="s">
        <v>148</v>
      </c>
      <c r="C249" s="3525" t="s">
        <v>302</v>
      </c>
      <c r="D249" s="3270"/>
      <c r="E249" s="533"/>
      <c r="F249" s="534"/>
      <c r="G249" s="3525" t="s">
        <v>302</v>
      </c>
      <c r="H249" s="3270"/>
      <c r="I249" s="533"/>
      <c r="J249" s="534"/>
      <c r="K249" s="3525" t="s">
        <v>302</v>
      </c>
      <c r="L249" s="3270"/>
      <c r="M249" s="533"/>
      <c r="N249" s="534"/>
      <c r="O249" s="3525" t="s">
        <v>302</v>
      </c>
      <c r="P249" s="3270"/>
      <c r="Q249" s="533"/>
      <c r="R249" s="534"/>
      <c r="S249" s="117" t="s">
        <v>303</v>
      </c>
      <c r="T249" s="117"/>
      <c r="U249" s="533"/>
      <c r="V249" s="534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>
      <c r="B250" s="3269" t="s">
        <v>152</v>
      </c>
      <c r="C250" s="3525" t="s">
        <v>304</v>
      </c>
      <c r="D250" s="3270"/>
      <c r="E250" s="533"/>
      <c r="F250" s="534"/>
      <c r="G250" s="3525" t="s">
        <v>304</v>
      </c>
      <c r="H250" s="3270"/>
      <c r="I250" s="533"/>
      <c r="J250" s="534"/>
      <c r="K250" s="3525" t="s">
        <v>304</v>
      </c>
      <c r="L250" s="3270"/>
      <c r="M250" s="533"/>
      <c r="N250" s="534"/>
      <c r="O250" s="3525" t="s">
        <v>304</v>
      </c>
      <c r="P250" s="3270"/>
      <c r="Q250" s="533"/>
      <c r="R250" s="534"/>
      <c r="S250" s="117" t="s">
        <v>305</v>
      </c>
      <c r="T250" s="117"/>
      <c r="U250" s="533"/>
      <c r="V250" s="534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thickBot="1">
      <c r="B251" s="3271" t="s">
        <v>159</v>
      </c>
      <c r="C251" s="3538" t="s">
        <v>306</v>
      </c>
      <c r="D251" s="3272"/>
      <c r="E251" s="535"/>
      <c r="F251" s="536"/>
      <c r="G251" s="3538" t="s">
        <v>306</v>
      </c>
      <c r="H251" s="3272"/>
      <c r="I251" s="535"/>
      <c r="J251" s="536"/>
      <c r="K251" s="3538" t="s">
        <v>306</v>
      </c>
      <c r="L251" s="3272"/>
      <c r="M251" s="535"/>
      <c r="N251" s="536"/>
      <c r="O251" s="3538" t="s">
        <v>306</v>
      </c>
      <c r="P251" s="3272"/>
      <c r="Q251" s="535"/>
      <c r="R251" s="536"/>
      <c r="S251" s="456" t="s">
        <v>307</v>
      </c>
      <c r="T251" s="456"/>
      <c r="U251" s="535"/>
      <c r="V251" s="536"/>
      <c r="W251" s="517"/>
      <c r="X251" s="456"/>
      <c r="Y251" s="518"/>
      <c r="Z251" s="519"/>
      <c r="AA251" s="520"/>
      <c r="AB251" s="456"/>
      <c r="AC251" s="518"/>
      <c r="AD251" s="518"/>
      <c r="AE251" s="521"/>
      <c r="AF251" s="518"/>
      <c r="AG251" s="516"/>
      <c r="AH251" s="516"/>
      <c r="AI251" s="453"/>
    </row>
    <row r="252" spans="1:35" ht="21" customHeight="1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>
      <c r="A253" s="123" t="s">
        <v>308</v>
      </c>
    </row>
    <row r="254" spans="1:35" ht="21" customHeight="1" thickBot="1">
      <c r="A254" s="3500"/>
      <c r="B254" s="3341" t="s">
        <v>29</v>
      </c>
      <c r="C254" s="3342">
        <v>1</v>
      </c>
      <c r="D254" s="3342">
        <v>2</v>
      </c>
      <c r="E254" s="3342">
        <v>3</v>
      </c>
      <c r="F254" s="3343">
        <v>4</v>
      </c>
      <c r="G254" s="3343">
        <v>5</v>
      </c>
      <c r="H254" s="3342">
        <v>6</v>
      </c>
      <c r="I254" s="3342">
        <v>7</v>
      </c>
      <c r="J254" s="3342">
        <v>8</v>
      </c>
      <c r="K254" s="3342">
        <v>9</v>
      </c>
      <c r="L254" s="3342">
        <v>10</v>
      </c>
      <c r="M254" s="3343">
        <v>11</v>
      </c>
      <c r="N254" s="3343">
        <v>12</v>
      </c>
      <c r="O254" s="3342">
        <v>13</v>
      </c>
      <c r="P254" s="3342">
        <v>14</v>
      </c>
      <c r="Q254" s="3342">
        <v>15</v>
      </c>
      <c r="R254" s="3342">
        <v>16</v>
      </c>
      <c r="S254" s="3342">
        <v>17</v>
      </c>
      <c r="T254" s="3343">
        <v>18</v>
      </c>
      <c r="U254" s="3343">
        <v>19</v>
      </c>
      <c r="V254" s="3342">
        <v>20</v>
      </c>
      <c r="W254" s="3342">
        <v>21</v>
      </c>
      <c r="X254" s="3342">
        <v>22</v>
      </c>
      <c r="Y254" s="3342">
        <v>23</v>
      </c>
      <c r="Z254" s="3344">
        <v>24</v>
      </c>
      <c r="AA254" s="3343">
        <v>25</v>
      </c>
      <c r="AB254" s="3343">
        <v>26</v>
      </c>
      <c r="AC254" s="3342">
        <v>27</v>
      </c>
      <c r="AD254" s="3342">
        <v>28</v>
      </c>
      <c r="AE254" s="3342">
        <v>29</v>
      </c>
      <c r="AF254" s="3342">
        <v>30</v>
      </c>
      <c r="AG254" s="3345">
        <v>31</v>
      </c>
      <c r="AH254" s="176"/>
      <c r="AI254" s="177"/>
    </row>
    <row r="255" spans="1:35" ht="21" customHeight="1">
      <c r="A255" s="3273">
        <v>3702</v>
      </c>
      <c r="B255" s="175" t="s">
        <v>309</v>
      </c>
      <c r="C255" s="3378" t="s">
        <v>32</v>
      </c>
      <c r="D255" s="3378" t="s">
        <v>32</v>
      </c>
      <c r="E255" s="3378" t="s">
        <v>32</v>
      </c>
      <c r="F255" s="3378"/>
      <c r="G255" s="3378"/>
      <c r="H255" s="3378" t="s">
        <v>32</v>
      </c>
      <c r="I255" s="3378" t="s">
        <v>32</v>
      </c>
      <c r="J255" s="3378" t="s">
        <v>32</v>
      </c>
      <c r="K255" s="3378" t="s">
        <v>32</v>
      </c>
      <c r="L255" s="3378" t="s">
        <v>32</v>
      </c>
      <c r="M255" s="3378"/>
      <c r="N255" s="3382"/>
      <c r="O255" s="3382" t="s">
        <v>32</v>
      </c>
      <c r="P255" s="3382" t="s">
        <v>32</v>
      </c>
      <c r="Q255" s="3380" t="s">
        <v>32</v>
      </c>
      <c r="R255" s="3382" t="s">
        <v>32</v>
      </c>
      <c r="S255" s="3378" t="s">
        <v>32</v>
      </c>
      <c r="T255" s="3378"/>
      <c r="U255" s="3382"/>
      <c r="V255" s="3382" t="s">
        <v>32</v>
      </c>
      <c r="W255" s="3382" t="s">
        <v>32</v>
      </c>
      <c r="X255" s="3378" t="s">
        <v>32</v>
      </c>
      <c r="Y255" s="3382" t="s">
        <v>32</v>
      </c>
      <c r="Z255" s="3382" t="s">
        <v>32</v>
      </c>
      <c r="AA255" s="3378"/>
      <c r="AB255" s="3378"/>
      <c r="AC255" s="3236" t="s">
        <v>32</v>
      </c>
      <c r="AD255" s="3236" t="s">
        <v>32</v>
      </c>
      <c r="AE255" s="3391" t="s">
        <v>32</v>
      </c>
      <c r="AF255" s="3391" t="s">
        <v>32</v>
      </c>
      <c r="AG255" s="3378" t="s">
        <v>32</v>
      </c>
      <c r="AH255" s="181"/>
      <c r="AI255" s="182"/>
    </row>
    <row r="256" spans="1:35" ht="21" customHeight="1">
      <c r="A256" s="3350"/>
      <c r="B256" s="3514" t="s">
        <v>310</v>
      </c>
      <c r="C256" s="3378" t="s">
        <v>32</v>
      </c>
      <c r="D256" s="3378" t="s">
        <v>32</v>
      </c>
      <c r="E256" s="3378" t="s">
        <v>32</v>
      </c>
      <c r="F256" s="3378"/>
      <c r="G256" s="3378"/>
      <c r="H256" s="3378" t="s">
        <v>32</v>
      </c>
      <c r="I256" s="3378" t="s">
        <v>32</v>
      </c>
      <c r="J256" s="3378" t="s">
        <v>32</v>
      </c>
      <c r="K256" s="3378" t="s">
        <v>32</v>
      </c>
      <c r="L256" s="3378" t="s">
        <v>32</v>
      </c>
      <c r="M256" s="3378"/>
      <c r="N256" s="3382"/>
      <c r="O256" s="3382" t="s">
        <v>32</v>
      </c>
      <c r="P256" s="3382" t="s">
        <v>32</v>
      </c>
      <c r="Q256" s="3380" t="s">
        <v>32</v>
      </c>
      <c r="R256" s="3382" t="s">
        <v>32</v>
      </c>
      <c r="S256" s="3378" t="s">
        <v>32</v>
      </c>
      <c r="T256" s="3378"/>
      <c r="U256" s="3382"/>
      <c r="V256" s="3382" t="s">
        <v>32</v>
      </c>
      <c r="W256" s="3382" t="s">
        <v>32</v>
      </c>
      <c r="X256" s="3378" t="s">
        <v>32</v>
      </c>
      <c r="Y256" s="3382" t="s">
        <v>32</v>
      </c>
      <c r="Z256" s="3382" t="s">
        <v>32</v>
      </c>
      <c r="AA256" s="3378"/>
      <c r="AB256" s="3378"/>
      <c r="AC256" s="3564" t="s">
        <v>32</v>
      </c>
      <c r="AD256" s="3564" t="s">
        <v>32</v>
      </c>
      <c r="AE256" s="3564" t="s">
        <v>32</v>
      </c>
      <c r="AF256" s="3564" t="s">
        <v>32</v>
      </c>
      <c r="AG256" s="3378" t="s">
        <v>32</v>
      </c>
      <c r="AH256" s="181"/>
    </row>
    <row r="257" spans="1:35" ht="21" customHeight="1">
      <c r="A257" s="3274"/>
      <c r="B257" s="3514" t="s">
        <v>311</v>
      </c>
      <c r="C257" s="3378" t="s">
        <v>32</v>
      </c>
      <c r="D257" s="3378" t="s">
        <v>32</v>
      </c>
      <c r="E257" s="3378" t="s">
        <v>32</v>
      </c>
      <c r="F257" s="3378"/>
      <c r="G257" s="3378"/>
      <c r="H257" s="3378" t="s">
        <v>32</v>
      </c>
      <c r="I257" s="3378" t="s">
        <v>32</v>
      </c>
      <c r="J257" s="3378" t="s">
        <v>32</v>
      </c>
      <c r="K257" s="3378" t="s">
        <v>32</v>
      </c>
      <c r="L257" s="3378" t="s">
        <v>32</v>
      </c>
      <c r="M257" s="3378"/>
      <c r="N257" s="3382"/>
      <c r="O257" s="3382" t="s">
        <v>32</v>
      </c>
      <c r="P257" s="3382" t="s">
        <v>32</v>
      </c>
      <c r="Q257" s="3380" t="s">
        <v>32</v>
      </c>
      <c r="R257" s="3382" t="s">
        <v>32</v>
      </c>
      <c r="S257" s="3378" t="s">
        <v>32</v>
      </c>
      <c r="T257" s="3378"/>
      <c r="U257" s="3382"/>
      <c r="V257" s="3382" t="s">
        <v>32</v>
      </c>
      <c r="W257" s="3568" t="s">
        <v>278</v>
      </c>
      <c r="X257" s="3125" t="s">
        <v>32</v>
      </c>
      <c r="Y257" s="3125" t="s">
        <v>32</v>
      </c>
      <c r="Z257" s="3382" t="s">
        <v>32</v>
      </c>
      <c r="AA257" s="3378"/>
      <c r="AB257" s="3378"/>
      <c r="AC257" s="3378" t="s">
        <v>32</v>
      </c>
      <c r="AD257" s="3378" t="s">
        <v>32</v>
      </c>
      <c r="AE257" s="3378" t="s">
        <v>32</v>
      </c>
      <c r="AF257" s="3378" t="s">
        <v>32</v>
      </c>
      <c r="AG257" s="3378" t="s">
        <v>32</v>
      </c>
      <c r="AH257" s="181"/>
      <c r="AI257" s="182"/>
    </row>
    <row r="258" spans="1:35" ht="21" customHeight="1" thickBot="1">
      <c r="A258" s="3275"/>
      <c r="B258" s="3276"/>
      <c r="C258" s="3342"/>
      <c r="D258" s="3342"/>
      <c r="E258" s="3342"/>
      <c r="F258" s="3342"/>
      <c r="G258" s="3342"/>
      <c r="H258" s="3342"/>
      <c r="I258" s="3342"/>
      <c r="J258" s="3342"/>
      <c r="K258" s="3342"/>
      <c r="L258" s="3342"/>
      <c r="M258" s="3342"/>
      <c r="N258" s="3342"/>
      <c r="O258" s="3342"/>
      <c r="P258" s="3342"/>
      <c r="Q258" s="3342"/>
      <c r="R258" s="3342"/>
      <c r="S258" s="3342"/>
      <c r="T258" s="3342"/>
      <c r="U258" s="3342"/>
      <c r="V258" s="3342"/>
      <c r="W258" s="3342"/>
      <c r="X258" s="3342"/>
      <c r="Y258" s="3342"/>
      <c r="Z258" s="3342"/>
      <c r="AA258" s="3342"/>
      <c r="AB258" s="3342"/>
      <c r="AC258" s="3342"/>
      <c r="AD258" s="3342"/>
      <c r="AE258" s="3342"/>
      <c r="AF258" s="3342"/>
      <c r="AG258" s="3432"/>
      <c r="AH258" s="181"/>
      <c r="AI258" s="182"/>
    </row>
    <row r="259" spans="1:35" ht="21" customHeight="1">
      <c r="A259" s="226"/>
      <c r="B259" s="743" t="s">
        <v>312</v>
      </c>
      <c r="C259" s="744"/>
      <c r="D259" s="744"/>
      <c r="E259" s="744"/>
      <c r="F259" s="744"/>
      <c r="G259" s="744"/>
      <c r="H259" s="744"/>
      <c r="I259" s="744"/>
      <c r="J259" s="744"/>
      <c r="K259" s="744"/>
      <c r="L259" s="744"/>
      <c r="M259" s="744"/>
      <c r="N259" s="744"/>
      <c r="O259" s="744"/>
      <c r="P259" s="744"/>
      <c r="Q259" s="744"/>
      <c r="R259" s="744"/>
      <c r="S259" s="744"/>
      <c r="T259" s="744"/>
      <c r="U259" s="744"/>
      <c r="V259" s="744"/>
      <c r="W259" s="744"/>
      <c r="X259" s="744"/>
      <c r="Y259" s="744"/>
      <c r="Z259" s="744"/>
      <c r="AA259" s="744"/>
      <c r="AB259" s="744"/>
      <c r="AC259" s="744"/>
      <c r="AD259" s="744"/>
      <c r="AE259" s="744"/>
      <c r="AF259" s="744"/>
      <c r="AG259" s="745"/>
      <c r="AH259" s="179"/>
      <c r="AI259" s="180"/>
    </row>
    <row r="260" spans="1:35" ht="21" customHeight="1">
      <c r="A260" s="3273">
        <v>3702</v>
      </c>
      <c r="B260" s="3277" t="s">
        <v>313</v>
      </c>
      <c r="C260" s="3426" t="s">
        <v>314</v>
      </c>
      <c r="D260" s="3426" t="s">
        <v>314</v>
      </c>
      <c r="E260" s="3426" t="s">
        <v>314</v>
      </c>
      <c r="F260" s="3426"/>
      <c r="G260" s="3426"/>
      <c r="H260" s="3367" t="s">
        <v>314</v>
      </c>
      <c r="I260" s="3367" t="s">
        <v>314</v>
      </c>
      <c r="J260" s="3426" t="s">
        <v>314</v>
      </c>
      <c r="K260" s="3426" t="s">
        <v>314</v>
      </c>
      <c r="L260" s="3426" t="s">
        <v>314</v>
      </c>
      <c r="M260" s="3426"/>
      <c r="N260" s="3426"/>
      <c r="O260" s="3426" t="s">
        <v>314</v>
      </c>
      <c r="P260" s="3426" t="s">
        <v>314</v>
      </c>
      <c r="Q260" s="3426" t="s">
        <v>314</v>
      </c>
      <c r="R260" s="3426" t="s">
        <v>314</v>
      </c>
      <c r="S260" s="3367" t="s">
        <v>314</v>
      </c>
      <c r="T260" s="3426"/>
      <c r="U260" s="3426"/>
      <c r="V260" s="3426" t="s">
        <v>314</v>
      </c>
      <c r="W260" s="3426" t="s">
        <v>314</v>
      </c>
      <c r="X260" s="3426" t="s">
        <v>314</v>
      </c>
      <c r="Y260" s="3426" t="s">
        <v>314</v>
      </c>
      <c r="Z260" s="3426" t="s">
        <v>314</v>
      </c>
      <c r="AA260" s="3426"/>
      <c r="AB260" s="3426"/>
      <c r="AC260" s="3426" t="s">
        <v>314</v>
      </c>
      <c r="AD260" s="3426" t="s">
        <v>314</v>
      </c>
      <c r="AE260" s="3426" t="s">
        <v>314</v>
      </c>
      <c r="AF260" s="3367" t="s">
        <v>314</v>
      </c>
      <c r="AG260" s="3367" t="s">
        <v>314</v>
      </c>
      <c r="AH260" s="181"/>
      <c r="AI260" s="182"/>
    </row>
    <row r="261" spans="1:35" ht="21" customHeight="1">
      <c r="A261" s="3273"/>
      <c r="B261" s="3243" t="s">
        <v>316</v>
      </c>
      <c r="C261" s="3426" t="s">
        <v>317</v>
      </c>
      <c r="D261" s="3426" t="s">
        <v>317</v>
      </c>
      <c r="E261" s="3426" t="s">
        <v>317</v>
      </c>
      <c r="F261" s="3426"/>
      <c r="G261" s="3426"/>
      <c r="H261" s="3426" t="s">
        <v>317</v>
      </c>
      <c r="I261" s="3426" t="s">
        <v>317</v>
      </c>
      <c r="J261" s="3426" t="s">
        <v>317</v>
      </c>
      <c r="K261" s="3426" t="s">
        <v>317</v>
      </c>
      <c r="L261" s="3426" t="s">
        <v>317</v>
      </c>
      <c r="M261" s="3426"/>
      <c r="N261" s="3426"/>
      <c r="O261" s="3426" t="s">
        <v>317</v>
      </c>
      <c r="P261" s="3426" t="s">
        <v>317</v>
      </c>
      <c r="Q261" s="3426" t="s">
        <v>317</v>
      </c>
      <c r="R261" s="3426" t="s">
        <v>317</v>
      </c>
      <c r="S261" s="3426" t="s">
        <v>317</v>
      </c>
      <c r="T261" s="3426"/>
      <c r="U261" s="3426"/>
      <c r="V261" s="3426" t="s">
        <v>317</v>
      </c>
      <c r="W261" s="3426" t="s">
        <v>317</v>
      </c>
      <c r="X261" s="3426" t="s">
        <v>317</v>
      </c>
      <c r="Y261" s="3367" t="s">
        <v>317</v>
      </c>
      <c r="Z261" s="3426" t="s">
        <v>317</v>
      </c>
      <c r="AA261" s="3426"/>
      <c r="AB261" s="3426"/>
      <c r="AC261" s="3367" t="s">
        <v>317</v>
      </c>
      <c r="AD261" s="3367" t="s">
        <v>317</v>
      </c>
      <c r="AE261" s="3367" t="s">
        <v>317</v>
      </c>
      <c r="AF261" s="3356" t="s">
        <v>317</v>
      </c>
      <c r="AG261" s="3356" t="s">
        <v>317</v>
      </c>
      <c r="AH261" s="181"/>
      <c r="AI261" s="182"/>
    </row>
    <row r="262" spans="1:35" ht="21" customHeight="1" thickBot="1">
      <c r="A262" s="3279"/>
      <c r="B262" s="3280" t="s">
        <v>318</v>
      </c>
      <c r="C262" s="3420" t="s">
        <v>319</v>
      </c>
      <c r="D262" s="3420" t="s">
        <v>319</v>
      </c>
      <c r="E262" s="3420" t="s">
        <v>319</v>
      </c>
      <c r="F262" s="3420"/>
      <c r="G262" s="3420"/>
      <c r="H262" s="3443" t="s">
        <v>319</v>
      </c>
      <c r="I262" s="3443" t="s">
        <v>319</v>
      </c>
      <c r="J262" s="3443" t="s">
        <v>319</v>
      </c>
      <c r="K262" s="3443" t="s">
        <v>319</v>
      </c>
      <c r="L262" s="3443" t="s">
        <v>319</v>
      </c>
      <c r="M262" s="3420"/>
      <c r="N262" s="3420"/>
      <c r="O262" s="3443" t="s">
        <v>319</v>
      </c>
      <c r="P262" s="3420" t="s">
        <v>319</v>
      </c>
      <c r="Q262" s="3420" t="s">
        <v>319</v>
      </c>
      <c r="R262" s="3420" t="s">
        <v>319</v>
      </c>
      <c r="S262" s="3420" t="s">
        <v>319</v>
      </c>
      <c r="T262" s="3420"/>
      <c r="U262" s="3420"/>
      <c r="V262" s="3420" t="s">
        <v>319</v>
      </c>
      <c r="W262" s="3420" t="s">
        <v>319</v>
      </c>
      <c r="X262" s="3420" t="s">
        <v>319</v>
      </c>
      <c r="Y262" s="3420" t="s">
        <v>319</v>
      </c>
      <c r="Z262" s="3420" t="s">
        <v>319</v>
      </c>
      <c r="AA262" s="3420"/>
      <c r="AB262" s="3420"/>
      <c r="AC262" s="3420" t="s">
        <v>319</v>
      </c>
      <c r="AD262" s="3425" t="s">
        <v>319</v>
      </c>
      <c r="AE262" s="3425" t="s">
        <v>319</v>
      </c>
      <c r="AF262" s="3425" t="s">
        <v>319</v>
      </c>
      <c r="AG262" s="3425" t="s">
        <v>319</v>
      </c>
      <c r="AH262" s="181"/>
      <c r="AI262" s="182"/>
    </row>
    <row r="263" spans="1:35" ht="21" customHeight="1"/>
    <row r="264" spans="1:35" ht="24" customHeight="1"/>
    <row r="265" spans="1:35" ht="25.5" customHeight="1" thickBot="1">
      <c r="A265" s="161" t="s">
        <v>320</v>
      </c>
    </row>
    <row r="266" spans="1:35" ht="21" customHeight="1">
      <c r="A266" s="1"/>
      <c r="B266" s="396" t="s">
        <v>266</v>
      </c>
      <c r="C266" s="368"/>
      <c r="D266" s="384" t="s">
        <v>94</v>
      </c>
      <c r="E266" s="357"/>
      <c r="F266" s="372"/>
      <c r="G266" s="368"/>
      <c r="H266" s="384" t="s">
        <v>95</v>
      </c>
      <c r="I266" s="357"/>
      <c r="J266" s="372"/>
      <c r="K266" s="368"/>
      <c r="L266" s="384" t="s">
        <v>96</v>
      </c>
      <c r="M266" s="357"/>
      <c r="N266" s="372"/>
      <c r="O266" s="368"/>
      <c r="P266" s="384" t="s">
        <v>97</v>
      </c>
      <c r="Q266" s="357"/>
      <c r="R266" s="372"/>
      <c r="S266" s="368"/>
      <c r="T266" s="384" t="s">
        <v>98</v>
      </c>
      <c r="U266" s="357"/>
      <c r="V266" s="372"/>
      <c r="W266" s="368"/>
      <c r="X266" s="384" t="s">
        <v>99</v>
      </c>
      <c r="Y266" s="357"/>
      <c r="Z266" s="372"/>
      <c r="AA266" s="368"/>
      <c r="AB266" s="384" t="s">
        <v>100</v>
      </c>
      <c r="AC266" s="357"/>
      <c r="AD266" s="357"/>
      <c r="AE266" s="387" t="s">
        <v>101</v>
      </c>
      <c r="AF266" s="357"/>
      <c r="AG266" s="357"/>
      <c r="AH266" s="357"/>
      <c r="AI266" s="358"/>
    </row>
    <row r="267" spans="1:35" ht="21" customHeight="1">
      <c r="A267" s="1"/>
      <c r="B267" s="3"/>
      <c r="C267" s="8"/>
      <c r="D267" s="117"/>
      <c r="E267" s="14"/>
      <c r="F267" s="116"/>
      <c r="G267" s="8"/>
      <c r="H267" s="117"/>
      <c r="I267" s="14"/>
      <c r="J267" s="116"/>
      <c r="K267" s="8"/>
      <c r="L267" s="117"/>
      <c r="M267" s="14"/>
      <c r="N267" s="116"/>
      <c r="O267" s="8"/>
      <c r="P267" s="117"/>
      <c r="Q267" s="14"/>
      <c r="R267" s="116"/>
      <c r="S267" s="8"/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>
      <c r="A268" s="110"/>
      <c r="B268" s="3269"/>
      <c r="C268" s="3453"/>
      <c r="D268" s="3324"/>
      <c r="E268" s="3324"/>
      <c r="F268" s="3527"/>
      <c r="G268" s="3453"/>
      <c r="H268" s="3324"/>
      <c r="I268" s="3324"/>
      <c r="J268" s="3527"/>
      <c r="K268" s="3453"/>
      <c r="L268" s="3324"/>
      <c r="M268" s="3324"/>
      <c r="N268" s="3527"/>
      <c r="O268" s="3453"/>
      <c r="P268" s="3324"/>
      <c r="Q268" s="3324"/>
      <c r="R268" s="3527"/>
      <c r="S268" s="3453"/>
      <c r="T268" s="3324"/>
      <c r="U268" s="3324"/>
      <c r="V268" s="3527"/>
      <c r="W268" s="3453"/>
      <c r="X268" s="3324"/>
      <c r="Y268" s="3324"/>
      <c r="Z268" s="3527"/>
      <c r="AA268" s="3525"/>
      <c r="AB268" s="3324"/>
      <c r="AC268" s="3324"/>
      <c r="AD268" s="3454"/>
      <c r="AE268" s="3282"/>
      <c r="AF268" s="3324"/>
      <c r="AG268" s="3324"/>
      <c r="AH268" s="3454"/>
      <c r="AI268" s="3333"/>
    </row>
    <row r="269" spans="1:35" ht="21" customHeight="1" thickBot="1">
      <c r="A269" s="1"/>
      <c r="B269" s="3537"/>
      <c r="C269" s="3538"/>
      <c r="D269" s="3405"/>
      <c r="E269" s="3405"/>
      <c r="F269" s="3562"/>
      <c r="G269" s="3538"/>
      <c r="H269" s="3405"/>
      <c r="I269" s="3405"/>
      <c r="J269" s="3562"/>
      <c r="K269" s="3538"/>
      <c r="L269" s="3405"/>
      <c r="M269" s="3405"/>
      <c r="N269" s="3562"/>
      <c r="O269" s="3538"/>
      <c r="P269" s="3405"/>
      <c r="Q269" s="3405"/>
      <c r="R269" s="3562"/>
      <c r="S269" s="3538"/>
      <c r="T269" s="3405"/>
      <c r="U269" s="3405"/>
      <c r="V269" s="3562"/>
      <c r="W269" s="3560"/>
      <c r="X269" s="3405"/>
      <c r="Y269" s="3405"/>
      <c r="Z269" s="3562"/>
      <c r="AA269" s="3560"/>
      <c r="AB269" s="3405"/>
      <c r="AC269" s="3405"/>
      <c r="AD269" s="3545"/>
      <c r="AE269" s="3560"/>
      <c r="AF269" s="3405"/>
      <c r="AG269" s="3405"/>
      <c r="AH269" s="3545"/>
      <c r="AI269" s="3412"/>
    </row>
    <row r="270" spans="1:35" ht="21" customHeight="1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33" customHeight="1">
      <c r="A271" s="161" t="s">
        <v>321</v>
      </c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21" customHeight="1" thickBot="1">
      <c r="A272" s="3283" t="s">
        <v>28</v>
      </c>
      <c r="B272" s="3284" t="s">
        <v>29</v>
      </c>
      <c r="C272" s="3342">
        <v>1</v>
      </c>
      <c r="D272" s="3342">
        <v>2</v>
      </c>
      <c r="E272" s="3342">
        <v>3</v>
      </c>
      <c r="F272" s="3343">
        <v>4</v>
      </c>
      <c r="G272" s="3343">
        <v>5</v>
      </c>
      <c r="H272" s="3342">
        <v>6</v>
      </c>
      <c r="I272" s="3342">
        <v>7</v>
      </c>
      <c r="J272" s="3342">
        <v>8</v>
      </c>
      <c r="K272" s="3342">
        <v>9</v>
      </c>
      <c r="L272" s="3342">
        <v>10</v>
      </c>
      <c r="M272" s="3343">
        <v>11</v>
      </c>
      <c r="N272" s="3343">
        <v>12</v>
      </c>
      <c r="O272" s="3342">
        <v>13</v>
      </c>
      <c r="P272" s="3342">
        <v>14</v>
      </c>
      <c r="Q272" s="3342">
        <v>15</v>
      </c>
      <c r="R272" s="3342">
        <v>16</v>
      </c>
      <c r="S272" s="3342">
        <v>17</v>
      </c>
      <c r="T272" s="3343">
        <v>18</v>
      </c>
      <c r="U272" s="3343">
        <v>19</v>
      </c>
      <c r="V272" s="3342">
        <v>20</v>
      </c>
      <c r="W272" s="3342">
        <v>21</v>
      </c>
      <c r="X272" s="3342">
        <v>22</v>
      </c>
      <c r="Y272" s="3342">
        <v>23</v>
      </c>
      <c r="Z272" s="3344">
        <v>24</v>
      </c>
      <c r="AA272" s="3343">
        <v>25</v>
      </c>
      <c r="AB272" s="3343">
        <v>26</v>
      </c>
      <c r="AC272" s="3342">
        <v>27</v>
      </c>
      <c r="AD272" s="3342">
        <v>28</v>
      </c>
      <c r="AE272" s="3342">
        <v>29</v>
      </c>
      <c r="AF272" s="3342">
        <v>30</v>
      </c>
      <c r="AG272" s="3345">
        <v>31</v>
      </c>
      <c r="AH272" s="186"/>
      <c r="AI272" s="177"/>
    </row>
    <row r="273" spans="1:35" ht="21" customHeight="1">
      <c r="A273" s="88"/>
      <c r="B273" s="157" t="s">
        <v>322</v>
      </c>
      <c r="C273" s="3386" t="s">
        <v>32</v>
      </c>
      <c r="D273" s="3386" t="s">
        <v>32</v>
      </c>
      <c r="E273" s="3386" t="s">
        <v>32</v>
      </c>
      <c r="F273" s="3386"/>
      <c r="G273" s="3378"/>
      <c r="H273" s="3391" t="s">
        <v>32</v>
      </c>
      <c r="I273" s="3378" t="s">
        <v>32</v>
      </c>
      <c r="J273" s="3378" t="s">
        <v>32</v>
      </c>
      <c r="K273" s="3378" t="s">
        <v>32</v>
      </c>
      <c r="L273" s="3378" t="s">
        <v>32</v>
      </c>
      <c r="M273" s="3378"/>
      <c r="N273" s="3382"/>
      <c r="O273" s="3391" t="s">
        <v>32</v>
      </c>
      <c r="P273" s="3382" t="s">
        <v>32</v>
      </c>
      <c r="Q273" s="3380" t="s">
        <v>32</v>
      </c>
      <c r="R273" s="3382" t="s">
        <v>32</v>
      </c>
      <c r="S273" s="3378" t="s">
        <v>32</v>
      </c>
      <c r="T273" s="3378"/>
      <c r="U273" s="3382"/>
      <c r="V273" s="3391" t="s">
        <v>32</v>
      </c>
      <c r="W273" s="3382" t="s">
        <v>32</v>
      </c>
      <c r="X273" s="3378" t="s">
        <v>32</v>
      </c>
      <c r="Y273" s="3382" t="s">
        <v>32</v>
      </c>
      <c r="Z273" s="3378"/>
      <c r="AA273" s="3378"/>
      <c r="AB273" s="3378"/>
      <c r="AC273" s="3378" t="s">
        <v>32</v>
      </c>
      <c r="AD273" s="3391" t="s">
        <v>32</v>
      </c>
      <c r="AE273" s="3391" t="s">
        <v>32</v>
      </c>
      <c r="AF273" s="3391" t="s">
        <v>32</v>
      </c>
      <c r="AG273" s="3378"/>
      <c r="AH273" s="187"/>
      <c r="AI273" s="184"/>
    </row>
    <row r="274" spans="1:35" ht="21" customHeight="1">
      <c r="A274" s="3285"/>
      <c r="B274" s="3286" t="s">
        <v>323</v>
      </c>
      <c r="C274" s="3378" t="s">
        <v>32</v>
      </c>
      <c r="D274" s="3378" t="s">
        <v>32</v>
      </c>
      <c r="E274" s="3378" t="s">
        <v>32</v>
      </c>
      <c r="F274" s="3378"/>
      <c r="G274" s="3378"/>
      <c r="H274" s="3378" t="s">
        <v>32</v>
      </c>
      <c r="I274" s="3378" t="s">
        <v>32</v>
      </c>
      <c r="J274" s="3378" t="s">
        <v>32</v>
      </c>
      <c r="K274" s="3378" t="s">
        <v>32</v>
      </c>
      <c r="L274" s="3378" t="s">
        <v>32</v>
      </c>
      <c r="M274" s="3378"/>
      <c r="N274" s="3382"/>
      <c r="O274" s="3382" t="s">
        <v>32</v>
      </c>
      <c r="P274" s="3382" t="s">
        <v>32</v>
      </c>
      <c r="Q274" s="3380" t="s">
        <v>32</v>
      </c>
      <c r="R274" s="3382" t="s">
        <v>32</v>
      </c>
      <c r="S274" s="3378" t="s">
        <v>32</v>
      </c>
      <c r="T274" s="3378"/>
      <c r="U274" s="3382"/>
      <c r="V274" s="3382" t="s">
        <v>32</v>
      </c>
      <c r="W274" s="3382" t="s">
        <v>32</v>
      </c>
      <c r="X274" s="3391" t="s">
        <v>32</v>
      </c>
      <c r="Y274" s="3382" t="s">
        <v>32</v>
      </c>
      <c r="Z274" s="3378"/>
      <c r="AA274" s="3378"/>
      <c r="AB274" s="3378"/>
      <c r="AC274" s="3378" t="s">
        <v>32</v>
      </c>
      <c r="AD274" s="3391" t="s">
        <v>32</v>
      </c>
      <c r="AE274" s="3391" t="s">
        <v>32</v>
      </c>
      <c r="AF274" s="3391" t="s">
        <v>32</v>
      </c>
      <c r="AG274" s="3378"/>
      <c r="AH274" s="187"/>
      <c r="AI274" s="184"/>
    </row>
    <row r="275" spans="1:35" ht="21" customHeight="1">
      <c r="A275" s="3273"/>
      <c r="B275" s="3286" t="s">
        <v>324</v>
      </c>
      <c r="C275" s="3391" t="s">
        <v>32</v>
      </c>
      <c r="D275" s="3378" t="s">
        <v>32</v>
      </c>
      <c r="E275" s="3378" t="s">
        <v>32</v>
      </c>
      <c r="F275" s="3378"/>
      <c r="G275" s="3378"/>
      <c r="H275" s="3378" t="s">
        <v>32</v>
      </c>
      <c r="I275" s="3378" t="s">
        <v>32</v>
      </c>
      <c r="J275" s="3378" t="s">
        <v>32</v>
      </c>
      <c r="K275" s="3378" t="s">
        <v>32</v>
      </c>
      <c r="L275" s="3378" t="s">
        <v>32</v>
      </c>
      <c r="M275" s="3378"/>
      <c r="N275" s="3382"/>
      <c r="O275" s="3382" t="s">
        <v>32</v>
      </c>
      <c r="P275" s="3568" t="s">
        <v>32</v>
      </c>
      <c r="Q275" s="3568" t="s">
        <v>278</v>
      </c>
      <c r="R275" s="3382" t="s">
        <v>32</v>
      </c>
      <c r="S275" s="3378" t="s">
        <v>32</v>
      </c>
      <c r="T275" s="3378"/>
      <c r="U275" s="3382"/>
      <c r="V275" s="3391" t="s">
        <v>32</v>
      </c>
      <c r="W275" s="3391" t="s">
        <v>32</v>
      </c>
      <c r="X275" s="3391" t="s">
        <v>32</v>
      </c>
      <c r="Y275" s="3391" t="s">
        <v>32</v>
      </c>
      <c r="Z275" s="3378"/>
      <c r="AA275" s="3378"/>
      <c r="AB275" s="3378"/>
      <c r="AC275" s="3378" t="s">
        <v>32</v>
      </c>
      <c r="AD275" s="3378" t="s">
        <v>32</v>
      </c>
      <c r="AE275" s="3378" t="s">
        <v>32</v>
      </c>
      <c r="AF275" s="3378" t="s">
        <v>32</v>
      </c>
      <c r="AG275" s="3378"/>
      <c r="AH275" s="187"/>
      <c r="AI275" s="184"/>
    </row>
    <row r="276" spans="1:35" ht="21" customHeight="1">
      <c r="A276" s="3273"/>
      <c r="B276" s="3286" t="s">
        <v>325</v>
      </c>
      <c r="C276" s="3378" t="s">
        <v>32</v>
      </c>
      <c r="D276" s="3378" t="s">
        <v>32</v>
      </c>
      <c r="E276" s="3378" t="s">
        <v>32</v>
      </c>
      <c r="F276" s="3378"/>
      <c r="G276" s="3378"/>
      <c r="H276" s="3378" t="s">
        <v>32</v>
      </c>
      <c r="I276" s="3378" t="s">
        <v>32</v>
      </c>
      <c r="J276" s="3378" t="s">
        <v>32</v>
      </c>
      <c r="K276" s="3378" t="s">
        <v>32</v>
      </c>
      <c r="L276" s="3378" t="s">
        <v>32</v>
      </c>
      <c r="M276" s="3378"/>
      <c r="N276" s="3382"/>
      <c r="O276" s="3236" t="s">
        <v>32</v>
      </c>
      <c r="P276" s="3382" t="s">
        <v>32</v>
      </c>
      <c r="Q276" s="3380" t="s">
        <v>32</v>
      </c>
      <c r="R276" s="3382" t="s">
        <v>32</v>
      </c>
      <c r="S276" s="3378" t="s">
        <v>32</v>
      </c>
      <c r="T276" s="3378"/>
      <c r="U276" s="3382"/>
      <c r="V276" s="3382" t="s">
        <v>32</v>
      </c>
      <c r="W276" s="3382" t="s">
        <v>32</v>
      </c>
      <c r="X276" s="3378" t="s">
        <v>32</v>
      </c>
      <c r="Y276" s="3382" t="s">
        <v>32</v>
      </c>
      <c r="Z276" s="3378"/>
      <c r="AA276" s="3378"/>
      <c r="AB276" s="3378"/>
      <c r="AC276" s="3378" t="s">
        <v>32</v>
      </c>
      <c r="AD276" s="3391" t="s">
        <v>32</v>
      </c>
      <c r="AE276" s="3391" t="s">
        <v>32</v>
      </c>
      <c r="AF276" s="3391" t="s">
        <v>32</v>
      </c>
      <c r="AG276" s="3378"/>
      <c r="AH276" s="187"/>
      <c r="AI276" s="184"/>
    </row>
    <row r="277" spans="1:35" ht="21" customHeight="1">
      <c r="A277" s="3273"/>
      <c r="B277" s="3286" t="s">
        <v>326</v>
      </c>
      <c r="C277" s="3378" t="s">
        <v>32</v>
      </c>
      <c r="D277" s="3603" t="s">
        <v>32</v>
      </c>
      <c r="E277" s="3378" t="s">
        <v>32</v>
      </c>
      <c r="F277" s="3378"/>
      <c r="G277" s="3378"/>
      <c r="H277" s="3378" t="s">
        <v>32</v>
      </c>
      <c r="I277" s="3378" t="s">
        <v>32</v>
      </c>
      <c r="J277" s="3378" t="s">
        <v>32</v>
      </c>
      <c r="K277" s="3378" t="s">
        <v>32</v>
      </c>
      <c r="L277" s="3125" t="s">
        <v>32</v>
      </c>
      <c r="M277" s="3125"/>
      <c r="N277" s="3125"/>
      <c r="O277" s="3603" t="s">
        <v>32</v>
      </c>
      <c r="P277" s="3125" t="s">
        <v>32</v>
      </c>
      <c r="Q277" s="3391" t="s">
        <v>32</v>
      </c>
      <c r="R277" s="3125" t="s">
        <v>32</v>
      </c>
      <c r="S277" s="3125" t="s">
        <v>32</v>
      </c>
      <c r="T277" s="3378"/>
      <c r="U277" s="3382"/>
      <c r="V277" s="3382" t="s">
        <v>32</v>
      </c>
      <c r="W277" s="3382" t="s">
        <v>32</v>
      </c>
      <c r="X277" s="3378" t="s">
        <v>32</v>
      </c>
      <c r="Y277" s="3391" t="s">
        <v>32</v>
      </c>
      <c r="Z277" s="3391"/>
      <c r="AA277" s="3391"/>
      <c r="AB277" s="3391"/>
      <c r="AC277" s="3564" t="s">
        <v>32</v>
      </c>
      <c r="AD277" s="3564" t="s">
        <v>32</v>
      </c>
      <c r="AE277" s="3564" t="s">
        <v>32</v>
      </c>
      <c r="AF277" s="3564" t="s">
        <v>32</v>
      </c>
      <c r="AG277" s="3427"/>
      <c r="AH277" s="187"/>
      <c r="AI277" s="184"/>
    </row>
    <row r="278" spans="1:35" ht="21" customHeight="1">
      <c r="A278" s="3273"/>
      <c r="B278" s="3286" t="s">
        <v>327</v>
      </c>
      <c r="C278" s="3378" t="s">
        <v>32</v>
      </c>
      <c r="D278" s="3378" t="s">
        <v>32</v>
      </c>
      <c r="E278" s="3603" t="s">
        <v>32</v>
      </c>
      <c r="F278" s="3378"/>
      <c r="G278" s="3378"/>
      <c r="H278" s="3378" t="s">
        <v>32</v>
      </c>
      <c r="I278" s="3378" t="s">
        <v>32</v>
      </c>
      <c r="J278" s="3378" t="s">
        <v>32</v>
      </c>
      <c r="K278" s="3378" t="s">
        <v>32</v>
      </c>
      <c r="L278" s="3568" t="s">
        <v>32</v>
      </c>
      <c r="M278" s="3568"/>
      <c r="N278" s="3568"/>
      <c r="O278" s="3568" t="s">
        <v>278</v>
      </c>
      <c r="P278" s="3125" t="s">
        <v>32</v>
      </c>
      <c r="Q278" s="3125" t="s">
        <v>32</v>
      </c>
      <c r="R278" s="3125" t="s">
        <v>32</v>
      </c>
      <c r="S278" s="3603" t="s">
        <v>32</v>
      </c>
      <c r="T278" s="3378"/>
      <c r="U278" s="3382"/>
      <c r="V278" s="3382" t="s">
        <v>32</v>
      </c>
      <c r="W278" s="3382" t="s">
        <v>32</v>
      </c>
      <c r="X278" s="3378" t="s">
        <v>32</v>
      </c>
      <c r="Y278" s="3603" t="s">
        <v>32</v>
      </c>
      <c r="Z278" s="3378"/>
      <c r="AA278" s="3378"/>
      <c r="AB278" s="3378"/>
      <c r="AC278" s="3378" t="s">
        <v>32</v>
      </c>
      <c r="AD278" s="3391" t="s">
        <v>32</v>
      </c>
      <c r="AE278" s="3391" t="s">
        <v>32</v>
      </c>
      <c r="AF278" s="3391" t="s">
        <v>32</v>
      </c>
      <c r="AG278" s="3426"/>
      <c r="AH278" s="187"/>
      <c r="AI278" s="184"/>
    </row>
    <row r="279" spans="1:35" ht="21" customHeight="1">
      <c r="A279" s="3273"/>
      <c r="B279" s="3286" t="s">
        <v>328</v>
      </c>
      <c r="C279" s="3378" t="s">
        <v>32</v>
      </c>
      <c r="D279" s="3378" t="s">
        <v>32</v>
      </c>
      <c r="E279" s="3378" t="s">
        <v>32</v>
      </c>
      <c r="F279" s="3378"/>
      <c r="G279" s="3378"/>
      <c r="H279" s="3378" t="s">
        <v>32</v>
      </c>
      <c r="I279" s="3378" t="s">
        <v>32</v>
      </c>
      <c r="J279" s="3378" t="s">
        <v>32</v>
      </c>
      <c r="K279" s="3378" t="s">
        <v>32</v>
      </c>
      <c r="L279" s="3236" t="s">
        <v>32</v>
      </c>
      <c r="M279" s="3378"/>
      <c r="N279" s="3382"/>
      <c r="O279" s="3382" t="s">
        <v>32</v>
      </c>
      <c r="P279" s="3382" t="s">
        <v>32</v>
      </c>
      <c r="Q279" s="3380" t="s">
        <v>32</v>
      </c>
      <c r="R279" s="3382" t="s">
        <v>32</v>
      </c>
      <c r="S279" s="3378" t="s">
        <v>32</v>
      </c>
      <c r="T279" s="3378"/>
      <c r="U279" s="3382"/>
      <c r="V279" s="3391" t="s">
        <v>32</v>
      </c>
      <c r="W279" s="3391" t="s">
        <v>32</v>
      </c>
      <c r="X279" s="3391" t="s">
        <v>32</v>
      </c>
      <c r="Y279" s="3391" t="s">
        <v>32</v>
      </c>
      <c r="Z279" s="3378"/>
      <c r="AA279" s="3378"/>
      <c r="AB279" s="3378"/>
      <c r="AC279" s="3378" t="s">
        <v>32</v>
      </c>
      <c r="AD279" s="3391" t="s">
        <v>32</v>
      </c>
      <c r="AE279" s="3391" t="s">
        <v>32</v>
      </c>
      <c r="AF279" s="3391" t="s">
        <v>32</v>
      </c>
      <c r="AG279" s="3426"/>
      <c r="AH279" s="187"/>
      <c r="AI279" s="184"/>
    </row>
    <row r="280" spans="1:35" ht="21" customHeight="1">
      <c r="A280" s="3273"/>
      <c r="B280" s="3286" t="s">
        <v>329</v>
      </c>
      <c r="C280" s="3378" t="s">
        <v>32</v>
      </c>
      <c r="D280" s="3378" t="s">
        <v>32</v>
      </c>
      <c r="E280" s="3378" t="s">
        <v>32</v>
      </c>
      <c r="F280" s="3378"/>
      <c r="G280" s="3378"/>
      <c r="H280" s="3378" t="s">
        <v>32</v>
      </c>
      <c r="I280" s="3378" t="s">
        <v>32</v>
      </c>
      <c r="J280" s="3378" t="s">
        <v>32</v>
      </c>
      <c r="K280" s="3378" t="s">
        <v>32</v>
      </c>
      <c r="L280" s="3378" t="s">
        <v>32</v>
      </c>
      <c r="M280" s="3378"/>
      <c r="N280" s="3382"/>
      <c r="O280" s="3382" t="s">
        <v>32</v>
      </c>
      <c r="P280" s="3382" t="s">
        <v>32</v>
      </c>
      <c r="Q280" s="3380" t="s">
        <v>32</v>
      </c>
      <c r="R280" s="3382" t="s">
        <v>32</v>
      </c>
      <c r="S280" s="3378" t="s">
        <v>32</v>
      </c>
      <c r="T280" s="3378"/>
      <c r="U280" s="3382"/>
      <c r="V280" s="3382" t="s">
        <v>32</v>
      </c>
      <c r="W280" s="3382" t="s">
        <v>32</v>
      </c>
      <c r="X280" s="3378" t="s">
        <v>32</v>
      </c>
      <c r="Y280" s="3382" t="s">
        <v>32</v>
      </c>
      <c r="Z280" s="3378"/>
      <c r="AA280" s="3378"/>
      <c r="AB280" s="3378"/>
      <c r="AC280" s="3378" t="s">
        <v>32</v>
      </c>
      <c r="AD280" s="3378" t="s">
        <v>32</v>
      </c>
      <c r="AE280" s="3378" t="s">
        <v>32</v>
      </c>
      <c r="AF280" s="3378" t="s">
        <v>32</v>
      </c>
      <c r="AG280" s="3426"/>
      <c r="AH280" s="187"/>
      <c r="AI280" s="184"/>
    </row>
    <row r="281" spans="1:35" ht="21" customHeight="1">
      <c r="A281" s="3273"/>
      <c r="B281" s="3287" t="s">
        <v>330</v>
      </c>
      <c r="C281" s="3378" t="s">
        <v>32</v>
      </c>
      <c r="D281" s="3378" t="s">
        <v>32</v>
      </c>
      <c r="E281" s="3378" t="s">
        <v>32</v>
      </c>
      <c r="F281" s="3378"/>
      <c r="G281" s="3378"/>
      <c r="H281" s="3378" t="s">
        <v>32</v>
      </c>
      <c r="I281" s="3378" t="s">
        <v>32</v>
      </c>
      <c r="J281" s="3378" t="s">
        <v>32</v>
      </c>
      <c r="K281" s="3378" t="s">
        <v>32</v>
      </c>
      <c r="L281" s="3378" t="s">
        <v>32</v>
      </c>
      <c r="M281" s="3378"/>
      <c r="N281" s="3382"/>
      <c r="O281" s="3382" t="s">
        <v>32</v>
      </c>
      <c r="P281" s="3382" t="s">
        <v>32</v>
      </c>
      <c r="Q281" s="3380" t="s">
        <v>32</v>
      </c>
      <c r="R281" s="3382" t="s">
        <v>32</v>
      </c>
      <c r="S281" s="3378" t="s">
        <v>32</v>
      </c>
      <c r="T281" s="3378"/>
      <c r="U281" s="3382"/>
      <c r="V281" s="3382" t="s">
        <v>32</v>
      </c>
      <c r="W281" s="3382" t="s">
        <v>32</v>
      </c>
      <c r="X281" s="3391" t="s">
        <v>32</v>
      </c>
      <c r="Y281" s="3382" t="s">
        <v>32</v>
      </c>
      <c r="Z281" s="3378"/>
      <c r="AA281" s="3378"/>
      <c r="AB281" s="3378"/>
      <c r="AC281" s="3378" t="s">
        <v>32</v>
      </c>
      <c r="AD281" s="3391" t="s">
        <v>32</v>
      </c>
      <c r="AE281" s="3391" t="s">
        <v>32</v>
      </c>
      <c r="AF281" s="3391" t="s">
        <v>32</v>
      </c>
      <c r="AG281" s="3426"/>
      <c r="AH281" s="187"/>
      <c r="AI281" s="184"/>
    </row>
    <row r="282" spans="1:35" ht="21" customHeight="1">
      <c r="A282" s="3273"/>
      <c r="B282" s="3288" t="s">
        <v>331</v>
      </c>
      <c r="C282" s="3378" t="s">
        <v>32</v>
      </c>
      <c r="D282" s="3378" t="s">
        <v>32</v>
      </c>
      <c r="E282" s="3378" t="s">
        <v>32</v>
      </c>
      <c r="F282" s="3378"/>
      <c r="G282" s="3378"/>
      <c r="H282" s="3391" t="s">
        <v>32</v>
      </c>
      <c r="I282" s="3391" t="s">
        <v>32</v>
      </c>
      <c r="J282" s="3391" t="s">
        <v>32</v>
      </c>
      <c r="K282" s="3391" t="s">
        <v>32</v>
      </c>
      <c r="L282" s="3378" t="s">
        <v>32</v>
      </c>
      <c r="M282" s="3378"/>
      <c r="N282" s="3382"/>
      <c r="O282" s="3382" t="s">
        <v>32</v>
      </c>
      <c r="P282" s="3382" t="s">
        <v>32</v>
      </c>
      <c r="Q282" s="3380" t="s">
        <v>32</v>
      </c>
      <c r="R282" s="3382" t="s">
        <v>32</v>
      </c>
      <c r="S282" s="3378" t="s">
        <v>32</v>
      </c>
      <c r="T282" s="3378"/>
      <c r="U282" s="3382"/>
      <c r="V282" s="3236" t="s">
        <v>32</v>
      </c>
      <c r="W282" s="3236" t="s">
        <v>32</v>
      </c>
      <c r="X282" s="3236" t="s">
        <v>32</v>
      </c>
      <c r="Y282" s="3391" t="s">
        <v>32</v>
      </c>
      <c r="Z282" s="3378"/>
      <c r="AA282" s="3378"/>
      <c r="AB282" s="3378"/>
      <c r="AC282" s="3378" t="s">
        <v>32</v>
      </c>
      <c r="AD282" s="3391" t="s">
        <v>32</v>
      </c>
      <c r="AE282" s="3391" t="s">
        <v>32</v>
      </c>
      <c r="AF282" s="3391" t="s">
        <v>32</v>
      </c>
      <c r="AG282" s="3426"/>
      <c r="AH282" s="187"/>
      <c r="AI282" s="184"/>
    </row>
    <row r="283" spans="1:35" ht="21" customHeight="1">
      <c r="A283" s="3273"/>
      <c r="B283" s="3388" t="s">
        <v>332</v>
      </c>
      <c r="C283" s="3378" t="s">
        <v>32</v>
      </c>
      <c r="D283" s="3378" t="s">
        <v>32</v>
      </c>
      <c r="E283" s="3378" t="s">
        <v>32</v>
      </c>
      <c r="F283" s="3378"/>
      <c r="G283" s="3378"/>
      <c r="H283" s="3378" t="s">
        <v>32</v>
      </c>
      <c r="I283" s="3378" t="s">
        <v>32</v>
      </c>
      <c r="J283" s="3378" t="s">
        <v>32</v>
      </c>
      <c r="K283" s="3378" t="s">
        <v>32</v>
      </c>
      <c r="L283" s="3378" t="s">
        <v>32</v>
      </c>
      <c r="M283" s="3378"/>
      <c r="N283" s="3382"/>
      <c r="O283" s="3382" t="s">
        <v>32</v>
      </c>
      <c r="P283" s="3382" t="s">
        <v>32</v>
      </c>
      <c r="Q283" s="3380" t="s">
        <v>32</v>
      </c>
      <c r="R283" s="3382" t="s">
        <v>32</v>
      </c>
      <c r="S283" s="3378" t="s">
        <v>32</v>
      </c>
      <c r="T283" s="3378"/>
      <c r="U283" s="3382"/>
      <c r="V283" s="3382" t="s">
        <v>32</v>
      </c>
      <c r="W283" s="3382" t="s">
        <v>32</v>
      </c>
      <c r="X283" s="3391" t="s">
        <v>32</v>
      </c>
      <c r="Y283" s="3391" t="s">
        <v>32</v>
      </c>
      <c r="Z283" s="3391"/>
      <c r="AA283" s="3391"/>
      <c r="AB283" s="3391"/>
      <c r="AC283" s="3391" t="s">
        <v>32</v>
      </c>
      <c r="AD283" s="3391" t="s">
        <v>32</v>
      </c>
      <c r="AE283" s="3391" t="s">
        <v>32</v>
      </c>
      <c r="AF283" s="3391" t="s">
        <v>32</v>
      </c>
      <c r="AG283" s="3367"/>
      <c r="AH283" s="187"/>
      <c r="AI283" s="184"/>
    </row>
    <row r="284" spans="1:35" ht="21" customHeight="1">
      <c r="A284" s="3273"/>
      <c r="B284" s="3288"/>
      <c r="C284" s="3378"/>
      <c r="D284" s="3290"/>
      <c r="E284" s="3378"/>
      <c r="F284" s="3378"/>
      <c r="G284" s="3378"/>
      <c r="H284" s="3378"/>
      <c r="I284" s="3378"/>
      <c r="J284" s="3378"/>
      <c r="K284" s="3378"/>
      <c r="L284" s="3378"/>
      <c r="M284" s="3378"/>
      <c r="N284" s="3378"/>
      <c r="O284" s="3378"/>
      <c r="P284" s="3378"/>
      <c r="Q284" s="3378"/>
      <c r="R284" s="3378"/>
      <c r="S284" s="3378"/>
      <c r="T284" s="3378"/>
      <c r="U284" s="3378"/>
      <c r="V284" s="3378"/>
      <c r="W284" s="3378"/>
      <c r="X284" s="3378"/>
      <c r="Y284" s="3378"/>
      <c r="Z284" s="3378"/>
      <c r="AA284" s="3378"/>
      <c r="AB284" s="3378"/>
      <c r="AC284" s="3378"/>
      <c r="AD284" s="3378"/>
      <c r="AE284" s="3378"/>
      <c r="AF284" s="3378"/>
      <c r="AG284" s="3426"/>
      <c r="AH284" s="187"/>
      <c r="AI284" s="184"/>
    </row>
    <row r="285" spans="1:35" ht="21" customHeight="1">
      <c r="A285" s="3447"/>
      <c r="B285" s="3288"/>
      <c r="C285" s="3426"/>
      <c r="D285" s="3426"/>
      <c r="E285" s="3426"/>
      <c r="F285" s="3426"/>
      <c r="G285" s="3426"/>
      <c r="H285" s="3426"/>
      <c r="I285" s="3426"/>
      <c r="J285" s="3426"/>
      <c r="K285" s="3426"/>
      <c r="L285" s="3426"/>
      <c r="M285" s="3426"/>
      <c r="N285" s="3355"/>
      <c r="O285" s="3355"/>
      <c r="P285" s="3426"/>
      <c r="Q285" s="3426"/>
      <c r="R285" s="3426"/>
      <c r="S285" s="3426"/>
      <c r="T285" s="3426"/>
      <c r="U285" s="3426"/>
      <c r="V285" s="3426"/>
      <c r="W285" s="3426"/>
      <c r="X285" s="3426"/>
      <c r="Y285" s="3426"/>
      <c r="Z285" s="3426"/>
      <c r="AA285" s="3426"/>
      <c r="AB285" s="3355"/>
      <c r="AC285" s="3355"/>
      <c r="AD285" s="3426"/>
      <c r="AE285" s="3426"/>
      <c r="AF285" s="3426"/>
      <c r="AG285" s="3426"/>
      <c r="AH285" s="187"/>
      <c r="AI285" s="185"/>
    </row>
    <row r="286" spans="1:35" ht="21" customHeight="1" thickBot="1">
      <c r="A286" s="1126"/>
      <c r="B286" s="1188"/>
      <c r="C286" s="3291"/>
      <c r="D286" s="3292"/>
      <c r="E286" s="3292"/>
      <c r="F286" s="3292"/>
      <c r="G286" s="3292"/>
      <c r="H286" s="3292"/>
      <c r="I286" s="3292"/>
      <c r="J286" s="3292"/>
      <c r="K286" s="3292"/>
      <c r="L286" s="3292"/>
      <c r="M286" s="3292"/>
      <c r="N286" s="3293"/>
      <c r="O286" s="3293"/>
      <c r="P286" s="3292"/>
      <c r="Q286" s="3292"/>
      <c r="R286" s="3292"/>
      <c r="S286" s="3292"/>
      <c r="T286" s="3292"/>
      <c r="U286" s="3292"/>
      <c r="V286" s="3292"/>
      <c r="W286" s="3292"/>
      <c r="X286" s="3292"/>
      <c r="Y286" s="3292"/>
      <c r="Z286" s="3292"/>
      <c r="AA286" s="3292"/>
      <c r="AB286" s="3293"/>
      <c r="AC286" s="3293"/>
      <c r="AD286" s="3292"/>
      <c r="AE286" s="3292"/>
      <c r="AF286" s="3292"/>
      <c r="AG286" s="3292"/>
      <c r="AH286" s="187"/>
      <c r="AI286" s="185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D178-6F24-4A98-8E3F-CB3C53D77888}">
  <sheetPr codeName="Ark75"/>
  <dimension ref="A1:AO287"/>
  <sheetViews>
    <sheetView zoomScale="90" zoomScaleNormal="90" workbookViewId="0">
      <pane xSplit="2" ySplit="3" topLeftCell="AN73" activePane="bottomRight" state="frozen"/>
      <selection pane="topRight" activeCell="AJ75" sqref="AJ75"/>
      <selection pane="bottomLeft" activeCell="AJ75" sqref="AJ75"/>
      <selection pane="bottomRight" activeCell="AN73" sqref="AN73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40" ht="13.35" customHeight="1">
      <c r="A1" t="s">
        <v>0</v>
      </c>
      <c r="B1" s="1" t="s">
        <v>1</v>
      </c>
    </row>
    <row r="2" spans="1:40" ht="13.35" customHeight="1">
      <c r="B2" s="3294" t="s">
        <v>2</v>
      </c>
      <c r="C2" s="3295" t="s">
        <v>3</v>
      </c>
      <c r="D2" s="3296"/>
      <c r="E2" s="3297" t="s">
        <v>4</v>
      </c>
      <c r="F2" s="3298"/>
      <c r="G2" s="3299"/>
      <c r="H2" s="3299"/>
      <c r="I2" s="3299"/>
      <c r="J2" s="3299"/>
      <c r="K2" s="3300"/>
      <c r="L2" s="3301" t="s">
        <v>5</v>
      </c>
      <c r="M2" s="3302"/>
      <c r="N2" s="3303"/>
      <c r="O2" s="3304" t="s">
        <v>6</v>
      </c>
      <c r="P2" s="3305"/>
      <c r="Q2" s="3306"/>
      <c r="R2" s="3307"/>
      <c r="S2" s="3308" t="s">
        <v>7</v>
      </c>
      <c r="T2" s="3309"/>
      <c r="U2" s="3310"/>
      <c r="V2" s="3309"/>
      <c r="W2" s="3311" t="s">
        <v>8</v>
      </c>
      <c r="X2" s="3312"/>
      <c r="Y2" s="3313"/>
      <c r="Z2" s="163" t="s">
        <v>9</v>
      </c>
      <c r="AA2" s="3314"/>
      <c r="AB2" s="3315"/>
      <c r="AC2" s="3316"/>
      <c r="AD2" s="3317" t="s">
        <v>10</v>
      </c>
      <c r="AE2" s="3318"/>
      <c r="AF2" s="3318"/>
      <c r="AG2" s="3319"/>
    </row>
    <row r="3" spans="1:40" ht="13.35" customHeight="1">
      <c r="A3" s="1"/>
      <c r="B3" s="3320" t="s">
        <v>11</v>
      </c>
      <c r="C3" s="3321" t="s">
        <v>12</v>
      </c>
      <c r="D3" s="3322"/>
      <c r="E3" s="91"/>
      <c r="F3" s="92"/>
      <c r="G3" s="92"/>
      <c r="H3" s="164" t="s">
        <v>13</v>
      </c>
      <c r="I3" s="93"/>
      <c r="J3" s="93"/>
      <c r="K3" s="94"/>
      <c r="L3" s="3323" t="s">
        <v>14</v>
      </c>
      <c r="M3" s="3324"/>
      <c r="N3" s="3325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3324"/>
      <c r="AA3" s="3324"/>
      <c r="AB3" s="3326"/>
      <c r="AC3" s="3327"/>
      <c r="AD3" s="3328" t="s">
        <v>17</v>
      </c>
      <c r="AE3" s="3329"/>
      <c r="AF3" s="3329"/>
      <c r="AG3" s="3330"/>
    </row>
    <row r="4" spans="1:40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40" ht="22.35" customHeight="1">
      <c r="A5" s="161" t="s">
        <v>19</v>
      </c>
      <c r="B5" s="1"/>
    </row>
    <row r="6" spans="1:40" ht="22.35" customHeight="1">
      <c r="A6" s="3331" t="s">
        <v>20</v>
      </c>
      <c r="B6" s="3324"/>
      <c r="C6" s="3332"/>
      <c r="D6" s="3331" t="s">
        <v>21</v>
      </c>
      <c r="E6" s="3324"/>
      <c r="F6" s="3324"/>
      <c r="G6" s="3324"/>
      <c r="H6" s="3333"/>
      <c r="I6" s="3324"/>
      <c r="J6" s="3324"/>
      <c r="K6" s="3324"/>
      <c r="L6" s="3334" t="s">
        <v>22</v>
      </c>
      <c r="M6" s="3324"/>
      <c r="N6" s="3324"/>
      <c r="O6" s="3324"/>
      <c r="P6" s="3324"/>
      <c r="Q6" s="3324"/>
      <c r="R6" s="3324"/>
      <c r="S6" s="3332"/>
      <c r="T6" s="3335"/>
      <c r="U6" s="3324"/>
      <c r="V6" s="3324"/>
      <c r="W6" s="3324"/>
      <c r="X6" s="3324"/>
      <c r="Y6" s="3324"/>
      <c r="Z6" s="3324"/>
      <c r="AA6" s="3332"/>
      <c r="AB6" s="3336"/>
      <c r="AC6" s="3337"/>
      <c r="AD6" s="3337"/>
      <c r="AE6" s="3337"/>
      <c r="AF6" s="3337"/>
      <c r="AG6" s="3338"/>
    </row>
    <row r="7" spans="1:40" ht="22.35" customHeight="1">
      <c r="A7" s="3331" t="s">
        <v>23</v>
      </c>
      <c r="B7" s="3324"/>
      <c r="C7" s="3324"/>
      <c r="D7" s="3324"/>
      <c r="E7" s="3324"/>
      <c r="F7" s="3324"/>
      <c r="G7" s="3324"/>
      <c r="H7" s="3324"/>
      <c r="I7" s="3324"/>
      <c r="J7" s="3324"/>
      <c r="K7" s="3332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3324"/>
      <c r="V7" s="3324"/>
      <c r="W7" s="3324"/>
      <c r="X7" s="3324"/>
      <c r="Y7" s="3324"/>
      <c r="Z7" s="3324"/>
      <c r="AA7" s="3324"/>
      <c r="AB7" s="3339"/>
      <c r="AC7" s="3324"/>
      <c r="AD7" s="3324"/>
      <c r="AE7" s="3324"/>
      <c r="AF7" s="3324"/>
      <c r="AG7" s="3332"/>
    </row>
    <row r="8" spans="1:40" ht="22.35" customHeight="1">
      <c r="A8" s="161" t="s">
        <v>25</v>
      </c>
      <c r="L8" s="100"/>
      <c r="AB8" s="1"/>
    </row>
    <row r="9" spans="1:40" ht="22.35" customHeight="1">
      <c r="A9" s="161" t="s">
        <v>26</v>
      </c>
      <c r="L9" s="100"/>
      <c r="AB9" s="1"/>
    </row>
    <row r="10" spans="1:40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40" ht="22.35" customHeight="1" thickBot="1">
      <c r="A11" s="3340" t="s">
        <v>28</v>
      </c>
      <c r="B11" s="3341" t="s">
        <v>29</v>
      </c>
      <c r="C11" s="3343">
        <v>1</v>
      </c>
      <c r="D11" s="3343">
        <v>2</v>
      </c>
      <c r="E11" s="3342">
        <v>3</v>
      </c>
      <c r="F11" s="3342">
        <v>4</v>
      </c>
      <c r="G11" s="3342">
        <v>5</v>
      </c>
      <c r="H11" s="3342">
        <v>6</v>
      </c>
      <c r="I11" s="3342">
        <v>7</v>
      </c>
      <c r="J11" s="3343">
        <v>8</v>
      </c>
      <c r="K11" s="3343">
        <v>9</v>
      </c>
      <c r="L11" s="3342">
        <v>10</v>
      </c>
      <c r="M11" s="3342">
        <v>11</v>
      </c>
      <c r="N11" s="3342">
        <v>12</v>
      </c>
      <c r="O11" s="3342">
        <v>13</v>
      </c>
      <c r="P11" s="3342">
        <v>14</v>
      </c>
      <c r="Q11" s="3343">
        <v>15</v>
      </c>
      <c r="R11" s="3343">
        <v>16</v>
      </c>
      <c r="S11" s="3342">
        <v>17</v>
      </c>
      <c r="T11" s="3342">
        <v>18</v>
      </c>
      <c r="U11" s="3342">
        <v>19</v>
      </c>
      <c r="V11" s="3342">
        <v>20</v>
      </c>
      <c r="W11" s="3342">
        <v>21</v>
      </c>
      <c r="X11" s="3343">
        <v>22</v>
      </c>
      <c r="Y11" s="3343">
        <v>23</v>
      </c>
      <c r="Z11" s="3342">
        <v>24</v>
      </c>
      <c r="AA11" s="3342">
        <v>25</v>
      </c>
      <c r="AB11" s="3342">
        <v>26</v>
      </c>
      <c r="AC11" s="3342">
        <v>27</v>
      </c>
      <c r="AD11" s="3342">
        <v>28</v>
      </c>
      <c r="AE11" s="3343">
        <v>29</v>
      </c>
      <c r="AF11" s="3343">
        <v>30</v>
      </c>
      <c r="AG11" s="3432">
        <v>31</v>
      </c>
      <c r="AH11" s="176"/>
      <c r="AI11" s="177"/>
      <c r="AJ11" s="3346" t="s">
        <v>30</v>
      </c>
      <c r="AN11" t="s">
        <v>428</v>
      </c>
    </row>
    <row r="12" spans="1:40" ht="22.35" customHeight="1">
      <c r="A12" s="506">
        <v>1</v>
      </c>
      <c r="B12" s="389" t="s">
        <v>31</v>
      </c>
      <c r="C12" s="349"/>
      <c r="D12" s="349"/>
      <c r="E12" s="684" t="s">
        <v>32</v>
      </c>
      <c r="F12" s="684" t="s">
        <v>32</v>
      </c>
      <c r="G12" s="684" t="s">
        <v>278</v>
      </c>
      <c r="H12" s="349" t="s">
        <v>32</v>
      </c>
      <c r="I12" s="349" t="s">
        <v>32</v>
      </c>
      <c r="J12" s="349"/>
      <c r="K12" s="349"/>
      <c r="L12" s="349" t="s">
        <v>32</v>
      </c>
      <c r="M12" s="349" t="s">
        <v>32</v>
      </c>
      <c r="N12" s="349" t="s">
        <v>125</v>
      </c>
      <c r="O12" s="610" t="s">
        <v>32</v>
      </c>
      <c r="P12" s="349" t="s">
        <v>32</v>
      </c>
      <c r="Q12" s="681"/>
      <c r="R12" s="349"/>
      <c r="S12" s="349" t="s">
        <v>32</v>
      </c>
      <c r="T12" s="349" t="s">
        <v>32</v>
      </c>
      <c r="U12" s="349" t="s">
        <v>32</v>
      </c>
      <c r="V12" s="349" t="s">
        <v>32</v>
      </c>
      <c r="W12" s="349" t="s">
        <v>32</v>
      </c>
      <c r="X12" s="349"/>
      <c r="Y12" s="349"/>
      <c r="Z12" s="349" t="s">
        <v>32</v>
      </c>
      <c r="AA12" s="349" t="s">
        <v>32</v>
      </c>
      <c r="AB12" s="349" t="s">
        <v>32</v>
      </c>
      <c r="AC12" s="349" t="s">
        <v>32</v>
      </c>
      <c r="AD12" s="349" t="s">
        <v>32</v>
      </c>
      <c r="AE12" s="349"/>
      <c r="AF12" s="349"/>
      <c r="AG12" s="349" t="s">
        <v>32</v>
      </c>
      <c r="AH12" s="182"/>
      <c r="AI12" s="182"/>
      <c r="AJ12" s="3346">
        <v>160.33000000000001</v>
      </c>
    </row>
    <row r="13" spans="1:40" ht="22.35" customHeight="1">
      <c r="A13" s="3347" t="s">
        <v>33</v>
      </c>
      <c r="B13" s="3348"/>
      <c r="C13" s="3348"/>
      <c r="D13" s="3348"/>
      <c r="E13" s="3348"/>
      <c r="F13" s="3348"/>
      <c r="G13" s="3348"/>
      <c r="H13" s="3348"/>
      <c r="I13" s="3348"/>
      <c r="J13" s="3348"/>
      <c r="K13" s="3348"/>
      <c r="L13" s="3348"/>
      <c r="M13" s="3348"/>
      <c r="N13" s="3348"/>
      <c r="O13" s="3348"/>
      <c r="P13" s="3348"/>
      <c r="Q13" s="3348"/>
      <c r="R13" s="3348"/>
      <c r="S13" s="3348"/>
      <c r="T13" s="3348"/>
      <c r="U13" s="3348"/>
      <c r="V13" s="3348"/>
      <c r="W13" s="3348"/>
      <c r="X13" s="3348"/>
      <c r="Y13" s="3348"/>
      <c r="Z13" s="3348"/>
      <c r="AA13" s="3348"/>
      <c r="AB13" s="3348"/>
      <c r="AC13" s="3348"/>
      <c r="AD13" s="3348"/>
      <c r="AE13" s="3348"/>
      <c r="AF13" s="3348"/>
      <c r="AG13" s="3349"/>
      <c r="AH13" s="180"/>
      <c r="AI13" s="180"/>
    </row>
    <row r="14" spans="1:40" ht="22.35" customHeight="1">
      <c r="A14" s="3350">
        <v>2</v>
      </c>
      <c r="B14" s="3376" t="s">
        <v>51</v>
      </c>
      <c r="C14" s="3352" t="s">
        <v>35</v>
      </c>
      <c r="D14" s="3352" t="s">
        <v>35</v>
      </c>
      <c r="E14" s="3352" t="s">
        <v>36</v>
      </c>
      <c r="F14" s="3352" t="s">
        <v>36</v>
      </c>
      <c r="G14" s="3352" t="s">
        <v>36</v>
      </c>
      <c r="H14" s="3353" t="s">
        <v>36</v>
      </c>
      <c r="I14" s="3368" t="s">
        <v>36</v>
      </c>
      <c r="J14" s="3353"/>
      <c r="K14" s="3354"/>
      <c r="L14" s="3353">
        <v>4</v>
      </c>
      <c r="M14" s="3355">
        <v>4</v>
      </c>
      <c r="N14" s="3352">
        <v>4</v>
      </c>
      <c r="O14" s="3352">
        <v>4</v>
      </c>
      <c r="P14" s="3356">
        <v>4</v>
      </c>
      <c r="Q14" s="3356" t="s">
        <v>37</v>
      </c>
      <c r="R14" s="3353" t="s">
        <v>37</v>
      </c>
      <c r="S14" s="3357" t="s">
        <v>36</v>
      </c>
      <c r="T14" s="3356" t="s">
        <v>36</v>
      </c>
      <c r="U14" s="3356" t="s">
        <v>36</v>
      </c>
      <c r="V14" s="3353" t="s">
        <v>36</v>
      </c>
      <c r="W14" s="3353" t="s">
        <v>36</v>
      </c>
      <c r="X14" s="3353"/>
      <c r="Y14" s="3353"/>
      <c r="Z14" s="3353">
        <v>1</v>
      </c>
      <c r="AA14" s="3353">
        <v>1</v>
      </c>
      <c r="AB14" s="3353">
        <v>1</v>
      </c>
      <c r="AC14" s="3353">
        <v>1</v>
      </c>
      <c r="AD14" s="3353">
        <v>1</v>
      </c>
      <c r="AE14" s="3353"/>
      <c r="AF14" s="3353"/>
      <c r="AG14" s="3358">
        <v>2</v>
      </c>
      <c r="AH14" s="182"/>
      <c r="AI14" s="182"/>
    </row>
    <row r="15" spans="1:40" ht="22.35" customHeight="1">
      <c r="A15" s="3350">
        <v>3</v>
      </c>
      <c r="B15" s="3359" t="s">
        <v>38</v>
      </c>
      <c r="C15" s="3354"/>
      <c r="D15" s="3353"/>
      <c r="E15" s="3353">
        <v>2</v>
      </c>
      <c r="F15" s="3353">
        <v>2</v>
      </c>
      <c r="G15" s="3353">
        <v>2</v>
      </c>
      <c r="H15" s="3353">
        <v>2</v>
      </c>
      <c r="I15" s="3353">
        <v>2</v>
      </c>
      <c r="J15" s="3354" t="s">
        <v>35</v>
      </c>
      <c r="K15" s="3356" t="s">
        <v>35</v>
      </c>
      <c r="L15" s="3368" t="s">
        <v>36</v>
      </c>
      <c r="M15" s="3368" t="s">
        <v>36</v>
      </c>
      <c r="N15" s="3353" t="s">
        <v>36</v>
      </c>
      <c r="O15" s="3353" t="s">
        <v>36</v>
      </c>
      <c r="P15" s="3353" t="s">
        <v>36</v>
      </c>
      <c r="Q15" s="3353"/>
      <c r="R15" s="3353"/>
      <c r="S15" s="3427">
        <v>4</v>
      </c>
      <c r="T15" s="3427">
        <v>4</v>
      </c>
      <c r="U15" s="3427">
        <v>4</v>
      </c>
      <c r="V15" s="3427">
        <v>4</v>
      </c>
      <c r="W15" s="3427">
        <v>4</v>
      </c>
      <c r="X15" s="3353" t="s">
        <v>37</v>
      </c>
      <c r="Y15" s="3353" t="s">
        <v>37</v>
      </c>
      <c r="Z15" s="3353" t="s">
        <v>36</v>
      </c>
      <c r="AA15" s="3353" t="s">
        <v>36</v>
      </c>
      <c r="AB15" s="3353" t="s">
        <v>36</v>
      </c>
      <c r="AC15" s="3353" t="s">
        <v>36</v>
      </c>
      <c r="AD15" s="3353" t="s">
        <v>36</v>
      </c>
      <c r="AE15" s="3353"/>
      <c r="AF15" s="3353"/>
      <c r="AG15" s="3358">
        <v>1</v>
      </c>
      <c r="AH15" s="182"/>
      <c r="AI15" s="182"/>
      <c r="AL15" t="s">
        <v>0</v>
      </c>
    </row>
    <row r="16" spans="1:40" ht="22.35" customHeight="1">
      <c r="A16" s="3350">
        <v>4</v>
      </c>
      <c r="B16" s="3361" t="s">
        <v>39</v>
      </c>
      <c r="C16" s="3356" t="s">
        <v>37</v>
      </c>
      <c r="D16" s="3353" t="s">
        <v>37</v>
      </c>
      <c r="E16" s="3353" t="s">
        <v>36</v>
      </c>
      <c r="F16" s="3353" t="s">
        <v>36</v>
      </c>
      <c r="G16" s="3353" t="s">
        <v>36</v>
      </c>
      <c r="H16" s="3353" t="s">
        <v>36</v>
      </c>
      <c r="I16" s="3353" t="s">
        <v>36</v>
      </c>
      <c r="J16" s="3353"/>
      <c r="K16" s="3353"/>
      <c r="L16" s="3353">
        <v>1</v>
      </c>
      <c r="M16" s="3353">
        <v>1</v>
      </c>
      <c r="N16" s="3356">
        <v>1</v>
      </c>
      <c r="O16" s="3610">
        <v>1</v>
      </c>
      <c r="P16" s="3356">
        <v>1</v>
      </c>
      <c r="Q16" s="3356"/>
      <c r="R16" s="3356"/>
      <c r="S16" s="3353">
        <v>2</v>
      </c>
      <c r="T16" s="3353">
        <v>2</v>
      </c>
      <c r="U16" s="3353">
        <v>2</v>
      </c>
      <c r="V16" s="3353">
        <v>2</v>
      </c>
      <c r="W16" s="3362">
        <v>2</v>
      </c>
      <c r="X16" s="3362" t="s">
        <v>35</v>
      </c>
      <c r="Y16" s="3362" t="s">
        <v>35</v>
      </c>
      <c r="Z16" s="3362" t="s">
        <v>36</v>
      </c>
      <c r="AA16" s="3362" t="s">
        <v>36</v>
      </c>
      <c r="AB16" s="3362" t="s">
        <v>36</v>
      </c>
      <c r="AC16" s="3611" t="s">
        <v>36</v>
      </c>
      <c r="AD16" s="3612" t="s">
        <v>36</v>
      </c>
      <c r="AE16" s="3612"/>
      <c r="AF16" s="3612"/>
      <c r="AG16" s="3613">
        <v>4</v>
      </c>
      <c r="AH16" s="182"/>
      <c r="AI16" s="182"/>
    </row>
    <row r="17" spans="1:40" ht="22.35" customHeight="1">
      <c r="A17" s="3350">
        <v>5</v>
      </c>
      <c r="B17" s="3359" t="s">
        <v>40</v>
      </c>
      <c r="C17" s="3427"/>
      <c r="D17" s="3427"/>
      <c r="E17" s="3427">
        <v>4</v>
      </c>
      <c r="F17" s="3427">
        <v>4</v>
      </c>
      <c r="G17" s="3427">
        <v>4</v>
      </c>
      <c r="H17" s="3427">
        <v>4</v>
      </c>
      <c r="I17" s="3427">
        <v>4</v>
      </c>
      <c r="J17" s="3353" t="s">
        <v>37</v>
      </c>
      <c r="K17" s="3353" t="s">
        <v>37</v>
      </c>
      <c r="L17" s="3353" t="s">
        <v>36</v>
      </c>
      <c r="M17" s="3610" t="s">
        <v>36</v>
      </c>
      <c r="N17" s="3352" t="s">
        <v>36</v>
      </c>
      <c r="O17" s="3352" t="s">
        <v>36</v>
      </c>
      <c r="P17" s="3352" t="s">
        <v>36</v>
      </c>
      <c r="Q17" s="3352"/>
      <c r="R17" s="3352"/>
      <c r="S17" s="3352">
        <v>1</v>
      </c>
      <c r="T17" s="3353">
        <v>1</v>
      </c>
      <c r="U17" s="3353">
        <v>1</v>
      </c>
      <c r="V17" s="3614">
        <v>1</v>
      </c>
      <c r="W17" s="3368">
        <v>1</v>
      </c>
      <c r="X17" s="3354"/>
      <c r="Y17" s="3368" t="s">
        <v>35</v>
      </c>
      <c r="Z17" s="3353">
        <v>2</v>
      </c>
      <c r="AA17" s="3615">
        <v>2</v>
      </c>
      <c r="AB17" s="3615">
        <v>2</v>
      </c>
      <c r="AC17" s="3615">
        <v>2</v>
      </c>
      <c r="AD17" s="3615">
        <v>2</v>
      </c>
      <c r="AE17" s="3615" t="s">
        <v>35</v>
      </c>
      <c r="AF17" s="3615" t="s">
        <v>35</v>
      </c>
      <c r="AG17" s="3358" t="s">
        <v>36</v>
      </c>
      <c r="AH17" s="182"/>
      <c r="AI17" s="182"/>
    </row>
    <row r="18" spans="1:40" ht="22.35" customHeight="1">
      <c r="A18" s="3350">
        <v>6</v>
      </c>
      <c r="B18" s="3361" t="s">
        <v>41</v>
      </c>
      <c r="C18" s="3353"/>
      <c r="D18" s="3354"/>
      <c r="E18" s="3353">
        <v>1</v>
      </c>
      <c r="F18" s="3353">
        <v>1</v>
      </c>
      <c r="G18" s="3353">
        <v>1</v>
      </c>
      <c r="H18" s="3616">
        <v>1</v>
      </c>
      <c r="I18" s="3616">
        <v>1</v>
      </c>
      <c r="J18" s="3356"/>
      <c r="K18" s="3356"/>
      <c r="L18" s="3353">
        <v>2</v>
      </c>
      <c r="M18" s="3610">
        <v>2</v>
      </c>
      <c r="N18" s="3356">
        <v>2</v>
      </c>
      <c r="O18" s="3353">
        <v>2</v>
      </c>
      <c r="P18" s="3356">
        <v>2</v>
      </c>
      <c r="Q18" s="3356" t="s">
        <v>35</v>
      </c>
      <c r="R18" s="3356" t="s">
        <v>35</v>
      </c>
      <c r="S18" s="3356" t="s">
        <v>36</v>
      </c>
      <c r="T18" s="3356" t="s">
        <v>36</v>
      </c>
      <c r="U18" s="3355" t="s">
        <v>36</v>
      </c>
      <c r="V18" s="3355" t="s">
        <v>36</v>
      </c>
      <c r="W18" s="3353" t="s">
        <v>36</v>
      </c>
      <c r="X18" s="3353"/>
      <c r="Y18" s="3353"/>
      <c r="Z18" s="3353">
        <v>4</v>
      </c>
      <c r="AA18" s="3353">
        <v>4</v>
      </c>
      <c r="AB18" s="3353">
        <v>4</v>
      </c>
      <c r="AC18" s="3369">
        <v>4</v>
      </c>
      <c r="AD18" s="3353">
        <v>4</v>
      </c>
      <c r="AE18" s="3353" t="s">
        <v>37</v>
      </c>
      <c r="AF18" s="3353" t="s">
        <v>37</v>
      </c>
      <c r="AG18" s="3358" t="s">
        <v>36</v>
      </c>
      <c r="AH18" s="182"/>
      <c r="AI18" s="182"/>
    </row>
    <row r="19" spans="1:40" ht="22.35" customHeight="1" thickBot="1">
      <c r="A19" s="3370" t="s">
        <v>42</v>
      </c>
      <c r="B19" s="3371"/>
      <c r="C19" s="3372"/>
      <c r="D19" s="3372"/>
      <c r="E19" s="3372"/>
      <c r="F19" s="3372"/>
      <c r="G19" s="3372"/>
      <c r="H19" s="3372"/>
      <c r="I19" s="3372"/>
      <c r="J19" s="3372"/>
      <c r="K19" s="3372"/>
      <c r="L19" s="3372"/>
      <c r="M19" s="3372"/>
      <c r="N19" s="3372"/>
      <c r="O19" s="3372"/>
      <c r="P19" s="3372"/>
      <c r="Q19" s="3372"/>
      <c r="R19" s="3372"/>
      <c r="S19" s="3372"/>
      <c r="T19" s="3372"/>
      <c r="U19" s="3372"/>
      <c r="V19" s="3372"/>
      <c r="W19" s="3372"/>
      <c r="X19" s="3372"/>
      <c r="Y19" s="3372"/>
      <c r="Z19" s="3372"/>
      <c r="AA19" s="3372"/>
      <c r="AB19" s="3372"/>
      <c r="AC19" s="3372"/>
      <c r="AD19" s="3372"/>
      <c r="AE19" s="3372"/>
      <c r="AF19" s="3372"/>
      <c r="AG19" s="3373"/>
      <c r="AH19" s="180"/>
      <c r="AI19" s="180"/>
      <c r="AJ19" s="3346" t="s">
        <v>30</v>
      </c>
      <c r="AK19" s="3346" t="s">
        <v>43</v>
      </c>
      <c r="AL19" s="3346" t="s">
        <v>44</v>
      </c>
      <c r="AM19" s="3346" t="s">
        <v>45</v>
      </c>
      <c r="AN19" s="3346" t="s">
        <v>46</v>
      </c>
    </row>
    <row r="20" spans="1:40" ht="22.35" customHeight="1" thickBot="1">
      <c r="A20" s="678">
        <v>7</v>
      </c>
      <c r="B20" s="679" t="s">
        <v>48</v>
      </c>
      <c r="C20" s="349"/>
      <c r="D20" s="349"/>
      <c r="E20" s="349" t="s">
        <v>32</v>
      </c>
      <c r="F20" s="349" t="s">
        <v>32</v>
      </c>
      <c r="G20" s="349" t="s">
        <v>32</v>
      </c>
      <c r="H20" s="349" t="s">
        <v>32</v>
      </c>
      <c r="I20" s="349" t="s">
        <v>32</v>
      </c>
      <c r="J20" s="349"/>
      <c r="K20" s="349"/>
      <c r="L20" s="349" t="s">
        <v>32</v>
      </c>
      <c r="M20" s="349" t="s">
        <v>32</v>
      </c>
      <c r="N20" s="349" t="s">
        <v>32</v>
      </c>
      <c r="O20" s="610" t="s">
        <v>32</v>
      </c>
      <c r="P20" s="349" t="s">
        <v>32</v>
      </c>
      <c r="Q20" s="681"/>
      <c r="R20" s="349"/>
      <c r="S20" s="349" t="s">
        <v>32</v>
      </c>
      <c r="T20" s="349" t="s">
        <v>32</v>
      </c>
      <c r="U20" s="349" t="s">
        <v>32</v>
      </c>
      <c r="V20" s="349" t="s">
        <v>32</v>
      </c>
      <c r="W20" s="349" t="s">
        <v>32</v>
      </c>
      <c r="X20" s="571" t="s">
        <v>35</v>
      </c>
      <c r="Y20" s="349"/>
      <c r="Z20" s="349" t="s">
        <v>32</v>
      </c>
      <c r="AA20" s="349" t="s">
        <v>32</v>
      </c>
      <c r="AB20" s="349" t="s">
        <v>32</v>
      </c>
      <c r="AC20" s="349" t="s">
        <v>32</v>
      </c>
      <c r="AD20" s="349" t="s">
        <v>113</v>
      </c>
      <c r="AE20" s="349"/>
      <c r="AF20" s="349"/>
      <c r="AG20" s="397" t="s">
        <v>32</v>
      </c>
      <c r="AH20" s="182"/>
      <c r="AI20" s="182"/>
      <c r="AJ20" s="3125"/>
      <c r="AK20" s="3125"/>
      <c r="AL20" s="3125" t="str">
        <f>IF(AJ20="","",SUM(AJ20:AK20))</f>
        <v/>
      </c>
      <c r="AM20" s="3374" t="str">
        <f>IF(AJ20="","",AL20-NormTid)</f>
        <v/>
      </c>
      <c r="AN20" s="3374" t="str">
        <f>AM20</f>
        <v/>
      </c>
    </row>
    <row r="21" spans="1:40" ht="22.35" customHeight="1" thickBot="1">
      <c r="A21" s="3375">
        <v>8</v>
      </c>
      <c r="B21" s="3376" t="s">
        <v>49</v>
      </c>
      <c r="C21" s="3378"/>
      <c r="D21" s="3378"/>
      <c r="E21" s="3378">
        <v>2</v>
      </c>
      <c r="F21" s="3378">
        <v>2</v>
      </c>
      <c r="G21" s="3378">
        <v>2</v>
      </c>
      <c r="H21" s="3378">
        <v>2</v>
      </c>
      <c r="I21" s="3378">
        <v>2</v>
      </c>
      <c r="J21" s="3378"/>
      <c r="K21" s="3378"/>
      <c r="L21" s="307">
        <v>69</v>
      </c>
      <c r="M21" s="690" t="s">
        <v>125</v>
      </c>
      <c r="N21" s="307" t="s">
        <v>32</v>
      </c>
      <c r="O21" s="3385" t="s">
        <v>32</v>
      </c>
      <c r="P21" s="3378" t="s">
        <v>32</v>
      </c>
      <c r="Q21" s="307"/>
      <c r="R21" s="3378"/>
      <c r="S21" s="3617" t="s">
        <v>32</v>
      </c>
      <c r="T21" s="3378">
        <v>69</v>
      </c>
      <c r="U21" s="3617" t="s">
        <v>32</v>
      </c>
      <c r="V21" s="571" t="s">
        <v>32</v>
      </c>
      <c r="W21" s="3378" t="s">
        <v>32</v>
      </c>
      <c r="X21" s="3378"/>
      <c r="Y21" s="3380"/>
      <c r="Z21" s="3380" t="s">
        <v>32</v>
      </c>
      <c r="AA21" s="3378" t="s">
        <v>50</v>
      </c>
      <c r="AB21" s="3617" t="s">
        <v>32</v>
      </c>
      <c r="AC21" s="3378" t="s">
        <v>113</v>
      </c>
      <c r="AD21" s="3378" t="s">
        <v>32</v>
      </c>
      <c r="AE21" s="3378"/>
      <c r="AF21" s="3378"/>
      <c r="AG21" s="3381">
        <v>4</v>
      </c>
      <c r="AH21" s="182"/>
      <c r="AI21" s="182"/>
      <c r="AJ21" s="3125">
        <v>157.75</v>
      </c>
      <c r="AK21" s="3125">
        <v>2.25</v>
      </c>
      <c r="AL21" s="3125">
        <f t="shared" ref="AL21:AL23" si="0">IF(AJ21="","",SUM(AJ21:AK21))</f>
        <v>160</v>
      </c>
      <c r="AM21" s="3374">
        <f>IF(AJ21="","",AL21-NormTid)</f>
        <v>-0.33000000000001251</v>
      </c>
      <c r="AN21" s="3374">
        <f t="shared" ref="AN21:AN23" si="1">AM21</f>
        <v>-0.33000000000001251</v>
      </c>
    </row>
    <row r="22" spans="1:40" ht="22.35" customHeight="1">
      <c r="A22" s="3375">
        <v>9</v>
      </c>
      <c r="B22" s="3376" t="s">
        <v>429</v>
      </c>
      <c r="C22" s="3378"/>
      <c r="D22" s="3378"/>
      <c r="E22" s="3378" t="s">
        <v>32</v>
      </c>
      <c r="F22" s="3378">
        <v>99</v>
      </c>
      <c r="G22" s="3378">
        <v>99</v>
      </c>
      <c r="H22" s="3378">
        <v>1</v>
      </c>
      <c r="I22" s="3378">
        <v>1</v>
      </c>
      <c r="J22" s="3378"/>
      <c r="K22" s="3378"/>
      <c r="L22" s="3392" t="s">
        <v>32</v>
      </c>
      <c r="M22" s="3586" t="s">
        <v>32</v>
      </c>
      <c r="N22" s="3392" t="s">
        <v>32</v>
      </c>
      <c r="O22" s="3618" t="s">
        <v>32</v>
      </c>
      <c r="P22" s="3392" t="s">
        <v>32</v>
      </c>
      <c r="Q22" s="307"/>
      <c r="R22" s="3382"/>
      <c r="S22" s="3392" t="s">
        <v>32</v>
      </c>
      <c r="T22" s="3392" t="s">
        <v>135</v>
      </c>
      <c r="U22" s="3619" t="s">
        <v>135</v>
      </c>
      <c r="V22" s="684" t="s">
        <v>32</v>
      </c>
      <c r="W22" s="3619" t="s">
        <v>32</v>
      </c>
      <c r="X22" s="3605"/>
      <c r="Y22" s="3605"/>
      <c r="Z22" s="3605" t="s">
        <v>32</v>
      </c>
      <c r="AA22" s="3605" t="s">
        <v>278</v>
      </c>
      <c r="AB22" s="3378" t="s">
        <v>246</v>
      </c>
      <c r="AC22" s="3378" t="s">
        <v>246</v>
      </c>
      <c r="AD22" s="3378" t="s">
        <v>246</v>
      </c>
      <c r="AE22" s="3378"/>
      <c r="AF22" s="3378"/>
      <c r="AG22" s="3383" t="s">
        <v>246</v>
      </c>
      <c r="AH22" s="182"/>
      <c r="AI22" s="182"/>
      <c r="AJ22" s="3125">
        <v>160</v>
      </c>
      <c r="AK22" s="3125">
        <v>2.5</v>
      </c>
      <c r="AL22" s="3125">
        <f t="shared" si="0"/>
        <v>162.5</v>
      </c>
      <c r="AM22" s="3374">
        <f>IF(AJ22="","",AL22-NormTid)</f>
        <v>2.1699999999999875</v>
      </c>
      <c r="AN22" s="3374">
        <f t="shared" si="1"/>
        <v>2.1699999999999875</v>
      </c>
    </row>
    <row r="23" spans="1:40" ht="22.35" customHeight="1">
      <c r="A23" s="3375"/>
      <c r="B23" s="3384"/>
      <c r="C23" s="3378"/>
      <c r="D23" s="3380"/>
      <c r="E23" s="3378"/>
      <c r="F23" s="3378"/>
      <c r="G23" s="3378"/>
      <c r="H23" s="3378"/>
      <c r="I23" s="3378"/>
      <c r="J23" s="3378"/>
      <c r="K23" s="3378"/>
      <c r="L23" s="3378"/>
      <c r="M23" s="3378"/>
      <c r="N23" s="3378"/>
      <c r="O23" s="3386"/>
      <c r="P23" s="3378"/>
      <c r="Q23" s="3378"/>
      <c r="R23" s="3387"/>
      <c r="S23" s="3387"/>
      <c r="T23" s="3378"/>
      <c r="U23" s="3378"/>
      <c r="V23" s="3378"/>
      <c r="W23" s="3378"/>
      <c r="X23" s="3378"/>
      <c r="Y23" s="3378"/>
      <c r="Z23" s="3378"/>
      <c r="AA23" s="3378"/>
      <c r="AB23" s="3378"/>
      <c r="AC23" s="3382"/>
      <c r="AD23" s="3382"/>
      <c r="AE23" s="3382"/>
      <c r="AF23" s="3382"/>
      <c r="AG23" s="3383"/>
      <c r="AJ23" s="3125"/>
      <c r="AK23" s="3125"/>
      <c r="AL23" s="3125" t="str">
        <f t="shared" si="0"/>
        <v/>
      </c>
      <c r="AM23" s="3374" t="str">
        <f>IF(AJ23="","",AL23-NormTid)</f>
        <v/>
      </c>
      <c r="AN23" s="3374" t="str">
        <f t="shared" si="1"/>
        <v/>
      </c>
    </row>
    <row r="24" spans="1:40" ht="22.35" customHeight="1" thickBot="1">
      <c r="A24" s="1283">
        <v>10</v>
      </c>
      <c r="B24" s="3388" t="s">
        <v>54</v>
      </c>
      <c r="C24" s="3378"/>
      <c r="D24" s="3378"/>
      <c r="E24" s="3378" t="s">
        <v>32</v>
      </c>
      <c r="F24" s="3378" t="s">
        <v>32</v>
      </c>
      <c r="G24" s="3378" t="s">
        <v>32</v>
      </c>
      <c r="H24" s="3378" t="s">
        <v>32</v>
      </c>
      <c r="I24" s="3378" t="s">
        <v>32</v>
      </c>
      <c r="J24" s="3378"/>
      <c r="K24" s="3378"/>
      <c r="L24" s="3378" t="s">
        <v>32</v>
      </c>
      <c r="M24" s="3378" t="s">
        <v>32</v>
      </c>
      <c r="N24" s="3382" t="s">
        <v>32</v>
      </c>
      <c r="O24" s="3382" t="s">
        <v>32</v>
      </c>
      <c r="P24" s="3382" t="s">
        <v>32</v>
      </c>
      <c r="Q24" s="3380"/>
      <c r="R24" s="3382"/>
      <c r="S24" s="3378" t="s">
        <v>32</v>
      </c>
      <c r="T24" s="3378" t="s">
        <v>32</v>
      </c>
      <c r="U24" s="3382" t="s">
        <v>32</v>
      </c>
      <c r="V24" s="3382" t="s">
        <v>32</v>
      </c>
      <c r="W24" s="3382" t="s">
        <v>32</v>
      </c>
      <c r="X24" s="3378"/>
      <c r="Y24" s="3382"/>
      <c r="Z24" s="3378" t="s">
        <v>32</v>
      </c>
      <c r="AA24" s="3378" t="s">
        <v>32</v>
      </c>
      <c r="AB24" s="3378" t="s">
        <v>32</v>
      </c>
      <c r="AC24" s="3603" t="s">
        <v>32</v>
      </c>
      <c r="AD24" s="3603" t="s">
        <v>32</v>
      </c>
      <c r="AE24" s="3378"/>
      <c r="AF24" s="3378"/>
      <c r="AG24" s="3620" t="s">
        <v>32</v>
      </c>
    </row>
    <row r="25" spans="1:40" ht="22.35" customHeight="1">
      <c r="A25" s="102"/>
      <c r="K25" t="s">
        <v>0</v>
      </c>
      <c r="M25" t="s">
        <v>0</v>
      </c>
      <c r="N25" t="s">
        <v>0</v>
      </c>
      <c r="O25" t="s">
        <v>0</v>
      </c>
      <c r="P25" t="s">
        <v>0</v>
      </c>
      <c r="Q25" t="s">
        <v>0</v>
      </c>
      <c r="R25" t="s">
        <v>0</v>
      </c>
      <c r="U25" t="s">
        <v>0</v>
      </c>
      <c r="AC25" t="s">
        <v>0</v>
      </c>
      <c r="AD25" t="s">
        <v>0</v>
      </c>
      <c r="AF25" s="192" t="s">
        <v>0</v>
      </c>
      <c r="AG25" s="3392" t="s">
        <v>0</v>
      </c>
    </row>
    <row r="26" spans="1:40" ht="22.35" customHeight="1">
      <c r="A26" s="102"/>
      <c r="N26" t="s">
        <v>0</v>
      </c>
      <c r="O26" t="s">
        <v>0</v>
      </c>
      <c r="P26" t="s">
        <v>0</v>
      </c>
      <c r="S26" t="s">
        <v>0</v>
      </c>
      <c r="T26" t="s">
        <v>0</v>
      </c>
      <c r="U26">
        <v>69</v>
      </c>
      <c r="V26" t="s">
        <v>0</v>
      </c>
      <c r="W26" t="s">
        <v>0</v>
      </c>
      <c r="X26" t="s">
        <v>0</v>
      </c>
      <c r="Y26" t="s">
        <v>0</v>
      </c>
      <c r="AB26" t="s">
        <v>0</v>
      </c>
      <c r="AC26" t="s">
        <v>0</v>
      </c>
      <c r="AD26" t="s">
        <v>135</v>
      </c>
      <c r="AE26" t="s">
        <v>0</v>
      </c>
      <c r="AG26" t="s">
        <v>0</v>
      </c>
    </row>
    <row r="27" spans="1:40" ht="22.35" customHeight="1">
      <c r="A27" s="102"/>
      <c r="R27" s="192" t="s">
        <v>0</v>
      </c>
      <c r="V27">
        <v>89</v>
      </c>
      <c r="W27" t="s">
        <v>0</v>
      </c>
      <c r="AE27" t="s">
        <v>0</v>
      </c>
      <c r="AG27" t="s">
        <v>127</v>
      </c>
    </row>
    <row r="28" spans="1:40" ht="22.35" customHeight="1">
      <c r="A28" s="102"/>
      <c r="L28">
        <v>1</v>
      </c>
      <c r="M28">
        <v>1</v>
      </c>
      <c r="N28">
        <v>1</v>
      </c>
      <c r="O28">
        <v>1</v>
      </c>
      <c r="P28">
        <v>1</v>
      </c>
      <c r="S28">
        <v>3</v>
      </c>
      <c r="U28" t="s">
        <v>0</v>
      </c>
      <c r="V28" s="211" t="s">
        <v>0</v>
      </c>
      <c r="W28" t="s">
        <v>0</v>
      </c>
      <c r="AG28">
        <v>22</v>
      </c>
    </row>
    <row r="29" spans="1:40" ht="22.35" customHeight="1">
      <c r="A29" s="102"/>
      <c r="L29" t="s">
        <v>183</v>
      </c>
      <c r="M29" s="200" t="s">
        <v>183</v>
      </c>
      <c r="N29" t="s">
        <v>0</v>
      </c>
      <c r="O29" t="s">
        <v>0</v>
      </c>
      <c r="P29" t="s">
        <v>0</v>
      </c>
      <c r="T29" t="s">
        <v>0</v>
      </c>
      <c r="U29" t="s">
        <v>0</v>
      </c>
      <c r="V29" t="s">
        <v>0</v>
      </c>
      <c r="W29" t="s">
        <v>0</v>
      </c>
    </row>
    <row r="30" spans="1:40" ht="22.35" customHeight="1">
      <c r="A30" s="102"/>
      <c r="L30" t="s">
        <v>0</v>
      </c>
      <c r="M30" t="s">
        <v>0</v>
      </c>
      <c r="N30" t="s">
        <v>0</v>
      </c>
      <c r="O30" t="s">
        <v>0</v>
      </c>
      <c r="P30" t="s">
        <v>0</v>
      </c>
      <c r="T30" t="s">
        <v>0</v>
      </c>
      <c r="U30" t="s">
        <v>0</v>
      </c>
    </row>
    <row r="31" spans="1:40" ht="12.75" customHeight="1" thickBot="1">
      <c r="A31" s="161" t="s">
        <v>55</v>
      </c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K31" s="1"/>
    </row>
    <row r="32" spans="1:40" ht="28.5" customHeight="1">
      <c r="A32" s="247" t="s">
        <v>56</v>
      </c>
      <c r="B32" s="313"/>
      <c r="C32" s="313"/>
      <c r="D32" s="355" t="s">
        <v>57</v>
      </c>
      <c r="E32" s="314"/>
      <c r="F32" s="314"/>
      <c r="G32" s="314"/>
      <c r="H32" s="314"/>
      <c r="I32" s="314"/>
      <c r="J32" s="314"/>
      <c r="K32" s="314"/>
      <c r="L32" s="314"/>
      <c r="M32" s="315" t="s">
        <v>58</v>
      </c>
      <c r="N32" s="314"/>
      <c r="O32" s="314"/>
      <c r="P32" s="314"/>
      <c r="Q32" s="314"/>
      <c r="R32" s="314"/>
      <c r="S32" s="316"/>
      <c r="T32" s="4033" t="s">
        <v>59</v>
      </c>
      <c r="U32" s="4034"/>
      <c r="V32" s="4034"/>
      <c r="W32" s="4034"/>
      <c r="X32" s="4034"/>
      <c r="Y32" s="4034"/>
      <c r="Z32" s="4035"/>
      <c r="AA32" s="356" t="s">
        <v>60</v>
      </c>
      <c r="AB32" s="357"/>
      <c r="AC32" s="357"/>
      <c r="AD32" s="357"/>
      <c r="AE32" s="357"/>
      <c r="AF32" s="357"/>
      <c r="AG32" s="358"/>
      <c r="AK32" s="1"/>
    </row>
    <row r="33" spans="1:38" ht="22.35" customHeight="1">
      <c r="A33" s="3394" t="s">
        <v>61</v>
      </c>
      <c r="B33" s="3337"/>
      <c r="C33" s="3337"/>
      <c r="D33" s="3395" t="s">
        <v>62</v>
      </c>
      <c r="E33" s="3396"/>
      <c r="F33" s="3324"/>
      <c r="G33" s="3324"/>
      <c r="H33" s="3324"/>
      <c r="I33" s="3324"/>
      <c r="J33" s="3324"/>
      <c r="K33" s="3324"/>
      <c r="L33" s="3332"/>
      <c r="M33" s="3397" t="s">
        <v>63</v>
      </c>
      <c r="N33" s="3337"/>
      <c r="O33" s="3398"/>
      <c r="P33" s="3337"/>
      <c r="Q33" s="3337"/>
      <c r="R33" s="3337"/>
      <c r="S33" s="3399"/>
      <c r="T33" s="3395" t="s">
        <v>64</v>
      </c>
      <c r="U33" s="3324"/>
      <c r="V33" s="3396"/>
      <c r="W33" s="3324"/>
      <c r="X33" s="3324"/>
      <c r="Y33" s="3324"/>
      <c r="Z33" s="3332"/>
      <c r="AA33" s="162" t="s">
        <v>65</v>
      </c>
      <c r="AD33" s="100"/>
      <c r="AG33" s="103"/>
    </row>
    <row r="34" spans="1:38" ht="22.35" customHeight="1">
      <c r="A34" s="3400" t="s">
        <v>66</v>
      </c>
      <c r="B34" s="3324"/>
      <c r="C34" s="3324"/>
      <c r="D34" s="3401"/>
      <c r="E34" s="3324"/>
      <c r="F34" s="3324"/>
      <c r="G34" s="3332"/>
      <c r="H34" s="3339" t="s">
        <v>67</v>
      </c>
      <c r="I34" s="3324"/>
      <c r="J34" s="3324"/>
      <c r="K34" s="3324"/>
      <c r="L34" s="3324"/>
      <c r="M34" s="3402"/>
      <c r="N34" s="3324"/>
      <c r="O34" s="3324"/>
      <c r="P34" s="3324"/>
      <c r="Q34" s="3324"/>
      <c r="R34" s="3324"/>
      <c r="S34" s="3324"/>
      <c r="T34" s="3401"/>
      <c r="U34" s="161" t="s">
        <v>68</v>
      </c>
      <c r="AA34" s="3398"/>
      <c r="AB34" s="3337"/>
      <c r="AC34" s="3337"/>
      <c r="AD34" s="3337"/>
      <c r="AE34" s="3337"/>
      <c r="AF34" s="3337"/>
      <c r="AG34" s="3403"/>
      <c r="AK34" s="64"/>
    </row>
    <row r="35" spans="1:38" ht="22.35" customHeight="1" thickBot="1">
      <c r="A35" s="3404" t="s">
        <v>69</v>
      </c>
      <c r="B35" s="3405"/>
      <c r="C35" s="3405"/>
      <c r="D35" s="3406"/>
      <c r="E35" s="3405"/>
      <c r="F35" s="3405"/>
      <c r="G35" s="3407"/>
      <c r="H35" s="3408" t="s">
        <v>70</v>
      </c>
      <c r="I35" s="3407"/>
      <c r="J35" s="3405"/>
      <c r="K35" s="3405"/>
      <c r="L35" s="3405"/>
      <c r="M35" s="3409"/>
      <c r="N35" s="3405"/>
      <c r="O35" s="3405"/>
      <c r="P35" s="3405"/>
      <c r="Q35" s="3410"/>
      <c r="R35" s="3410"/>
      <c r="S35" s="3410"/>
      <c r="T35" s="3406"/>
      <c r="U35" s="3411" t="s">
        <v>71</v>
      </c>
      <c r="V35" s="3405"/>
      <c r="W35" s="3405"/>
      <c r="X35" s="3405"/>
      <c r="Y35" s="3405"/>
      <c r="Z35" s="3405"/>
      <c r="AA35" s="3405"/>
      <c r="AB35" s="3405"/>
      <c r="AC35" s="3405"/>
      <c r="AD35" s="3405"/>
      <c r="AE35" s="3405"/>
      <c r="AF35" s="3405"/>
      <c r="AG35" s="3412"/>
      <c r="AK35" s="1"/>
    </row>
    <row r="36" spans="1:38" ht="22.35" customHeight="1">
      <c r="A36" s="712" t="s">
        <v>0</v>
      </c>
      <c r="B36" s="104" t="s">
        <v>27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1"/>
    </row>
    <row r="37" spans="1:38" ht="22.35" customHeight="1" thickBot="1">
      <c r="A37" s="3413" t="s">
        <v>28</v>
      </c>
      <c r="B37" s="3414" t="s">
        <v>29</v>
      </c>
      <c r="C37" s="3343">
        <v>1</v>
      </c>
      <c r="D37" s="3343">
        <v>2</v>
      </c>
      <c r="E37" s="3342">
        <v>3</v>
      </c>
      <c r="F37" s="3342">
        <v>4</v>
      </c>
      <c r="G37" s="3342">
        <v>5</v>
      </c>
      <c r="H37" s="3342">
        <v>6</v>
      </c>
      <c r="I37" s="3342">
        <v>7</v>
      </c>
      <c r="J37" s="3343">
        <v>8</v>
      </c>
      <c r="K37" s="3343">
        <v>9</v>
      </c>
      <c r="L37" s="3342">
        <v>10</v>
      </c>
      <c r="M37" s="3342">
        <v>11</v>
      </c>
      <c r="N37" s="3342">
        <v>12</v>
      </c>
      <c r="O37" s="3342">
        <v>13</v>
      </c>
      <c r="P37" s="3342">
        <v>14</v>
      </c>
      <c r="Q37" s="3343">
        <v>15</v>
      </c>
      <c r="R37" s="3343">
        <v>16</v>
      </c>
      <c r="S37" s="3342">
        <v>17</v>
      </c>
      <c r="T37" s="3342">
        <v>18</v>
      </c>
      <c r="U37" s="3342">
        <v>19</v>
      </c>
      <c r="V37" s="3342">
        <v>20</v>
      </c>
      <c r="W37" s="3342">
        <v>21</v>
      </c>
      <c r="X37" s="3343">
        <v>22</v>
      </c>
      <c r="Y37" s="3343">
        <v>23</v>
      </c>
      <c r="Z37" s="3342">
        <v>24</v>
      </c>
      <c r="AA37" s="3342">
        <v>25</v>
      </c>
      <c r="AB37" s="3342">
        <v>26</v>
      </c>
      <c r="AC37" s="3342">
        <v>27</v>
      </c>
      <c r="AD37" s="3342">
        <v>28</v>
      </c>
      <c r="AE37" s="3343">
        <v>29</v>
      </c>
      <c r="AF37" s="3343">
        <v>30</v>
      </c>
      <c r="AG37" s="3432">
        <v>31</v>
      </c>
      <c r="AH37" s="176"/>
      <c r="AI37" s="177"/>
      <c r="AL37" t="s">
        <v>0</v>
      </c>
    </row>
    <row r="38" spans="1:38" ht="22.35" customHeight="1">
      <c r="A38" s="359" t="s">
        <v>430</v>
      </c>
      <c r="B38" s="360" t="s">
        <v>72</v>
      </c>
      <c r="C38" s="682" t="s">
        <v>0</v>
      </c>
      <c r="D38" s="682" t="s">
        <v>0</v>
      </c>
      <c r="E38" s="361" t="s">
        <v>36</v>
      </c>
      <c r="F38" s="361" t="s">
        <v>36</v>
      </c>
      <c r="G38" s="361" t="s">
        <v>36</v>
      </c>
      <c r="H38" s="361" t="s">
        <v>36</v>
      </c>
      <c r="I38" s="361" t="s">
        <v>36</v>
      </c>
      <c r="J38" s="349"/>
      <c r="K38" s="361"/>
      <c r="L38" s="541">
        <v>1</v>
      </c>
      <c r="M38" s="541">
        <v>1</v>
      </c>
      <c r="N38" s="541">
        <v>1</v>
      </c>
      <c r="O38" s="684">
        <v>1</v>
      </c>
      <c r="P38" s="684">
        <v>1</v>
      </c>
      <c r="Q38" s="684"/>
      <c r="R38" s="684"/>
      <c r="S38" s="684">
        <v>9</v>
      </c>
      <c r="T38" s="684">
        <v>9</v>
      </c>
      <c r="U38" s="684">
        <v>9</v>
      </c>
      <c r="V38" s="701">
        <v>9</v>
      </c>
      <c r="W38" s="701">
        <v>9</v>
      </c>
      <c r="X38" s="702" t="s">
        <v>76</v>
      </c>
      <c r="Y38" s="702" t="s">
        <v>364</v>
      </c>
      <c r="Z38" s="574" t="s">
        <v>36</v>
      </c>
      <c r="AA38" s="361" t="s">
        <v>36</v>
      </c>
      <c r="AB38" s="350" t="s">
        <v>36</v>
      </c>
      <c r="AC38" s="350" t="s">
        <v>36</v>
      </c>
      <c r="AD38" s="350" t="s">
        <v>36</v>
      </c>
      <c r="AE38" s="361" t="s">
        <v>78</v>
      </c>
      <c r="AF38" s="361" t="s">
        <v>74</v>
      </c>
      <c r="AG38" s="362">
        <v>6</v>
      </c>
      <c r="AH38" s="181"/>
      <c r="AI38" s="182"/>
    </row>
    <row r="39" spans="1:38" ht="22.35" customHeight="1">
      <c r="A39" s="3415" t="s">
        <v>431</v>
      </c>
      <c r="B39" s="3376" t="s">
        <v>130</v>
      </c>
      <c r="C39" s="3352"/>
      <c r="D39" s="3352"/>
      <c r="E39" s="3352" t="s">
        <v>36</v>
      </c>
      <c r="F39" s="3352" t="s">
        <v>36</v>
      </c>
      <c r="G39" s="3352" t="s">
        <v>36</v>
      </c>
      <c r="H39" s="3352" t="s">
        <v>36</v>
      </c>
      <c r="I39" s="3352" t="s">
        <v>36</v>
      </c>
      <c r="J39" s="3352"/>
      <c r="K39" s="3352"/>
      <c r="L39" s="3499">
        <v>5</v>
      </c>
      <c r="M39" s="3621">
        <v>5</v>
      </c>
      <c r="N39" s="3499">
        <v>5</v>
      </c>
      <c r="O39" s="3499">
        <v>5</v>
      </c>
      <c r="P39" s="3499">
        <v>5</v>
      </c>
      <c r="Q39" s="3352"/>
      <c r="R39" s="3352"/>
      <c r="S39" s="3352">
        <v>10</v>
      </c>
      <c r="T39" s="3377">
        <v>10</v>
      </c>
      <c r="U39" s="3352">
        <v>10</v>
      </c>
      <c r="V39" s="3352">
        <v>10</v>
      </c>
      <c r="W39" s="3352">
        <v>10</v>
      </c>
      <c r="X39" s="3352" t="s">
        <v>77</v>
      </c>
      <c r="Y39" s="3352" t="s">
        <v>77</v>
      </c>
      <c r="Z39" s="3352" t="s">
        <v>36</v>
      </c>
      <c r="AA39" s="3352" t="s">
        <v>36</v>
      </c>
      <c r="AB39" s="3352" t="s">
        <v>36</v>
      </c>
      <c r="AC39" s="3352" t="s">
        <v>36</v>
      </c>
      <c r="AD39" s="3352" t="s">
        <v>36</v>
      </c>
      <c r="AE39" s="3352" t="s">
        <v>80</v>
      </c>
      <c r="AF39" s="3352" t="s">
        <v>80</v>
      </c>
      <c r="AG39" s="3416">
        <v>7</v>
      </c>
      <c r="AH39" s="181"/>
      <c r="AI39" s="182"/>
    </row>
    <row r="40" spans="1:38" ht="22.35" customHeight="1" thickBot="1">
      <c r="A40" s="3417" t="s">
        <v>432</v>
      </c>
      <c r="B40" s="3418" t="s">
        <v>79</v>
      </c>
      <c r="C40" s="3342"/>
      <c r="D40" s="3420"/>
      <c r="E40" s="3344">
        <v>99</v>
      </c>
      <c r="F40" s="3622">
        <v>4</v>
      </c>
      <c r="G40" s="3424">
        <v>4</v>
      </c>
      <c r="H40" s="3420">
        <v>4</v>
      </c>
      <c r="I40" s="3421">
        <v>4</v>
      </c>
      <c r="J40" s="3421"/>
      <c r="K40" s="3421"/>
      <c r="L40" s="3421">
        <v>3</v>
      </c>
      <c r="M40" s="3623">
        <v>3</v>
      </c>
      <c r="N40" s="3623">
        <v>3</v>
      </c>
      <c r="O40" s="3421">
        <v>3</v>
      </c>
      <c r="P40" s="3420">
        <v>3</v>
      </c>
      <c r="Q40" s="3342"/>
      <c r="R40" s="3342"/>
      <c r="S40" s="3426">
        <v>69</v>
      </c>
      <c r="T40" s="3423" t="s">
        <v>32</v>
      </c>
      <c r="U40" s="3423" t="s">
        <v>32</v>
      </c>
      <c r="V40" s="3426">
        <v>69</v>
      </c>
      <c r="W40" s="3426">
        <v>69</v>
      </c>
      <c r="X40" s="3422" t="s">
        <v>0</v>
      </c>
      <c r="Y40" s="3420" t="s">
        <v>0</v>
      </c>
      <c r="Z40" s="3420" t="s">
        <v>32</v>
      </c>
      <c r="AA40" s="3424" t="s">
        <v>32</v>
      </c>
      <c r="AB40" s="3424" t="s">
        <v>32</v>
      </c>
      <c r="AC40" s="3420" t="s">
        <v>349</v>
      </c>
      <c r="AD40" s="3420" t="s">
        <v>349</v>
      </c>
      <c r="AE40" s="3420" t="s">
        <v>0</v>
      </c>
      <c r="AF40" s="3420" t="s">
        <v>0</v>
      </c>
      <c r="AG40" s="3345">
        <v>8</v>
      </c>
      <c r="AH40" s="181"/>
      <c r="AI40" s="182"/>
    </row>
    <row r="41" spans="1:38" ht="22.35" customHeight="1">
      <c r="A41" s="359" t="s">
        <v>433</v>
      </c>
      <c r="B41" s="175" t="s">
        <v>81</v>
      </c>
      <c r="C41" s="349"/>
      <c r="D41" s="349"/>
      <c r="E41" s="349">
        <v>1</v>
      </c>
      <c r="F41" s="349">
        <v>1</v>
      </c>
      <c r="G41" s="349">
        <v>1</v>
      </c>
      <c r="H41" s="361">
        <v>1</v>
      </c>
      <c r="I41" s="361">
        <v>1</v>
      </c>
      <c r="J41" s="349"/>
      <c r="K41" s="349"/>
      <c r="L41" s="361">
        <v>9</v>
      </c>
      <c r="M41" s="361">
        <v>9</v>
      </c>
      <c r="N41" s="361">
        <v>9</v>
      </c>
      <c r="O41" s="350">
        <v>9</v>
      </c>
      <c r="P41" s="361">
        <v>9</v>
      </c>
      <c r="Q41" s="350" t="s">
        <v>76</v>
      </c>
      <c r="R41" s="350" t="s">
        <v>77</v>
      </c>
      <c r="S41" s="349" t="s">
        <v>36</v>
      </c>
      <c r="T41" s="350" t="s">
        <v>36</v>
      </c>
      <c r="U41" s="350" t="s">
        <v>36</v>
      </c>
      <c r="V41" s="350" t="s">
        <v>36</v>
      </c>
      <c r="W41" s="350" t="s">
        <v>36</v>
      </c>
      <c r="X41" s="350" t="s">
        <v>78</v>
      </c>
      <c r="Y41" s="361" t="s">
        <v>74</v>
      </c>
      <c r="Z41" s="361">
        <v>6</v>
      </c>
      <c r="AA41" s="361">
        <v>6</v>
      </c>
      <c r="AB41" s="361">
        <v>6</v>
      </c>
      <c r="AC41" s="350">
        <v>6</v>
      </c>
      <c r="AD41" s="350">
        <v>6</v>
      </c>
      <c r="AE41" s="361"/>
      <c r="AF41" s="361"/>
      <c r="AG41" s="362" t="s">
        <v>36</v>
      </c>
      <c r="AH41" s="181"/>
      <c r="AI41" s="182"/>
    </row>
    <row r="42" spans="1:38" ht="22.35" customHeight="1">
      <c r="A42" s="3415" t="s">
        <v>434</v>
      </c>
      <c r="B42" s="3359" t="s">
        <v>82</v>
      </c>
      <c r="C42" s="3356"/>
      <c r="D42" s="3356"/>
      <c r="E42" s="3356">
        <v>5</v>
      </c>
      <c r="F42" s="3356">
        <v>5</v>
      </c>
      <c r="G42" s="3426">
        <v>5</v>
      </c>
      <c r="H42" s="3426">
        <v>5</v>
      </c>
      <c r="I42" s="3428">
        <v>5</v>
      </c>
      <c r="J42" s="3428"/>
      <c r="K42" s="3428"/>
      <c r="L42" s="3428">
        <v>10</v>
      </c>
      <c r="M42" s="3428">
        <v>10</v>
      </c>
      <c r="N42" s="3428">
        <v>10</v>
      </c>
      <c r="O42" s="3427">
        <v>10</v>
      </c>
      <c r="P42" s="3356">
        <v>10</v>
      </c>
      <c r="Q42" s="3356" t="s">
        <v>77</v>
      </c>
      <c r="R42" s="3356" t="s">
        <v>77</v>
      </c>
      <c r="S42" s="3356" t="s">
        <v>36</v>
      </c>
      <c r="T42" s="3356" t="s">
        <v>36</v>
      </c>
      <c r="U42" s="3429" t="s">
        <v>36</v>
      </c>
      <c r="V42" s="3429" t="s">
        <v>36</v>
      </c>
      <c r="W42" s="3429" t="s">
        <v>36</v>
      </c>
      <c r="X42" s="3426" t="s">
        <v>80</v>
      </c>
      <c r="Y42" s="3426" t="s">
        <v>80</v>
      </c>
      <c r="Z42" s="3426">
        <v>7</v>
      </c>
      <c r="AA42" s="3426">
        <v>7</v>
      </c>
      <c r="AB42" s="3426">
        <v>7</v>
      </c>
      <c r="AC42" s="3426">
        <v>7</v>
      </c>
      <c r="AD42" s="3426">
        <v>7</v>
      </c>
      <c r="AE42" s="3426"/>
      <c r="AF42" s="3426"/>
      <c r="AG42" s="3550">
        <v>4</v>
      </c>
      <c r="AH42" s="181"/>
      <c r="AI42" s="182"/>
    </row>
    <row r="43" spans="1:38" ht="22.35" customHeight="1" thickBot="1">
      <c r="A43" s="3417" t="s">
        <v>435</v>
      </c>
      <c r="B43" s="3624" t="s">
        <v>110</v>
      </c>
      <c r="C43" s="3625"/>
      <c r="D43" s="3625"/>
      <c r="E43" s="3625">
        <v>3</v>
      </c>
      <c r="F43" s="3625">
        <v>3</v>
      </c>
      <c r="G43" s="3625">
        <v>3</v>
      </c>
      <c r="H43" s="3625">
        <v>3</v>
      </c>
      <c r="I43" s="3625">
        <v>3</v>
      </c>
      <c r="J43" s="3625"/>
      <c r="K43" s="3625"/>
      <c r="L43" s="3626">
        <v>11</v>
      </c>
      <c r="M43" s="3626" t="s">
        <v>436</v>
      </c>
      <c r="N43" s="3420">
        <v>11</v>
      </c>
      <c r="O43" s="3420">
        <v>11</v>
      </c>
      <c r="P43" s="3420">
        <v>11</v>
      </c>
      <c r="Q43" s="3420" t="s">
        <v>73</v>
      </c>
      <c r="R43" s="3420" t="s">
        <v>73</v>
      </c>
      <c r="S43" s="3420" t="s">
        <v>36</v>
      </c>
      <c r="T43" s="3420" t="s">
        <v>36</v>
      </c>
      <c r="U43" s="3425" t="s">
        <v>36</v>
      </c>
      <c r="V43" s="3425" t="s">
        <v>36</v>
      </c>
      <c r="W43" s="3627">
        <v>5</v>
      </c>
      <c r="X43" s="3420" t="s">
        <v>74</v>
      </c>
      <c r="Y43" s="3344" t="s">
        <v>74</v>
      </c>
      <c r="Z43" s="3420">
        <v>8</v>
      </c>
      <c r="AA43" s="3420">
        <v>8</v>
      </c>
      <c r="AB43" s="3420">
        <v>8</v>
      </c>
      <c r="AC43" s="3628">
        <v>8</v>
      </c>
      <c r="AD43" s="3342">
        <v>8</v>
      </c>
      <c r="AE43" s="3342"/>
      <c r="AF43" s="3342"/>
      <c r="AG43" s="3432" t="s">
        <v>36</v>
      </c>
      <c r="AH43" s="181"/>
      <c r="AI43" s="182"/>
    </row>
    <row r="44" spans="1:38" ht="22.35" customHeight="1">
      <c r="A44" s="359" t="s">
        <v>437</v>
      </c>
      <c r="B44" s="363" t="s">
        <v>84</v>
      </c>
      <c r="C44" s="349"/>
      <c r="D44" s="350"/>
      <c r="E44" s="361">
        <v>9</v>
      </c>
      <c r="F44" s="361">
        <v>9</v>
      </c>
      <c r="G44" s="361">
        <v>9</v>
      </c>
      <c r="H44" s="361">
        <v>9</v>
      </c>
      <c r="I44" s="361">
        <v>9</v>
      </c>
      <c r="J44" s="350" t="s">
        <v>76</v>
      </c>
      <c r="K44" s="350" t="s">
        <v>77</v>
      </c>
      <c r="L44" s="350" t="s">
        <v>36</v>
      </c>
      <c r="M44" s="350" t="s">
        <v>36</v>
      </c>
      <c r="N44" s="350" t="s">
        <v>36</v>
      </c>
      <c r="O44" s="350" t="s">
        <v>36</v>
      </c>
      <c r="P44" s="350" t="s">
        <v>36</v>
      </c>
      <c r="Q44" s="350" t="s">
        <v>78</v>
      </c>
      <c r="R44" s="361" t="s">
        <v>74</v>
      </c>
      <c r="S44" s="552">
        <v>6</v>
      </c>
      <c r="T44" s="552">
        <v>6</v>
      </c>
      <c r="U44" s="552">
        <v>6</v>
      </c>
      <c r="V44" s="552" t="s">
        <v>357</v>
      </c>
      <c r="W44" s="703">
        <v>6</v>
      </c>
      <c r="X44" s="349"/>
      <c r="Y44" s="361"/>
      <c r="Z44" s="361" t="s">
        <v>36</v>
      </c>
      <c r="AA44" s="361" t="s">
        <v>36</v>
      </c>
      <c r="AB44" s="361" t="s">
        <v>36</v>
      </c>
      <c r="AC44" s="364" t="s">
        <v>36</v>
      </c>
      <c r="AD44" s="361" t="s">
        <v>36</v>
      </c>
      <c r="AE44" s="361"/>
      <c r="AF44" s="361"/>
      <c r="AG44" s="531">
        <v>5</v>
      </c>
      <c r="AH44" s="181"/>
      <c r="AI44" s="182"/>
    </row>
    <row r="45" spans="1:38" ht="22.35" customHeight="1" thickBot="1">
      <c r="A45" s="3415" t="s">
        <v>438</v>
      </c>
      <c r="B45" s="3359" t="s">
        <v>85</v>
      </c>
      <c r="C45" s="3357"/>
      <c r="D45" s="3366"/>
      <c r="E45" s="3366">
        <v>10</v>
      </c>
      <c r="F45" s="3366">
        <v>10</v>
      </c>
      <c r="G45" s="3366">
        <v>10</v>
      </c>
      <c r="H45" s="3366">
        <v>10</v>
      </c>
      <c r="I45" s="3366">
        <v>10</v>
      </c>
      <c r="J45" s="3366" t="s">
        <v>77</v>
      </c>
      <c r="K45" s="3366" t="s">
        <v>77</v>
      </c>
      <c r="L45" s="3366" t="s">
        <v>36</v>
      </c>
      <c r="M45" s="3366" t="s">
        <v>36</v>
      </c>
      <c r="N45" s="3629" t="s">
        <v>36</v>
      </c>
      <c r="O45" s="3630" t="s">
        <v>36</v>
      </c>
      <c r="P45" s="3630" t="s">
        <v>36</v>
      </c>
      <c r="Q45" s="3630" t="s">
        <v>80</v>
      </c>
      <c r="R45" s="3630" t="s">
        <v>439</v>
      </c>
      <c r="S45" s="3426">
        <v>7</v>
      </c>
      <c r="T45" s="3426">
        <v>7</v>
      </c>
      <c r="U45" s="3426">
        <v>7</v>
      </c>
      <c r="V45" s="3426">
        <v>7</v>
      </c>
      <c r="W45" s="3426" t="s">
        <v>108</v>
      </c>
      <c r="X45" s="3355"/>
      <c r="Y45" s="3426"/>
      <c r="Z45" s="3426">
        <v>4</v>
      </c>
      <c r="AA45" s="3426">
        <v>4</v>
      </c>
      <c r="AB45" s="3426">
        <v>4</v>
      </c>
      <c r="AC45" s="3426">
        <v>4</v>
      </c>
      <c r="AD45" s="3356">
        <v>4</v>
      </c>
      <c r="AE45" s="3356"/>
      <c r="AF45" s="3357"/>
      <c r="AG45" s="3430">
        <v>3</v>
      </c>
      <c r="AH45" s="181"/>
      <c r="AI45" s="182"/>
    </row>
    <row r="46" spans="1:38" ht="22.35" customHeight="1" thickBot="1">
      <c r="A46" s="3417" t="s">
        <v>440</v>
      </c>
      <c r="B46" s="3418" t="s">
        <v>86</v>
      </c>
      <c r="C46" s="3342"/>
      <c r="D46" s="3342"/>
      <c r="E46" s="3420">
        <v>11</v>
      </c>
      <c r="F46" s="3420">
        <v>11</v>
      </c>
      <c r="G46" s="3420">
        <v>11</v>
      </c>
      <c r="H46" s="3420">
        <v>11</v>
      </c>
      <c r="I46" s="3420">
        <v>11</v>
      </c>
      <c r="J46" s="3342" t="s">
        <v>73</v>
      </c>
      <c r="K46" s="3420" t="s">
        <v>73</v>
      </c>
      <c r="L46" s="3425" t="s">
        <v>36</v>
      </c>
      <c r="M46" s="3420" t="s">
        <v>36</v>
      </c>
      <c r="N46" s="3425" t="s">
        <v>36</v>
      </c>
      <c r="O46" s="3425" t="s">
        <v>36</v>
      </c>
      <c r="P46" s="3425" t="s">
        <v>36</v>
      </c>
      <c r="Q46" s="3420" t="s">
        <v>74</v>
      </c>
      <c r="R46" s="3420" t="s">
        <v>74</v>
      </c>
      <c r="S46" s="3420">
        <v>8</v>
      </c>
      <c r="T46" s="3420">
        <v>8</v>
      </c>
      <c r="U46" s="3420">
        <v>8</v>
      </c>
      <c r="V46" s="3420">
        <v>8</v>
      </c>
      <c r="W46" s="3420">
        <v>8</v>
      </c>
      <c r="X46" s="570" t="s">
        <v>76</v>
      </c>
      <c r="Y46" s="570" t="s">
        <v>77</v>
      </c>
      <c r="Z46" s="3420" t="s">
        <v>36</v>
      </c>
      <c r="AA46" s="3420" t="s">
        <v>36</v>
      </c>
      <c r="AB46" s="3420" t="s">
        <v>36</v>
      </c>
      <c r="AC46" s="3420" t="s">
        <v>36</v>
      </c>
      <c r="AD46" s="3420" t="s">
        <v>36</v>
      </c>
      <c r="AE46" s="3342"/>
      <c r="AF46" s="3420"/>
      <c r="AG46" s="3631">
        <v>1</v>
      </c>
      <c r="AH46" s="181"/>
      <c r="AI46" s="182"/>
    </row>
    <row r="47" spans="1:38" ht="22.35" customHeight="1">
      <c r="A47" s="359" t="s">
        <v>441</v>
      </c>
      <c r="B47" s="360" t="s">
        <v>87</v>
      </c>
      <c r="C47" s="361" t="s">
        <v>76</v>
      </c>
      <c r="D47" s="350" t="s">
        <v>77</v>
      </c>
      <c r="E47" s="361" t="s">
        <v>36</v>
      </c>
      <c r="F47" s="349" t="s">
        <v>36</v>
      </c>
      <c r="G47" s="349" t="s">
        <v>36</v>
      </c>
      <c r="H47" s="349" t="s">
        <v>36</v>
      </c>
      <c r="I47" s="349" t="s">
        <v>36</v>
      </c>
      <c r="J47" s="349" t="s">
        <v>78</v>
      </c>
      <c r="K47" s="349" t="s">
        <v>74</v>
      </c>
      <c r="L47" s="349">
        <v>6</v>
      </c>
      <c r="M47" s="349">
        <v>6</v>
      </c>
      <c r="N47" s="349">
        <v>6</v>
      </c>
      <c r="O47" s="349">
        <v>6</v>
      </c>
      <c r="P47" s="349">
        <v>6</v>
      </c>
      <c r="Q47" s="349"/>
      <c r="R47" s="349"/>
      <c r="S47" s="349" t="s">
        <v>36</v>
      </c>
      <c r="T47" s="361" t="s">
        <v>36</v>
      </c>
      <c r="U47" s="361" t="s">
        <v>36</v>
      </c>
      <c r="V47" s="364" t="s">
        <v>36</v>
      </c>
      <c r="W47" s="361" t="s">
        <v>36</v>
      </c>
      <c r="X47" s="361"/>
      <c r="Y47" s="349"/>
      <c r="Z47" s="361">
        <v>5</v>
      </c>
      <c r="AA47" s="361">
        <v>5</v>
      </c>
      <c r="AB47" s="361">
        <v>5</v>
      </c>
      <c r="AC47" s="361">
        <v>5</v>
      </c>
      <c r="AD47" s="361">
        <v>5</v>
      </c>
      <c r="AE47" s="350"/>
      <c r="AF47" s="361"/>
      <c r="AG47" s="362">
        <v>10</v>
      </c>
      <c r="AH47" s="181"/>
      <c r="AI47" s="182"/>
    </row>
    <row r="48" spans="1:38" ht="22.35" customHeight="1">
      <c r="A48" s="3415" t="s">
        <v>442</v>
      </c>
      <c r="B48" s="3359" t="s">
        <v>88</v>
      </c>
      <c r="C48" s="3426" t="s">
        <v>77</v>
      </c>
      <c r="D48" s="3426" t="s">
        <v>77</v>
      </c>
      <c r="E48" s="3426" t="s">
        <v>36</v>
      </c>
      <c r="F48" s="3426" t="s">
        <v>36</v>
      </c>
      <c r="G48" s="3426" t="s">
        <v>36</v>
      </c>
      <c r="H48" s="3426" t="s">
        <v>36</v>
      </c>
      <c r="I48" s="3426" t="s">
        <v>36</v>
      </c>
      <c r="J48" s="3426" t="s">
        <v>80</v>
      </c>
      <c r="K48" s="3426" t="s">
        <v>80</v>
      </c>
      <c r="L48" s="3426">
        <v>7</v>
      </c>
      <c r="M48" s="3426">
        <v>7</v>
      </c>
      <c r="N48" s="3426">
        <v>7</v>
      </c>
      <c r="O48" s="3426">
        <v>7</v>
      </c>
      <c r="P48" s="3426">
        <v>7</v>
      </c>
      <c r="Q48" s="3355"/>
      <c r="R48" s="3426"/>
      <c r="S48" s="3426">
        <v>4</v>
      </c>
      <c r="T48" s="3426">
        <v>4</v>
      </c>
      <c r="U48" s="3426">
        <v>4</v>
      </c>
      <c r="V48" s="3488">
        <v>4</v>
      </c>
      <c r="W48" s="3426">
        <v>4</v>
      </c>
      <c r="X48" s="3426"/>
      <c r="Y48" s="3426"/>
      <c r="Z48" s="3426">
        <v>3</v>
      </c>
      <c r="AA48" s="3426">
        <v>3</v>
      </c>
      <c r="AB48" s="3426">
        <v>3</v>
      </c>
      <c r="AC48" s="3426">
        <v>3</v>
      </c>
      <c r="AD48" s="3426">
        <v>3</v>
      </c>
      <c r="AE48" s="3426"/>
      <c r="AF48" s="3614"/>
      <c r="AG48" s="3430">
        <v>11</v>
      </c>
      <c r="AH48" s="181"/>
      <c r="AI48" s="182"/>
    </row>
    <row r="49" spans="1:40" ht="22.35" customHeight="1" thickBot="1">
      <c r="A49" s="3417" t="s">
        <v>443</v>
      </c>
      <c r="B49" s="3418" t="s">
        <v>89</v>
      </c>
      <c r="C49" s="3342" t="s">
        <v>73</v>
      </c>
      <c r="D49" s="3420" t="s">
        <v>73</v>
      </c>
      <c r="E49" s="3420" t="s">
        <v>36</v>
      </c>
      <c r="F49" s="3420" t="s">
        <v>36</v>
      </c>
      <c r="G49" s="3425" t="s">
        <v>36</v>
      </c>
      <c r="H49" s="3425" t="s">
        <v>36</v>
      </c>
      <c r="I49" s="3425" t="s">
        <v>36</v>
      </c>
      <c r="J49" s="3420" t="s">
        <v>74</v>
      </c>
      <c r="K49" s="3420" t="s">
        <v>74</v>
      </c>
      <c r="L49" s="3420">
        <v>8</v>
      </c>
      <c r="M49" s="3420">
        <v>8</v>
      </c>
      <c r="N49" s="3420">
        <v>8</v>
      </c>
      <c r="O49" s="3342">
        <v>8</v>
      </c>
      <c r="P49" s="3420">
        <v>8</v>
      </c>
      <c r="Q49" s="3420"/>
      <c r="R49" s="3342"/>
      <c r="S49" s="3420" t="s">
        <v>36</v>
      </c>
      <c r="T49" s="3420" t="s">
        <v>36</v>
      </c>
      <c r="U49" s="3420" t="s">
        <v>36</v>
      </c>
      <c r="V49" s="3420" t="s">
        <v>36</v>
      </c>
      <c r="W49" s="3420" t="s">
        <v>36</v>
      </c>
      <c r="X49" s="3342"/>
      <c r="Y49" s="3420"/>
      <c r="Z49" s="3420">
        <v>1</v>
      </c>
      <c r="AA49" s="3420">
        <v>1</v>
      </c>
      <c r="AB49" s="3420">
        <v>1</v>
      </c>
      <c r="AC49" s="3342">
        <v>1</v>
      </c>
      <c r="AD49" s="3420">
        <v>1</v>
      </c>
      <c r="AE49" s="3420"/>
      <c r="AF49" s="3342"/>
      <c r="AG49" s="3432">
        <v>9</v>
      </c>
      <c r="AH49" s="181"/>
      <c r="AI49" s="182"/>
    </row>
    <row r="50" spans="1:40" ht="22.35" customHeight="1">
      <c r="A50" s="359" t="s">
        <v>444</v>
      </c>
      <c r="B50" s="3359" t="s">
        <v>90</v>
      </c>
      <c r="C50" s="350" t="s">
        <v>78</v>
      </c>
      <c r="D50" s="361" t="s">
        <v>74</v>
      </c>
      <c r="E50" s="361">
        <v>6</v>
      </c>
      <c r="F50" s="350">
        <v>6</v>
      </c>
      <c r="G50" s="350">
        <v>6</v>
      </c>
      <c r="H50" s="350">
        <v>6</v>
      </c>
      <c r="I50" s="350">
        <v>6</v>
      </c>
      <c r="J50" s="350"/>
      <c r="K50" s="361"/>
      <c r="L50" s="361" t="s">
        <v>36</v>
      </c>
      <c r="M50" s="361" t="s">
        <v>36</v>
      </c>
      <c r="N50" s="351" t="s">
        <v>36</v>
      </c>
      <c r="O50" s="349" t="s">
        <v>36</v>
      </c>
      <c r="P50" s="361" t="s">
        <v>36</v>
      </c>
      <c r="Q50" s="361"/>
      <c r="R50" s="349"/>
      <c r="S50" s="541">
        <v>5</v>
      </c>
      <c r="T50" s="541">
        <v>5</v>
      </c>
      <c r="U50" s="541">
        <v>5</v>
      </c>
      <c r="V50" s="541">
        <v>5</v>
      </c>
      <c r="W50" s="541">
        <v>5</v>
      </c>
      <c r="X50" s="541"/>
      <c r="Y50" s="541"/>
      <c r="Z50" s="350">
        <v>10</v>
      </c>
      <c r="AA50" s="350">
        <v>10</v>
      </c>
      <c r="AB50" s="350">
        <v>10</v>
      </c>
      <c r="AC50" s="569">
        <v>10</v>
      </c>
      <c r="AD50" s="568">
        <v>10</v>
      </c>
      <c r="AE50" s="568" t="s">
        <v>77</v>
      </c>
      <c r="AF50" s="583" t="s">
        <v>77</v>
      </c>
      <c r="AG50" s="692" t="s">
        <v>36</v>
      </c>
      <c r="AH50" s="181"/>
      <c r="AI50" s="182"/>
    </row>
    <row r="51" spans="1:40" ht="22.35" customHeight="1">
      <c r="A51" s="3415" t="s">
        <v>445</v>
      </c>
      <c r="B51" s="3359" t="s">
        <v>91</v>
      </c>
      <c r="C51" s="3426" t="s">
        <v>80</v>
      </c>
      <c r="D51" s="3426" t="s">
        <v>80</v>
      </c>
      <c r="E51" s="3426">
        <v>7</v>
      </c>
      <c r="F51" s="3356">
        <v>7</v>
      </c>
      <c r="G51" s="3352">
        <v>7</v>
      </c>
      <c r="H51" s="3352">
        <v>7</v>
      </c>
      <c r="I51" s="3352">
        <v>7</v>
      </c>
      <c r="J51" s="3352"/>
      <c r="K51" s="3352"/>
      <c r="L51" s="3352">
        <v>4</v>
      </c>
      <c r="M51" s="3352">
        <v>4</v>
      </c>
      <c r="N51" s="3352">
        <v>4</v>
      </c>
      <c r="O51" s="3352">
        <v>4</v>
      </c>
      <c r="P51" s="3352">
        <v>4</v>
      </c>
      <c r="Q51" s="3352"/>
      <c r="R51" s="3352"/>
      <c r="S51" s="3352" t="s">
        <v>135</v>
      </c>
      <c r="T51" s="3352">
        <v>3</v>
      </c>
      <c r="U51" s="3352">
        <v>3</v>
      </c>
      <c r="V51" s="3352">
        <v>3</v>
      </c>
      <c r="W51" s="3356">
        <v>3</v>
      </c>
      <c r="X51" s="3426"/>
      <c r="Y51" s="3355"/>
      <c r="Z51" s="3426">
        <v>11</v>
      </c>
      <c r="AA51" s="3426">
        <v>11</v>
      </c>
      <c r="AB51" s="3426">
        <v>11</v>
      </c>
      <c r="AC51" s="3426">
        <v>11</v>
      </c>
      <c r="AD51" s="3426">
        <v>11</v>
      </c>
      <c r="AE51" s="3426" t="s">
        <v>73</v>
      </c>
      <c r="AF51" s="3426" t="s">
        <v>73</v>
      </c>
      <c r="AG51" s="3430" t="s">
        <v>36</v>
      </c>
      <c r="AH51" s="181"/>
      <c r="AI51" s="182"/>
    </row>
    <row r="52" spans="1:40" ht="22.35" customHeight="1" thickBot="1">
      <c r="A52" s="3417" t="s">
        <v>446</v>
      </c>
      <c r="B52" s="3418" t="s">
        <v>92</v>
      </c>
      <c r="C52" s="3420" t="s">
        <v>74</v>
      </c>
      <c r="D52" s="3420" t="s">
        <v>74</v>
      </c>
      <c r="E52" s="3420">
        <v>8</v>
      </c>
      <c r="F52" s="3425">
        <v>8</v>
      </c>
      <c r="G52" s="3425">
        <v>8</v>
      </c>
      <c r="H52" s="3425">
        <v>8</v>
      </c>
      <c r="I52" s="3425">
        <v>8</v>
      </c>
      <c r="J52" s="3425"/>
      <c r="K52" s="3342"/>
      <c r="L52" s="3420" t="s">
        <v>36</v>
      </c>
      <c r="M52" s="3420" t="s">
        <v>36</v>
      </c>
      <c r="N52" s="3420" t="s">
        <v>36</v>
      </c>
      <c r="O52" s="3420" t="s">
        <v>36</v>
      </c>
      <c r="P52" s="3420" t="s">
        <v>36</v>
      </c>
      <c r="Q52" s="3342"/>
      <c r="R52" s="3420"/>
      <c r="S52" s="3420">
        <v>1</v>
      </c>
      <c r="T52" s="3420">
        <v>1</v>
      </c>
      <c r="U52" s="3420">
        <v>1</v>
      </c>
      <c r="V52" s="3420">
        <v>1</v>
      </c>
      <c r="W52" s="3420">
        <v>1</v>
      </c>
      <c r="X52" s="3420"/>
      <c r="Y52" s="3342"/>
      <c r="Z52" s="3420">
        <v>9</v>
      </c>
      <c r="AA52" s="3420">
        <v>9</v>
      </c>
      <c r="AB52" s="3420">
        <v>9</v>
      </c>
      <c r="AC52" s="3420">
        <v>9</v>
      </c>
      <c r="AD52" s="3420">
        <v>9</v>
      </c>
      <c r="AE52" s="3342" t="s">
        <v>76</v>
      </c>
      <c r="AF52" s="3425" t="s">
        <v>77</v>
      </c>
      <c r="AG52" s="3444" t="s">
        <v>36</v>
      </c>
      <c r="AH52" s="181"/>
      <c r="AI52" s="182"/>
    </row>
    <row r="53" spans="1:40" ht="22.35" customHeight="1">
      <c r="A53" s="10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1"/>
      <c r="AK53" t="s">
        <v>0</v>
      </c>
    </row>
    <row r="54" spans="1:40" ht="22.35" customHeight="1">
      <c r="A54" s="109"/>
      <c r="B54" s="64" t="s">
        <v>93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"/>
    </row>
    <row r="55" spans="1:40" ht="22.35" customHeight="1">
      <c r="A55" s="3445" t="s">
        <v>28</v>
      </c>
      <c r="B55" s="3445"/>
      <c r="C55" s="3427"/>
      <c r="D55" s="3445" t="s">
        <v>94</v>
      </c>
      <c r="E55" s="3446"/>
      <c r="F55" s="3427"/>
      <c r="G55" s="3445" t="s">
        <v>95</v>
      </c>
      <c r="H55" s="3446"/>
      <c r="I55" s="3427"/>
      <c r="J55" s="3445" t="s">
        <v>96</v>
      </c>
      <c r="K55" s="3446"/>
      <c r="L55" s="3427"/>
      <c r="M55" s="3445" t="s">
        <v>97</v>
      </c>
      <c r="N55" s="3446"/>
      <c r="O55" s="3427"/>
      <c r="P55" s="3445" t="s">
        <v>98</v>
      </c>
      <c r="Q55" s="3446"/>
      <c r="R55" s="3447"/>
      <c r="S55" s="3448" t="s">
        <v>99</v>
      </c>
      <c r="T55" s="3446"/>
      <c r="U55" s="3427"/>
      <c r="V55" s="3445" t="s">
        <v>100</v>
      </c>
      <c r="W55" s="3446"/>
      <c r="X55" s="3449" t="s">
        <v>101</v>
      </c>
      <c r="Y55" s="3446"/>
      <c r="Z55" s="3446"/>
      <c r="AA55" s="3450"/>
      <c r="AB55" s="3326"/>
      <c r="AC55" s="3326"/>
      <c r="AD55" s="3326"/>
      <c r="AE55" s="3326"/>
      <c r="AF55" s="3326"/>
      <c r="AG55" s="3327"/>
      <c r="AH55" s="1"/>
      <c r="AK55" s="670"/>
    </row>
    <row r="56" spans="1:40" ht="22.35" customHeight="1">
      <c r="A56" s="3451">
        <v>8517</v>
      </c>
      <c r="B56" s="3452" t="s">
        <v>381</v>
      </c>
      <c r="C56" s="3453" t="s">
        <v>394</v>
      </c>
      <c r="D56" s="3454"/>
      <c r="E56" s="3325"/>
      <c r="F56" s="3453" t="s">
        <v>394</v>
      </c>
      <c r="G56" s="3454"/>
      <c r="H56" s="3325"/>
      <c r="I56" s="3453" t="s">
        <v>394</v>
      </c>
      <c r="J56" s="3454"/>
      <c r="K56" s="3325"/>
      <c r="L56" s="3453" t="s">
        <v>394</v>
      </c>
      <c r="M56" s="3454"/>
      <c r="N56" s="3325"/>
      <c r="O56" s="3453" t="s">
        <v>395</v>
      </c>
      <c r="P56" s="3454"/>
      <c r="Q56" s="3325"/>
      <c r="R56" s="3453"/>
      <c r="S56" s="3454"/>
      <c r="T56" s="3325"/>
      <c r="U56" s="3453" t="s">
        <v>383</v>
      </c>
      <c r="V56" s="3454"/>
      <c r="W56" s="3325"/>
      <c r="X56" s="3323"/>
      <c r="Y56" s="3326"/>
      <c r="Z56" s="3326"/>
      <c r="AA56" s="3326"/>
      <c r="AB56" s="3326"/>
      <c r="AC56" s="3326"/>
      <c r="AD56" s="3326"/>
      <c r="AE56" s="3326"/>
      <c r="AF56" s="3326"/>
      <c r="AG56" s="3327"/>
      <c r="AH56" s="1"/>
    </row>
    <row r="57" spans="1:40" ht="22.35" customHeight="1">
      <c r="B57" s="3350" t="s">
        <v>102</v>
      </c>
      <c r="C57" s="3455" t="s">
        <v>103</v>
      </c>
      <c r="D57" s="3456"/>
      <c r="E57" s="3457"/>
      <c r="F57" s="3455" t="s">
        <v>103</v>
      </c>
      <c r="G57" s="3458"/>
      <c r="H57" s="3457"/>
      <c r="I57" s="3453" t="s">
        <v>103</v>
      </c>
      <c r="J57" s="3454"/>
      <c r="K57" s="3459"/>
      <c r="L57" s="3453" t="s">
        <v>103</v>
      </c>
      <c r="M57" s="3454"/>
      <c r="N57" s="3459"/>
      <c r="O57" s="3453" t="s">
        <v>104</v>
      </c>
      <c r="P57" s="3454"/>
      <c r="Q57" s="3325"/>
      <c r="R57" s="3460" t="s">
        <v>0</v>
      </c>
      <c r="S57" s="3454"/>
      <c r="T57" s="3459"/>
      <c r="U57" s="3454" t="s">
        <v>0</v>
      </c>
      <c r="V57" s="3454"/>
      <c r="W57" s="3325"/>
      <c r="X57" s="741" t="s">
        <v>0</v>
      </c>
      <c r="Y57" s="72"/>
      <c r="Z57" s="72"/>
      <c r="AA57" s="72"/>
      <c r="AB57" s="72"/>
      <c r="AC57" s="72"/>
      <c r="AD57" s="72"/>
      <c r="AE57" s="72"/>
      <c r="AF57" s="72"/>
      <c r="AG57" s="111"/>
      <c r="AH57" s="1"/>
    </row>
    <row r="58" spans="1:40" ht="22.35" customHeight="1">
      <c r="A58" s="3461"/>
      <c r="B58" s="3452" t="s">
        <v>105</v>
      </c>
      <c r="C58" s="3453" t="s">
        <v>396</v>
      </c>
      <c r="D58" s="3454"/>
      <c r="E58" s="3325"/>
      <c r="F58" s="3453" t="s">
        <v>396</v>
      </c>
      <c r="G58" s="3454"/>
      <c r="H58" s="3325"/>
      <c r="I58" s="3453" t="s">
        <v>396</v>
      </c>
      <c r="J58" s="3454"/>
      <c r="K58" s="3325"/>
      <c r="L58" s="3453" t="s">
        <v>396</v>
      </c>
      <c r="M58" s="3454"/>
      <c r="N58" s="3325"/>
      <c r="O58" s="3453" t="s">
        <v>397</v>
      </c>
      <c r="P58" s="3454"/>
      <c r="Q58" s="3325"/>
      <c r="R58" s="112"/>
      <c r="S58" s="113"/>
      <c r="T58" s="3459"/>
      <c r="U58" s="3454"/>
      <c r="V58" s="3454"/>
      <c r="W58" s="3325"/>
      <c r="X58" s="3323"/>
      <c r="Y58" s="3326"/>
      <c r="Z58" s="3326"/>
      <c r="AA58" s="3326"/>
      <c r="AB58" s="3326"/>
      <c r="AC58" s="3326"/>
      <c r="AD58" s="3326"/>
      <c r="AE58" s="3326"/>
      <c r="AF58" s="3326"/>
      <c r="AG58" s="3327"/>
      <c r="AH58" s="1"/>
      <c r="AJ58">
        <v>0</v>
      </c>
    </row>
    <row r="59" spans="1:40" ht="22.35" customHeight="1">
      <c r="A59" s="3445"/>
      <c r="B59" s="3350"/>
      <c r="C59" s="3462"/>
      <c r="D59" s="3462"/>
      <c r="E59" s="3463"/>
      <c r="F59" s="3462"/>
      <c r="G59" s="3462"/>
      <c r="H59" s="3463"/>
      <c r="I59" s="3462"/>
      <c r="J59" s="3462"/>
      <c r="K59" s="3463"/>
      <c r="L59" s="3462"/>
      <c r="M59" s="3462"/>
      <c r="N59" s="3463"/>
      <c r="O59" s="3462"/>
      <c r="P59" s="3462"/>
      <c r="Q59" s="3463"/>
      <c r="R59" s="3462"/>
      <c r="S59" s="3462"/>
      <c r="T59" s="3463"/>
      <c r="U59" s="3462"/>
      <c r="V59" s="3462"/>
      <c r="W59" s="3463"/>
      <c r="X59" s="3323"/>
      <c r="Y59" s="3326"/>
      <c r="Z59" s="3326"/>
      <c r="AA59" s="3326"/>
      <c r="AB59" s="3326"/>
      <c r="AC59" s="3326"/>
      <c r="AD59" s="3326"/>
      <c r="AE59" s="3326"/>
      <c r="AF59" s="3326"/>
      <c r="AG59" s="3327"/>
      <c r="AH59" s="1"/>
      <c r="AJ59" t="s">
        <v>447</v>
      </c>
    </row>
    <row r="60" spans="1:40" ht="22.35" customHeight="1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671"/>
      <c r="R60" s="69"/>
      <c r="S60" s="69"/>
      <c r="T60" s="671"/>
      <c r="U60" s="69"/>
      <c r="V60" s="6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40" ht="22.35" customHeight="1" thickBot="1">
      <c r="A61" s="3464"/>
      <c r="B61" s="3341" t="s">
        <v>29</v>
      </c>
      <c r="C61" s="3343">
        <v>1</v>
      </c>
      <c r="D61" s="3343">
        <v>2</v>
      </c>
      <c r="E61" s="3342">
        <v>3</v>
      </c>
      <c r="F61" s="3342">
        <v>4</v>
      </c>
      <c r="G61" s="3342">
        <v>5</v>
      </c>
      <c r="H61" s="3342">
        <v>6</v>
      </c>
      <c r="I61" s="3342">
        <v>7</v>
      </c>
      <c r="J61" s="3343">
        <v>8</v>
      </c>
      <c r="K61" s="3343">
        <v>9</v>
      </c>
      <c r="L61" s="3342">
        <v>10</v>
      </c>
      <c r="M61" s="3342">
        <v>11</v>
      </c>
      <c r="N61" s="3342">
        <v>12</v>
      </c>
      <c r="O61" s="3342">
        <v>13</v>
      </c>
      <c r="P61" s="3342">
        <v>14</v>
      </c>
      <c r="Q61" s="3343">
        <v>15</v>
      </c>
      <c r="R61" s="3343">
        <v>16</v>
      </c>
      <c r="S61" s="3342">
        <v>17</v>
      </c>
      <c r="T61" s="3342">
        <v>18</v>
      </c>
      <c r="U61" s="3342">
        <v>19</v>
      </c>
      <c r="V61" s="3342">
        <v>20</v>
      </c>
      <c r="W61" s="3342">
        <v>21</v>
      </c>
      <c r="X61" s="3343">
        <v>22</v>
      </c>
      <c r="Y61" s="3343">
        <v>23</v>
      </c>
      <c r="Z61" s="3342">
        <v>24</v>
      </c>
      <c r="AA61" s="3342">
        <v>25</v>
      </c>
      <c r="AB61" s="3342">
        <v>26</v>
      </c>
      <c r="AC61" s="3342">
        <v>27</v>
      </c>
      <c r="AD61" s="3342">
        <v>28</v>
      </c>
      <c r="AE61" s="3343">
        <v>29</v>
      </c>
      <c r="AF61" s="3343">
        <v>30</v>
      </c>
      <c r="AG61" s="3432">
        <v>31</v>
      </c>
      <c r="AH61" s="1"/>
      <c r="AJ61" s="3346" t="s">
        <v>30</v>
      </c>
      <c r="AK61" s="3346" t="s">
        <v>43</v>
      </c>
      <c r="AL61" s="3346" t="s">
        <v>44</v>
      </c>
      <c r="AM61" s="3346" t="s">
        <v>45</v>
      </c>
      <c r="AN61" s="3346" t="s">
        <v>46</v>
      </c>
    </row>
    <row r="62" spans="1:40" ht="22.35" customHeight="1" thickBot="1">
      <c r="A62" s="611">
        <v>26</v>
      </c>
      <c r="B62" s="304" t="s">
        <v>107</v>
      </c>
      <c r="C62" s="683"/>
      <c r="D62" s="683" t="s">
        <v>315</v>
      </c>
      <c r="E62" s="349" t="s">
        <v>108</v>
      </c>
      <c r="F62" s="349" t="s">
        <v>108</v>
      </c>
      <c r="G62" s="349" t="s">
        <v>108</v>
      </c>
      <c r="H62" s="349" t="s">
        <v>108</v>
      </c>
      <c r="I62" s="349" t="s">
        <v>108</v>
      </c>
      <c r="J62" s="349" t="s">
        <v>109</v>
      </c>
      <c r="K62" s="349" t="s">
        <v>109</v>
      </c>
      <c r="L62" s="3252" t="s">
        <v>36</v>
      </c>
      <c r="M62" s="3252" t="s">
        <v>36</v>
      </c>
      <c r="N62" s="3252" t="s">
        <v>36</v>
      </c>
      <c r="O62" s="3252" t="s">
        <v>36</v>
      </c>
      <c r="P62" s="3632" t="s">
        <v>36</v>
      </c>
      <c r="Q62" s="697"/>
      <c r="R62" s="698"/>
      <c r="S62" s="696" t="s">
        <v>339</v>
      </c>
      <c r="T62" s="697">
        <v>5</v>
      </c>
      <c r="U62" s="697">
        <v>5</v>
      </c>
      <c r="V62" s="698">
        <v>5</v>
      </c>
      <c r="W62" s="699">
        <v>5</v>
      </c>
      <c r="X62" s="698"/>
      <c r="Y62" s="699" t="s">
        <v>315</v>
      </c>
      <c r="Z62" s="3355" t="s">
        <v>108</v>
      </c>
      <c r="AA62" s="3355" t="s">
        <v>108</v>
      </c>
      <c r="AB62" s="3355" t="s">
        <v>108</v>
      </c>
      <c r="AC62" s="3355" t="s">
        <v>108</v>
      </c>
      <c r="AD62" s="3355" t="s">
        <v>108</v>
      </c>
      <c r="AE62" s="3362" t="s">
        <v>109</v>
      </c>
      <c r="AF62" s="3362" t="s">
        <v>109</v>
      </c>
      <c r="AG62" s="707" t="s">
        <v>36</v>
      </c>
      <c r="AH62" s="1"/>
      <c r="AJ62" s="3125">
        <v>172.5</v>
      </c>
      <c r="AK62" s="3125">
        <v>12.5</v>
      </c>
      <c r="AL62" s="3125">
        <f>IF(AJ62="","",SUM(AJ62:AK62))</f>
        <v>185</v>
      </c>
      <c r="AM62" s="3374">
        <f t="shared" ref="AM62:AM73" si="2">IF(AJ62="","",AL62-NormTid)</f>
        <v>24.669999999999987</v>
      </c>
      <c r="AN62" s="3374">
        <f>AM62</f>
        <v>24.669999999999987</v>
      </c>
    </row>
    <row r="63" spans="1:40" ht="22.35" customHeight="1" thickBot="1">
      <c r="A63" s="3633">
        <v>27</v>
      </c>
      <c r="B63" s="3376" t="s">
        <v>112</v>
      </c>
      <c r="C63" s="3465"/>
      <c r="D63" s="3470" t="s">
        <v>109</v>
      </c>
      <c r="E63" s="3484" t="s">
        <v>32</v>
      </c>
      <c r="F63" s="3484" t="s">
        <v>32</v>
      </c>
      <c r="G63" s="3484" t="s">
        <v>32</v>
      </c>
      <c r="H63" s="3484" t="s">
        <v>32</v>
      </c>
      <c r="I63" s="3484" t="s">
        <v>32</v>
      </c>
      <c r="J63" s="3484"/>
      <c r="K63" s="3484"/>
      <c r="L63" s="3465">
        <v>25</v>
      </c>
      <c r="M63" s="3465">
        <v>25</v>
      </c>
      <c r="N63" s="3465">
        <v>25</v>
      </c>
      <c r="O63" s="3465">
        <v>25</v>
      </c>
      <c r="P63" s="3465">
        <v>25</v>
      </c>
      <c r="Q63" s="3516">
        <v>22</v>
      </c>
      <c r="R63" s="3516">
        <v>22</v>
      </c>
      <c r="S63" s="3252">
        <v>26</v>
      </c>
      <c r="T63" s="3252">
        <v>26</v>
      </c>
      <c r="U63" s="3471">
        <v>26</v>
      </c>
      <c r="V63" s="3475">
        <v>26</v>
      </c>
      <c r="W63" s="3475">
        <v>26</v>
      </c>
      <c r="X63" s="305"/>
      <c r="Y63" s="598">
        <v>26</v>
      </c>
      <c r="Z63" s="3634" t="s">
        <v>32</v>
      </c>
      <c r="AA63" s="3474" t="s">
        <v>32</v>
      </c>
      <c r="AB63" s="3634" t="s">
        <v>32</v>
      </c>
      <c r="AC63" s="3392" t="s">
        <v>32</v>
      </c>
      <c r="AD63" s="3392" t="s">
        <v>32</v>
      </c>
      <c r="AE63" s="3481" t="s">
        <v>77</v>
      </c>
      <c r="AF63" s="557" t="s">
        <v>32</v>
      </c>
      <c r="AG63" s="3620">
        <v>26</v>
      </c>
      <c r="AH63" s="1"/>
      <c r="AJ63" s="3125">
        <v>151.5</v>
      </c>
      <c r="AK63" s="3125">
        <v>8.25</v>
      </c>
      <c r="AL63" s="3125">
        <f t="shared" ref="AL63:AL73" si="3">IF(AJ63="","",SUM(AJ63:AK63))</f>
        <v>159.75</v>
      </c>
      <c r="AM63" s="3374">
        <f t="shared" si="2"/>
        <v>-0.58000000000001251</v>
      </c>
      <c r="AN63" s="3374">
        <f t="shared" ref="AN63:AN79" si="4">AM63</f>
        <v>-0.58000000000001251</v>
      </c>
    </row>
    <row r="64" spans="1:40" ht="22.35" customHeight="1" thickBot="1">
      <c r="A64" s="3633">
        <v>28</v>
      </c>
      <c r="B64" s="3376" t="s">
        <v>114</v>
      </c>
      <c r="C64" s="3252"/>
      <c r="D64" s="192">
        <v>26</v>
      </c>
      <c r="E64" s="3392" t="s">
        <v>32</v>
      </c>
      <c r="F64" s="3392" t="s">
        <v>32</v>
      </c>
      <c r="G64" s="3473" t="s">
        <v>32</v>
      </c>
      <c r="H64" s="3473" t="s">
        <v>32</v>
      </c>
      <c r="I64" s="3473" t="s">
        <v>32</v>
      </c>
      <c r="J64" s="3483"/>
      <c r="K64" s="617" t="s">
        <v>32</v>
      </c>
      <c r="L64" s="3483" t="s">
        <v>36</v>
      </c>
      <c r="M64" s="3483">
        <v>3</v>
      </c>
      <c r="N64" s="3472">
        <v>10</v>
      </c>
      <c r="O64" s="3472">
        <v>10</v>
      </c>
      <c r="P64" s="3472" t="s">
        <v>36</v>
      </c>
      <c r="Q64" s="691"/>
      <c r="R64" s="617" t="s">
        <v>32</v>
      </c>
      <c r="S64" s="3472" t="s">
        <v>36</v>
      </c>
      <c r="T64" s="3483" t="s">
        <v>32</v>
      </c>
      <c r="U64" s="3472" t="s">
        <v>36</v>
      </c>
      <c r="V64" s="583" t="s">
        <v>32</v>
      </c>
      <c r="W64" s="3589" t="s">
        <v>32</v>
      </c>
      <c r="X64" s="3483"/>
      <c r="Y64" s="3483" t="s">
        <v>0</v>
      </c>
      <c r="Z64" s="3589" t="s">
        <v>32</v>
      </c>
      <c r="AA64" s="3589" t="s">
        <v>32</v>
      </c>
      <c r="AB64" s="3589" t="s">
        <v>32</v>
      </c>
      <c r="AC64" s="3589" t="s">
        <v>32</v>
      </c>
      <c r="AD64" s="3589" t="s">
        <v>32</v>
      </c>
      <c r="AE64" s="3483"/>
      <c r="AF64" s="3483"/>
      <c r="AG64" s="692" t="s">
        <v>32</v>
      </c>
      <c r="AH64" s="1"/>
      <c r="AJ64" s="3125"/>
      <c r="AK64" s="3125"/>
      <c r="AL64" s="3125" t="str">
        <f t="shared" si="3"/>
        <v/>
      </c>
      <c r="AM64" s="3374" t="str">
        <f t="shared" si="2"/>
        <v/>
      </c>
      <c r="AN64" s="3374" t="str">
        <f t="shared" si="4"/>
        <v/>
      </c>
    </row>
    <row r="65" spans="1:40" ht="22.35" customHeight="1" thickBot="1">
      <c r="A65" s="3633">
        <v>29</v>
      </c>
      <c r="B65" s="3376" t="s">
        <v>117</v>
      </c>
      <c r="C65" s="3252"/>
      <c r="D65" s="3252"/>
      <c r="E65" s="3252">
        <v>25</v>
      </c>
      <c r="F65" s="3252">
        <v>25</v>
      </c>
      <c r="G65" s="3252" t="s">
        <v>36</v>
      </c>
      <c r="H65" s="3475" t="s">
        <v>52</v>
      </c>
      <c r="I65" s="3392" t="s">
        <v>32</v>
      </c>
      <c r="J65" s="3392" t="s">
        <v>32</v>
      </c>
      <c r="K65" s="3392" t="s">
        <v>32</v>
      </c>
      <c r="L65" s="3469" t="s">
        <v>36</v>
      </c>
      <c r="M65" s="3481" t="s">
        <v>36</v>
      </c>
      <c r="N65" s="3505" t="s">
        <v>343</v>
      </c>
      <c r="O65" s="3505" t="s">
        <v>343</v>
      </c>
      <c r="P65" s="3619" t="s">
        <v>32</v>
      </c>
      <c r="Q65" s="695">
        <v>22</v>
      </c>
      <c r="R65" s="684">
        <v>22</v>
      </c>
      <c r="S65" s="3635" t="s">
        <v>36</v>
      </c>
      <c r="T65" s="3635" t="s">
        <v>36</v>
      </c>
      <c r="U65" s="3635" t="s">
        <v>36</v>
      </c>
      <c r="V65" s="3635" t="s">
        <v>36</v>
      </c>
      <c r="W65" s="3632" t="s">
        <v>36</v>
      </c>
      <c r="X65" s="3636"/>
      <c r="Y65" s="3636"/>
      <c r="Z65" s="3637" t="s">
        <v>32</v>
      </c>
      <c r="AA65" s="3637" t="s">
        <v>278</v>
      </c>
      <c r="AB65" s="3392" t="s">
        <v>135</v>
      </c>
      <c r="AC65" s="3392" t="s">
        <v>135</v>
      </c>
      <c r="AD65" s="3474" t="s">
        <v>32</v>
      </c>
      <c r="AE65" s="3252"/>
      <c r="AF65" s="3252"/>
      <c r="AG65" s="3620">
        <v>5</v>
      </c>
      <c r="AH65" s="1"/>
      <c r="AJ65" s="3125">
        <v>134.5</v>
      </c>
      <c r="AK65" s="3125">
        <v>6.25</v>
      </c>
      <c r="AL65" s="3125">
        <f t="shared" si="3"/>
        <v>140.75</v>
      </c>
      <c r="AM65" s="3374">
        <f t="shared" si="2"/>
        <v>-19.580000000000013</v>
      </c>
      <c r="AN65" s="3374">
        <f t="shared" si="4"/>
        <v>-19.580000000000013</v>
      </c>
    </row>
    <row r="66" spans="1:40" ht="22.35" customHeight="1" thickBot="1">
      <c r="A66" s="3633">
        <v>30</v>
      </c>
      <c r="B66" s="3376" t="s">
        <v>119</v>
      </c>
      <c r="C66" s="3469"/>
      <c r="D66" s="3469"/>
      <c r="E66" s="3466" t="s">
        <v>32</v>
      </c>
      <c r="F66" s="3466" t="s">
        <v>32</v>
      </c>
      <c r="G66" s="3466" t="s">
        <v>32</v>
      </c>
      <c r="H66" s="3466" t="s">
        <v>32</v>
      </c>
      <c r="I66" s="3466" t="s">
        <v>32</v>
      </c>
      <c r="J66" s="3466"/>
      <c r="K66" s="3466"/>
      <c r="L66" s="3466" t="s">
        <v>32</v>
      </c>
      <c r="M66" s="3466" t="s">
        <v>32</v>
      </c>
      <c r="N66" s="3466" t="s">
        <v>32</v>
      </c>
      <c r="O66" s="3466" t="s">
        <v>32</v>
      </c>
      <c r="P66" s="3466" t="s">
        <v>32</v>
      </c>
      <c r="Q66" s="3466"/>
      <c r="R66" s="3466"/>
      <c r="S66" s="3466" t="s">
        <v>32</v>
      </c>
      <c r="T66" s="3466" t="s">
        <v>32</v>
      </c>
      <c r="U66" s="3466" t="s">
        <v>32</v>
      </c>
      <c r="V66" s="3466" t="s">
        <v>32</v>
      </c>
      <c r="W66" s="3466" t="s">
        <v>32</v>
      </c>
      <c r="X66" s="3466"/>
      <c r="Y66" s="3466"/>
      <c r="Z66" s="3466" t="s">
        <v>32</v>
      </c>
      <c r="AA66" s="3466" t="s">
        <v>32</v>
      </c>
      <c r="AB66" s="3466" t="s">
        <v>32</v>
      </c>
      <c r="AC66" s="3466" t="s">
        <v>32</v>
      </c>
      <c r="AD66" s="3466" t="s">
        <v>32</v>
      </c>
      <c r="AE66" s="3466"/>
      <c r="AF66" s="3466"/>
      <c r="AG66" s="3638" t="s">
        <v>32</v>
      </c>
      <c r="AH66" s="1"/>
      <c r="AJ66" s="3125"/>
      <c r="AK66" s="3125"/>
      <c r="AL66" s="3125" t="str">
        <f t="shared" si="3"/>
        <v/>
      </c>
      <c r="AM66" s="3374" t="str">
        <f t="shared" si="2"/>
        <v/>
      </c>
      <c r="AN66" s="3374" t="str">
        <f t="shared" si="4"/>
        <v/>
      </c>
    </row>
    <row r="67" spans="1:40" ht="22.35" customHeight="1" thickBot="1">
      <c r="A67" s="3633">
        <v>31</v>
      </c>
      <c r="B67" s="3376" t="s">
        <v>120</v>
      </c>
      <c r="C67" s="3252" t="s">
        <v>109</v>
      </c>
      <c r="D67" s="3484" t="s">
        <v>109</v>
      </c>
      <c r="E67" s="3252" t="s">
        <v>36</v>
      </c>
      <c r="F67" s="3252" t="s">
        <v>36</v>
      </c>
      <c r="G67" s="3252">
        <v>25</v>
      </c>
      <c r="H67" s="3252">
        <v>25</v>
      </c>
      <c r="I67" s="3252">
        <v>25</v>
      </c>
      <c r="J67" s="3252"/>
      <c r="K67" s="3252"/>
      <c r="L67" s="349" t="s">
        <v>108</v>
      </c>
      <c r="M67" s="349" t="s">
        <v>108</v>
      </c>
      <c r="N67" s="349">
        <v>3</v>
      </c>
      <c r="O67" s="349" t="s">
        <v>173</v>
      </c>
      <c r="P67" s="349" t="s">
        <v>173</v>
      </c>
      <c r="Q67" s="3488" t="s">
        <v>80</v>
      </c>
      <c r="R67" s="3488" t="s">
        <v>80</v>
      </c>
      <c r="S67" s="3481">
        <v>5</v>
      </c>
      <c r="T67" s="3472">
        <v>25</v>
      </c>
      <c r="U67" s="3472">
        <v>25</v>
      </c>
      <c r="V67" s="3472">
        <v>25</v>
      </c>
      <c r="W67" s="3472">
        <v>25</v>
      </c>
      <c r="X67" s="3472"/>
      <c r="Y67" s="3472"/>
      <c r="Z67" s="3466">
        <v>25</v>
      </c>
      <c r="AA67" s="3466">
        <v>25</v>
      </c>
      <c r="AB67" s="3639">
        <v>25</v>
      </c>
      <c r="AC67" s="3639">
        <v>25</v>
      </c>
      <c r="AD67" s="3639">
        <v>25</v>
      </c>
      <c r="AE67" s="3466" t="s">
        <v>315</v>
      </c>
      <c r="AF67" s="3252"/>
      <c r="AG67" s="3640">
        <v>8</v>
      </c>
      <c r="AH67" s="1"/>
      <c r="AJ67" s="3125">
        <v>185.5</v>
      </c>
      <c r="AK67" s="3125">
        <v>9.75</v>
      </c>
      <c r="AL67" s="3125">
        <f t="shared" si="3"/>
        <v>195.25</v>
      </c>
      <c r="AM67" s="3374">
        <f t="shared" si="2"/>
        <v>34.919999999999987</v>
      </c>
      <c r="AN67" s="3374">
        <f t="shared" si="4"/>
        <v>34.919999999999987</v>
      </c>
    </row>
    <row r="68" spans="1:40" ht="22.35" customHeight="1" thickBot="1">
      <c r="A68" s="3633">
        <v>32</v>
      </c>
      <c r="B68" s="3624" t="s">
        <v>123</v>
      </c>
      <c r="C68" s="3480"/>
      <c r="D68" s="3480"/>
      <c r="E68" s="3483">
        <v>26</v>
      </c>
      <c r="F68" s="3483">
        <v>26</v>
      </c>
      <c r="G68" s="3483">
        <v>26</v>
      </c>
      <c r="H68" s="3483">
        <v>26</v>
      </c>
      <c r="I68" s="3483" t="s">
        <v>448</v>
      </c>
      <c r="J68" s="3633"/>
      <c r="K68" s="3252">
        <v>26</v>
      </c>
      <c r="L68" s="3475" t="s">
        <v>36</v>
      </c>
      <c r="M68" s="3475" t="s">
        <v>36</v>
      </c>
      <c r="N68" s="3475" t="s">
        <v>36</v>
      </c>
      <c r="O68" s="3475" t="s">
        <v>36</v>
      </c>
      <c r="P68" s="3252" t="s">
        <v>36</v>
      </c>
      <c r="Q68" s="307"/>
      <c r="R68" s="3469">
        <v>26</v>
      </c>
      <c r="S68" s="3252">
        <v>25</v>
      </c>
      <c r="T68" s="3634" t="s">
        <v>32</v>
      </c>
      <c r="U68" s="3634" t="s">
        <v>32</v>
      </c>
      <c r="V68" s="3634" t="s">
        <v>32</v>
      </c>
      <c r="W68" s="3634" t="s">
        <v>32</v>
      </c>
      <c r="X68" s="3471" t="s">
        <v>109</v>
      </c>
      <c r="Y68" s="3469"/>
      <c r="Z68" s="3252">
        <v>26</v>
      </c>
      <c r="AA68" s="3252">
        <v>26</v>
      </c>
      <c r="AB68" s="3252">
        <v>26</v>
      </c>
      <c r="AC68" s="3252">
        <v>26</v>
      </c>
      <c r="AD68" s="3252">
        <v>26</v>
      </c>
      <c r="AE68" s="3252"/>
      <c r="AF68" s="3252">
        <v>26</v>
      </c>
      <c r="AG68" s="708" t="s">
        <v>108</v>
      </c>
      <c r="AH68" s="1"/>
      <c r="AJ68" s="3125">
        <v>151.25</v>
      </c>
      <c r="AK68" s="3125">
        <v>10</v>
      </c>
      <c r="AL68" s="3125">
        <f t="shared" si="3"/>
        <v>161.25</v>
      </c>
      <c r="AM68" s="3374">
        <f t="shared" si="2"/>
        <v>0.91999999999998749</v>
      </c>
      <c r="AN68" s="3374">
        <f t="shared" si="4"/>
        <v>0.91999999999998749</v>
      </c>
    </row>
    <row r="69" spans="1:40" ht="22.35" customHeight="1" thickBot="1">
      <c r="A69" s="3633">
        <v>33</v>
      </c>
      <c r="B69" s="3376" t="s">
        <v>128</v>
      </c>
      <c r="C69" s="3465"/>
      <c r="D69" s="3465"/>
      <c r="E69" s="3261" t="s">
        <v>135</v>
      </c>
      <c r="F69" s="3465" t="s">
        <v>135</v>
      </c>
      <c r="G69" s="3465" t="s">
        <v>135</v>
      </c>
      <c r="H69" s="3465" t="s">
        <v>135</v>
      </c>
      <c r="I69" s="3465" t="s">
        <v>135</v>
      </c>
      <c r="J69" s="3252"/>
      <c r="K69" s="3252"/>
      <c r="L69" s="3465" t="s">
        <v>135</v>
      </c>
      <c r="M69" s="3465" t="s">
        <v>135</v>
      </c>
      <c r="N69" s="3465" t="s">
        <v>135</v>
      </c>
      <c r="O69" s="3465" t="s">
        <v>135</v>
      </c>
      <c r="P69" s="3466" t="s">
        <v>135</v>
      </c>
      <c r="Q69" s="683"/>
      <c r="R69" s="3466"/>
      <c r="S69" s="3466" t="s">
        <v>135</v>
      </c>
      <c r="T69" s="3466" t="s">
        <v>135</v>
      </c>
      <c r="U69" s="3466" t="s">
        <v>135</v>
      </c>
      <c r="V69" s="3466" t="s">
        <v>355</v>
      </c>
      <c r="W69" s="3476" t="s">
        <v>135</v>
      </c>
      <c r="X69" s="3252"/>
      <c r="Y69" s="3252"/>
      <c r="Z69" s="3465" t="s">
        <v>135</v>
      </c>
      <c r="AA69" s="3465" t="s">
        <v>135</v>
      </c>
      <c r="AB69" s="3466" t="s">
        <v>135</v>
      </c>
      <c r="AC69" s="3466" t="s">
        <v>135</v>
      </c>
      <c r="AD69" s="3466" t="s">
        <v>135</v>
      </c>
      <c r="AE69" s="3466"/>
      <c r="AF69" s="3466"/>
      <c r="AG69" s="3639" t="s">
        <v>135</v>
      </c>
      <c r="AH69" s="1"/>
      <c r="AJ69" s="3125">
        <v>155.5</v>
      </c>
      <c r="AK69" s="3125">
        <v>0.75</v>
      </c>
      <c r="AL69" s="3125">
        <f t="shared" si="3"/>
        <v>156.25</v>
      </c>
      <c r="AM69" s="3374">
        <f t="shared" si="2"/>
        <v>-4.0800000000000125</v>
      </c>
      <c r="AN69" s="3374">
        <f t="shared" si="4"/>
        <v>-4.0800000000000125</v>
      </c>
    </row>
    <row r="70" spans="1:40" ht="22.35" customHeight="1">
      <c r="A70" s="3633">
        <v>34</v>
      </c>
      <c r="B70" s="3376" t="s">
        <v>131</v>
      </c>
      <c r="C70" s="3252"/>
      <c r="D70" s="3252"/>
      <c r="E70" s="3633" t="s">
        <v>122</v>
      </c>
      <c r="F70" s="3633" t="s">
        <v>122</v>
      </c>
      <c r="G70" s="3633" t="s">
        <v>122</v>
      </c>
      <c r="H70" s="3633" t="s">
        <v>122</v>
      </c>
      <c r="I70" s="3633" t="s">
        <v>122</v>
      </c>
      <c r="J70" s="3633"/>
      <c r="K70" s="3633"/>
      <c r="L70" s="3633" t="s">
        <v>122</v>
      </c>
      <c r="M70" s="3633" t="s">
        <v>122</v>
      </c>
      <c r="N70" s="3633" t="s">
        <v>122</v>
      </c>
      <c r="O70" s="3633" t="s">
        <v>122</v>
      </c>
      <c r="P70" s="3633" t="s">
        <v>122</v>
      </c>
      <c r="Q70" s="307"/>
      <c r="R70" s="3252"/>
      <c r="S70" s="3633" t="s">
        <v>122</v>
      </c>
      <c r="T70" s="3475" t="s">
        <v>122</v>
      </c>
      <c r="U70" s="3475" t="s">
        <v>122</v>
      </c>
      <c r="V70" s="3633" t="s">
        <v>122</v>
      </c>
      <c r="W70" s="3633" t="s">
        <v>122</v>
      </c>
      <c r="X70" s="3252"/>
      <c r="Y70" s="3252"/>
      <c r="Z70" s="3633" t="s">
        <v>122</v>
      </c>
      <c r="AA70" s="3633" t="s">
        <v>122</v>
      </c>
      <c r="AB70" s="3633" t="s">
        <v>122</v>
      </c>
      <c r="AC70" s="3633" t="s">
        <v>122</v>
      </c>
      <c r="AD70" s="3633" t="s">
        <v>122</v>
      </c>
      <c r="AE70" s="3252"/>
      <c r="AF70" s="3252"/>
      <c r="AG70" s="3633" t="s">
        <v>122</v>
      </c>
      <c r="AH70" s="1"/>
      <c r="AJ70" s="3125">
        <v>155.5</v>
      </c>
      <c r="AK70" s="3125">
        <v>0</v>
      </c>
      <c r="AL70" s="3125">
        <f t="shared" si="3"/>
        <v>155.5</v>
      </c>
      <c r="AM70" s="3374">
        <f t="shared" si="2"/>
        <v>-4.8300000000000125</v>
      </c>
      <c r="AN70" s="3374">
        <f t="shared" si="4"/>
        <v>-4.8300000000000125</v>
      </c>
    </row>
    <row r="71" spans="1:40" ht="22.35" customHeight="1" thickBot="1">
      <c r="A71" s="3641">
        <v>35</v>
      </c>
      <c r="B71" s="3110" t="s">
        <v>139</v>
      </c>
      <c r="C71" s="3252"/>
      <c r="D71" s="3252"/>
      <c r="E71" s="3252">
        <v>79</v>
      </c>
      <c r="F71" s="3252">
        <v>89</v>
      </c>
      <c r="G71" s="3252" t="s">
        <v>36</v>
      </c>
      <c r="H71" s="3252" t="s">
        <v>36</v>
      </c>
      <c r="I71" s="3252" t="s">
        <v>36</v>
      </c>
      <c r="J71" s="3252">
        <v>22</v>
      </c>
      <c r="K71" s="3252">
        <v>22</v>
      </c>
      <c r="L71" s="3252" t="s">
        <v>36</v>
      </c>
      <c r="M71">
        <v>69</v>
      </c>
      <c r="N71" t="s">
        <v>173</v>
      </c>
      <c r="O71">
        <v>69</v>
      </c>
      <c r="P71">
        <v>69</v>
      </c>
      <c r="Q71" s="3420" t="s">
        <v>0</v>
      </c>
      <c r="R71" s="3420" t="s">
        <v>0</v>
      </c>
      <c r="S71" s="3252">
        <v>9</v>
      </c>
      <c r="T71" s="3252">
        <v>9</v>
      </c>
      <c r="U71" s="3252">
        <v>9</v>
      </c>
      <c r="V71" s="3392" t="s">
        <v>351</v>
      </c>
      <c r="W71" s="3392" t="s">
        <v>349</v>
      </c>
      <c r="X71" s="3344"/>
      <c r="Y71" s="3420" t="s">
        <v>0</v>
      </c>
      <c r="Z71" s="3642" t="s">
        <v>32</v>
      </c>
      <c r="AA71" s="3642" t="s">
        <v>32</v>
      </c>
      <c r="AB71" s="3642" t="s">
        <v>32</v>
      </c>
      <c r="AC71" s="3642" t="s">
        <v>113</v>
      </c>
      <c r="AD71" s="3642" t="s">
        <v>113</v>
      </c>
      <c r="AE71" s="3643"/>
      <c r="AF71" s="3468"/>
      <c r="AG71" s="3392" t="s">
        <v>32</v>
      </c>
      <c r="AH71" s="1"/>
      <c r="AJ71" s="3125">
        <v>145</v>
      </c>
      <c r="AK71" s="3125">
        <v>4.25</v>
      </c>
      <c r="AL71" s="3125">
        <f t="shared" si="3"/>
        <v>149.25</v>
      </c>
      <c r="AM71" s="3374">
        <f t="shared" si="2"/>
        <v>-11.080000000000013</v>
      </c>
      <c r="AN71" s="3374">
        <f t="shared" si="4"/>
        <v>-11.080000000000013</v>
      </c>
    </row>
    <row r="72" spans="1:40" ht="22.35" customHeight="1">
      <c r="A72" s="3633">
        <v>36</v>
      </c>
      <c r="B72" s="3110" t="s">
        <v>140</v>
      </c>
      <c r="C72" s="3252"/>
      <c r="D72" s="3252" t="s">
        <v>0</v>
      </c>
      <c r="E72" s="3475">
        <v>4</v>
      </c>
      <c r="F72" s="3252">
        <v>22</v>
      </c>
      <c r="G72" s="3252">
        <v>22</v>
      </c>
      <c r="H72" s="3252">
        <v>22</v>
      </c>
      <c r="I72" s="3252">
        <v>22</v>
      </c>
      <c r="J72" s="3252"/>
      <c r="K72" s="3252"/>
      <c r="L72" s="3252">
        <v>26</v>
      </c>
      <c r="M72" s="3252">
        <v>26</v>
      </c>
      <c r="N72" s="3252">
        <v>26</v>
      </c>
      <c r="O72" s="3252">
        <v>26</v>
      </c>
      <c r="P72" s="3252">
        <v>26</v>
      </c>
      <c r="Q72" s="307"/>
      <c r="R72" s="3252"/>
      <c r="S72" s="3252">
        <v>5</v>
      </c>
      <c r="T72" s="3252">
        <v>5</v>
      </c>
      <c r="U72" s="3252">
        <v>5</v>
      </c>
      <c r="V72" s="3475">
        <v>5</v>
      </c>
      <c r="W72" s="3483">
        <v>5</v>
      </c>
      <c r="X72" s="3483" t="s">
        <v>315</v>
      </c>
      <c r="Y72" s="192" t="s">
        <v>32</v>
      </c>
      <c r="Z72" s="3392" t="s">
        <v>36</v>
      </c>
      <c r="AA72" s="3392" t="s">
        <v>36</v>
      </c>
      <c r="AB72" s="3392" t="s">
        <v>50</v>
      </c>
      <c r="AC72" s="3392" t="s">
        <v>50</v>
      </c>
      <c r="AD72" s="3392" t="s">
        <v>50</v>
      </c>
      <c r="AE72" s="3392" t="s">
        <v>109</v>
      </c>
      <c r="AF72" s="3392" t="s">
        <v>109</v>
      </c>
      <c r="AG72" s="3620" t="s">
        <v>135</v>
      </c>
      <c r="AH72" s="1"/>
      <c r="AJ72" s="3125">
        <v>171.5</v>
      </c>
      <c r="AK72" s="3125">
        <v>10.25</v>
      </c>
      <c r="AL72" s="3125">
        <f t="shared" si="3"/>
        <v>181.75</v>
      </c>
      <c r="AM72" s="3374">
        <f t="shared" si="2"/>
        <v>21.419999999999987</v>
      </c>
      <c r="AN72" s="3374">
        <f t="shared" si="4"/>
        <v>21.419999999999987</v>
      </c>
    </row>
    <row r="73" spans="1:40" ht="22.35" customHeight="1" thickBot="1">
      <c r="A73" s="755">
        <v>37</v>
      </c>
      <c r="B73" s="3624" t="s">
        <v>398</v>
      </c>
      <c r="C73" s="3252"/>
      <c r="D73" s="3252"/>
      <c r="E73" s="3392" t="s">
        <v>32</v>
      </c>
      <c r="F73" s="3634" t="s">
        <v>32</v>
      </c>
      <c r="G73" s="3392" t="s">
        <v>32</v>
      </c>
      <c r="H73" s="3392" t="s">
        <v>32</v>
      </c>
      <c r="I73" s="3378" t="s">
        <v>32</v>
      </c>
      <c r="J73" s="3252"/>
      <c r="K73" s="3252"/>
      <c r="L73" s="3634" t="s">
        <v>32</v>
      </c>
      <c r="M73" s="3392" t="s">
        <v>32</v>
      </c>
      <c r="N73" s="3392" t="s">
        <v>32</v>
      </c>
      <c r="O73" s="3392" t="s">
        <v>32</v>
      </c>
      <c r="P73" s="3378" t="s">
        <v>32</v>
      </c>
      <c r="Q73" s="3252"/>
      <c r="R73" s="3252" t="s">
        <v>0</v>
      </c>
      <c r="S73" s="3634" t="s">
        <v>32</v>
      </c>
      <c r="T73" s="3619" t="s">
        <v>32</v>
      </c>
      <c r="U73" s="3619" t="s">
        <v>32</v>
      </c>
      <c r="V73" s="3619" t="s">
        <v>32</v>
      </c>
      <c r="W73" s="3605" t="s">
        <v>32</v>
      </c>
      <c r="X73" s="3644"/>
      <c r="Y73" s="3632">
        <v>26</v>
      </c>
      <c r="Z73" s="3637" t="s">
        <v>278</v>
      </c>
      <c r="AA73" s="3586" t="s">
        <v>32</v>
      </c>
      <c r="AB73" s="3392" t="s">
        <v>32</v>
      </c>
      <c r="AC73" s="3392" t="s">
        <v>32</v>
      </c>
      <c r="AD73" s="3378" t="s">
        <v>32</v>
      </c>
      <c r="AE73" s="3471"/>
      <c r="AF73" s="3471"/>
      <c r="AG73" s="3392" t="s">
        <v>32</v>
      </c>
      <c r="AJ73" s="3125">
        <v>166</v>
      </c>
      <c r="AK73" s="3125">
        <v>2.75</v>
      </c>
      <c r="AL73" s="3125">
        <f t="shared" si="3"/>
        <v>168.75</v>
      </c>
      <c r="AM73" s="3374">
        <f t="shared" si="2"/>
        <v>8.4199999999999875</v>
      </c>
      <c r="AN73" s="3374">
        <f t="shared" si="4"/>
        <v>8.4199999999999875</v>
      </c>
    </row>
    <row r="74" spans="1:40" ht="22.35" customHeight="1" thickBot="1">
      <c r="A74" s="755">
        <v>38</v>
      </c>
      <c r="B74" s="3624" t="s">
        <v>399</v>
      </c>
      <c r="C74" s="3252"/>
      <c r="D74" s="3252"/>
      <c r="E74" s="3252">
        <v>25</v>
      </c>
      <c r="F74" s="3252">
        <v>25</v>
      </c>
      <c r="G74" s="3252">
        <v>25</v>
      </c>
      <c r="H74" s="3252">
        <v>25</v>
      </c>
      <c r="I74" s="3252">
        <v>25</v>
      </c>
      <c r="J74" s="3252"/>
      <c r="K74" s="3252"/>
      <c r="L74" s="349" t="s">
        <v>108</v>
      </c>
      <c r="M74" s="349" t="s">
        <v>108</v>
      </c>
      <c r="N74" s="349" t="s">
        <v>108</v>
      </c>
      <c r="O74" s="349" t="s">
        <v>108</v>
      </c>
      <c r="P74" s="349" t="s">
        <v>108</v>
      </c>
      <c r="Q74" s="349" t="s">
        <v>109</v>
      </c>
      <c r="R74" s="349" t="s">
        <v>109</v>
      </c>
      <c r="S74" s="3252" t="s">
        <v>36</v>
      </c>
      <c r="T74" s="3252" t="s">
        <v>36</v>
      </c>
      <c r="U74" s="3252" t="s">
        <v>36</v>
      </c>
      <c r="V74" s="3252" t="s">
        <v>36</v>
      </c>
      <c r="W74" s="3252" t="s">
        <v>36</v>
      </c>
      <c r="X74" s="3252"/>
      <c r="Y74" s="192" t="s">
        <v>0</v>
      </c>
      <c r="Z74" s="3465">
        <v>25</v>
      </c>
      <c r="AA74" s="3465">
        <v>25</v>
      </c>
      <c r="AB74" s="3465">
        <v>25</v>
      </c>
      <c r="AC74" s="3465">
        <v>25</v>
      </c>
      <c r="AD74" s="3465">
        <v>25</v>
      </c>
      <c r="AE74" s="3252"/>
      <c r="AF74" s="3252"/>
      <c r="AG74" s="3640">
        <v>25</v>
      </c>
      <c r="AJ74" s="3633">
        <v>174</v>
      </c>
      <c r="AK74" s="3633">
        <v>11.75</v>
      </c>
      <c r="AL74" s="3633">
        <f>IF(AJ74="","",SUM(AJ74:AK74))</f>
        <v>185.75</v>
      </c>
      <c r="AM74" s="3645">
        <f>IF(AJ74="","",AL74-NormTid)</f>
        <v>25.419999999999987</v>
      </c>
      <c r="AN74" s="3645">
        <f>AM74</f>
        <v>25.419999999999987</v>
      </c>
    </row>
    <row r="75" spans="1:40" ht="22.35" customHeight="1" thickBot="1">
      <c r="A75" s="755">
        <v>39</v>
      </c>
      <c r="B75" s="3624" t="s">
        <v>424</v>
      </c>
      <c r="C75" s="3252"/>
      <c r="D75" s="3252"/>
      <c r="E75" s="3646">
        <v>5</v>
      </c>
      <c r="F75" s="3646">
        <v>5</v>
      </c>
      <c r="G75" s="3646">
        <v>5</v>
      </c>
      <c r="H75" s="3646">
        <v>5</v>
      </c>
      <c r="I75" s="3646">
        <v>5</v>
      </c>
      <c r="J75" s="3252"/>
      <c r="K75" s="3252"/>
      <c r="L75" s="3252">
        <v>5</v>
      </c>
      <c r="M75" s="3252">
        <v>5</v>
      </c>
      <c r="N75" s="3252">
        <v>5</v>
      </c>
      <c r="O75" s="3252">
        <v>5</v>
      </c>
      <c r="P75" s="3252">
        <v>5</v>
      </c>
      <c r="Q75" s="307"/>
      <c r="R75" s="3252"/>
      <c r="S75" s="3420">
        <v>11</v>
      </c>
      <c r="T75" s="3420">
        <v>11</v>
      </c>
      <c r="U75" s="3420">
        <v>11</v>
      </c>
      <c r="V75" s="3420">
        <v>11</v>
      </c>
      <c r="W75" s="3420">
        <v>11</v>
      </c>
      <c r="X75" s="3420" t="s">
        <v>73</v>
      </c>
      <c r="Y75" s="3420" t="s">
        <v>73</v>
      </c>
      <c r="Z75" s="3252" t="s">
        <v>36</v>
      </c>
      <c r="AA75" s="3252" t="s">
        <v>36</v>
      </c>
      <c r="AB75" s="3252" t="s">
        <v>36</v>
      </c>
      <c r="AC75" s="3252" t="s">
        <v>36</v>
      </c>
      <c r="AD75" s="3252" t="s">
        <v>36</v>
      </c>
      <c r="AE75" s="3420" t="s">
        <v>74</v>
      </c>
      <c r="AF75" s="3420" t="s">
        <v>74</v>
      </c>
      <c r="AG75" s="3640">
        <v>4</v>
      </c>
      <c r="AJ75" s="3633">
        <v>194.75</v>
      </c>
      <c r="AK75" s="3633">
        <v>12.25</v>
      </c>
      <c r="AL75" s="3633">
        <f>IF(AJ75="","",SUM(AJ75:AK75))</f>
        <v>207</v>
      </c>
      <c r="AM75" s="3645">
        <f>IF(AJ75="","",AL75-NormTid)</f>
        <v>46.669999999999987</v>
      </c>
      <c r="AN75" s="3645">
        <f>AM75</f>
        <v>46.669999999999987</v>
      </c>
    </row>
    <row r="76" spans="1:40" ht="22.35" customHeight="1" thickBot="1">
      <c r="A76" s="755">
        <v>40</v>
      </c>
      <c r="B76" s="3388" t="s">
        <v>134</v>
      </c>
      <c r="C76" s="3252"/>
      <c r="D76" s="3252"/>
      <c r="E76" s="3377">
        <v>10</v>
      </c>
      <c r="F76" s="3377">
        <v>10</v>
      </c>
      <c r="G76" s="3377">
        <v>10</v>
      </c>
      <c r="H76" s="3352">
        <v>10</v>
      </c>
      <c r="I76" s="3352">
        <v>10</v>
      </c>
      <c r="J76" s="3352" t="s">
        <v>77</v>
      </c>
      <c r="K76" s="3352" t="s">
        <v>77</v>
      </c>
      <c r="L76" s="3439" t="s">
        <v>36</v>
      </c>
      <c r="M76" s="3439" t="s">
        <v>36</v>
      </c>
      <c r="N76" s="3420" t="s">
        <v>36</v>
      </c>
      <c r="O76" s="3252" t="s">
        <v>36</v>
      </c>
      <c r="P76" s="3252" t="s">
        <v>36</v>
      </c>
      <c r="Q76" s="3252" t="s">
        <v>0</v>
      </c>
      <c r="R76" s="3252" t="s">
        <v>0</v>
      </c>
      <c r="S76" s="3355" t="s">
        <v>212</v>
      </c>
      <c r="T76" s="3355" t="s">
        <v>212</v>
      </c>
      <c r="U76" s="3355" t="s">
        <v>212</v>
      </c>
      <c r="V76" s="3516" t="s">
        <v>212</v>
      </c>
      <c r="W76" s="3516" t="s">
        <v>212</v>
      </c>
      <c r="X76" s="3420" t="s">
        <v>0</v>
      </c>
      <c r="Y76" s="349"/>
      <c r="Z76" s="361">
        <v>5</v>
      </c>
      <c r="AA76" s="361">
        <v>5</v>
      </c>
      <c r="AB76" s="361">
        <v>5</v>
      </c>
      <c r="AC76" s="361">
        <v>5</v>
      </c>
      <c r="AD76" s="574">
        <v>5</v>
      </c>
      <c r="AE76" s="350"/>
      <c r="AF76" s="361"/>
      <c r="AG76" s="362">
        <v>10</v>
      </c>
      <c r="AJ76" s="3633"/>
      <c r="AK76" s="3633"/>
      <c r="AL76" s="3633" t="str">
        <f>IF(AJ76="","",SUM(AJ76:AK76))</f>
        <v/>
      </c>
      <c r="AM76" s="3645" t="str">
        <f>IF(AJ76="","",AL76-NormTid)</f>
        <v/>
      </c>
      <c r="AN76" s="3645" t="str">
        <f>AM76</f>
        <v/>
      </c>
    </row>
    <row r="77" spans="1:40" ht="22.35" customHeight="1">
      <c r="A77" s="755">
        <v>41</v>
      </c>
      <c r="B77" s="3376" t="s">
        <v>366</v>
      </c>
      <c r="C77" s="361" t="s">
        <v>76</v>
      </c>
      <c r="D77" s="350" t="s">
        <v>77</v>
      </c>
      <c r="E77" s="361" t="s">
        <v>36</v>
      </c>
      <c r="F77" s="349" t="s">
        <v>36</v>
      </c>
      <c r="G77" s="349" t="s">
        <v>36</v>
      </c>
      <c r="H77" s="349" t="s">
        <v>36</v>
      </c>
      <c r="I77" s="349" t="s">
        <v>36</v>
      </c>
      <c r="J77" s="349" t="s">
        <v>78</v>
      </c>
      <c r="K77" s="349" t="s">
        <v>74</v>
      </c>
      <c r="L77" s="349">
        <v>6</v>
      </c>
      <c r="M77" s="349">
        <v>6</v>
      </c>
      <c r="N77" s="349">
        <v>6</v>
      </c>
      <c r="O77" s="349">
        <v>6</v>
      </c>
      <c r="P77" s="349">
        <v>6</v>
      </c>
      <c r="Q77" s="349"/>
      <c r="R77" s="349"/>
      <c r="S77" s="349" t="s">
        <v>36</v>
      </c>
      <c r="T77" s="361" t="s">
        <v>36</v>
      </c>
      <c r="U77" s="361" t="s">
        <v>36</v>
      </c>
      <c r="V77" s="364" t="s">
        <v>36</v>
      </c>
      <c r="W77" s="361" t="s">
        <v>36</v>
      </c>
      <c r="X77" s="3355" t="s">
        <v>212</v>
      </c>
      <c r="Y77" s="349"/>
      <c r="Z77" s="3355" t="s">
        <v>213</v>
      </c>
      <c r="AA77" s="3355" t="s">
        <v>213</v>
      </c>
      <c r="AB77" s="3355" t="s">
        <v>213</v>
      </c>
      <c r="AC77" s="3355" t="s">
        <v>213</v>
      </c>
      <c r="AD77" s="3355" t="s">
        <v>36</v>
      </c>
      <c r="AE77" s="3428"/>
      <c r="AF77" s="3428"/>
      <c r="AG77" s="3416" t="s">
        <v>211</v>
      </c>
      <c r="AH77" s="3428"/>
      <c r="AI77" s="3416"/>
      <c r="AJ77" s="3633"/>
      <c r="AK77" s="3633"/>
      <c r="AL77" s="3633" t="str">
        <f>IF(AJ77="","",SUM(AJ77:AK77))</f>
        <v/>
      </c>
      <c r="AM77" s="3645" t="str">
        <f>IF(AJ77="","",AL77-NormTid)</f>
        <v/>
      </c>
      <c r="AN77" s="3645" t="str">
        <f>AM77</f>
        <v/>
      </c>
    </row>
    <row r="78" spans="1:40" ht="22.35" customHeight="1">
      <c r="AJ78" s="3633"/>
      <c r="AK78" s="3633"/>
      <c r="AL78" s="3633"/>
      <c r="AM78" s="3645" t="str">
        <f>IF(AJ78="","",AL78-NormTid)</f>
        <v/>
      </c>
      <c r="AN78" s="3645" t="str">
        <f>AM78</f>
        <v/>
      </c>
    </row>
    <row r="79" spans="1:40" ht="22.35" customHeight="1">
      <c r="AJ79" s="3125"/>
      <c r="AK79" s="3125"/>
      <c r="AL79" s="3125" t="str">
        <f t="shared" ref="AL79" si="5">IF(AJ79="","",SUM(AJ79:AK79))</f>
        <v/>
      </c>
      <c r="AM79" s="3374" t="str">
        <f t="shared" ref="AM79" si="6">IF(AJ79="","",AL79-NormTid)</f>
        <v/>
      </c>
      <c r="AN79" s="3374" t="str">
        <f t="shared" si="4"/>
        <v/>
      </c>
    </row>
    <row r="80" spans="1:40" ht="22.35" customHeight="1" thickBot="1">
      <c r="A80" s="3110"/>
      <c r="B80" s="3111" t="s">
        <v>138</v>
      </c>
      <c r="C80" s="3495">
        <v>1</v>
      </c>
      <c r="D80" s="3495">
        <v>2</v>
      </c>
      <c r="E80" s="3494">
        <v>3</v>
      </c>
      <c r="F80" s="3494">
        <v>4</v>
      </c>
      <c r="G80" s="3494">
        <v>5</v>
      </c>
      <c r="H80" s="3494">
        <v>6</v>
      </c>
      <c r="I80" s="3494">
        <v>7</v>
      </c>
      <c r="J80" s="3495">
        <v>8</v>
      </c>
      <c r="K80" s="3495">
        <v>9</v>
      </c>
      <c r="L80" s="3494">
        <v>10</v>
      </c>
      <c r="M80" s="3494">
        <v>11</v>
      </c>
      <c r="N80" s="3494">
        <v>12</v>
      </c>
      <c r="O80" s="3494">
        <v>13</v>
      </c>
      <c r="P80" s="3494">
        <v>14</v>
      </c>
      <c r="Q80" s="3495">
        <v>15</v>
      </c>
      <c r="R80" s="3495">
        <v>16</v>
      </c>
      <c r="S80" s="3494">
        <v>17</v>
      </c>
      <c r="T80" s="3494">
        <v>18</v>
      </c>
      <c r="U80" s="3494">
        <v>19</v>
      </c>
      <c r="V80" s="3494">
        <v>20</v>
      </c>
      <c r="W80" s="3494">
        <v>21</v>
      </c>
      <c r="X80" s="3495">
        <v>22</v>
      </c>
      <c r="Y80" s="3495">
        <v>23</v>
      </c>
      <c r="Z80" s="3494">
        <v>24</v>
      </c>
      <c r="AA80" s="3494">
        <v>25</v>
      </c>
      <c r="AB80" s="3494">
        <v>26</v>
      </c>
      <c r="AC80" s="3494">
        <v>27</v>
      </c>
      <c r="AD80" s="3494">
        <v>28</v>
      </c>
      <c r="AE80" s="3495">
        <v>29</v>
      </c>
      <c r="AF80" s="3495">
        <v>30</v>
      </c>
      <c r="AG80" s="3647">
        <v>31</v>
      </c>
      <c r="AH80" s="1"/>
    </row>
    <row r="81" spans="1:35" ht="22.35" customHeight="1">
      <c r="A81" s="309">
        <v>42</v>
      </c>
      <c r="B81" s="3624" t="s">
        <v>425</v>
      </c>
      <c r="C81" s="3252"/>
      <c r="D81" s="3252"/>
      <c r="E81" s="3632">
        <v>22</v>
      </c>
      <c r="F81" s="3632">
        <v>22</v>
      </c>
      <c r="G81" s="3632">
        <v>22</v>
      </c>
      <c r="H81" s="3648">
        <v>22</v>
      </c>
      <c r="I81" s="3648">
        <v>22</v>
      </c>
      <c r="J81" s="3605" t="s">
        <v>0</v>
      </c>
      <c r="K81" s="3635" t="s">
        <v>449</v>
      </c>
      <c r="L81" s="3252">
        <v>22</v>
      </c>
      <c r="M81" s="3252">
        <v>22</v>
      </c>
      <c r="N81" s="3252">
        <v>22</v>
      </c>
      <c r="O81" s="3643">
        <v>22</v>
      </c>
      <c r="P81" s="3643">
        <v>22</v>
      </c>
      <c r="Q81" s="3252"/>
      <c r="R81" s="3252"/>
      <c r="S81" s="3252">
        <v>22</v>
      </c>
      <c r="T81" s="3252">
        <v>22</v>
      </c>
      <c r="U81" s="3252">
        <v>22</v>
      </c>
      <c r="V81" s="3380">
        <v>22</v>
      </c>
      <c r="W81" s="3380">
        <v>22</v>
      </c>
      <c r="X81" s="3380">
        <v>22</v>
      </c>
      <c r="Y81" s="3252">
        <v>22</v>
      </c>
      <c r="Z81" s="3252" t="s">
        <v>36</v>
      </c>
      <c r="AA81" s="3252" t="s">
        <v>36</v>
      </c>
      <c r="AB81" s="3252" t="s">
        <v>36</v>
      </c>
      <c r="AC81" s="3252" t="s">
        <v>36</v>
      </c>
      <c r="AD81" s="3252" t="s">
        <v>36</v>
      </c>
      <c r="AE81" s="3252"/>
      <c r="AF81" s="3252"/>
      <c r="AG81" s="3383">
        <v>21</v>
      </c>
      <c r="AH81" s="1"/>
    </row>
    <row r="82" spans="1:35" ht="22.35" customHeight="1">
      <c r="A82" s="3252">
        <v>43</v>
      </c>
      <c r="B82" s="3624" t="s">
        <v>0</v>
      </c>
      <c r="C82" s="3378"/>
      <c r="D82" s="3378"/>
      <c r="E82" s="3378"/>
      <c r="F82" s="3378"/>
      <c r="G82" s="3378"/>
      <c r="H82" s="3378" t="s">
        <v>0</v>
      </c>
      <c r="I82" s="3378"/>
      <c r="J82" s="3125"/>
      <c r="K82" s="3386"/>
      <c r="L82" s="3378" t="s">
        <v>32</v>
      </c>
      <c r="M82" s="3378" t="s">
        <v>32</v>
      </c>
      <c r="N82" s="3378" t="s">
        <v>32</v>
      </c>
      <c r="O82" s="3378" t="s">
        <v>32</v>
      </c>
      <c r="P82" s="3378" t="s">
        <v>32</v>
      </c>
      <c r="Q82" s="3633"/>
      <c r="R82" s="3633"/>
      <c r="S82" s="3633"/>
      <c r="T82" s="3633"/>
      <c r="U82" s="3633"/>
      <c r="V82" s="3633"/>
      <c r="W82" s="3468"/>
      <c r="X82" s="3378"/>
      <c r="Y82" s="3468"/>
      <c r="Z82" s="3468"/>
      <c r="AA82" s="3468"/>
      <c r="AB82" s="3378"/>
      <c r="AC82" s="3378"/>
      <c r="AD82" s="3378"/>
      <c r="AE82" s="3378"/>
      <c r="AF82" s="3378"/>
      <c r="AG82" s="3640"/>
      <c r="AH82" s="1"/>
    </row>
    <row r="83" spans="1:35" ht="22.35" customHeight="1">
      <c r="A83" s="3649">
        <v>44</v>
      </c>
      <c r="B83" s="3624"/>
      <c r="C83" s="3378"/>
      <c r="D83" s="3378"/>
      <c r="E83" s="3378"/>
      <c r="F83" s="3378"/>
      <c r="G83" s="3378"/>
      <c r="H83" s="3378"/>
      <c r="I83" s="3378"/>
      <c r="J83" s="3378"/>
      <c r="K83" s="3378"/>
      <c r="L83" s="3378"/>
      <c r="M83" s="3378"/>
      <c r="N83" s="3378"/>
      <c r="O83" s="3378"/>
      <c r="P83" s="3378"/>
      <c r="Q83" s="3378"/>
      <c r="R83" s="3378"/>
      <c r="S83" s="3378"/>
      <c r="T83" s="3378"/>
      <c r="U83" s="3378"/>
      <c r="V83" s="3378"/>
      <c r="W83" s="3378"/>
      <c r="X83" s="3378"/>
      <c r="Y83" s="3378"/>
      <c r="Z83" s="3378"/>
      <c r="AA83" s="3378"/>
      <c r="AB83" s="3378"/>
      <c r="AC83" s="3378"/>
      <c r="AD83" s="3378"/>
      <c r="AE83" s="3378"/>
      <c r="AF83" s="3378"/>
      <c r="AG83" s="3650"/>
      <c r="AH83" s="1"/>
    </row>
    <row r="84" spans="1:35" ht="22.35" customHeight="1" thickBot="1">
      <c r="A84" s="3651">
        <v>45</v>
      </c>
      <c r="B84" s="3652"/>
      <c r="C84" s="3378"/>
      <c r="D84" s="3378"/>
      <c r="E84" s="3378"/>
      <c r="F84" s="3378"/>
      <c r="G84" s="3378"/>
      <c r="H84" s="3378"/>
      <c r="I84" s="3378"/>
      <c r="J84" s="3378"/>
      <c r="K84" s="3378"/>
      <c r="L84" s="3378"/>
      <c r="M84" s="3378"/>
      <c r="N84" s="3378"/>
      <c r="O84" s="3378"/>
      <c r="P84" s="3378"/>
      <c r="Q84" s="3378"/>
      <c r="R84" s="3378"/>
      <c r="S84" s="3378"/>
      <c r="T84" s="3378"/>
      <c r="U84" s="3378"/>
      <c r="V84" s="3378"/>
      <c r="W84" s="3378"/>
      <c r="X84" s="3378"/>
      <c r="Y84" s="3378"/>
      <c r="Z84" s="3378"/>
      <c r="AA84" s="3378"/>
      <c r="AB84" s="3378"/>
      <c r="AC84" s="3378"/>
      <c r="AD84" s="3378"/>
      <c r="AE84" s="3378"/>
      <c r="AF84" s="3378"/>
      <c r="AG84" s="3378"/>
      <c r="AH84" s="1"/>
    </row>
    <row r="85" spans="1:35" ht="22.35" customHeight="1" thickBot="1">
      <c r="A85" s="205"/>
      <c r="B85" s="206" t="s">
        <v>142</v>
      </c>
      <c r="C85" s="203"/>
      <c r="D85" s="207"/>
      <c r="E85" s="207"/>
      <c r="F85" s="207"/>
      <c r="G85" s="207"/>
      <c r="H85" s="207"/>
      <c r="I85" s="203"/>
      <c r="J85" s="203"/>
      <c r="K85" s="207"/>
      <c r="L85" s="207"/>
      <c r="M85" s="207"/>
      <c r="N85" s="207"/>
      <c r="O85" s="207"/>
      <c r="P85" s="203"/>
      <c r="Q85" s="203"/>
      <c r="R85" s="203"/>
      <c r="S85" s="208"/>
      <c r="T85" s="208"/>
      <c r="U85" s="208"/>
      <c r="V85" s="203"/>
      <c r="W85" s="203"/>
      <c r="X85" s="203"/>
      <c r="Y85" s="203"/>
      <c r="Z85" s="203"/>
      <c r="AA85" s="203"/>
      <c r="AB85" s="203"/>
      <c r="AC85" s="203"/>
      <c r="AD85" s="203"/>
      <c r="AE85" s="203"/>
      <c r="AF85" s="203"/>
      <c r="AG85" s="225"/>
      <c r="AH85" s="1"/>
    </row>
    <row r="86" spans="1:35" ht="22.35" customHeight="1" thickBot="1">
      <c r="A86" s="204"/>
      <c r="B86" s="694" t="s">
        <v>450</v>
      </c>
      <c r="C86" s="349"/>
      <c r="D86" s="349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61">
        <v>9</v>
      </c>
      <c r="T86" s="361">
        <v>9</v>
      </c>
      <c r="U86" s="361">
        <v>9</v>
      </c>
      <c r="V86" s="361">
        <v>9</v>
      </c>
      <c r="W86" s="361">
        <v>9</v>
      </c>
      <c r="X86" s="350" t="s">
        <v>76</v>
      </c>
      <c r="Y86" s="350" t="s">
        <v>77</v>
      </c>
      <c r="Z86" s="361" t="s">
        <v>36</v>
      </c>
      <c r="AA86" s="361" t="s">
        <v>36</v>
      </c>
      <c r="AB86" s="350" t="s">
        <v>36</v>
      </c>
      <c r="AC86" s="350" t="s">
        <v>36</v>
      </c>
      <c r="AD86" s="350" t="s">
        <v>36</v>
      </c>
      <c r="AE86" s="361" t="s">
        <v>78</v>
      </c>
      <c r="AF86" s="361" t="s">
        <v>74</v>
      </c>
      <c r="AG86" s="362">
        <v>6</v>
      </c>
      <c r="AH86" s="1"/>
    </row>
    <row r="87" spans="1:35" ht="22.35" customHeight="1">
      <c r="A87" s="64"/>
      <c r="AH87" s="1"/>
    </row>
    <row r="88" spans="1:35" ht="22.35" customHeight="1" thickBot="1">
      <c r="B88" s="3414" t="s">
        <v>29</v>
      </c>
      <c r="C88" s="3343">
        <v>1</v>
      </c>
      <c r="D88" s="3343">
        <v>2</v>
      </c>
      <c r="E88" s="3342">
        <v>3</v>
      </c>
      <c r="F88" s="3342">
        <v>4</v>
      </c>
      <c r="G88" s="3342">
        <v>5</v>
      </c>
      <c r="H88" s="3342">
        <v>6</v>
      </c>
      <c r="I88" s="3342">
        <v>7</v>
      </c>
      <c r="J88" s="3343">
        <v>8</v>
      </c>
      <c r="K88" s="3343">
        <v>9</v>
      </c>
      <c r="L88" s="3342">
        <v>10</v>
      </c>
      <c r="M88" s="3342">
        <v>11</v>
      </c>
      <c r="N88" s="3342">
        <v>12</v>
      </c>
      <c r="O88" s="3342">
        <v>13</v>
      </c>
      <c r="P88" s="3342">
        <v>14</v>
      </c>
      <c r="Q88" s="3343">
        <v>15</v>
      </c>
      <c r="R88" s="3343">
        <v>16</v>
      </c>
      <c r="S88" s="3342">
        <v>17</v>
      </c>
      <c r="T88" s="3342">
        <v>18</v>
      </c>
      <c r="U88" s="3342">
        <v>19</v>
      </c>
      <c r="V88" s="3342">
        <v>20</v>
      </c>
      <c r="W88" s="3342">
        <v>21</v>
      </c>
      <c r="X88" s="3343">
        <v>22</v>
      </c>
      <c r="Y88" s="3343">
        <v>23</v>
      </c>
      <c r="Z88" s="3342">
        <v>24</v>
      </c>
      <c r="AA88" s="3342">
        <v>25</v>
      </c>
      <c r="AB88" s="3342">
        <v>26</v>
      </c>
      <c r="AC88" s="3342">
        <v>27</v>
      </c>
      <c r="AD88" s="3342">
        <v>28</v>
      </c>
      <c r="AE88" s="3343">
        <v>29</v>
      </c>
      <c r="AF88" s="3343">
        <v>30</v>
      </c>
      <c r="AG88" s="3432">
        <v>31</v>
      </c>
      <c r="AH88" s="1"/>
    </row>
    <row r="89" spans="1:35" ht="22.35" customHeight="1">
      <c r="B89" s="366" t="s">
        <v>144</v>
      </c>
      <c r="C89" s="349"/>
      <c r="D89" s="364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349"/>
      <c r="AB89" s="349"/>
      <c r="AC89" s="349"/>
      <c r="AD89" s="349"/>
      <c r="AE89" s="349"/>
      <c r="AF89" s="349"/>
      <c r="AG89" s="352"/>
      <c r="AH89" s="1"/>
    </row>
    <row r="90" spans="1:35" ht="22.35" customHeight="1" thickBot="1">
      <c r="A90" s="3500"/>
      <c r="B90" s="3359" t="s">
        <v>414</v>
      </c>
      <c r="C90" s="3653"/>
      <c r="D90" s="3653"/>
      <c r="E90" s="3653" t="s">
        <v>113</v>
      </c>
      <c r="F90" s="3653" t="s">
        <v>113</v>
      </c>
      <c r="G90" s="3654" t="s">
        <v>113</v>
      </c>
      <c r="H90" s="3654" t="s">
        <v>113</v>
      </c>
      <c r="I90" s="3654" t="s">
        <v>362</v>
      </c>
      <c r="J90" s="3352"/>
      <c r="K90" s="3352"/>
      <c r="L90" s="3655"/>
      <c r="M90" s="3655"/>
      <c r="N90" s="3655"/>
      <c r="O90" s="3655"/>
      <c r="P90" s="3655"/>
      <c r="Q90" s="3656"/>
      <c r="R90" s="3657"/>
      <c r="S90" s="3655"/>
      <c r="T90" s="3655"/>
      <c r="U90" s="3655"/>
      <c r="V90" s="3655"/>
      <c r="W90" s="3655"/>
      <c r="X90" s="3427"/>
      <c r="Y90" s="3657"/>
      <c r="Z90" s="3655"/>
      <c r="AA90" s="3655"/>
      <c r="AB90" s="3655"/>
      <c r="AC90" s="3655"/>
      <c r="AD90" s="3655"/>
      <c r="AE90" s="3427"/>
      <c r="AF90" s="3657"/>
      <c r="AG90" s="3658"/>
      <c r="AH90" s="1"/>
    </row>
    <row r="91" spans="1:35" ht="22.35" customHeight="1">
      <c r="A91" s="365"/>
      <c r="B91" s="3359"/>
      <c r="C91" s="3355"/>
      <c r="D91" s="3355"/>
      <c r="E91" s="3355"/>
      <c r="F91" s="3355"/>
      <c r="G91" s="3355"/>
      <c r="H91" s="3355"/>
      <c r="I91" s="3355"/>
      <c r="J91" s="3355"/>
      <c r="K91" s="3355"/>
      <c r="L91" s="3355"/>
      <c r="M91" s="3355"/>
      <c r="N91" s="3355"/>
      <c r="O91" s="3355"/>
      <c r="P91" s="3355"/>
      <c r="Q91" s="3355"/>
      <c r="R91" s="3355"/>
      <c r="S91" s="3355"/>
      <c r="T91" s="3355"/>
      <c r="U91" s="3355"/>
      <c r="V91" s="3355"/>
      <c r="W91" s="3355"/>
      <c r="X91" s="3355"/>
      <c r="Y91" s="3355"/>
      <c r="Z91" s="3355"/>
      <c r="AA91" s="3355"/>
      <c r="AB91" s="3355"/>
      <c r="AC91" s="3355"/>
      <c r="AD91" s="3355"/>
      <c r="AE91" s="3355"/>
      <c r="AF91" s="3355"/>
      <c r="AG91" s="3416"/>
      <c r="AH91" s="1"/>
    </row>
    <row r="92" spans="1:35" ht="22.35" customHeight="1" thickBot="1">
      <c r="A92" s="3501">
        <v>2</v>
      </c>
      <c r="B92" s="3418"/>
      <c r="C92" s="3505"/>
      <c r="D92" s="3505"/>
      <c r="E92" s="3505"/>
      <c r="F92" s="3505"/>
      <c r="G92" s="3505"/>
      <c r="H92" s="3505"/>
      <c r="I92" s="3505"/>
      <c r="J92" s="3505"/>
      <c r="K92" s="3505"/>
      <c r="L92" s="3505"/>
      <c r="M92" s="3505"/>
      <c r="N92" s="3505"/>
      <c r="O92" s="3505"/>
      <c r="P92" s="3505"/>
      <c r="Q92" s="3505"/>
      <c r="R92" s="3505"/>
      <c r="S92" s="3505"/>
      <c r="T92" s="3505"/>
      <c r="U92" s="3505"/>
      <c r="V92" s="3505"/>
      <c r="W92" s="3505"/>
      <c r="X92" s="3505"/>
      <c r="Y92" s="3505"/>
      <c r="Z92" s="3505"/>
      <c r="AA92" s="3505"/>
      <c r="AB92" s="3505"/>
      <c r="AC92" s="3505"/>
      <c r="AD92" s="3505"/>
      <c r="AE92" s="3505"/>
      <c r="AF92" s="3505"/>
      <c r="AG92" s="3432"/>
      <c r="AH92" s="1"/>
    </row>
    <row r="93" spans="1:35" ht="22.35" customHeight="1">
      <c r="A93" s="3501">
        <v>3</v>
      </c>
      <c r="B93" s="210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1"/>
    </row>
    <row r="94" spans="1:35" ht="22.35" customHeight="1" thickBot="1">
      <c r="A94" s="3464">
        <v>4</v>
      </c>
      <c r="B94" s="21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1"/>
    </row>
    <row r="95" spans="1:35" ht="22.35" customHeight="1" thickBot="1">
      <c r="A95" s="209"/>
    </row>
    <row r="96" spans="1:35" ht="22.35" customHeight="1" thickBot="1">
      <c r="A96" s="209"/>
      <c r="B96" s="323" t="s">
        <v>146</v>
      </c>
      <c r="C96" s="252"/>
      <c r="D96" s="314" t="s">
        <v>94</v>
      </c>
      <c r="E96" s="314"/>
      <c r="F96" s="279"/>
      <c r="G96" s="252"/>
      <c r="H96" s="314" t="s">
        <v>95</v>
      </c>
      <c r="I96" s="314"/>
      <c r="J96" s="279"/>
      <c r="K96" s="252"/>
      <c r="L96" s="314" t="s">
        <v>96</v>
      </c>
      <c r="M96" s="314"/>
      <c r="N96" s="279"/>
      <c r="O96" s="252"/>
      <c r="P96" s="314" t="s">
        <v>97</v>
      </c>
      <c r="Q96" s="314"/>
      <c r="R96" s="279"/>
      <c r="S96" s="252"/>
      <c r="T96" s="314" t="s">
        <v>98</v>
      </c>
      <c r="U96" s="314"/>
      <c r="V96" s="279"/>
      <c r="W96" s="252"/>
      <c r="X96" s="314" t="s">
        <v>99</v>
      </c>
      <c r="Y96" s="314"/>
      <c r="Z96" s="279"/>
      <c r="AA96" s="252"/>
      <c r="AB96" s="314" t="s">
        <v>100</v>
      </c>
      <c r="AC96" s="314"/>
      <c r="AD96" s="314"/>
      <c r="AE96" s="314" t="s">
        <v>147</v>
      </c>
      <c r="AF96" s="314"/>
      <c r="AG96" s="314"/>
      <c r="AH96" s="314"/>
      <c r="AI96" s="267"/>
    </row>
    <row r="97" spans="1:35" ht="22.35" customHeight="1">
      <c r="A97" t="s">
        <v>145</v>
      </c>
      <c r="B97" s="441" t="s">
        <v>148</v>
      </c>
      <c r="C97" s="368" t="s">
        <v>149</v>
      </c>
      <c r="D97" s="314"/>
      <c r="E97" s="357"/>
      <c r="F97" s="372"/>
      <c r="G97" s="368" t="s">
        <v>149</v>
      </c>
      <c r="H97" s="357"/>
      <c r="I97" s="357"/>
      <c r="J97" s="372"/>
      <c r="K97" s="252" t="s">
        <v>149</v>
      </c>
      <c r="L97" s="314"/>
      <c r="M97" s="314"/>
      <c r="N97" s="279"/>
      <c r="O97" s="252" t="s">
        <v>150</v>
      </c>
      <c r="P97" s="314"/>
      <c r="Q97" s="357"/>
      <c r="R97" s="372"/>
      <c r="S97" s="368" t="s">
        <v>151</v>
      </c>
      <c r="T97" s="357"/>
      <c r="U97" s="357"/>
      <c r="V97" s="357"/>
      <c r="W97" s="523"/>
      <c r="X97" s="524"/>
      <c r="Y97" s="524"/>
      <c r="Z97" s="525"/>
      <c r="AA97" s="357"/>
      <c r="AB97" s="357"/>
      <c r="AC97" s="357"/>
      <c r="AD97" s="357"/>
      <c r="AE97" s="368">
        <v>37</v>
      </c>
      <c r="AF97" s="314"/>
      <c r="AG97" s="357"/>
      <c r="AH97" s="357"/>
      <c r="AI97" s="358"/>
    </row>
    <row r="98" spans="1:35" ht="22.35" customHeight="1">
      <c r="A98" s="3500"/>
      <c r="B98" s="3506" t="s">
        <v>152</v>
      </c>
      <c r="C98" s="3507" t="s">
        <v>451</v>
      </c>
      <c r="D98" s="3324"/>
      <c r="E98" s="3324"/>
      <c r="F98" s="3332"/>
      <c r="G98" s="3507" t="s">
        <v>154</v>
      </c>
      <c r="H98" s="3324"/>
      <c r="I98" s="3324"/>
      <c r="J98" s="3332"/>
      <c r="K98" s="3507" t="s">
        <v>155</v>
      </c>
      <c r="L98" s="3324" t="s">
        <v>156</v>
      </c>
      <c r="M98" s="3324"/>
      <c r="N98" s="3332"/>
      <c r="O98" s="3507" t="s">
        <v>155</v>
      </c>
      <c r="P98" s="3332"/>
      <c r="Q98" s="3507" t="s">
        <v>154</v>
      </c>
      <c r="T98" s="3324" t="s">
        <v>157</v>
      </c>
      <c r="U98" s="3324"/>
      <c r="V98" s="3332"/>
      <c r="W98" s="8" t="s">
        <v>109</v>
      </c>
      <c r="X98" s="14" t="s">
        <v>158</v>
      </c>
      <c r="Y98" s="14"/>
      <c r="Z98" s="14"/>
      <c r="AA98" s="3507" t="s">
        <v>109</v>
      </c>
      <c r="AB98" s="3324" t="s">
        <v>158</v>
      </c>
      <c r="AC98" s="3507"/>
      <c r="AD98" s="3507"/>
      <c r="AE98" s="3507">
        <v>68</v>
      </c>
      <c r="AF98" s="3324"/>
      <c r="AG98" s="3324"/>
      <c r="AH98" s="3324"/>
      <c r="AI98" s="3333"/>
    </row>
    <row r="99" spans="1:35" ht="22.35" customHeight="1">
      <c r="B99" s="3506" t="s">
        <v>159</v>
      </c>
      <c r="C99" s="3508" t="s">
        <v>160</v>
      </c>
      <c r="D99" s="3324"/>
      <c r="E99" s="3324"/>
      <c r="F99" s="3332"/>
      <c r="G99" s="3324" t="s">
        <v>160</v>
      </c>
      <c r="H99" s="3324"/>
      <c r="I99" s="3324"/>
      <c r="J99" s="3332"/>
      <c r="K99" s="3324" t="s">
        <v>160</v>
      </c>
      <c r="L99" s="3324"/>
      <c r="M99" s="3324"/>
      <c r="N99" s="3332"/>
      <c r="O99" s="3324" t="s">
        <v>160</v>
      </c>
      <c r="P99" s="3324"/>
      <c r="Q99" s="3324"/>
      <c r="R99" s="3332"/>
      <c r="S99" s="3324" t="s">
        <v>160</v>
      </c>
      <c r="T99" s="3324"/>
      <c r="U99" s="3324"/>
      <c r="V99" s="3332"/>
      <c r="W99" s="3507"/>
      <c r="X99" s="3324"/>
      <c r="Y99" s="3324"/>
      <c r="Z99" s="3332"/>
      <c r="AA99" s="3507"/>
      <c r="AB99" s="3324"/>
      <c r="AC99" s="3324"/>
      <c r="AD99" s="3324"/>
      <c r="AE99" s="3507">
        <v>0</v>
      </c>
      <c r="AF99" s="3324"/>
      <c r="AG99" s="3324"/>
      <c r="AH99" s="3324"/>
      <c r="AI99" s="3333"/>
    </row>
    <row r="100" spans="1:35" ht="22.35" customHeight="1" thickBot="1">
      <c r="B100" s="3509" t="s">
        <v>161</v>
      </c>
      <c r="C100" s="3510" t="s">
        <v>149</v>
      </c>
      <c r="D100" s="516"/>
      <c r="E100" s="3405"/>
      <c r="F100" s="3407"/>
      <c r="G100" s="3510" t="s">
        <v>149</v>
      </c>
      <c r="H100" s="516"/>
      <c r="I100" s="3405"/>
      <c r="J100" s="3407"/>
      <c r="K100" s="3510" t="s">
        <v>149</v>
      </c>
      <c r="L100" s="516"/>
      <c r="M100" s="3405"/>
      <c r="N100" s="3407"/>
      <c r="O100" s="3510" t="s">
        <v>150</v>
      </c>
      <c r="P100" s="3405"/>
      <c r="Q100" s="3405"/>
      <c r="R100" s="3407"/>
      <c r="S100" s="3510" t="s">
        <v>151</v>
      </c>
      <c r="T100" s="3405"/>
      <c r="U100" s="3405"/>
      <c r="V100" s="3405"/>
      <c r="W100" s="3511"/>
      <c r="X100" s="3405"/>
      <c r="Y100" s="3405"/>
      <c r="Z100" s="3512"/>
      <c r="AA100" s="3405"/>
      <c r="AB100" s="3405"/>
      <c r="AC100" s="3405"/>
      <c r="AD100" s="3405"/>
      <c r="AE100" s="3510">
        <v>37</v>
      </c>
      <c r="AF100" s="3405"/>
      <c r="AG100" s="3405"/>
      <c r="AH100" s="3405"/>
      <c r="AI100" s="3412"/>
    </row>
    <row r="101" spans="1:35" ht="22.35" customHeight="1">
      <c r="D101" s="14"/>
    </row>
    <row r="102" spans="1:35" ht="22.35" customHeight="1" thickBot="1">
      <c r="B102" s="3447" t="s">
        <v>29</v>
      </c>
      <c r="C102" s="3343">
        <v>1</v>
      </c>
      <c r="D102" s="3343">
        <v>2</v>
      </c>
      <c r="E102" s="3342">
        <v>3</v>
      </c>
      <c r="F102" s="3342">
        <v>4</v>
      </c>
      <c r="G102" s="3342">
        <v>5</v>
      </c>
      <c r="H102" s="3342">
        <v>6</v>
      </c>
      <c r="I102" s="3342">
        <v>7</v>
      </c>
      <c r="J102" s="3343">
        <v>8</v>
      </c>
      <c r="K102" s="3343">
        <v>9</v>
      </c>
      <c r="L102" s="3342">
        <v>10</v>
      </c>
      <c r="M102" s="3342">
        <v>11</v>
      </c>
      <c r="N102" s="3342">
        <v>12</v>
      </c>
      <c r="O102" s="3342">
        <v>13</v>
      </c>
      <c r="P102" s="3342">
        <v>14</v>
      </c>
      <c r="Q102" s="3343">
        <v>15</v>
      </c>
      <c r="R102" s="3343">
        <v>16</v>
      </c>
      <c r="S102" s="3342">
        <v>17</v>
      </c>
      <c r="T102" s="3342">
        <v>18</v>
      </c>
      <c r="U102" s="3342">
        <v>19</v>
      </c>
      <c r="V102" s="3342">
        <v>20</v>
      </c>
      <c r="W102" s="3342">
        <v>21</v>
      </c>
      <c r="X102" s="3343">
        <v>22</v>
      </c>
      <c r="Y102" s="3343">
        <v>23</v>
      </c>
      <c r="Z102" s="3342">
        <v>24</v>
      </c>
      <c r="AA102" s="3342">
        <v>25</v>
      </c>
      <c r="AB102" s="3342">
        <v>26</v>
      </c>
      <c r="AC102" s="3342">
        <v>27</v>
      </c>
      <c r="AD102" s="3342">
        <v>28</v>
      </c>
      <c r="AE102" s="3343">
        <v>29</v>
      </c>
      <c r="AF102" s="3343">
        <v>30</v>
      </c>
      <c r="AG102" s="3432">
        <v>31</v>
      </c>
      <c r="AH102" s="176"/>
      <c r="AI102" s="177"/>
    </row>
    <row r="103" spans="1:35" ht="22.35" customHeight="1">
      <c r="B103" s="526" t="s">
        <v>162</v>
      </c>
      <c r="C103" s="349"/>
      <c r="D103" s="349"/>
      <c r="E103" s="349" t="s">
        <v>108</v>
      </c>
      <c r="F103" s="349" t="s">
        <v>108</v>
      </c>
      <c r="G103" s="349" t="s">
        <v>108</v>
      </c>
      <c r="H103" s="349" t="s">
        <v>108</v>
      </c>
      <c r="I103" s="349" t="s">
        <v>108</v>
      </c>
      <c r="J103" s="349" t="s">
        <v>109</v>
      </c>
      <c r="K103" s="349" t="s">
        <v>109</v>
      </c>
      <c r="L103" s="511" t="s">
        <v>36</v>
      </c>
      <c r="M103" s="349" t="s">
        <v>36</v>
      </c>
      <c r="N103" s="349" t="s">
        <v>36</v>
      </c>
      <c r="O103" s="349" t="s">
        <v>36</v>
      </c>
      <c r="P103" s="349" t="s">
        <v>36</v>
      </c>
      <c r="Q103" s="349"/>
      <c r="R103" s="349"/>
      <c r="S103" s="349" t="s">
        <v>163</v>
      </c>
      <c r="T103" s="512" t="s">
        <v>163</v>
      </c>
      <c r="U103" s="512" t="s">
        <v>163</v>
      </c>
      <c r="V103" s="512" t="s">
        <v>163</v>
      </c>
      <c r="W103" s="512" t="s">
        <v>163</v>
      </c>
      <c r="X103" s="349"/>
      <c r="Y103" s="349"/>
      <c r="Z103" s="349" t="s">
        <v>163</v>
      </c>
      <c r="AA103" s="349" t="s">
        <v>163</v>
      </c>
      <c r="AB103" s="349" t="s">
        <v>163</v>
      </c>
      <c r="AC103" s="349" t="s">
        <v>163</v>
      </c>
      <c r="AD103" s="349" t="s">
        <v>163</v>
      </c>
      <c r="AE103" s="349"/>
      <c r="AF103" s="349"/>
      <c r="AG103" s="352" t="s">
        <v>108</v>
      </c>
      <c r="AH103" s="181"/>
      <c r="AI103" s="182"/>
    </row>
    <row r="104" spans="1:35" ht="22.35" customHeight="1" thickBot="1">
      <c r="A104" s="3447">
        <v>46</v>
      </c>
      <c r="B104" s="3514" t="s">
        <v>164</v>
      </c>
      <c r="C104" s="3515"/>
      <c r="D104" s="3515"/>
      <c r="E104" s="3378" t="s">
        <v>135</v>
      </c>
      <c r="F104" s="3378">
        <v>4</v>
      </c>
      <c r="G104" s="3378">
        <v>4</v>
      </c>
      <c r="H104" s="3378">
        <v>3</v>
      </c>
      <c r="I104" s="3378">
        <v>89</v>
      </c>
      <c r="J104" s="3614">
        <v>89</v>
      </c>
      <c r="K104" s="3355"/>
      <c r="L104" s="3659" t="s">
        <v>108</v>
      </c>
      <c r="M104" s="3659" t="s">
        <v>108</v>
      </c>
      <c r="N104" s="3659" t="s">
        <v>108</v>
      </c>
      <c r="O104" s="3659" t="s">
        <v>108</v>
      </c>
      <c r="P104" s="3659" t="s">
        <v>108</v>
      </c>
      <c r="Q104" s="3659" t="s">
        <v>109</v>
      </c>
      <c r="R104" s="3659" t="s">
        <v>109</v>
      </c>
      <c r="S104" s="3427" t="s">
        <v>36</v>
      </c>
      <c r="T104" s="3355" t="s">
        <v>36</v>
      </c>
      <c r="U104" s="3355" t="s">
        <v>36</v>
      </c>
      <c r="V104" s="3355" t="s">
        <v>36</v>
      </c>
      <c r="W104" s="3355" t="s">
        <v>36</v>
      </c>
      <c r="X104" s="3355"/>
      <c r="Y104" s="3355"/>
      <c r="Z104" s="3355" t="s">
        <v>126</v>
      </c>
      <c r="AA104" s="3355" t="s">
        <v>126</v>
      </c>
      <c r="AB104" s="3355" t="s">
        <v>126</v>
      </c>
      <c r="AC104" s="3515" t="s">
        <v>126</v>
      </c>
      <c r="AD104" s="3515" t="s">
        <v>126</v>
      </c>
      <c r="AE104" s="3515"/>
      <c r="AF104" s="3515"/>
      <c r="AG104" s="3416" t="s">
        <v>126</v>
      </c>
      <c r="AH104" s="181"/>
      <c r="AI104" s="182"/>
    </row>
    <row r="105" spans="1:35" ht="22.35" customHeight="1">
      <c r="A105" s="367">
        <v>47</v>
      </c>
      <c r="B105" s="3514" t="s">
        <v>165</v>
      </c>
      <c r="C105" s="3429"/>
      <c r="D105" s="557" t="s">
        <v>32</v>
      </c>
      <c r="E105" s="3429">
        <v>3</v>
      </c>
      <c r="F105" s="3515" t="s">
        <v>141</v>
      </c>
      <c r="G105" s="3515" t="s">
        <v>141</v>
      </c>
      <c r="H105" s="3515" t="s">
        <v>141</v>
      </c>
      <c r="I105" s="3515" t="s">
        <v>141</v>
      </c>
      <c r="J105" s="3355"/>
      <c r="K105" s="557" t="s">
        <v>32</v>
      </c>
      <c r="L105" s="3660" t="s">
        <v>141</v>
      </c>
      <c r="M105" s="3660" t="s">
        <v>141</v>
      </c>
      <c r="N105" s="3660" t="s">
        <v>141</v>
      </c>
      <c r="O105" s="3660" t="s">
        <v>141</v>
      </c>
      <c r="P105" s="3660" t="s">
        <v>141</v>
      </c>
      <c r="Q105" s="3355"/>
      <c r="R105" s="557" t="s">
        <v>32</v>
      </c>
      <c r="S105" s="3516" t="s">
        <v>108</v>
      </c>
      <c r="T105" s="3516" t="s">
        <v>108</v>
      </c>
      <c r="U105" s="3516" t="s">
        <v>108</v>
      </c>
      <c r="V105" s="3355" t="s">
        <v>108</v>
      </c>
      <c r="W105" s="3661" t="s">
        <v>108</v>
      </c>
      <c r="X105" s="3661" t="s">
        <v>166</v>
      </c>
      <c r="Y105" s="3355" t="s">
        <v>109</v>
      </c>
      <c r="Z105" s="3614" t="s">
        <v>36</v>
      </c>
      <c r="AA105" s="3614" t="s">
        <v>36</v>
      </c>
      <c r="AB105" s="3662" t="s">
        <v>36</v>
      </c>
      <c r="AC105" s="3662" t="s">
        <v>36</v>
      </c>
      <c r="AD105" s="3355" t="s">
        <v>36</v>
      </c>
      <c r="AE105" s="3429"/>
      <c r="AF105" s="3429"/>
      <c r="AG105" s="3663" t="s">
        <v>113</v>
      </c>
      <c r="AH105" s="181"/>
      <c r="AI105" s="182"/>
    </row>
    <row r="106" spans="1:35" ht="22.35" customHeight="1" thickBot="1">
      <c r="A106" s="3513"/>
      <c r="B106" s="3431" t="s">
        <v>162</v>
      </c>
      <c r="C106" s="3519" t="s">
        <v>109</v>
      </c>
      <c r="D106" s="3519" t="s">
        <v>109</v>
      </c>
      <c r="E106" s="3519" t="s">
        <v>36</v>
      </c>
      <c r="F106" s="3519" t="s">
        <v>36</v>
      </c>
      <c r="G106" s="3519" t="s">
        <v>36</v>
      </c>
      <c r="H106" s="3519" t="s">
        <v>36</v>
      </c>
      <c r="I106" s="3519" t="s">
        <v>36</v>
      </c>
      <c r="J106" s="3519"/>
      <c r="K106" s="3519"/>
      <c r="L106" s="3519" t="s">
        <v>163</v>
      </c>
      <c r="M106" s="3519" t="s">
        <v>163</v>
      </c>
      <c r="N106" s="3519" t="s">
        <v>163</v>
      </c>
      <c r="O106" s="3519" t="s">
        <v>163</v>
      </c>
      <c r="P106" s="3519" t="s">
        <v>163</v>
      </c>
      <c r="Q106" s="3519"/>
      <c r="R106" s="3519"/>
      <c r="S106" s="3519" t="s">
        <v>163</v>
      </c>
      <c r="T106" s="3519" t="s">
        <v>163</v>
      </c>
      <c r="U106" s="3519" t="s">
        <v>163</v>
      </c>
      <c r="V106" s="3519" t="s">
        <v>163</v>
      </c>
      <c r="W106" s="3342" t="s">
        <v>163</v>
      </c>
      <c r="X106" s="3342" t="s">
        <v>0</v>
      </c>
      <c r="Y106" s="3342" t="s">
        <v>0</v>
      </c>
      <c r="Z106" s="3342" t="s">
        <v>108</v>
      </c>
      <c r="AA106" s="3342" t="s">
        <v>108</v>
      </c>
      <c r="AB106" s="3519" t="s">
        <v>108</v>
      </c>
      <c r="AC106" s="3342" t="s">
        <v>108</v>
      </c>
      <c r="AD106" s="3342" t="s">
        <v>108</v>
      </c>
      <c r="AE106" s="3519" t="s">
        <v>109</v>
      </c>
      <c r="AF106" s="3519" t="s">
        <v>109</v>
      </c>
      <c r="AG106" s="3664" t="s">
        <v>36</v>
      </c>
      <c r="AH106" s="181"/>
      <c r="AI106" s="182"/>
    </row>
    <row r="107" spans="1:35" ht="22.35" customHeight="1" thickBot="1">
      <c r="A107" s="3513"/>
      <c r="B107" s="200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13"/>
      <c r="AF107" s="213"/>
      <c r="AG107" s="214"/>
      <c r="AH107" s="215"/>
      <c r="AI107" s="182"/>
    </row>
    <row r="108" spans="1:35" ht="22.35" customHeight="1" thickBot="1">
      <c r="A108" s="3518"/>
      <c r="B108" s="248" t="s">
        <v>167</v>
      </c>
      <c r="C108" s="368"/>
      <c r="D108" s="369" t="s">
        <v>94</v>
      </c>
      <c r="E108" s="370"/>
      <c r="F108" s="368"/>
      <c r="G108" s="371" t="s">
        <v>95</v>
      </c>
      <c r="H108" s="372"/>
      <c r="I108" s="373"/>
      <c r="J108" s="371" t="s">
        <v>96</v>
      </c>
      <c r="K108" s="374"/>
      <c r="L108" s="373"/>
      <c r="M108" s="375" t="s">
        <v>97</v>
      </c>
      <c r="N108" s="374"/>
      <c r="O108" s="373"/>
      <c r="P108" s="371" t="s">
        <v>98</v>
      </c>
      <c r="Q108" s="376"/>
      <c r="R108" s="373"/>
      <c r="S108" s="371" t="s">
        <v>99</v>
      </c>
      <c r="T108" s="377"/>
      <c r="U108" s="373"/>
      <c r="V108" s="371" t="s">
        <v>100</v>
      </c>
      <c r="W108" s="376"/>
      <c r="X108" s="378" t="s">
        <v>147</v>
      </c>
      <c r="Y108" s="379"/>
      <c r="Z108" s="379"/>
      <c r="AA108" s="380"/>
      <c r="AB108" s="235" t="s">
        <v>101</v>
      </c>
      <c r="AC108" s="236"/>
      <c r="AD108" s="236"/>
      <c r="AE108" s="237"/>
      <c r="AF108" s="237"/>
      <c r="AG108" s="238"/>
      <c r="AH108" s="215"/>
      <c r="AI108" s="182"/>
    </row>
    <row r="109" spans="1:35" ht="22.35" customHeight="1">
      <c r="A109" s="212"/>
      <c r="B109" s="3520" t="s">
        <v>169</v>
      </c>
      <c r="C109" s="3521" t="s">
        <v>170</v>
      </c>
      <c r="D109" s="3326"/>
      <c r="E109" s="3327"/>
      <c r="F109" s="3521" t="s">
        <v>170</v>
      </c>
      <c r="G109" s="3326"/>
      <c r="H109" s="3327"/>
      <c r="I109" s="3521" t="s">
        <v>170</v>
      </c>
      <c r="J109" s="3326"/>
      <c r="K109" s="3327"/>
      <c r="L109" s="3521" t="s">
        <v>170</v>
      </c>
      <c r="M109" s="3326"/>
      <c r="N109" s="3327"/>
      <c r="O109" s="3521" t="s">
        <v>171</v>
      </c>
      <c r="P109" s="3326"/>
      <c r="Q109" s="3327"/>
      <c r="R109" s="3521"/>
      <c r="S109" s="3326"/>
      <c r="T109" s="3327"/>
      <c r="U109" s="3521"/>
      <c r="V109" s="3326"/>
      <c r="W109" s="3327"/>
      <c r="X109" s="3521"/>
      <c r="Y109" s="3522"/>
      <c r="Z109" s="3522"/>
      <c r="AA109" s="3522"/>
      <c r="AB109" s="3323"/>
      <c r="AC109" s="3522"/>
      <c r="AD109" s="3522"/>
      <c r="AE109" s="3522"/>
      <c r="AF109" s="3522"/>
      <c r="AG109" s="3523"/>
      <c r="AH109" s="215"/>
      <c r="AI109" s="182"/>
    </row>
    <row r="110" spans="1:35" ht="22.35" customHeight="1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5"/>
      <c r="AI110" s="182"/>
    </row>
    <row r="111" spans="1:35" ht="22.35" customHeight="1" thickBot="1">
      <c r="A111" s="72"/>
      <c r="B111" s="3414" t="s">
        <v>29</v>
      </c>
      <c r="C111" s="3343">
        <v>1</v>
      </c>
      <c r="D111" s="3343">
        <v>2</v>
      </c>
      <c r="E111" s="3342">
        <v>3</v>
      </c>
      <c r="F111" s="3342">
        <v>4</v>
      </c>
      <c r="G111" s="3342">
        <v>5</v>
      </c>
      <c r="H111" s="3342">
        <v>6</v>
      </c>
      <c r="I111" s="3342">
        <v>7</v>
      </c>
      <c r="J111" s="3343">
        <v>8</v>
      </c>
      <c r="K111" s="3343">
        <v>9</v>
      </c>
      <c r="L111" s="3342">
        <v>10</v>
      </c>
      <c r="M111" s="3342">
        <v>11</v>
      </c>
      <c r="N111" s="3342">
        <v>12</v>
      </c>
      <c r="O111" s="3342">
        <v>13</v>
      </c>
      <c r="P111" s="3342">
        <v>14</v>
      </c>
      <c r="Q111" s="3343">
        <v>15</v>
      </c>
      <c r="R111" s="3343">
        <v>16</v>
      </c>
      <c r="S111" s="3342">
        <v>17</v>
      </c>
      <c r="T111" s="3342">
        <v>18</v>
      </c>
      <c r="U111" s="3342">
        <v>19</v>
      </c>
      <c r="V111" s="3342">
        <v>20</v>
      </c>
      <c r="W111" s="3342">
        <v>21</v>
      </c>
      <c r="X111" s="3343">
        <v>22</v>
      </c>
      <c r="Y111" s="3343">
        <v>23</v>
      </c>
      <c r="Z111" s="3342">
        <v>24</v>
      </c>
      <c r="AA111" s="3342">
        <v>25</v>
      </c>
      <c r="AB111" s="3342">
        <v>26</v>
      </c>
      <c r="AC111" s="3342">
        <v>27</v>
      </c>
      <c r="AD111" s="3342">
        <v>28</v>
      </c>
      <c r="AE111" s="3343">
        <v>29</v>
      </c>
      <c r="AF111" s="3343">
        <v>30</v>
      </c>
      <c r="AG111" s="3432">
        <v>31</v>
      </c>
      <c r="AH111" s="215"/>
      <c r="AI111" s="182"/>
    </row>
    <row r="112" spans="1:35" ht="22.35" customHeight="1">
      <c r="A112" s="72">
        <v>48</v>
      </c>
      <c r="B112" s="382" t="s">
        <v>172</v>
      </c>
      <c r="C112" s="349"/>
      <c r="D112" s="349"/>
      <c r="E112" s="552" t="s">
        <v>173</v>
      </c>
      <c r="F112" s="552" t="s">
        <v>173</v>
      </c>
      <c r="G112" s="552" t="s">
        <v>173</v>
      </c>
      <c r="H112" s="552" t="s">
        <v>173</v>
      </c>
      <c r="I112" s="552" t="s">
        <v>173</v>
      </c>
      <c r="J112" s="552"/>
      <c r="K112" s="552"/>
      <c r="L112" s="552" t="s">
        <v>173</v>
      </c>
      <c r="M112" s="552" t="s">
        <v>173</v>
      </c>
      <c r="N112" s="552" t="s">
        <v>173</v>
      </c>
      <c r="O112" s="583" t="s">
        <v>173</v>
      </c>
      <c r="P112" s="583" t="s">
        <v>402</v>
      </c>
      <c r="Q112" s="349"/>
      <c r="R112" s="349"/>
      <c r="S112" s="349" t="s">
        <v>173</v>
      </c>
      <c r="T112" s="349" t="s">
        <v>173</v>
      </c>
      <c r="U112" s="349" t="s">
        <v>173</v>
      </c>
      <c r="V112" s="571" t="s">
        <v>173</v>
      </c>
      <c r="W112" s="349" t="s">
        <v>173</v>
      </c>
      <c r="X112" s="349"/>
      <c r="Y112" s="349"/>
      <c r="Z112" s="349" t="s">
        <v>173</v>
      </c>
      <c r="AA112" s="349" t="s">
        <v>173</v>
      </c>
      <c r="AB112" s="349" t="s">
        <v>173</v>
      </c>
      <c r="AC112" s="349" t="s">
        <v>173</v>
      </c>
      <c r="AD112" s="349" t="s">
        <v>173</v>
      </c>
      <c r="AE112" s="349"/>
      <c r="AF112" s="349"/>
      <c r="AG112" s="349" t="s">
        <v>173</v>
      </c>
      <c r="AH112" s="215"/>
      <c r="AI112" s="182"/>
    </row>
    <row r="113" spans="1:35" ht="22.35" customHeight="1" thickBot="1">
      <c r="A113" s="3500"/>
      <c r="B113" s="220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5"/>
      <c r="AI113" s="182"/>
    </row>
    <row r="114" spans="1:35" ht="22.35" customHeight="1">
      <c r="A114" s="381"/>
      <c r="AH114" s="107"/>
      <c r="AI114" s="107"/>
    </row>
    <row r="115" spans="1:35" ht="22.35" customHeight="1" thickBot="1">
      <c r="A115" s="221"/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>
      <c r="B116" s="248" t="s">
        <v>175</v>
      </c>
      <c r="C116" s="383"/>
      <c r="D116" s="384" t="s">
        <v>94</v>
      </c>
      <c r="E116" s="385"/>
      <c r="F116" s="386"/>
      <c r="G116" s="383"/>
      <c r="H116" s="384" t="s">
        <v>95</v>
      </c>
      <c r="I116" s="385"/>
      <c r="J116" s="386"/>
      <c r="K116" s="383"/>
      <c r="L116" s="384" t="s">
        <v>96</v>
      </c>
      <c r="M116" s="385"/>
      <c r="N116" s="386"/>
      <c r="O116" s="383"/>
      <c r="P116" s="384" t="s">
        <v>97</v>
      </c>
      <c r="Q116" s="385"/>
      <c r="R116" s="386"/>
      <c r="S116" s="383"/>
      <c r="T116" s="384" t="s">
        <v>98</v>
      </c>
      <c r="U116" s="385"/>
      <c r="V116" s="386"/>
      <c r="W116" s="383"/>
      <c r="X116" s="384" t="s">
        <v>99</v>
      </c>
      <c r="Y116" s="385"/>
      <c r="Z116" s="386"/>
      <c r="AA116" s="383"/>
      <c r="AB116" s="384" t="s">
        <v>100</v>
      </c>
      <c r="AC116" s="385"/>
      <c r="AD116" s="385"/>
      <c r="AE116" s="387" t="s">
        <v>101</v>
      </c>
      <c r="AF116" s="385"/>
      <c r="AG116" s="385"/>
      <c r="AH116" s="385"/>
      <c r="AI116" s="388"/>
    </row>
    <row r="117" spans="1:35" ht="22.35" customHeight="1">
      <c r="A117" s="172" t="s">
        <v>174</v>
      </c>
      <c r="B117" s="3524" t="s">
        <v>148</v>
      </c>
      <c r="C117" s="3525">
        <v>69</v>
      </c>
      <c r="D117" s="3526" t="s">
        <v>176</v>
      </c>
      <c r="E117" s="3526"/>
      <c r="F117" s="3527"/>
      <c r="G117" s="3525">
        <v>69</v>
      </c>
      <c r="H117" s="3526" t="s">
        <v>176</v>
      </c>
      <c r="I117" s="3526"/>
      <c r="J117" s="3527"/>
      <c r="K117" s="3525">
        <v>69</v>
      </c>
      <c r="L117" s="3526" t="s">
        <v>176</v>
      </c>
      <c r="M117" s="3526"/>
      <c r="N117" s="3527"/>
      <c r="O117" s="3525">
        <v>69</v>
      </c>
      <c r="P117" s="3526" t="s">
        <v>176</v>
      </c>
      <c r="Q117" s="3526"/>
      <c r="R117" s="3527"/>
      <c r="S117" s="3525">
        <v>69</v>
      </c>
      <c r="T117" s="3526" t="s">
        <v>176</v>
      </c>
      <c r="U117" s="3526"/>
      <c r="V117" s="3527"/>
      <c r="W117" s="3525"/>
      <c r="X117" s="3528"/>
      <c r="Y117" s="3528"/>
      <c r="Z117" s="3529"/>
      <c r="AA117" s="3525"/>
      <c r="AB117" s="3526"/>
      <c r="AC117" s="3526"/>
      <c r="AD117" s="3454"/>
      <c r="AE117" s="3530">
        <v>35</v>
      </c>
      <c r="AF117" s="3526"/>
      <c r="AG117" s="3526"/>
      <c r="AH117" s="3454"/>
      <c r="AI117" s="3531"/>
    </row>
    <row r="118" spans="1:35" ht="22.35" customHeight="1">
      <c r="A118" s="172"/>
      <c r="B118" s="3524" t="s">
        <v>152</v>
      </c>
      <c r="C118" s="3525">
        <v>79</v>
      </c>
      <c r="D118" s="3526" t="s">
        <v>177</v>
      </c>
      <c r="E118" s="3526"/>
      <c r="F118" s="3527"/>
      <c r="G118" s="3525">
        <v>79</v>
      </c>
      <c r="H118" s="3526" t="s">
        <v>177</v>
      </c>
      <c r="I118" s="3526"/>
      <c r="J118" s="3527"/>
      <c r="K118" s="3525">
        <v>79</v>
      </c>
      <c r="L118" s="3526" t="s">
        <v>177</v>
      </c>
      <c r="M118" s="3526"/>
      <c r="N118" s="3527"/>
      <c r="O118" s="3525">
        <v>79</v>
      </c>
      <c r="P118" s="3526" t="s">
        <v>177</v>
      </c>
      <c r="Q118" s="3526"/>
      <c r="R118" s="3527"/>
      <c r="S118" s="3525">
        <v>79</v>
      </c>
      <c r="T118" s="3526" t="s">
        <v>177</v>
      </c>
      <c r="U118" s="3526"/>
      <c r="V118" s="3527"/>
      <c r="W118" s="3525"/>
      <c r="X118" s="3526"/>
      <c r="Y118" s="3526"/>
      <c r="Z118" s="3527"/>
      <c r="AA118" s="3526"/>
      <c r="AB118" s="3526"/>
      <c r="AC118" s="3526"/>
      <c r="AD118" s="3454"/>
      <c r="AE118" s="3530">
        <v>40</v>
      </c>
      <c r="AF118" s="3526"/>
      <c r="AG118" s="3526"/>
      <c r="AH118" s="3454"/>
      <c r="AI118" s="3531"/>
    </row>
    <row r="119" spans="1:35" ht="22.35" customHeight="1">
      <c r="A119" s="172"/>
      <c r="B119" s="3524" t="s">
        <v>159</v>
      </c>
      <c r="C119" s="3525">
        <v>89</v>
      </c>
      <c r="D119" s="3526" t="s">
        <v>178</v>
      </c>
      <c r="E119" s="3526"/>
      <c r="F119" s="3527"/>
      <c r="G119" s="3525">
        <v>89</v>
      </c>
      <c r="H119" s="3526" t="s">
        <v>178</v>
      </c>
      <c r="I119" s="3526"/>
      <c r="J119" s="3527"/>
      <c r="K119" s="3525">
        <v>89</v>
      </c>
      <c r="L119" s="3526" t="s">
        <v>178</v>
      </c>
      <c r="M119" s="3526"/>
      <c r="N119" s="3527"/>
      <c r="O119" s="3525">
        <v>89</v>
      </c>
      <c r="P119" s="3526" t="s">
        <v>178</v>
      </c>
      <c r="Q119" s="3526"/>
      <c r="R119" s="3527"/>
      <c r="S119" s="3525">
        <v>89</v>
      </c>
      <c r="T119" s="3526" t="s">
        <v>179</v>
      </c>
      <c r="U119" s="3526"/>
      <c r="V119" s="3527"/>
      <c r="W119" s="3532"/>
      <c r="X119" s="3533" t="s">
        <v>180</v>
      </c>
      <c r="Y119" s="3533"/>
      <c r="Z119" s="3534"/>
      <c r="AA119" s="3532"/>
      <c r="AB119" s="3533"/>
      <c r="AC119" s="3533"/>
      <c r="AD119" s="3456"/>
      <c r="AE119" s="3530">
        <v>44</v>
      </c>
      <c r="AF119" s="3526"/>
      <c r="AG119" s="3526"/>
      <c r="AH119" s="3454"/>
      <c r="AI119" s="3531"/>
    </row>
    <row r="120" spans="1:35" ht="22.35" customHeight="1">
      <c r="A120" s="172"/>
      <c r="B120" s="38" t="s">
        <v>161</v>
      </c>
      <c r="C120" s="3532">
        <v>99</v>
      </c>
      <c r="D120" s="3533" t="s">
        <v>181</v>
      </c>
      <c r="E120" s="3533"/>
      <c r="F120" s="3534"/>
      <c r="G120" s="3532">
        <v>99</v>
      </c>
      <c r="H120" s="3533" t="s">
        <v>181</v>
      </c>
      <c r="I120" s="3533"/>
      <c r="J120" s="3534"/>
      <c r="K120" s="3532">
        <v>99</v>
      </c>
      <c r="L120" s="3533" t="s">
        <v>181</v>
      </c>
      <c r="M120" s="3533"/>
      <c r="N120" s="3534"/>
      <c r="O120" s="3532">
        <v>99</v>
      </c>
      <c r="P120" s="3533" t="s">
        <v>181</v>
      </c>
      <c r="Q120" s="3533"/>
      <c r="R120" s="3534"/>
      <c r="S120" s="3532">
        <v>99</v>
      </c>
      <c r="T120" s="3533" t="s">
        <v>160</v>
      </c>
      <c r="U120" s="3533"/>
      <c r="V120" s="3456"/>
      <c r="W120" s="3455"/>
      <c r="X120" s="3456"/>
      <c r="Y120" s="3533"/>
      <c r="Z120" s="3534"/>
      <c r="AA120" s="3455"/>
      <c r="AB120" s="3456"/>
      <c r="AC120" s="3533"/>
      <c r="AD120" s="3534"/>
      <c r="AE120" s="3535">
        <v>28</v>
      </c>
      <c r="AF120" s="3533"/>
      <c r="AG120" s="3533"/>
      <c r="AH120" s="3456"/>
      <c r="AI120" s="3536"/>
    </row>
    <row r="121" spans="1:35" ht="22.35" customHeight="1" thickBot="1">
      <c r="A121" s="172"/>
      <c r="B121" s="3537" t="s">
        <v>182</v>
      </c>
      <c r="C121" s="3538" t="s">
        <v>183</v>
      </c>
      <c r="D121" s="3539" t="s">
        <v>184</v>
      </c>
      <c r="E121" s="3540"/>
      <c r="F121" s="3407"/>
      <c r="G121" s="3538" t="s">
        <v>183</v>
      </c>
      <c r="H121" s="3539" t="s">
        <v>184</v>
      </c>
      <c r="I121" s="3405"/>
      <c r="J121" s="3540"/>
      <c r="K121" s="3538" t="s">
        <v>183</v>
      </c>
      <c r="L121" s="3539" t="s">
        <v>184</v>
      </c>
      <c r="M121" s="3540"/>
      <c r="N121" s="3541"/>
      <c r="O121" s="3538" t="s">
        <v>183</v>
      </c>
      <c r="P121" s="3539" t="s">
        <v>184</v>
      </c>
      <c r="Q121" s="3540"/>
      <c r="R121" s="3539"/>
      <c r="S121" s="3538" t="s">
        <v>183</v>
      </c>
      <c r="T121" s="3409" t="s">
        <v>185</v>
      </c>
      <c r="U121" s="3539"/>
      <c r="V121" s="3541"/>
      <c r="W121" s="3540"/>
      <c r="X121" s="3539"/>
      <c r="Y121" s="3539"/>
      <c r="Z121" s="3539"/>
      <c r="AA121" s="3542"/>
      <c r="AB121" s="3543"/>
      <c r="AC121" s="3539"/>
      <c r="AD121" s="3544"/>
      <c r="AE121" s="3539"/>
      <c r="AF121" s="3539"/>
      <c r="AG121" s="3539"/>
      <c r="AH121" s="3545"/>
      <c r="AI121" s="3546"/>
    </row>
    <row r="122" spans="1:35" ht="22.35" customHeight="1">
      <c r="A122" s="172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>
      <c r="A123" s="172"/>
      <c r="B123" s="3414" t="s">
        <v>29</v>
      </c>
      <c r="C123" s="3343">
        <v>1</v>
      </c>
      <c r="D123" s="3343">
        <v>2</v>
      </c>
      <c r="E123" s="3342">
        <v>3</v>
      </c>
      <c r="F123" s="3342">
        <v>4</v>
      </c>
      <c r="G123" s="3342">
        <v>5</v>
      </c>
      <c r="H123" s="3342">
        <v>6</v>
      </c>
      <c r="I123" s="3342">
        <v>7</v>
      </c>
      <c r="J123" s="3343">
        <v>8</v>
      </c>
      <c r="K123" s="3343">
        <v>9</v>
      </c>
      <c r="L123" s="3342">
        <v>10</v>
      </c>
      <c r="M123" s="3342">
        <v>11</v>
      </c>
      <c r="N123" s="3342">
        <v>12</v>
      </c>
      <c r="O123" s="3342">
        <v>13</v>
      </c>
      <c r="P123" s="3342">
        <v>14</v>
      </c>
      <c r="Q123" s="3343">
        <v>15</v>
      </c>
      <c r="R123" s="3343">
        <v>16</v>
      </c>
      <c r="S123" s="3342">
        <v>17</v>
      </c>
      <c r="T123" s="3342">
        <v>18</v>
      </c>
      <c r="U123" s="3342">
        <v>19</v>
      </c>
      <c r="V123" s="3342">
        <v>20</v>
      </c>
      <c r="W123" s="3342">
        <v>21</v>
      </c>
      <c r="X123" s="3343">
        <v>22</v>
      </c>
      <c r="Y123" s="3343">
        <v>23</v>
      </c>
      <c r="Z123" s="3342">
        <v>24</v>
      </c>
      <c r="AA123" s="3342">
        <v>25</v>
      </c>
      <c r="AB123" s="3342">
        <v>26</v>
      </c>
      <c r="AC123" s="3342">
        <v>27</v>
      </c>
      <c r="AD123" s="3342">
        <v>28</v>
      </c>
      <c r="AE123" s="3343">
        <v>29</v>
      </c>
      <c r="AF123" s="3343">
        <v>30</v>
      </c>
      <c r="AG123" s="3432">
        <v>31</v>
      </c>
      <c r="AH123" s="176"/>
      <c r="AI123" s="177"/>
    </row>
    <row r="124" spans="1:35" ht="22.35" customHeight="1">
      <c r="A124" s="108">
        <v>49</v>
      </c>
      <c r="B124" s="389" t="s">
        <v>186</v>
      </c>
      <c r="C124" s="361"/>
      <c r="D124" s="361"/>
      <c r="E124" s="349">
        <v>89</v>
      </c>
      <c r="F124" s="349">
        <v>89</v>
      </c>
      <c r="G124" s="350">
        <v>89</v>
      </c>
      <c r="H124" s="686">
        <v>89</v>
      </c>
      <c r="I124" s="686">
        <v>89</v>
      </c>
      <c r="J124" s="686">
        <v>89</v>
      </c>
      <c r="K124" s="687"/>
      <c r="L124" s="688">
        <v>99</v>
      </c>
      <c r="M124" s="689">
        <v>99</v>
      </c>
      <c r="N124" s="687">
        <v>99</v>
      </c>
      <c r="O124" s="687">
        <v>99</v>
      </c>
      <c r="P124" s="687" t="s">
        <v>363</v>
      </c>
      <c r="Q124" s="361"/>
      <c r="R124" s="361"/>
      <c r="S124" s="349" t="s">
        <v>183</v>
      </c>
      <c r="T124" s="349" t="s">
        <v>183</v>
      </c>
      <c r="U124" s="361" t="s">
        <v>183</v>
      </c>
      <c r="V124" s="361" t="s">
        <v>183</v>
      </c>
      <c r="W124" s="361" t="s">
        <v>183</v>
      </c>
      <c r="X124" s="361"/>
      <c r="Y124" s="361"/>
      <c r="Z124" s="361">
        <v>69</v>
      </c>
      <c r="AA124" s="350">
        <v>69</v>
      </c>
      <c r="AB124" s="361">
        <v>69</v>
      </c>
      <c r="AC124" s="361">
        <v>69</v>
      </c>
      <c r="AD124" s="361">
        <v>69</v>
      </c>
      <c r="AE124" s="361"/>
      <c r="AF124" s="350"/>
      <c r="AG124" s="362">
        <v>79</v>
      </c>
      <c r="AH124" s="201"/>
      <c r="AI124" s="107"/>
    </row>
    <row r="125" spans="1:35" ht="22.35" customHeight="1" thickBot="1">
      <c r="A125" s="3500">
        <v>50</v>
      </c>
      <c r="B125" s="3547" t="s">
        <v>188</v>
      </c>
      <c r="C125" s="3367">
        <v>89</v>
      </c>
      <c r="D125" s="3367"/>
      <c r="E125" s="3367">
        <v>99</v>
      </c>
      <c r="F125" s="3367">
        <v>99</v>
      </c>
      <c r="G125" s="3367">
        <v>99</v>
      </c>
      <c r="H125" s="3367">
        <v>99</v>
      </c>
      <c r="I125" s="3367" t="s">
        <v>36</v>
      </c>
      <c r="J125" s="3659"/>
      <c r="K125" s="3659"/>
      <c r="L125" s="3366" t="s">
        <v>183</v>
      </c>
      <c r="M125" s="3366" t="s">
        <v>183</v>
      </c>
      <c r="N125" s="3366" t="s">
        <v>183</v>
      </c>
      <c r="O125" s="3366" t="s">
        <v>183</v>
      </c>
      <c r="P125" s="3366" t="s">
        <v>183</v>
      </c>
      <c r="Q125" s="3366"/>
      <c r="R125" s="3366"/>
      <c r="S125" s="3630">
        <v>69</v>
      </c>
      <c r="T125" s="3661">
        <v>69</v>
      </c>
      <c r="U125" s="3630">
        <v>69</v>
      </c>
      <c r="V125" s="3630">
        <v>69</v>
      </c>
      <c r="W125" s="3630">
        <v>69</v>
      </c>
      <c r="X125" s="3630"/>
      <c r="Y125" s="3630" t="s">
        <v>315</v>
      </c>
      <c r="Z125" s="3355">
        <v>79</v>
      </c>
      <c r="AA125" s="3355">
        <v>79</v>
      </c>
      <c r="AB125" s="3356">
        <v>79</v>
      </c>
      <c r="AC125" s="3426">
        <v>79</v>
      </c>
      <c r="AD125" s="3356">
        <v>79</v>
      </c>
      <c r="AE125" s="3428"/>
      <c r="AF125" s="3428"/>
      <c r="AG125" s="3665">
        <v>89</v>
      </c>
      <c r="AH125" s="202"/>
      <c r="AI125" s="171"/>
    </row>
    <row r="126" spans="1:35" ht="22.35" customHeight="1">
      <c r="A126" s="367">
        <v>51</v>
      </c>
      <c r="B126" s="3547" t="s">
        <v>353</v>
      </c>
      <c r="C126" s="3551"/>
      <c r="D126" s="3551"/>
      <c r="E126" s="3551" t="s">
        <v>183</v>
      </c>
      <c r="F126" s="3551" t="s">
        <v>183</v>
      </c>
      <c r="G126" s="3551" t="s">
        <v>183</v>
      </c>
      <c r="H126" s="3551" t="s">
        <v>183</v>
      </c>
      <c r="I126" s="3366" t="s">
        <v>183</v>
      </c>
      <c r="J126" s="3366"/>
      <c r="K126" s="3366"/>
      <c r="L126" s="3366">
        <v>69</v>
      </c>
      <c r="M126" s="3366">
        <v>69</v>
      </c>
      <c r="N126" s="3366">
        <v>69</v>
      </c>
      <c r="O126" s="3366">
        <v>69</v>
      </c>
      <c r="P126" s="3366" t="s">
        <v>452</v>
      </c>
      <c r="Q126" s="3392" t="s">
        <v>0</v>
      </c>
      <c r="R126" s="3392" t="s">
        <v>0</v>
      </c>
      <c r="S126" s="3551">
        <v>79</v>
      </c>
      <c r="T126" s="3551">
        <v>79</v>
      </c>
      <c r="U126" s="3552">
        <v>79</v>
      </c>
      <c r="V126" s="3614">
        <v>79</v>
      </c>
      <c r="W126" s="3552">
        <v>79</v>
      </c>
      <c r="X126" s="3392" t="s">
        <v>0</v>
      </c>
      <c r="Y126" s="3392" t="s">
        <v>0</v>
      </c>
      <c r="Z126" s="3366">
        <v>89</v>
      </c>
      <c r="AA126" s="3366" t="s">
        <v>187</v>
      </c>
      <c r="AB126" s="3362">
        <v>89</v>
      </c>
      <c r="AC126" s="3362">
        <v>89</v>
      </c>
      <c r="AD126" s="3362">
        <v>89</v>
      </c>
      <c r="AE126" s="3362">
        <v>89</v>
      </c>
      <c r="AF126" s="3362"/>
      <c r="AG126" s="3666">
        <v>99</v>
      </c>
      <c r="AH126" s="201"/>
      <c r="AI126" s="107"/>
    </row>
    <row r="127" spans="1:35" ht="22.35" customHeight="1" thickBot="1">
      <c r="A127" s="3513">
        <v>52</v>
      </c>
      <c r="B127" s="3110" t="s">
        <v>359</v>
      </c>
      <c r="C127" s="3355"/>
      <c r="D127" s="3355"/>
      <c r="E127" s="3355">
        <v>69</v>
      </c>
      <c r="F127" s="3355">
        <v>69</v>
      </c>
      <c r="G127" s="3355">
        <v>69</v>
      </c>
      <c r="H127" s="3355">
        <v>69</v>
      </c>
      <c r="I127" s="3355">
        <v>69</v>
      </c>
      <c r="J127" s="3355"/>
      <c r="K127" s="3355"/>
      <c r="L127" s="3355">
        <v>79</v>
      </c>
      <c r="M127" s="3355">
        <v>79</v>
      </c>
      <c r="N127" s="3355">
        <v>79</v>
      </c>
      <c r="O127" s="3355">
        <v>79</v>
      </c>
      <c r="P127" s="3355">
        <v>79</v>
      </c>
      <c r="Q127" s="3477"/>
      <c r="R127" s="3477"/>
      <c r="S127" s="3355">
        <v>89</v>
      </c>
      <c r="T127" s="3355">
        <v>89</v>
      </c>
      <c r="U127" s="3667">
        <v>89</v>
      </c>
      <c r="V127" s="3355" t="s">
        <v>126</v>
      </c>
      <c r="W127" s="3355" t="s">
        <v>126</v>
      </c>
      <c r="X127" s="3355">
        <v>89</v>
      </c>
      <c r="Y127" s="3477"/>
      <c r="Z127" s="3428">
        <v>99</v>
      </c>
      <c r="AA127" s="3355">
        <v>99</v>
      </c>
      <c r="AB127" s="3355">
        <v>99</v>
      </c>
      <c r="AC127" s="3355">
        <v>99</v>
      </c>
      <c r="AD127" s="3614" t="s">
        <v>36</v>
      </c>
      <c r="AE127" s="3355"/>
      <c r="AF127" s="3477"/>
      <c r="AG127" s="3555" t="s">
        <v>183</v>
      </c>
      <c r="AH127" s="201"/>
      <c r="AI127" s="107"/>
    </row>
    <row r="128" spans="1:35" ht="22.35" customHeight="1" thickBot="1">
      <c r="A128" s="3513">
        <v>53</v>
      </c>
      <c r="B128" s="3556" t="s">
        <v>190</v>
      </c>
      <c r="C128" s="3505"/>
      <c r="D128" s="3505"/>
      <c r="E128" s="3505">
        <v>79</v>
      </c>
      <c r="F128" s="3344">
        <v>79</v>
      </c>
      <c r="G128" s="3344">
        <v>79</v>
      </c>
      <c r="H128" s="3420">
        <v>79</v>
      </c>
      <c r="I128" s="3420">
        <v>79</v>
      </c>
      <c r="J128" s="3420"/>
      <c r="K128" s="3420"/>
      <c r="L128" s="3342">
        <v>89</v>
      </c>
      <c r="M128" s="3342">
        <v>89</v>
      </c>
      <c r="N128" s="3668">
        <v>89</v>
      </c>
      <c r="O128" s="3668">
        <v>89</v>
      </c>
      <c r="P128" s="3505">
        <v>89</v>
      </c>
      <c r="Q128" s="3505">
        <v>89</v>
      </c>
      <c r="R128" s="3505"/>
      <c r="S128" s="3342">
        <v>99</v>
      </c>
      <c r="T128" s="3669">
        <v>99</v>
      </c>
      <c r="U128" s="3667">
        <v>99</v>
      </c>
      <c r="V128" s="3628">
        <v>99</v>
      </c>
      <c r="W128" s="3505" t="s">
        <v>36</v>
      </c>
      <c r="X128" s="3505"/>
      <c r="Y128" s="3505"/>
      <c r="Z128" s="3421" t="s">
        <v>183</v>
      </c>
      <c r="AA128" s="3421" t="s">
        <v>183</v>
      </c>
      <c r="AB128" s="3505" t="s">
        <v>183</v>
      </c>
      <c r="AC128" s="3505" t="s">
        <v>183</v>
      </c>
      <c r="AD128" s="3667" t="s">
        <v>183</v>
      </c>
      <c r="AE128" s="3628">
        <v>89</v>
      </c>
      <c r="AF128" s="3667" t="s">
        <v>0</v>
      </c>
      <c r="AG128" s="3559">
        <v>69</v>
      </c>
      <c r="AH128" s="201"/>
      <c r="AI128" s="107"/>
    </row>
    <row r="129" spans="1:41" ht="22.35" customHeight="1">
      <c r="A129" s="3513"/>
      <c r="B129" s="229"/>
      <c r="C129" s="230"/>
      <c r="D129" s="230"/>
      <c r="E129" s="230"/>
      <c r="F129" s="211"/>
      <c r="G129" s="228"/>
      <c r="H129" s="228"/>
      <c r="I129" s="228"/>
      <c r="J129" s="228"/>
      <c r="K129" s="228"/>
      <c r="L129" s="211"/>
      <c r="M129" s="211"/>
      <c r="N129" s="230"/>
      <c r="O129" s="230"/>
      <c r="P129" s="230"/>
      <c r="Q129" s="230"/>
      <c r="R129" s="230"/>
      <c r="S129" s="211"/>
      <c r="T129" s="231"/>
      <c r="U129" s="230"/>
      <c r="V129" s="230"/>
      <c r="W129" s="230"/>
      <c r="X129" s="230"/>
      <c r="Y129" s="230"/>
      <c r="Z129" s="232"/>
      <c r="AA129" s="232"/>
      <c r="AB129" s="230"/>
      <c r="AC129" s="230"/>
      <c r="AD129" s="230"/>
      <c r="AE129" s="230"/>
      <c r="AF129" s="230"/>
      <c r="AG129" s="232"/>
      <c r="AH129" s="201"/>
      <c r="AI129" s="107"/>
    </row>
    <row r="130" spans="1:41" ht="22.35" customHeight="1" thickBot="1">
      <c r="A130" s="3518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41" ht="22.35" customHeight="1" thickBot="1">
      <c r="A131" s="212"/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41" ht="22.35" customHeight="1">
      <c r="A132" s="109"/>
      <c r="B132" s="248" t="s">
        <v>175</v>
      </c>
      <c r="C132" s="383"/>
      <c r="D132" s="384" t="s">
        <v>94</v>
      </c>
      <c r="E132" s="385"/>
      <c r="F132" s="386"/>
      <c r="G132" s="383"/>
      <c r="H132" s="384" t="s">
        <v>95</v>
      </c>
      <c r="I132" s="385"/>
      <c r="J132" s="386"/>
      <c r="K132" s="383"/>
      <c r="L132" s="384" t="s">
        <v>96</v>
      </c>
      <c r="M132" s="385"/>
      <c r="N132" s="386"/>
      <c r="O132" s="383"/>
      <c r="P132" s="384" t="s">
        <v>97</v>
      </c>
      <c r="Q132" s="385"/>
      <c r="R132" s="386"/>
      <c r="S132" s="383"/>
      <c r="T132" s="384" t="s">
        <v>98</v>
      </c>
      <c r="U132" s="385"/>
      <c r="V132" s="386"/>
      <c r="W132" s="383"/>
      <c r="X132" s="384" t="s">
        <v>99</v>
      </c>
      <c r="Y132" s="385"/>
      <c r="Z132" s="386"/>
      <c r="AA132" s="383"/>
      <c r="AB132" s="384" t="s">
        <v>100</v>
      </c>
      <c r="AC132" s="385"/>
      <c r="AD132" s="385"/>
      <c r="AE132" s="387" t="s">
        <v>101</v>
      </c>
      <c r="AF132" s="385"/>
      <c r="AG132" s="385"/>
      <c r="AH132" s="385"/>
      <c r="AI132" s="388"/>
    </row>
    <row r="133" spans="1:41" ht="22.35" customHeight="1">
      <c r="A133" s="172" t="s">
        <v>191</v>
      </c>
      <c r="B133" s="3524" t="s">
        <v>192</v>
      </c>
      <c r="C133" s="3453" t="s">
        <v>193</v>
      </c>
      <c r="D133" s="3526"/>
      <c r="E133" s="3526"/>
      <c r="F133" s="3527"/>
      <c r="G133" s="3453" t="s">
        <v>193</v>
      </c>
      <c r="H133" s="3526"/>
      <c r="I133" s="3526"/>
      <c r="J133" s="3527"/>
      <c r="K133" s="3453" t="s">
        <v>193</v>
      </c>
      <c r="L133" s="3526"/>
      <c r="M133" s="3526"/>
      <c r="N133" s="3527"/>
      <c r="O133" s="3453" t="s">
        <v>193</v>
      </c>
      <c r="P133" s="3526"/>
      <c r="Q133" s="3526"/>
      <c r="R133" s="3527"/>
      <c r="S133" s="3453" t="s">
        <v>193</v>
      </c>
      <c r="T133" s="3526"/>
      <c r="U133" s="3526"/>
      <c r="V133" s="3527"/>
      <c r="W133" s="3453" t="s">
        <v>194</v>
      </c>
      <c r="X133" s="3528"/>
      <c r="Y133" s="3528"/>
      <c r="Z133" s="3529"/>
      <c r="AA133" s="3453" t="s">
        <v>194</v>
      </c>
      <c r="AB133" s="3526"/>
      <c r="AC133" s="3526"/>
      <c r="AD133" s="3454"/>
      <c r="AE133" s="3530">
        <v>69</v>
      </c>
      <c r="AF133" s="194"/>
      <c r="AG133" s="194"/>
      <c r="AH133" s="194"/>
      <c r="AI133" s="195"/>
    </row>
    <row r="134" spans="1:41" ht="22.35" customHeight="1">
      <c r="A134" s="172"/>
      <c r="B134" s="3524" t="s">
        <v>152</v>
      </c>
      <c r="C134" s="3453" t="s">
        <v>160</v>
      </c>
      <c r="D134" s="3526"/>
      <c r="E134" s="3526"/>
      <c r="F134" s="3527"/>
      <c r="G134" s="3453" t="s">
        <v>160</v>
      </c>
      <c r="H134" s="3526"/>
      <c r="I134" s="3526"/>
      <c r="J134" s="3527"/>
      <c r="K134" s="3453" t="s">
        <v>160</v>
      </c>
      <c r="L134" s="3526"/>
      <c r="M134" s="3526"/>
      <c r="N134" s="3527"/>
      <c r="O134" s="3453" t="s">
        <v>160</v>
      </c>
      <c r="P134" s="3526"/>
      <c r="Q134" s="3526"/>
      <c r="R134" s="3527"/>
      <c r="S134" s="3453" t="s">
        <v>160</v>
      </c>
      <c r="T134" s="3526"/>
      <c r="U134" s="3526"/>
      <c r="V134" s="3527"/>
      <c r="W134" s="3453" t="s">
        <v>160</v>
      </c>
      <c r="X134" s="3526"/>
      <c r="Y134" s="3526"/>
      <c r="Z134" s="3527"/>
      <c r="AA134" s="3526" t="s">
        <v>160</v>
      </c>
      <c r="AB134" s="3526"/>
      <c r="AC134" s="3526"/>
      <c r="AD134" s="3454"/>
      <c r="AE134" s="3530">
        <v>0</v>
      </c>
      <c r="AF134" s="194"/>
      <c r="AG134" s="194"/>
      <c r="AH134" s="194"/>
      <c r="AI134" s="195"/>
    </row>
    <row r="135" spans="1:41" ht="22.35" customHeight="1">
      <c r="A135" s="172"/>
      <c r="B135" s="3524" t="s">
        <v>195</v>
      </c>
      <c r="C135" s="3453" t="s">
        <v>193</v>
      </c>
      <c r="D135" s="3526"/>
      <c r="E135" s="3526"/>
      <c r="F135" s="3527"/>
      <c r="G135" s="3453" t="s">
        <v>193</v>
      </c>
      <c r="H135" s="3526"/>
      <c r="I135" s="3526"/>
      <c r="J135" s="3527"/>
      <c r="K135" s="3453" t="s">
        <v>193</v>
      </c>
      <c r="L135" s="3526"/>
      <c r="M135" s="3526"/>
      <c r="N135" s="3527"/>
      <c r="O135" s="3453" t="s">
        <v>193</v>
      </c>
      <c r="P135" s="3526"/>
      <c r="Q135" s="3526"/>
      <c r="R135" s="3527"/>
      <c r="S135" s="3453" t="s">
        <v>193</v>
      </c>
      <c r="T135" s="3526"/>
      <c r="U135" s="3526"/>
      <c r="V135" s="3527"/>
      <c r="W135" s="3453" t="s">
        <v>194</v>
      </c>
      <c r="X135" s="3528"/>
      <c r="Y135" s="3528"/>
      <c r="Z135" s="3529"/>
      <c r="AA135" s="3453" t="s">
        <v>194</v>
      </c>
      <c r="AB135" s="3526"/>
      <c r="AC135" s="3526"/>
      <c r="AD135" s="3454"/>
      <c r="AE135" s="3530">
        <v>69</v>
      </c>
      <c r="AF135" s="3526"/>
      <c r="AG135" s="3526" t="s">
        <v>0</v>
      </c>
      <c r="AH135" s="3454"/>
      <c r="AI135" s="3531"/>
    </row>
    <row r="136" spans="1:41" ht="22.35" customHeight="1">
      <c r="A136" s="172"/>
      <c r="B136" s="3524" t="s">
        <v>161</v>
      </c>
      <c r="C136" s="3453" t="s">
        <v>160</v>
      </c>
      <c r="D136" s="3526"/>
      <c r="E136" s="3526"/>
      <c r="F136" s="3527"/>
      <c r="G136" s="3453" t="s">
        <v>160</v>
      </c>
      <c r="H136" s="3526"/>
      <c r="I136" s="3526"/>
      <c r="J136" s="3527"/>
      <c r="K136" s="3453" t="s">
        <v>160</v>
      </c>
      <c r="L136" s="3526"/>
      <c r="M136" s="3526"/>
      <c r="N136" s="3527"/>
      <c r="O136" s="3453" t="s">
        <v>160</v>
      </c>
      <c r="P136" s="3526"/>
      <c r="Q136" s="3526"/>
      <c r="R136" s="3527"/>
      <c r="S136" s="3453" t="s">
        <v>160</v>
      </c>
      <c r="T136" s="3526"/>
      <c r="U136" s="3526"/>
      <c r="V136" s="3527"/>
      <c r="W136" s="3453" t="s">
        <v>160</v>
      </c>
      <c r="X136" s="3526"/>
      <c r="Y136" s="3526"/>
      <c r="Z136" s="3527"/>
      <c r="AA136" s="3526" t="s">
        <v>160</v>
      </c>
      <c r="AB136" s="3526"/>
      <c r="AC136" s="3526"/>
      <c r="AD136" s="3454"/>
      <c r="AE136" s="3530">
        <v>0</v>
      </c>
      <c r="AF136" s="3526"/>
      <c r="AG136" s="3526"/>
      <c r="AH136" s="3454"/>
      <c r="AI136" s="3531"/>
    </row>
    <row r="137" spans="1:41" ht="22.35" customHeight="1">
      <c r="A137" s="172"/>
      <c r="B137" s="3524" t="s">
        <v>196</v>
      </c>
      <c r="C137" s="3453" t="s">
        <v>193</v>
      </c>
      <c r="D137" s="3526"/>
      <c r="E137" s="3526"/>
      <c r="F137" s="3527"/>
      <c r="G137" s="3453" t="s">
        <v>193</v>
      </c>
      <c r="H137" s="3526"/>
      <c r="I137" s="3526"/>
      <c r="J137" s="3527"/>
      <c r="K137" s="3453" t="s">
        <v>193</v>
      </c>
      <c r="L137" s="3526"/>
      <c r="M137" s="3526"/>
      <c r="N137" s="3527"/>
      <c r="O137" s="3453" t="s">
        <v>193</v>
      </c>
      <c r="P137" s="3526"/>
      <c r="Q137" s="3526"/>
      <c r="R137" s="3527"/>
      <c r="S137" s="3453" t="s">
        <v>193</v>
      </c>
      <c r="T137" s="3526"/>
      <c r="U137" s="3526"/>
      <c r="V137" s="3527"/>
      <c r="W137" s="3453" t="s">
        <v>197</v>
      </c>
      <c r="X137" s="3533"/>
      <c r="Y137" s="3533"/>
      <c r="Z137" s="3534"/>
      <c r="AA137" s="3453" t="s">
        <v>197</v>
      </c>
      <c r="AB137" s="3533"/>
      <c r="AC137" s="3533"/>
      <c r="AD137" s="3456"/>
      <c r="AE137" s="3530">
        <v>66</v>
      </c>
      <c r="AF137" s="3526"/>
      <c r="AG137" s="3526"/>
      <c r="AH137" s="3454"/>
      <c r="AI137" s="3531"/>
    </row>
    <row r="138" spans="1:41" ht="22.35" customHeight="1" thickBot="1">
      <c r="A138" s="172"/>
      <c r="B138" s="3524" t="s">
        <v>198</v>
      </c>
      <c r="C138" s="3560" t="s">
        <v>160</v>
      </c>
      <c r="D138" s="3561"/>
      <c r="E138" s="3561"/>
      <c r="F138" s="3562"/>
      <c r="G138" s="3560" t="s">
        <v>160</v>
      </c>
      <c r="H138" s="3561"/>
      <c r="I138" s="3561"/>
      <c r="J138" s="3562"/>
      <c r="K138" s="3560" t="s">
        <v>160</v>
      </c>
      <c r="L138" s="3561"/>
      <c r="M138" s="3561"/>
      <c r="N138" s="3562"/>
      <c r="O138" s="3560" t="s">
        <v>160</v>
      </c>
      <c r="P138" s="3561"/>
      <c r="Q138" s="3561"/>
      <c r="R138" s="3562"/>
      <c r="S138" s="3560" t="s">
        <v>160</v>
      </c>
      <c r="T138" s="3561"/>
      <c r="U138" s="3561"/>
      <c r="V138" s="3545"/>
      <c r="W138" s="3560" t="s">
        <v>160</v>
      </c>
      <c r="X138" s="3545"/>
      <c r="Y138" s="3561"/>
      <c r="Z138" s="3562"/>
      <c r="AA138" s="3560" t="s">
        <v>160</v>
      </c>
      <c r="AB138" s="3545"/>
      <c r="AC138" s="3561"/>
      <c r="AD138" s="3562"/>
      <c r="AE138" s="3563" t="s">
        <v>168</v>
      </c>
      <c r="AF138" s="3561"/>
      <c r="AG138" s="3561"/>
      <c r="AH138" s="3545"/>
      <c r="AI138" s="3546"/>
    </row>
    <row r="139" spans="1:41" ht="22.35" customHeight="1">
      <c r="A139" s="172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41" ht="22.35" customHeight="1" thickBot="1">
      <c r="A140" s="172"/>
      <c r="B140" s="3341" t="s">
        <v>29</v>
      </c>
      <c r="C140" s="3343">
        <v>1</v>
      </c>
      <c r="D140" s="3343">
        <v>2</v>
      </c>
      <c r="E140" s="3342">
        <v>3</v>
      </c>
      <c r="F140" s="3342">
        <v>4</v>
      </c>
      <c r="G140" s="3342">
        <v>5</v>
      </c>
      <c r="H140" s="3342">
        <v>6</v>
      </c>
      <c r="I140" s="3342">
        <v>7</v>
      </c>
      <c r="J140" s="3343">
        <v>8</v>
      </c>
      <c r="K140" s="3343">
        <v>9</v>
      </c>
      <c r="L140" s="3342">
        <v>10</v>
      </c>
      <c r="M140" s="3342">
        <v>11</v>
      </c>
      <c r="N140" s="3342">
        <v>12</v>
      </c>
      <c r="O140" s="3342">
        <v>13</v>
      </c>
      <c r="P140" s="3342">
        <v>14</v>
      </c>
      <c r="Q140" s="3343">
        <v>15</v>
      </c>
      <c r="R140" s="3343">
        <v>16</v>
      </c>
      <c r="S140" s="3342">
        <v>17</v>
      </c>
      <c r="T140" s="3342">
        <v>18</v>
      </c>
      <c r="U140" s="3342">
        <v>19</v>
      </c>
      <c r="V140" s="3342">
        <v>20</v>
      </c>
      <c r="W140" s="3342">
        <v>21</v>
      </c>
      <c r="X140" s="3343">
        <v>22</v>
      </c>
      <c r="Y140" s="3343">
        <v>23</v>
      </c>
      <c r="Z140" s="3342">
        <v>24</v>
      </c>
      <c r="AA140" s="3342">
        <v>25</v>
      </c>
      <c r="AB140" s="3342">
        <v>26</v>
      </c>
      <c r="AC140" s="3342">
        <v>27</v>
      </c>
      <c r="AD140" s="3342">
        <v>28</v>
      </c>
      <c r="AE140" s="3343">
        <v>29</v>
      </c>
      <c r="AF140" s="3343">
        <v>30</v>
      </c>
      <c r="AG140" s="3432">
        <v>31</v>
      </c>
      <c r="AH140" s="176"/>
      <c r="AI140" s="177"/>
      <c r="AO140" t="s">
        <v>453</v>
      </c>
    </row>
    <row r="141" spans="1:41" ht="22.35" customHeight="1">
      <c r="A141" s="108">
        <v>54</v>
      </c>
      <c r="B141" s="227" t="s">
        <v>199</v>
      </c>
      <c r="C141" s="309"/>
      <c r="D141" s="309"/>
      <c r="E141" s="309">
        <v>23</v>
      </c>
      <c r="F141" s="309">
        <v>23</v>
      </c>
      <c r="G141" s="312">
        <v>23</v>
      </c>
      <c r="H141" s="309">
        <v>23</v>
      </c>
      <c r="I141" s="310">
        <v>23</v>
      </c>
      <c r="J141" s="312">
        <v>23</v>
      </c>
      <c r="K141" s="309">
        <v>23</v>
      </c>
      <c r="L141" s="310" t="s">
        <v>36</v>
      </c>
      <c r="M141" s="312" t="s">
        <v>36</v>
      </c>
      <c r="N141" s="312" t="s">
        <v>36</v>
      </c>
      <c r="O141" s="309" t="s">
        <v>36</v>
      </c>
      <c r="P141" s="309" t="s">
        <v>36</v>
      </c>
      <c r="Q141" s="309"/>
      <c r="R141" s="309"/>
      <c r="S141" s="309">
        <v>21</v>
      </c>
      <c r="T141" s="309">
        <v>21</v>
      </c>
      <c r="U141" s="309">
        <v>21</v>
      </c>
      <c r="V141" s="309">
        <v>21</v>
      </c>
      <c r="W141" s="310">
        <v>21</v>
      </c>
      <c r="X141" s="309">
        <v>21</v>
      </c>
      <c r="Y141" s="309">
        <v>21</v>
      </c>
      <c r="Z141" s="310" t="s">
        <v>36</v>
      </c>
      <c r="AA141" s="309" t="s">
        <v>36</v>
      </c>
      <c r="AB141" s="309" t="s">
        <v>36</v>
      </c>
      <c r="AC141" s="309" t="s">
        <v>36</v>
      </c>
      <c r="AD141" s="309" t="s">
        <v>36</v>
      </c>
      <c r="AE141" s="309"/>
      <c r="AF141" s="309"/>
      <c r="AG141" s="709">
        <v>22</v>
      </c>
      <c r="AH141" s="107"/>
      <c r="AI141" s="107"/>
    </row>
    <row r="142" spans="1:41" ht="22.35" customHeight="1" thickBot="1">
      <c r="A142" s="3500">
        <v>55</v>
      </c>
      <c r="B142" s="3376" t="s">
        <v>200</v>
      </c>
      <c r="C142" s="3378"/>
      <c r="D142" s="3378"/>
      <c r="E142" s="3378">
        <v>21</v>
      </c>
      <c r="F142" s="3378">
        <v>21</v>
      </c>
      <c r="G142" s="3378">
        <v>21</v>
      </c>
      <c r="H142" s="3378">
        <v>21</v>
      </c>
      <c r="I142" s="3468">
        <v>21</v>
      </c>
      <c r="J142" s="3378">
        <v>21</v>
      </c>
      <c r="K142" s="3378">
        <v>21</v>
      </c>
      <c r="L142" s="3468" t="s">
        <v>36</v>
      </c>
      <c r="M142" s="3380" t="s">
        <v>36</v>
      </c>
      <c r="N142" s="3380" t="s">
        <v>36</v>
      </c>
      <c r="O142" s="3380" t="s">
        <v>36</v>
      </c>
      <c r="P142" s="3380" t="s">
        <v>36</v>
      </c>
      <c r="Q142" s="3380"/>
      <c r="R142" s="3380"/>
      <c r="S142" s="3391">
        <v>22</v>
      </c>
      <c r="T142" s="3391">
        <v>22</v>
      </c>
      <c r="U142" s="3391">
        <v>22</v>
      </c>
      <c r="V142" s="3391">
        <v>22</v>
      </c>
      <c r="W142" s="3484">
        <v>22</v>
      </c>
      <c r="X142" s="3391">
        <v>22</v>
      </c>
      <c r="Y142" s="3391">
        <v>22</v>
      </c>
      <c r="Z142" s="3468" t="s">
        <v>36</v>
      </c>
      <c r="AA142" s="3380" t="s">
        <v>36</v>
      </c>
      <c r="AB142" s="3380" t="s">
        <v>36</v>
      </c>
      <c r="AC142" s="3380" t="s">
        <v>36</v>
      </c>
      <c r="AD142" s="3380" t="s">
        <v>36</v>
      </c>
      <c r="AE142" s="3380"/>
      <c r="AF142" s="3380"/>
      <c r="AG142" s="3383">
        <v>23</v>
      </c>
      <c r="AH142" s="107"/>
      <c r="AI142" s="107"/>
    </row>
    <row r="143" spans="1:41" ht="22.35" customHeight="1">
      <c r="A143" s="317">
        <v>56</v>
      </c>
      <c r="B143" s="3376" t="s">
        <v>201</v>
      </c>
      <c r="C143" s="3378"/>
      <c r="D143" s="3378"/>
      <c r="E143" s="3391">
        <v>22</v>
      </c>
      <c r="F143" s="3391">
        <v>22</v>
      </c>
      <c r="G143" s="3391">
        <v>22</v>
      </c>
      <c r="H143" s="3391">
        <v>22</v>
      </c>
      <c r="I143" s="3391">
        <v>22</v>
      </c>
      <c r="J143" s="3391">
        <v>22</v>
      </c>
      <c r="K143" s="3391">
        <v>22</v>
      </c>
      <c r="L143" s="3382" t="s">
        <v>36</v>
      </c>
      <c r="M143" s="3382" t="s">
        <v>36</v>
      </c>
      <c r="N143" s="3382" t="s">
        <v>36</v>
      </c>
      <c r="O143" s="3382" t="s">
        <v>36</v>
      </c>
      <c r="P143" s="3378" t="s">
        <v>36</v>
      </c>
      <c r="Q143" s="3378"/>
      <c r="R143" s="3387"/>
      <c r="S143" s="3387">
        <v>23</v>
      </c>
      <c r="T143" s="3378">
        <v>23</v>
      </c>
      <c r="U143" s="3380">
        <v>23</v>
      </c>
      <c r="V143" s="3380">
        <v>23</v>
      </c>
      <c r="W143" s="3468">
        <v>23</v>
      </c>
      <c r="X143" s="3378">
        <v>23</v>
      </c>
      <c r="Y143" s="3378">
        <v>23</v>
      </c>
      <c r="Z143" s="3468" t="s">
        <v>36</v>
      </c>
      <c r="AA143" s="3378" t="s">
        <v>36</v>
      </c>
      <c r="AB143" s="3378" t="s">
        <v>36</v>
      </c>
      <c r="AC143" s="3378" t="s">
        <v>36</v>
      </c>
      <c r="AD143" s="3378" t="s">
        <v>36</v>
      </c>
      <c r="AE143" s="3378"/>
      <c r="AF143" s="3378"/>
      <c r="AG143" s="3383">
        <v>21</v>
      </c>
      <c r="AH143" s="107"/>
      <c r="AI143" s="107"/>
    </row>
    <row r="144" spans="1:41" ht="22.35" customHeight="1">
      <c r="A144" s="3186">
        <v>57</v>
      </c>
      <c r="B144" s="3376" t="s">
        <v>202</v>
      </c>
      <c r="C144" s="3378">
        <v>22</v>
      </c>
      <c r="D144" s="3378">
        <v>22</v>
      </c>
      <c r="E144" s="3468" t="s">
        <v>36</v>
      </c>
      <c r="F144" s="3378" t="s">
        <v>36</v>
      </c>
      <c r="G144" s="3378" t="s">
        <v>36</v>
      </c>
      <c r="H144" s="3378" t="s">
        <v>36</v>
      </c>
      <c r="I144" s="3378" t="s">
        <v>36</v>
      </c>
      <c r="J144" s="3378"/>
      <c r="K144" s="3378"/>
      <c r="L144" s="3378">
        <v>23</v>
      </c>
      <c r="M144" s="3378">
        <v>23</v>
      </c>
      <c r="N144" s="3378">
        <v>23</v>
      </c>
      <c r="O144" s="3188">
        <v>23</v>
      </c>
      <c r="P144" s="3382">
        <v>23</v>
      </c>
      <c r="Q144" s="3382">
        <v>23</v>
      </c>
      <c r="R144" s="3382">
        <v>23</v>
      </c>
      <c r="S144" s="3382" t="s">
        <v>36</v>
      </c>
      <c r="T144" s="3382" t="s">
        <v>36</v>
      </c>
      <c r="U144" s="3382" t="s">
        <v>36</v>
      </c>
      <c r="V144" s="3382" t="s">
        <v>36</v>
      </c>
      <c r="W144" s="3378" t="s">
        <v>36</v>
      </c>
      <c r="X144" s="3378"/>
      <c r="Y144" s="3378"/>
      <c r="Z144" s="3378">
        <v>21</v>
      </c>
      <c r="AA144" s="3378">
        <v>21</v>
      </c>
      <c r="AB144" s="3378">
        <v>21</v>
      </c>
      <c r="AC144" s="3378">
        <v>21</v>
      </c>
      <c r="AD144" s="3468">
        <v>21</v>
      </c>
      <c r="AE144" s="3378">
        <v>21</v>
      </c>
      <c r="AF144" s="3378">
        <v>21</v>
      </c>
      <c r="AG144" s="3650" t="s">
        <v>36</v>
      </c>
      <c r="AH144" s="107"/>
      <c r="AI144" s="107"/>
    </row>
    <row r="145" spans="1:35" ht="22.35" customHeight="1">
      <c r="A145" s="3186">
        <v>58</v>
      </c>
      <c r="B145" s="3376" t="s">
        <v>203</v>
      </c>
      <c r="C145" s="3568">
        <v>23</v>
      </c>
      <c r="D145" s="3568">
        <v>23</v>
      </c>
      <c r="E145" s="3466" t="s">
        <v>36</v>
      </c>
      <c r="F145" s="3670" t="s">
        <v>363</v>
      </c>
      <c r="G145" s="3378" t="s">
        <v>36</v>
      </c>
      <c r="H145" s="3378" t="s">
        <v>36</v>
      </c>
      <c r="I145" s="3378" t="s">
        <v>36</v>
      </c>
      <c r="J145" s="3378"/>
      <c r="K145" s="3378"/>
      <c r="L145" s="3378">
        <v>21</v>
      </c>
      <c r="M145" s="3378">
        <v>21</v>
      </c>
      <c r="N145" s="3378">
        <v>21</v>
      </c>
      <c r="O145" s="3378">
        <v>21</v>
      </c>
      <c r="P145" s="3468">
        <v>21</v>
      </c>
      <c r="Q145" s="3378">
        <v>21</v>
      </c>
      <c r="R145" s="3378">
        <v>21</v>
      </c>
      <c r="S145" s="3468" t="s">
        <v>36</v>
      </c>
      <c r="T145" s="3378" t="s">
        <v>36</v>
      </c>
      <c r="U145" s="3378" t="s">
        <v>36</v>
      </c>
      <c r="V145" s="3378" t="s">
        <v>36</v>
      </c>
      <c r="W145" s="3378" t="s">
        <v>36</v>
      </c>
      <c r="X145" s="3378"/>
      <c r="Y145" s="3378"/>
      <c r="Z145" s="3378">
        <v>22</v>
      </c>
      <c r="AA145" s="3378">
        <v>22</v>
      </c>
      <c r="AB145" s="3378">
        <v>22</v>
      </c>
      <c r="AC145" s="3380">
        <v>22</v>
      </c>
      <c r="AD145" s="3380">
        <v>22</v>
      </c>
      <c r="AE145" s="3380">
        <v>22</v>
      </c>
      <c r="AF145" s="3378">
        <v>22</v>
      </c>
      <c r="AG145" s="3650" t="s">
        <v>36</v>
      </c>
      <c r="AH145" s="107"/>
      <c r="AI145" s="107"/>
    </row>
    <row r="146" spans="1:35" ht="22.35" customHeight="1" thickBot="1">
      <c r="A146" s="3186">
        <v>59</v>
      </c>
      <c r="B146" s="1069" t="s">
        <v>204</v>
      </c>
      <c r="C146" s="996">
        <v>21</v>
      </c>
      <c r="D146" s="996">
        <v>21</v>
      </c>
      <c r="E146" s="998" t="s">
        <v>36</v>
      </c>
      <c r="F146" s="996" t="s">
        <v>36</v>
      </c>
      <c r="G146" s="996" t="s">
        <v>36</v>
      </c>
      <c r="H146" s="1070" t="s">
        <v>36</v>
      </c>
      <c r="I146" s="1070" t="s">
        <v>36</v>
      </c>
      <c r="J146" s="1070"/>
      <c r="K146" s="1070"/>
      <c r="L146" s="1564">
        <v>22</v>
      </c>
      <c r="M146" s="1564">
        <v>22</v>
      </c>
      <c r="N146" s="1564">
        <v>22</v>
      </c>
      <c r="O146" s="1564">
        <v>22</v>
      </c>
      <c r="P146" s="1564">
        <v>22</v>
      </c>
      <c r="Q146" s="1564">
        <v>22</v>
      </c>
      <c r="R146" s="1564">
        <v>22</v>
      </c>
      <c r="S146" s="998" t="s">
        <v>36</v>
      </c>
      <c r="T146" s="996" t="s">
        <v>36</v>
      </c>
      <c r="U146" s="996" t="s">
        <v>36</v>
      </c>
      <c r="V146" s="996" t="s">
        <v>36</v>
      </c>
      <c r="W146" s="996" t="s">
        <v>36</v>
      </c>
      <c r="X146" s="996"/>
      <c r="Y146" s="996"/>
      <c r="Z146" s="996">
        <v>23</v>
      </c>
      <c r="AA146" s="996">
        <v>23</v>
      </c>
      <c r="AB146" s="1072">
        <v>23</v>
      </c>
      <c r="AC146" s="1072">
        <v>23</v>
      </c>
      <c r="AD146" s="998">
        <v>23</v>
      </c>
      <c r="AE146" s="996">
        <v>23</v>
      </c>
      <c r="AF146" s="996">
        <v>23</v>
      </c>
      <c r="AG146" s="1074" t="s">
        <v>36</v>
      </c>
      <c r="AH146" s="107"/>
      <c r="AI146" s="107"/>
    </row>
    <row r="147" spans="1:35" ht="22.35" customHeight="1">
      <c r="A147" s="3186"/>
      <c r="B147" s="210"/>
      <c r="C147" s="211"/>
      <c r="D147" s="211"/>
      <c r="E147" s="228"/>
      <c r="F147" s="211"/>
      <c r="G147" s="211"/>
      <c r="H147" s="233"/>
      <c r="I147" s="233"/>
      <c r="J147" s="233"/>
      <c r="K147" s="233"/>
      <c r="L147" s="233"/>
      <c r="M147" s="233"/>
      <c r="N147" s="202"/>
      <c r="O147" s="202"/>
      <c r="P147" s="228"/>
      <c r="Q147" s="211"/>
      <c r="R147" s="211"/>
      <c r="S147" s="228"/>
      <c r="T147" s="211"/>
      <c r="U147" s="211"/>
      <c r="V147" s="211"/>
      <c r="W147" s="211"/>
      <c r="X147" s="211"/>
      <c r="Y147" s="211"/>
      <c r="Z147" s="211"/>
      <c r="AA147" s="211"/>
      <c r="AB147" s="202"/>
      <c r="AC147" s="202"/>
      <c r="AD147" s="228"/>
      <c r="AE147" s="211"/>
      <c r="AF147" s="211"/>
      <c r="AG147" s="228"/>
      <c r="AH147" s="107"/>
      <c r="AI147" s="107"/>
    </row>
    <row r="148" spans="1:35" ht="22.35" customHeight="1" thickBot="1">
      <c r="A148" s="1068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>
      <c r="A149" s="212"/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>
      <c r="A150" s="109"/>
      <c r="B150" s="248" t="s">
        <v>175</v>
      </c>
      <c r="C150" s="368"/>
      <c r="D150" s="384" t="s">
        <v>94</v>
      </c>
      <c r="E150" s="357"/>
      <c r="F150" s="372"/>
      <c r="G150" s="368"/>
      <c r="H150" s="384" t="s">
        <v>95</v>
      </c>
      <c r="I150" s="357"/>
      <c r="J150" s="372"/>
      <c r="K150" s="368"/>
      <c r="L150" s="384" t="s">
        <v>96</v>
      </c>
      <c r="M150" s="357"/>
      <c r="N150" s="372"/>
      <c r="O150" s="368"/>
      <c r="P150" s="384" t="s">
        <v>97</v>
      </c>
      <c r="Q150" s="357"/>
      <c r="R150" s="372"/>
      <c r="S150" s="368"/>
      <c r="T150" s="384" t="s">
        <v>98</v>
      </c>
      <c r="U150" s="357"/>
      <c r="V150" s="372"/>
      <c r="W150" s="368"/>
      <c r="X150" s="384" t="s">
        <v>99</v>
      </c>
      <c r="Y150" s="357"/>
      <c r="Z150" s="372"/>
      <c r="AA150" s="368"/>
      <c r="AB150" s="384" t="s">
        <v>100</v>
      </c>
      <c r="AC150" s="357"/>
      <c r="AD150" s="357"/>
      <c r="AE150" s="387" t="s">
        <v>101</v>
      </c>
      <c r="AF150" s="357"/>
      <c r="AG150" s="357"/>
      <c r="AH150" s="357"/>
      <c r="AI150" s="358"/>
    </row>
    <row r="151" spans="1:35" ht="22.35" customHeight="1">
      <c r="A151" s="161" t="s">
        <v>205</v>
      </c>
      <c r="B151" s="3524" t="s">
        <v>148</v>
      </c>
      <c r="C151" s="3453" t="s">
        <v>176</v>
      </c>
      <c r="D151" s="3324"/>
      <c r="E151" s="3324"/>
      <c r="F151" s="3527"/>
      <c r="G151" s="3453" t="s">
        <v>176</v>
      </c>
      <c r="H151" s="3324"/>
      <c r="I151" s="3324"/>
      <c r="J151" s="3527"/>
      <c r="K151" s="3453" t="s">
        <v>176</v>
      </c>
      <c r="L151" s="3324"/>
      <c r="M151" s="3324"/>
      <c r="N151" s="3527"/>
      <c r="O151" s="3453" t="s">
        <v>206</v>
      </c>
      <c r="P151" s="3324"/>
      <c r="Q151" s="3324"/>
      <c r="R151" s="3527"/>
      <c r="S151" s="3453" t="s">
        <v>160</v>
      </c>
      <c r="T151" s="3324"/>
      <c r="U151" s="3324"/>
      <c r="V151" s="3527"/>
      <c r="W151" s="3571"/>
      <c r="X151" s="3572"/>
      <c r="Y151" s="3572"/>
      <c r="Z151" s="3529"/>
      <c r="AA151" s="3525"/>
      <c r="AB151" s="3324"/>
      <c r="AC151" s="3324"/>
      <c r="AD151" s="3454"/>
      <c r="AE151" s="3530">
        <v>27</v>
      </c>
      <c r="AF151" s="3324"/>
      <c r="AG151" s="3324"/>
      <c r="AH151" s="3454"/>
      <c r="AI151" s="3333"/>
    </row>
    <row r="152" spans="1:35" ht="22.35" customHeight="1">
      <c r="A152" s="1"/>
      <c r="B152" s="3524" t="s">
        <v>152</v>
      </c>
      <c r="C152" s="3453" t="s">
        <v>207</v>
      </c>
      <c r="D152" s="3324"/>
      <c r="E152" s="3324"/>
      <c r="F152" s="3527"/>
      <c r="G152" s="3453" t="s">
        <v>207</v>
      </c>
      <c r="H152" s="3324"/>
      <c r="I152" s="3324"/>
      <c r="J152" s="3527"/>
      <c r="K152" s="3453" t="s">
        <v>207</v>
      </c>
      <c r="L152" s="3324"/>
      <c r="M152" s="3324"/>
      <c r="N152" s="3527"/>
      <c r="O152" s="3453" t="s">
        <v>207</v>
      </c>
      <c r="P152" s="3324"/>
      <c r="Q152" s="3324"/>
      <c r="R152" s="3527"/>
      <c r="S152" s="3453" t="s">
        <v>176</v>
      </c>
      <c r="T152" s="3324"/>
      <c r="U152" s="3324"/>
      <c r="V152" s="3527"/>
      <c r="W152" s="3453"/>
      <c r="X152" s="3324"/>
      <c r="Y152" s="3324"/>
      <c r="Z152" s="3527"/>
      <c r="AA152" s="3324"/>
      <c r="AB152" s="3324"/>
      <c r="AC152" s="3324"/>
      <c r="AD152" s="3454"/>
      <c r="AE152" s="3530">
        <v>39</v>
      </c>
      <c r="AF152" s="3324"/>
      <c r="AG152" s="3324"/>
      <c r="AH152" s="3454"/>
      <c r="AI152" s="3333"/>
    </row>
    <row r="153" spans="1:35" ht="22.35" customHeight="1">
      <c r="A153" s="1"/>
      <c r="B153" s="3524" t="s">
        <v>159</v>
      </c>
      <c r="C153" s="3453" t="s">
        <v>207</v>
      </c>
      <c r="D153" s="3324"/>
      <c r="E153" s="3324"/>
      <c r="F153" s="3527"/>
      <c r="G153" s="3453" t="s">
        <v>207</v>
      </c>
      <c r="H153" s="3324"/>
      <c r="I153" s="3324"/>
      <c r="J153" s="3527"/>
      <c r="K153" s="3453" t="s">
        <v>207</v>
      </c>
      <c r="L153" s="3324"/>
      <c r="M153" s="3324"/>
      <c r="N153" s="3527"/>
      <c r="O153" s="3453" t="s">
        <v>207</v>
      </c>
      <c r="P153" s="3324"/>
      <c r="Q153" s="3324"/>
      <c r="R153" s="3527"/>
      <c r="S153" s="3453" t="s">
        <v>207</v>
      </c>
      <c r="T153" s="3324"/>
      <c r="U153" s="3324"/>
      <c r="V153" s="3527"/>
      <c r="W153" s="3455" t="s">
        <v>208</v>
      </c>
      <c r="X153" s="3337"/>
      <c r="Y153" s="3337"/>
      <c r="Z153" s="3534"/>
      <c r="AA153" s="3532"/>
      <c r="AB153" s="3337"/>
      <c r="AC153" s="3337"/>
      <c r="AD153" s="3456"/>
      <c r="AE153" s="3530">
        <v>45</v>
      </c>
      <c r="AF153" s="3324"/>
      <c r="AG153" s="3324"/>
      <c r="AH153" s="3454"/>
      <c r="AI153" s="3333"/>
    </row>
    <row r="154" spans="1:35" ht="22.35" customHeight="1" thickBot="1">
      <c r="A154" s="1"/>
      <c r="B154" s="454" t="s">
        <v>161</v>
      </c>
      <c r="C154" s="3560"/>
      <c r="D154" s="3405"/>
      <c r="E154" s="3405"/>
      <c r="F154" s="3562"/>
      <c r="G154" s="3560"/>
      <c r="H154" s="3405"/>
      <c r="I154" s="3405"/>
      <c r="J154" s="3562"/>
      <c r="K154" s="3560"/>
      <c r="L154" s="3405"/>
      <c r="M154" s="3405"/>
      <c r="N154" s="3562"/>
      <c r="O154" s="3560"/>
      <c r="P154" s="3405"/>
      <c r="Q154" s="3405"/>
      <c r="R154" s="3562"/>
      <c r="S154" s="3560"/>
      <c r="T154" s="3405"/>
      <c r="U154" s="3405"/>
      <c r="V154" s="3545"/>
      <c r="W154" s="3560"/>
      <c r="X154" s="3545"/>
      <c r="Y154" s="3405"/>
      <c r="Z154" s="3562"/>
      <c r="AA154" s="3560"/>
      <c r="AB154" s="3545"/>
      <c r="AC154" s="3405"/>
      <c r="AD154" s="3562"/>
      <c r="AE154" s="3573"/>
      <c r="AF154" s="3405"/>
      <c r="AG154" s="3405"/>
      <c r="AH154" s="3545"/>
      <c r="AI154" s="3412"/>
    </row>
    <row r="155" spans="1:35" ht="22.35" customHeight="1">
      <c r="A155" s="1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>
      <c r="A156" s="1"/>
      <c r="B156" s="3414" t="s">
        <v>29</v>
      </c>
      <c r="C156" s="3343">
        <v>1</v>
      </c>
      <c r="D156" s="3343">
        <v>2</v>
      </c>
      <c r="E156" s="3342">
        <v>3</v>
      </c>
      <c r="F156" s="3342">
        <v>4</v>
      </c>
      <c r="G156" s="3342">
        <v>5</v>
      </c>
      <c r="H156" s="3342">
        <v>6</v>
      </c>
      <c r="I156" s="3342">
        <v>7</v>
      </c>
      <c r="J156" s="3343">
        <v>8</v>
      </c>
      <c r="K156" s="3343">
        <v>9</v>
      </c>
      <c r="L156" s="3342">
        <v>10</v>
      </c>
      <c r="M156" s="3342">
        <v>11</v>
      </c>
      <c r="N156" s="3342">
        <v>12</v>
      </c>
      <c r="O156" s="3342">
        <v>13</v>
      </c>
      <c r="P156" s="3342">
        <v>14</v>
      </c>
      <c r="Q156" s="3343">
        <v>15</v>
      </c>
      <c r="R156" s="3343">
        <v>16</v>
      </c>
      <c r="S156" s="3342">
        <v>17</v>
      </c>
      <c r="T156" s="3342">
        <v>18</v>
      </c>
      <c r="U156" s="3342">
        <v>19</v>
      </c>
      <c r="V156" s="3342">
        <v>20</v>
      </c>
      <c r="W156" s="3342">
        <v>21</v>
      </c>
      <c r="X156" s="3343">
        <v>22</v>
      </c>
      <c r="Y156" s="3343">
        <v>23</v>
      </c>
      <c r="Z156" s="3342">
        <v>24</v>
      </c>
      <c r="AA156" s="3342">
        <v>25</v>
      </c>
      <c r="AB156" s="3342">
        <v>26</v>
      </c>
      <c r="AC156" s="3342">
        <v>27</v>
      </c>
      <c r="AD156" s="3342">
        <v>28</v>
      </c>
      <c r="AE156" s="3343">
        <v>29</v>
      </c>
      <c r="AF156" s="3343">
        <v>30</v>
      </c>
      <c r="AG156" s="3432">
        <v>31</v>
      </c>
      <c r="AH156" s="176"/>
      <c r="AI156" s="177"/>
    </row>
    <row r="157" spans="1:35" ht="22.35" customHeight="1">
      <c r="A157" s="108">
        <v>60</v>
      </c>
      <c r="B157" s="390" t="s">
        <v>209</v>
      </c>
      <c r="C157" s="350"/>
      <c r="D157" s="349"/>
      <c r="E157" s="349" t="s">
        <v>32</v>
      </c>
      <c r="F157" s="349" t="s">
        <v>32</v>
      </c>
      <c r="G157" s="349" t="s">
        <v>32</v>
      </c>
      <c r="H157" s="349" t="s">
        <v>32</v>
      </c>
      <c r="I157" s="349" t="s">
        <v>32</v>
      </c>
      <c r="J157" s="349"/>
      <c r="K157" s="349"/>
      <c r="L157" s="349" t="s">
        <v>32</v>
      </c>
      <c r="M157" s="349" t="s">
        <v>32</v>
      </c>
      <c r="N157" s="349" t="s">
        <v>32</v>
      </c>
      <c r="O157" s="610" t="s">
        <v>32</v>
      </c>
      <c r="P157" s="539" t="s">
        <v>32</v>
      </c>
      <c r="Q157" s="349"/>
      <c r="R157" s="349"/>
      <c r="S157" s="349" t="s">
        <v>32</v>
      </c>
      <c r="T157" s="350" t="s">
        <v>32</v>
      </c>
      <c r="U157" s="349" t="s">
        <v>32</v>
      </c>
      <c r="V157" s="571" t="s">
        <v>32</v>
      </c>
      <c r="W157" s="349" t="s">
        <v>32</v>
      </c>
      <c r="X157" s="350"/>
      <c r="Y157" s="350"/>
      <c r="Z157" s="349" t="s">
        <v>32</v>
      </c>
      <c r="AA157" s="351" t="s">
        <v>32</v>
      </c>
      <c r="AB157" s="350" t="s">
        <v>32</v>
      </c>
      <c r="AC157" s="349" t="s">
        <v>32</v>
      </c>
      <c r="AD157" s="351" t="s">
        <v>32</v>
      </c>
      <c r="AE157" s="351"/>
      <c r="AF157" s="351"/>
      <c r="AG157" s="352" t="s">
        <v>32</v>
      </c>
      <c r="AH157" s="215"/>
      <c r="AI157" s="182"/>
    </row>
    <row r="158" spans="1:35" ht="22.35" customHeight="1" thickBot="1">
      <c r="A158" s="3500">
        <v>61</v>
      </c>
      <c r="B158" s="3574" t="s">
        <v>210</v>
      </c>
      <c r="C158" s="3355"/>
      <c r="D158" s="3428"/>
      <c r="E158" s="3355" t="s">
        <v>212</v>
      </c>
      <c r="F158" s="3355" t="s">
        <v>212</v>
      </c>
      <c r="G158" s="3516" t="s">
        <v>212</v>
      </c>
      <c r="H158" s="3355" t="s">
        <v>212</v>
      </c>
      <c r="I158" s="3355" t="s">
        <v>212</v>
      </c>
      <c r="J158" s="3355" t="s">
        <v>212</v>
      </c>
      <c r="K158" s="3355"/>
      <c r="L158" s="3355" t="s">
        <v>213</v>
      </c>
      <c r="M158" s="3355" t="s">
        <v>213</v>
      </c>
      <c r="N158" s="3355" t="s">
        <v>213</v>
      </c>
      <c r="O158" s="3355" t="s">
        <v>213</v>
      </c>
      <c r="P158" s="3614" t="s">
        <v>36</v>
      </c>
      <c r="Q158" s="3355"/>
      <c r="R158" s="3355"/>
      <c r="S158" s="3355" t="s">
        <v>211</v>
      </c>
      <c r="T158" s="3355" t="s">
        <v>211</v>
      </c>
      <c r="U158" s="3355" t="s">
        <v>211</v>
      </c>
      <c r="V158" s="3355" t="s">
        <v>211</v>
      </c>
      <c r="W158" s="3355" t="s">
        <v>211</v>
      </c>
      <c r="X158" s="3355"/>
      <c r="Y158" s="3355"/>
      <c r="Z158" s="3355" t="s">
        <v>212</v>
      </c>
      <c r="AA158" s="3355" t="s">
        <v>212</v>
      </c>
      <c r="AB158" s="3355" t="s">
        <v>212</v>
      </c>
      <c r="AC158" s="3355" t="s">
        <v>212</v>
      </c>
      <c r="AD158" s="3355" t="s">
        <v>212</v>
      </c>
      <c r="AE158" s="3355" t="s">
        <v>212</v>
      </c>
      <c r="AF158" s="3355"/>
      <c r="AG158" s="3416" t="s">
        <v>213</v>
      </c>
      <c r="AH158" s="215"/>
      <c r="AI158" s="182"/>
    </row>
    <row r="159" spans="1:35" ht="22.35" customHeight="1">
      <c r="A159" s="367">
        <v>62</v>
      </c>
      <c r="B159" s="3575" t="s">
        <v>214</v>
      </c>
      <c r="C159" s="3355" t="s">
        <v>212</v>
      </c>
      <c r="D159" s="3355"/>
      <c r="E159" s="3355" t="s">
        <v>213</v>
      </c>
      <c r="F159" s="3355" t="s">
        <v>213</v>
      </c>
      <c r="G159" s="3355" t="s">
        <v>213</v>
      </c>
      <c r="H159" s="3355" t="s">
        <v>213</v>
      </c>
      <c r="I159" s="3355" t="s">
        <v>36</v>
      </c>
      <c r="J159" s="3355"/>
      <c r="K159" s="3355"/>
      <c r="L159" s="3355" t="s">
        <v>211</v>
      </c>
      <c r="M159" s="3355" t="s">
        <v>211</v>
      </c>
      <c r="N159" s="3355" t="s">
        <v>211</v>
      </c>
      <c r="O159" s="3355" t="s">
        <v>211</v>
      </c>
      <c r="P159" s="3355" t="s">
        <v>211</v>
      </c>
      <c r="Q159" s="3355"/>
      <c r="R159" s="3355"/>
      <c r="S159" s="3355" t="s">
        <v>212</v>
      </c>
      <c r="T159" s="3355" t="s">
        <v>212</v>
      </c>
      <c r="U159" s="3355" t="s">
        <v>212</v>
      </c>
      <c r="V159" s="3355" t="s">
        <v>212</v>
      </c>
      <c r="W159" s="3355" t="s">
        <v>212</v>
      </c>
      <c r="X159" s="3355" t="s">
        <v>212</v>
      </c>
      <c r="Y159" s="349"/>
      <c r="Z159" s="3355" t="s">
        <v>213</v>
      </c>
      <c r="AA159" s="3355" t="s">
        <v>213</v>
      </c>
      <c r="AB159" s="3355" t="s">
        <v>213</v>
      </c>
      <c r="AC159" s="3355" t="s">
        <v>213</v>
      </c>
      <c r="AD159" s="3355" t="s">
        <v>36</v>
      </c>
      <c r="AE159" s="3428"/>
      <c r="AF159" s="3428"/>
      <c r="AG159" s="3416" t="s">
        <v>211</v>
      </c>
      <c r="AH159" s="215"/>
      <c r="AI159" s="182"/>
    </row>
    <row r="160" spans="1:35" ht="22.35" customHeight="1">
      <c r="A160" s="3513">
        <v>63</v>
      </c>
      <c r="B160" s="3575" t="s">
        <v>215</v>
      </c>
      <c r="C160" s="3355"/>
      <c r="D160" s="3355"/>
      <c r="E160" s="3355"/>
      <c r="F160" s="3355" t="s">
        <v>125</v>
      </c>
      <c r="G160" s="3355" t="s">
        <v>32</v>
      </c>
      <c r="H160" s="3355"/>
      <c r="I160" s="3355" t="s">
        <v>32</v>
      </c>
      <c r="J160" s="3355"/>
      <c r="K160" s="3355"/>
      <c r="L160" s="3355"/>
      <c r="M160" s="3355" t="s">
        <v>125</v>
      </c>
      <c r="N160" s="3355"/>
      <c r="O160" s="3355"/>
      <c r="P160" s="3355" t="s">
        <v>32</v>
      </c>
      <c r="Q160" s="3355" t="s">
        <v>212</v>
      </c>
      <c r="R160" s="3352"/>
      <c r="S160" s="3355"/>
      <c r="T160" s="3355" t="s">
        <v>125</v>
      </c>
      <c r="U160" s="3355" t="s">
        <v>32</v>
      </c>
      <c r="V160" s="3355"/>
      <c r="W160" s="3355" t="s">
        <v>32</v>
      </c>
      <c r="X160" s="3355"/>
      <c r="Y160" s="3355"/>
      <c r="Z160" s="3355"/>
      <c r="AA160" s="3355" t="s">
        <v>125</v>
      </c>
      <c r="AB160" s="3355" t="s">
        <v>32</v>
      </c>
      <c r="AC160" s="3355"/>
      <c r="AD160" s="3355" t="s">
        <v>32</v>
      </c>
      <c r="AE160" s="3355"/>
      <c r="AF160" s="3355"/>
      <c r="AG160" s="3416"/>
      <c r="AH160" s="215"/>
      <c r="AI160" s="182"/>
    </row>
    <row r="161" spans="1:35" ht="22.35" customHeight="1" thickBot="1">
      <c r="A161" s="3513">
        <v>64</v>
      </c>
      <c r="B161" s="3575" t="s">
        <v>216</v>
      </c>
      <c r="C161" s="3355"/>
      <c r="D161" s="3355"/>
      <c r="E161" s="3355" t="s">
        <v>125</v>
      </c>
      <c r="F161" s="3355"/>
      <c r="G161" s="3355"/>
      <c r="H161" s="3355" t="s">
        <v>32</v>
      </c>
      <c r="I161" s="3355"/>
      <c r="J161" s="3355"/>
      <c r="K161" s="3355"/>
      <c r="L161" s="3355" t="s">
        <v>125</v>
      </c>
      <c r="M161" s="3355"/>
      <c r="N161" s="3355"/>
      <c r="O161" s="3355" t="s">
        <v>32</v>
      </c>
      <c r="P161" s="3355"/>
      <c r="Q161" s="3355"/>
      <c r="R161" s="3355"/>
      <c r="S161" s="3355" t="s">
        <v>125</v>
      </c>
      <c r="T161" s="3355"/>
      <c r="U161" s="3355"/>
      <c r="V161" s="3355" t="s">
        <v>32</v>
      </c>
      <c r="W161" s="3355"/>
      <c r="X161" s="3355"/>
      <c r="Y161" s="3355"/>
      <c r="Z161" s="3355" t="s">
        <v>125</v>
      </c>
      <c r="AA161" s="3355"/>
      <c r="AB161" s="3355"/>
      <c r="AC161" s="3355" t="s">
        <v>32</v>
      </c>
      <c r="AD161" s="3355"/>
      <c r="AE161" s="3355"/>
      <c r="AF161" s="3355"/>
      <c r="AG161" s="3416" t="s">
        <v>125</v>
      </c>
      <c r="AH161" s="215"/>
      <c r="AI161" s="182"/>
    </row>
    <row r="162" spans="1:35" ht="22.35" customHeight="1">
      <c r="A162" s="3513">
        <v>65</v>
      </c>
      <c r="B162" s="3359" t="s">
        <v>217</v>
      </c>
      <c r="C162" s="3355"/>
      <c r="D162" s="3355"/>
      <c r="E162" s="3355" t="s">
        <v>32</v>
      </c>
      <c r="F162" s="3355" t="s">
        <v>32</v>
      </c>
      <c r="G162" s="3355" t="s">
        <v>32</v>
      </c>
      <c r="H162" s="3355" t="s">
        <v>32</v>
      </c>
      <c r="I162" s="3355" t="s">
        <v>32</v>
      </c>
      <c r="J162" s="3356"/>
      <c r="K162" s="3355"/>
      <c r="L162" s="3355" t="s">
        <v>32</v>
      </c>
      <c r="M162" s="3610" t="s">
        <v>32</v>
      </c>
      <c r="N162" s="3355" t="s">
        <v>32</v>
      </c>
      <c r="O162" s="3355" t="s">
        <v>32</v>
      </c>
      <c r="P162" s="3355" t="s">
        <v>32</v>
      </c>
      <c r="Q162" s="3355"/>
      <c r="R162" s="3355"/>
      <c r="S162" s="3355" t="s">
        <v>32</v>
      </c>
      <c r="T162" s="3355" t="s">
        <v>32</v>
      </c>
      <c r="U162" s="3355" t="s">
        <v>32</v>
      </c>
      <c r="V162" s="571" t="s">
        <v>32</v>
      </c>
      <c r="W162" s="3367" t="s">
        <v>32</v>
      </c>
      <c r="X162" s="3352"/>
      <c r="Y162" s="3355"/>
      <c r="Z162" s="3355" t="s">
        <v>32</v>
      </c>
      <c r="AA162" s="3355" t="s">
        <v>32</v>
      </c>
      <c r="AB162" s="3355" t="s">
        <v>32</v>
      </c>
      <c r="AC162" s="3355" t="s">
        <v>32</v>
      </c>
      <c r="AD162" s="3355" t="s">
        <v>32</v>
      </c>
      <c r="AE162" s="3355"/>
      <c r="AF162" s="3355"/>
      <c r="AG162" s="3416" t="s">
        <v>32</v>
      </c>
      <c r="AH162" s="201"/>
      <c r="AI162" s="107"/>
    </row>
    <row r="163" spans="1:35" ht="22.35" customHeight="1" thickBot="1">
      <c r="A163" s="3513"/>
      <c r="B163" s="3418"/>
      <c r="C163" s="3342"/>
      <c r="D163" s="3342"/>
      <c r="E163" s="3342"/>
      <c r="F163" s="3342"/>
      <c r="G163" s="3342"/>
      <c r="H163" s="3342"/>
      <c r="I163" s="3342"/>
      <c r="J163" s="3342"/>
      <c r="K163" s="3342"/>
      <c r="L163" s="3342"/>
      <c r="M163" s="3342"/>
      <c r="N163" s="3342"/>
      <c r="O163" s="3342"/>
      <c r="P163" s="3342"/>
      <c r="Q163" s="3342"/>
      <c r="R163" s="3342"/>
      <c r="S163" s="3342"/>
      <c r="T163" s="3342"/>
      <c r="U163" s="3342"/>
      <c r="V163" s="3342"/>
      <c r="W163" s="3342"/>
      <c r="X163" s="3342"/>
      <c r="Y163" s="3342"/>
      <c r="Z163" s="3342"/>
      <c r="AA163" s="3342"/>
      <c r="AB163" s="3342"/>
      <c r="AC163" s="3342"/>
      <c r="AD163" s="3342"/>
      <c r="AE163" s="3342"/>
      <c r="AF163" s="3342"/>
      <c r="AG163" s="3432"/>
      <c r="AH163" s="107"/>
      <c r="AI163" s="107"/>
    </row>
    <row r="164" spans="1:35" ht="22.35" customHeight="1">
      <c r="A164" s="3513"/>
      <c r="B164" s="210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107"/>
      <c r="AI164" s="107"/>
    </row>
    <row r="165" spans="1:35" ht="22.35" customHeight="1" thickBot="1">
      <c r="A165" s="3518"/>
      <c r="B165" s="210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107"/>
      <c r="AI165" s="107"/>
    </row>
    <row r="166" spans="1:35" ht="22.35" customHeight="1" thickBot="1">
      <c r="A166" s="212"/>
      <c r="B166" s="72"/>
      <c r="C166" s="106" t="s">
        <v>219</v>
      </c>
      <c r="D166" s="72"/>
      <c r="E166" s="72"/>
      <c r="F166" s="106" t="s">
        <v>219</v>
      </c>
      <c r="G166" s="72"/>
      <c r="H166" s="72"/>
      <c r="I166" s="106" t="s">
        <v>219</v>
      </c>
      <c r="J166" s="106"/>
      <c r="K166" s="72"/>
      <c r="L166" s="106" t="s">
        <v>219</v>
      </c>
      <c r="M166" s="72"/>
      <c r="N166" s="72"/>
      <c r="O166" s="106" t="s">
        <v>219</v>
      </c>
      <c r="P166" s="72"/>
      <c r="Q166" s="106"/>
      <c r="R166" s="106" t="s">
        <v>219</v>
      </c>
      <c r="S166" s="72"/>
      <c r="T166" s="72"/>
      <c r="U166" s="106" t="s">
        <v>219</v>
      </c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>
      <c r="A167" s="212"/>
      <c r="B167" s="239" t="s">
        <v>220</v>
      </c>
      <c r="C167" s="240"/>
      <c r="D167" s="241" t="s">
        <v>94</v>
      </c>
      <c r="E167" s="242"/>
      <c r="F167" s="243"/>
      <c r="G167" s="244"/>
      <c r="H167" s="241" t="s">
        <v>95</v>
      </c>
      <c r="I167" s="242"/>
      <c r="J167" s="243"/>
      <c r="K167" s="244"/>
      <c r="L167" s="241" t="s">
        <v>96</v>
      </c>
      <c r="M167" s="242"/>
      <c r="N167" s="243"/>
      <c r="O167" s="244"/>
      <c r="P167" s="241" t="s">
        <v>97</v>
      </c>
      <c r="Q167" s="242"/>
      <c r="R167" s="243"/>
      <c r="S167" s="244"/>
      <c r="T167" s="241" t="s">
        <v>98</v>
      </c>
      <c r="U167" s="242"/>
      <c r="V167" s="243"/>
      <c r="W167" s="244"/>
      <c r="X167" s="241" t="s">
        <v>99</v>
      </c>
      <c r="Y167" s="242"/>
      <c r="Z167" s="243"/>
      <c r="AA167" s="244"/>
      <c r="AB167" s="241" t="s">
        <v>100</v>
      </c>
      <c r="AC167" s="242"/>
      <c r="AD167" s="242"/>
      <c r="AE167" s="245" t="s">
        <v>101</v>
      </c>
      <c r="AF167" s="242"/>
      <c r="AG167" s="242"/>
      <c r="AH167" s="242"/>
      <c r="AI167" s="246"/>
    </row>
    <row r="168" spans="1:35" ht="22.35" customHeight="1">
      <c r="A168" s="150" t="s">
        <v>218</v>
      </c>
      <c r="B168" s="3196" t="s">
        <v>221</v>
      </c>
      <c r="C168" s="3197" t="s">
        <v>113</v>
      </c>
      <c r="D168" s="3578" t="s">
        <v>222</v>
      </c>
      <c r="E168" s="3579"/>
      <c r="F168" s="3580"/>
      <c r="G168" s="3201"/>
      <c r="H168" s="3578" t="s">
        <v>222</v>
      </c>
      <c r="I168" s="3579"/>
      <c r="J168" s="3580"/>
      <c r="K168" s="3201"/>
      <c r="L168" s="3578" t="s">
        <v>222</v>
      </c>
      <c r="M168" s="3579"/>
      <c r="N168" s="3580"/>
      <c r="O168" s="3201"/>
      <c r="P168" s="3578" t="s">
        <v>223</v>
      </c>
      <c r="Q168" s="3579"/>
      <c r="R168" s="3580"/>
      <c r="S168" s="3201"/>
      <c r="T168" s="3578" t="s">
        <v>224</v>
      </c>
      <c r="U168" s="3580"/>
      <c r="V168" s="3580"/>
      <c r="W168" s="3202"/>
      <c r="X168" s="3581"/>
      <c r="Y168" s="3581"/>
      <c r="Z168" s="3582"/>
      <c r="AA168" s="3202"/>
      <c r="AB168" s="3581"/>
      <c r="AC168" s="3581"/>
      <c r="AD168" s="3581"/>
      <c r="AE168" s="3202"/>
      <c r="AF168" s="3581"/>
      <c r="AG168" s="3581"/>
      <c r="AH168" s="3583"/>
      <c r="AI168" s="3206"/>
    </row>
    <row r="169" spans="1:35" ht="22.35" customHeight="1">
      <c r="A169" s="109"/>
      <c r="B169" s="3196" t="s">
        <v>221</v>
      </c>
      <c r="C169" s="3197" t="s">
        <v>118</v>
      </c>
      <c r="D169" s="3578" t="s">
        <v>222</v>
      </c>
      <c r="E169" s="3579"/>
      <c r="F169" s="3580"/>
      <c r="G169" s="3201"/>
      <c r="H169" s="3578" t="s">
        <v>222</v>
      </c>
      <c r="I169" s="3579"/>
      <c r="J169" s="3580"/>
      <c r="K169" s="3201"/>
      <c r="L169" s="3578" t="s">
        <v>222</v>
      </c>
      <c r="M169" s="3579"/>
      <c r="N169" s="3580"/>
      <c r="O169" s="3201"/>
      <c r="P169" s="3578" t="s">
        <v>223</v>
      </c>
      <c r="Q169" s="3579"/>
      <c r="R169" s="3580"/>
      <c r="S169" s="3201"/>
      <c r="T169" s="3578" t="s">
        <v>224</v>
      </c>
      <c r="U169" s="3580"/>
      <c r="V169" s="3580"/>
      <c r="W169" s="3202"/>
      <c r="X169" s="3581"/>
      <c r="Y169" s="3581"/>
      <c r="Z169" s="3582"/>
      <c r="AA169" s="3202"/>
      <c r="AB169" s="3581"/>
      <c r="AC169" s="3581"/>
      <c r="AD169" s="3581"/>
      <c r="AE169" s="3202"/>
      <c r="AF169" s="3581"/>
      <c r="AG169" s="3581"/>
      <c r="AH169" s="3583"/>
      <c r="AI169" s="3206"/>
    </row>
    <row r="170" spans="1:35" ht="22.35" customHeight="1">
      <c r="A170" s="109"/>
      <c r="B170" s="3196" t="s">
        <v>225</v>
      </c>
      <c r="C170" s="3197" t="s">
        <v>126</v>
      </c>
      <c r="D170" s="3578" t="s">
        <v>222</v>
      </c>
      <c r="E170" s="3579"/>
      <c r="F170" s="3580"/>
      <c r="G170" s="3201"/>
      <c r="H170" s="3578" t="s">
        <v>222</v>
      </c>
      <c r="I170" s="3579"/>
      <c r="J170" s="3580"/>
      <c r="K170" s="3201"/>
      <c r="L170" s="3578" t="s">
        <v>222</v>
      </c>
      <c r="M170" s="3579"/>
      <c r="N170" s="3580"/>
      <c r="O170" s="3201"/>
      <c r="P170" s="3578" t="s">
        <v>223</v>
      </c>
      <c r="Q170" s="3579"/>
      <c r="R170" s="3580"/>
      <c r="S170" s="3201"/>
      <c r="T170" s="3578" t="s">
        <v>224</v>
      </c>
      <c r="U170" s="3580"/>
      <c r="V170" s="3580"/>
      <c r="W170" s="3202"/>
      <c r="X170" s="3581"/>
      <c r="Y170" s="3581"/>
      <c r="Z170" s="3582"/>
      <c r="AA170" s="3202"/>
      <c r="AB170" s="3581"/>
      <c r="AC170" s="3581"/>
      <c r="AD170" s="3581"/>
      <c r="AE170" s="3202"/>
      <c r="AF170" s="3581"/>
      <c r="AG170" s="3581"/>
      <c r="AH170" s="3583"/>
      <c r="AI170" s="3206"/>
    </row>
    <row r="171" spans="1:35" ht="22.35" customHeight="1">
      <c r="A171" s="109"/>
      <c r="B171" s="3196" t="s">
        <v>226</v>
      </c>
      <c r="C171" s="3197" t="s">
        <v>50</v>
      </c>
      <c r="D171" s="3578" t="s">
        <v>222</v>
      </c>
      <c r="E171" s="3579"/>
      <c r="F171" s="3580"/>
      <c r="G171" s="3201"/>
      <c r="H171" s="3578" t="s">
        <v>222</v>
      </c>
      <c r="I171" s="3579"/>
      <c r="J171" s="3580"/>
      <c r="K171" s="3201"/>
      <c r="L171" s="3578" t="s">
        <v>222</v>
      </c>
      <c r="M171" s="3579"/>
      <c r="N171" s="3580"/>
      <c r="O171" s="3201"/>
      <c r="P171" s="3578" t="s">
        <v>223</v>
      </c>
      <c r="Q171" s="3579"/>
      <c r="R171" s="3580"/>
      <c r="S171" s="3201"/>
      <c r="T171" s="3578" t="s">
        <v>224</v>
      </c>
      <c r="U171" s="3580"/>
      <c r="V171" s="3580"/>
      <c r="W171" s="3202"/>
      <c r="X171" s="3581"/>
      <c r="Y171" s="3581"/>
      <c r="Z171" s="3582"/>
      <c r="AA171" s="3202"/>
      <c r="AB171" s="3581"/>
      <c r="AC171" s="3581"/>
      <c r="AD171" s="3581"/>
      <c r="AE171" s="3202"/>
      <c r="AF171" s="3581"/>
      <c r="AG171" s="3581"/>
      <c r="AH171" s="3583"/>
      <c r="AI171" s="3206"/>
    </row>
    <row r="172" spans="1:35" ht="22.35" customHeight="1">
      <c r="A172" s="109"/>
      <c r="B172" s="3196" t="s">
        <v>231</v>
      </c>
      <c r="C172" s="3197" t="s">
        <v>115</v>
      </c>
      <c r="D172" s="3578" t="s">
        <v>232</v>
      </c>
      <c r="E172" s="3579"/>
      <c r="F172" s="3580"/>
      <c r="G172" s="3201"/>
      <c r="H172" s="3578" t="s">
        <v>232</v>
      </c>
      <c r="I172" s="3579"/>
      <c r="J172" s="3580"/>
      <c r="K172" s="3201"/>
      <c r="L172" s="3578" t="s">
        <v>233</v>
      </c>
      <c r="M172" s="3579"/>
      <c r="N172" s="3580"/>
      <c r="O172" s="3201"/>
      <c r="P172" s="3578" t="s">
        <v>234</v>
      </c>
      <c r="Q172" s="3579"/>
      <c r="R172" s="3580"/>
      <c r="S172" s="3201"/>
      <c r="T172" s="3578" t="s">
        <v>235</v>
      </c>
      <c r="U172" s="3580"/>
      <c r="V172" s="3580"/>
      <c r="W172" s="3202"/>
      <c r="X172" s="3581"/>
      <c r="Y172" s="3581"/>
      <c r="Z172" s="3582"/>
      <c r="AA172" s="3202"/>
      <c r="AB172" s="3581"/>
      <c r="AC172" s="3581"/>
      <c r="AD172" s="3581"/>
      <c r="AE172" s="3202"/>
      <c r="AF172" s="3581"/>
      <c r="AG172" s="3581"/>
      <c r="AH172" s="3583"/>
      <c r="AI172" s="3206"/>
    </row>
    <row r="173" spans="1:35" ht="22.35" customHeight="1">
      <c r="A173" s="109"/>
      <c r="B173" s="3196" t="s">
        <v>236</v>
      </c>
      <c r="C173" s="3197" t="s">
        <v>132</v>
      </c>
      <c r="D173" s="3578" t="s">
        <v>222</v>
      </c>
      <c r="E173" s="3579"/>
      <c r="F173" s="3580"/>
      <c r="G173" s="3201"/>
      <c r="H173" s="3578" t="s">
        <v>222</v>
      </c>
      <c r="I173" s="3579"/>
      <c r="J173" s="3580"/>
      <c r="K173" s="3201"/>
      <c r="L173" s="3578" t="s">
        <v>222</v>
      </c>
      <c r="M173" s="3579"/>
      <c r="N173" s="3580"/>
      <c r="O173" s="3201"/>
      <c r="P173" s="3578" t="s">
        <v>222</v>
      </c>
      <c r="Q173" s="3579"/>
      <c r="R173" s="3580"/>
      <c r="S173" s="3201"/>
      <c r="T173" s="3578" t="s">
        <v>232</v>
      </c>
      <c r="U173" s="3580"/>
      <c r="V173" s="3580"/>
      <c r="W173" s="3202"/>
      <c r="X173" s="3581"/>
      <c r="Y173" s="3581"/>
      <c r="Z173" s="3582"/>
      <c r="AA173" s="3202"/>
      <c r="AB173" s="3581"/>
      <c r="AC173" s="3581"/>
      <c r="AD173" s="3581"/>
      <c r="AE173" s="3202"/>
      <c r="AF173" s="3581"/>
      <c r="AG173" s="3581"/>
      <c r="AH173" s="3583"/>
      <c r="AI173" s="3206"/>
    </row>
    <row r="174" spans="1:35" ht="22.35" customHeight="1">
      <c r="A174" s="109"/>
      <c r="B174" s="3196" t="s">
        <v>237</v>
      </c>
      <c r="C174" s="3197" t="s">
        <v>135</v>
      </c>
      <c r="D174" s="3578" t="s">
        <v>222</v>
      </c>
      <c r="E174" s="3579"/>
      <c r="F174" s="3580"/>
      <c r="G174" s="3201"/>
      <c r="H174" s="3578" t="s">
        <v>222</v>
      </c>
      <c r="I174" s="3579"/>
      <c r="J174" s="3580"/>
      <c r="K174" s="3201"/>
      <c r="L174" s="3578" t="s">
        <v>222</v>
      </c>
      <c r="M174" s="3579"/>
      <c r="N174" s="3580"/>
      <c r="O174" s="3201"/>
      <c r="P174" s="3578" t="s">
        <v>223</v>
      </c>
      <c r="Q174" s="3579"/>
      <c r="R174" s="3580"/>
      <c r="S174" s="3201"/>
      <c r="T174" s="3578" t="s">
        <v>224</v>
      </c>
      <c r="U174" s="3580"/>
      <c r="V174" s="3580"/>
      <c r="W174" s="3202"/>
      <c r="X174" s="3581"/>
      <c r="Y174" s="3581"/>
      <c r="Z174" s="3582"/>
      <c r="AA174" s="3202"/>
      <c r="AB174" s="3581"/>
      <c r="AC174" s="3581"/>
      <c r="AD174" s="3581"/>
      <c r="AE174" s="3202"/>
      <c r="AF174" s="3581"/>
      <c r="AG174" s="3581"/>
      <c r="AH174" s="3583"/>
      <c r="AI174" s="3206"/>
    </row>
    <row r="175" spans="1:35" ht="22.35" customHeight="1">
      <c r="A175" s="109"/>
      <c r="B175" s="3196" t="s">
        <v>237</v>
      </c>
      <c r="C175" s="3197" t="s">
        <v>52</v>
      </c>
      <c r="D175" s="3578" t="s">
        <v>222</v>
      </c>
      <c r="E175" s="3579"/>
      <c r="F175" s="3580"/>
      <c r="G175" s="3201"/>
      <c r="H175" s="3578" t="s">
        <v>222</v>
      </c>
      <c r="I175" s="3579"/>
      <c r="J175" s="3580"/>
      <c r="K175" s="3201"/>
      <c r="L175" s="3578" t="s">
        <v>222</v>
      </c>
      <c r="M175" s="3579"/>
      <c r="N175" s="3580"/>
      <c r="O175" s="3201"/>
      <c r="P175" s="3578" t="s">
        <v>223</v>
      </c>
      <c r="Q175" s="3579"/>
      <c r="R175" s="3580"/>
      <c r="S175" s="3201"/>
      <c r="T175" s="3578" t="s">
        <v>224</v>
      </c>
      <c r="U175" s="3580"/>
      <c r="V175" s="3580"/>
      <c r="W175" s="3202"/>
      <c r="X175" s="3581"/>
      <c r="Y175" s="3581"/>
      <c r="Z175" s="3582"/>
      <c r="AA175" s="3202"/>
      <c r="AB175" s="3581"/>
      <c r="AC175" s="3581"/>
      <c r="AD175" s="3581"/>
      <c r="AE175" s="3202"/>
      <c r="AF175" s="3581"/>
      <c r="AG175" s="3581"/>
      <c r="AH175" s="3583"/>
      <c r="AI175" s="3206"/>
    </row>
    <row r="176" spans="1:35" ht="22.35" customHeight="1">
      <c r="A176" s="109"/>
      <c r="B176" s="3196" t="s">
        <v>238</v>
      </c>
      <c r="C176" s="3197" t="s">
        <v>141</v>
      </c>
      <c r="D176" s="3578" t="s">
        <v>222</v>
      </c>
      <c r="E176" s="3579"/>
      <c r="F176" s="3580"/>
      <c r="G176" s="3201"/>
      <c r="H176" s="3578" t="s">
        <v>222</v>
      </c>
      <c r="I176" s="3579"/>
      <c r="J176" s="3580"/>
      <c r="K176" s="3201"/>
      <c r="L176" s="3578" t="s">
        <v>222</v>
      </c>
      <c r="M176" s="3579"/>
      <c r="N176" s="3580"/>
      <c r="O176" s="3201"/>
      <c r="P176" s="3578" t="s">
        <v>239</v>
      </c>
      <c r="Q176" s="3579"/>
      <c r="R176" s="3580"/>
      <c r="S176" s="3201"/>
      <c r="T176" s="3578" t="s">
        <v>235</v>
      </c>
      <c r="U176" s="3580"/>
      <c r="V176" s="3580"/>
      <c r="W176" s="3202"/>
      <c r="X176" s="3581"/>
      <c r="Y176" s="3581"/>
      <c r="Z176" s="3582"/>
      <c r="AA176" s="3202"/>
      <c r="AB176" s="3581"/>
      <c r="AC176" s="3581"/>
      <c r="AD176" s="3581"/>
      <c r="AE176" s="3202"/>
      <c r="AF176" s="3581"/>
      <c r="AG176" s="3581"/>
      <c r="AH176" s="3583"/>
      <c r="AI176" s="3206"/>
    </row>
    <row r="177" spans="1:36" ht="22.35" customHeight="1">
      <c r="A177" s="109"/>
      <c r="B177" s="3584" t="s">
        <v>240</v>
      </c>
      <c r="C177" s="3208" t="s">
        <v>124</v>
      </c>
      <c r="D177" s="3209" t="s">
        <v>222</v>
      </c>
      <c r="E177" s="3210"/>
      <c r="F177" s="3211"/>
      <c r="G177" s="3212"/>
      <c r="H177" s="3209" t="s">
        <v>222</v>
      </c>
      <c r="I177" s="3210"/>
      <c r="J177" s="3211"/>
      <c r="K177" s="3212"/>
      <c r="L177" s="3209" t="s">
        <v>222</v>
      </c>
      <c r="M177" s="3210"/>
      <c r="N177" s="3211"/>
      <c r="O177" s="3212"/>
      <c r="P177" s="3209" t="s">
        <v>223</v>
      </c>
      <c r="Q177" s="3210"/>
      <c r="R177" s="3211"/>
      <c r="S177" s="3212"/>
      <c r="T177" s="3209" t="s">
        <v>224</v>
      </c>
      <c r="U177" s="3211"/>
      <c r="V177" s="3213"/>
      <c r="W177" s="3585"/>
      <c r="X177" s="3215"/>
      <c r="Y177" s="3215"/>
      <c r="Z177" s="3213"/>
      <c r="AA177" s="3585"/>
      <c r="AB177" s="3215"/>
      <c r="AC177" s="3215"/>
      <c r="AD177" s="3215"/>
      <c r="AE177" s="3585"/>
      <c r="AF177" s="3215"/>
      <c r="AG177" s="3215"/>
      <c r="AH177" s="3216"/>
      <c r="AI177" s="3217"/>
      <c r="AJ177" s="200"/>
    </row>
    <row r="178" spans="1:36" ht="22.35" customHeight="1">
      <c r="A178" s="109"/>
      <c r="B178" s="3196" t="s">
        <v>241</v>
      </c>
      <c r="C178" s="3197" t="s">
        <v>242</v>
      </c>
      <c r="D178" s="3578" t="s">
        <v>222</v>
      </c>
      <c r="E178" s="3579"/>
      <c r="F178" s="3580"/>
      <c r="G178" s="3201"/>
      <c r="H178" s="3578" t="s">
        <v>222</v>
      </c>
      <c r="I178" s="3579"/>
      <c r="J178" s="3580"/>
      <c r="K178" s="3201"/>
      <c r="L178" s="3578" t="s">
        <v>222</v>
      </c>
      <c r="M178" s="3579"/>
      <c r="N178" s="3580"/>
      <c r="O178" s="3201"/>
      <c r="P178" s="3578" t="s">
        <v>223</v>
      </c>
      <c r="Q178" s="3579"/>
      <c r="R178" s="3580"/>
      <c r="S178" s="3201"/>
      <c r="T178" s="3578" t="s">
        <v>224</v>
      </c>
      <c r="U178" s="3580"/>
      <c r="V178" s="3579"/>
      <c r="W178" s="3202"/>
      <c r="X178" s="3581"/>
      <c r="Y178" s="3581"/>
      <c r="Z178" s="3581"/>
      <c r="AA178" s="3202"/>
      <c r="AB178" s="3581"/>
      <c r="AC178" s="3581"/>
      <c r="AD178" s="3581"/>
      <c r="AE178" s="3202"/>
      <c r="AF178" s="3581"/>
      <c r="AG178" s="3581"/>
      <c r="AH178" s="3583"/>
      <c r="AI178" s="3206"/>
      <c r="AJ178" s="200"/>
    </row>
    <row r="179" spans="1:36" ht="22.35" customHeight="1">
      <c r="A179" s="109"/>
      <c r="B179" s="3196" t="s">
        <v>243</v>
      </c>
      <c r="C179" s="3197" t="s">
        <v>122</v>
      </c>
      <c r="D179" s="3578" t="s">
        <v>244</v>
      </c>
      <c r="E179" s="3579"/>
      <c r="F179" s="3580"/>
      <c r="G179" s="3201"/>
      <c r="H179" s="3578" t="s">
        <v>244</v>
      </c>
      <c r="I179" s="3579"/>
      <c r="J179" s="3580"/>
      <c r="K179" s="3201"/>
      <c r="L179" s="3578" t="s">
        <v>244</v>
      </c>
      <c r="M179" s="3579"/>
      <c r="N179" s="3579"/>
      <c r="O179" s="3201"/>
      <c r="P179" s="3578" t="s">
        <v>244</v>
      </c>
      <c r="Q179" s="3579"/>
      <c r="R179" s="3579"/>
      <c r="S179" s="3201"/>
      <c r="T179" s="3578" t="s">
        <v>235</v>
      </c>
      <c r="U179" s="3580"/>
      <c r="V179" s="3579"/>
      <c r="W179" s="3218"/>
      <c r="X179" s="3581"/>
      <c r="Y179" s="3581"/>
      <c r="Z179" s="3581"/>
      <c r="AA179" s="3202"/>
      <c r="AB179" s="3581"/>
      <c r="AC179" s="3581"/>
      <c r="AD179" s="3581"/>
      <c r="AE179" s="3202"/>
      <c r="AF179" s="3581"/>
      <c r="AG179" s="3581"/>
      <c r="AH179" s="3583"/>
      <c r="AI179" s="3206"/>
      <c r="AJ179" s="200"/>
    </row>
    <row r="180" spans="1:36" ht="22.35" customHeight="1">
      <c r="A180" s="109"/>
      <c r="B180" s="3196" t="s">
        <v>245</v>
      </c>
      <c r="C180" s="3197" t="s">
        <v>246</v>
      </c>
      <c r="D180" s="3578" t="s">
        <v>244</v>
      </c>
      <c r="E180" s="3579"/>
      <c r="F180" s="3580"/>
      <c r="G180" s="3201"/>
      <c r="H180" s="3578" t="s">
        <v>244</v>
      </c>
      <c r="I180" s="3579"/>
      <c r="J180" s="3580"/>
      <c r="K180" s="3201"/>
      <c r="L180" s="3578" t="s">
        <v>244</v>
      </c>
      <c r="M180" s="3579"/>
      <c r="N180" s="3579"/>
      <c r="O180" s="3201"/>
      <c r="P180" s="3578" t="s">
        <v>244</v>
      </c>
      <c r="Q180" s="3579"/>
      <c r="R180" s="3579"/>
      <c r="S180" s="3201"/>
      <c r="T180" s="3578" t="s">
        <v>235</v>
      </c>
      <c r="U180" s="3580"/>
      <c r="V180" s="3579"/>
      <c r="W180" s="3218"/>
      <c r="X180" s="3581"/>
      <c r="Y180" s="3581"/>
      <c r="Z180" s="3582"/>
      <c r="AA180" s="3219"/>
      <c r="AB180" s="3581"/>
      <c r="AC180" s="3581"/>
      <c r="AD180" s="3581"/>
      <c r="AE180" s="3202"/>
      <c r="AF180" s="3581"/>
      <c r="AG180" s="3581"/>
      <c r="AH180" s="3583"/>
      <c r="AI180" s="3206"/>
      <c r="AJ180" s="200"/>
    </row>
    <row r="181" spans="1:36" ht="22.35" customHeight="1" thickBot="1">
      <c r="A181" s="109"/>
      <c r="B181" s="1100" t="s">
        <v>247</v>
      </c>
      <c r="C181" s="1101" t="s">
        <v>127</v>
      </c>
      <c r="D181" s="3220" t="s">
        <v>244</v>
      </c>
      <c r="E181" s="3221"/>
      <c r="F181" s="1104"/>
      <c r="G181" s="1105"/>
      <c r="H181" s="3220" t="s">
        <v>244</v>
      </c>
      <c r="I181" s="3221"/>
      <c r="J181" s="1104"/>
      <c r="K181" s="1105"/>
      <c r="L181" s="3220" t="s">
        <v>244</v>
      </c>
      <c r="M181" s="3221"/>
      <c r="N181" s="3221"/>
      <c r="O181" s="1105"/>
      <c r="P181" s="3220" t="s">
        <v>244</v>
      </c>
      <c r="Q181" s="3221"/>
      <c r="R181" s="3221"/>
      <c r="S181" s="1105"/>
      <c r="T181" s="3220" t="s">
        <v>235</v>
      </c>
      <c r="U181" s="1104"/>
      <c r="V181" s="3221"/>
      <c r="W181" s="1106"/>
      <c r="X181" s="3222"/>
      <c r="Y181" s="3222"/>
      <c r="Z181" s="1108"/>
      <c r="AA181" s="3223"/>
      <c r="AB181" s="3222"/>
      <c r="AC181" s="3222"/>
      <c r="AD181" s="3222"/>
      <c r="AE181" s="1110"/>
      <c r="AF181" s="3222"/>
      <c r="AG181" s="3222"/>
      <c r="AH181" s="3224"/>
      <c r="AI181" s="1112"/>
      <c r="AJ181" s="200"/>
    </row>
    <row r="182" spans="1:36" ht="22.35" customHeight="1">
      <c r="A182" s="109"/>
      <c r="B182" s="218"/>
      <c r="C182" s="219"/>
      <c r="D182" s="220"/>
      <c r="E182" s="221"/>
      <c r="F182" s="221"/>
      <c r="G182" s="222"/>
      <c r="H182" s="220"/>
      <c r="I182" s="221"/>
      <c r="J182" s="221"/>
      <c r="K182" s="222"/>
      <c r="L182" s="220"/>
      <c r="M182" s="221"/>
      <c r="N182" s="221"/>
      <c r="O182" s="222"/>
      <c r="P182" s="210"/>
      <c r="Q182" s="221"/>
      <c r="R182" s="221"/>
      <c r="S182" s="222"/>
      <c r="T182" s="210"/>
      <c r="U182" s="221"/>
      <c r="V182" s="221"/>
      <c r="W182" s="221"/>
      <c r="X182" s="221"/>
      <c r="Y182" s="221"/>
      <c r="Z182" s="221"/>
      <c r="AA182" s="222"/>
      <c r="AB182" s="221"/>
      <c r="AC182" s="221"/>
      <c r="AD182" s="221"/>
      <c r="AE182" s="222"/>
      <c r="AF182" s="221"/>
      <c r="AG182" s="221"/>
      <c r="AH182" s="201"/>
      <c r="AI182" s="201"/>
      <c r="AJ182" s="200"/>
    </row>
    <row r="183" spans="1:36" ht="22.35" customHeight="1" thickBot="1">
      <c r="A183" s="109"/>
      <c r="B183" s="3225" t="s">
        <v>29</v>
      </c>
      <c r="C183" s="3343">
        <v>1</v>
      </c>
      <c r="D183" s="3343">
        <v>2</v>
      </c>
      <c r="E183" s="3342">
        <v>3</v>
      </c>
      <c r="F183" s="3342">
        <v>4</v>
      </c>
      <c r="G183" s="3342">
        <v>5</v>
      </c>
      <c r="H183" s="3342">
        <v>6</v>
      </c>
      <c r="I183" s="3342">
        <v>7</v>
      </c>
      <c r="J183" s="3343">
        <v>8</v>
      </c>
      <c r="K183" s="3343">
        <v>9</v>
      </c>
      <c r="L183" s="3342">
        <v>10</v>
      </c>
      <c r="M183" s="3342">
        <v>11</v>
      </c>
      <c r="N183" s="3342">
        <v>12</v>
      </c>
      <c r="O183" s="3342">
        <v>13</v>
      </c>
      <c r="P183" s="3342">
        <v>14</v>
      </c>
      <c r="Q183" s="3343">
        <v>15</v>
      </c>
      <c r="R183" s="3343">
        <v>16</v>
      </c>
      <c r="S183" s="3342">
        <v>17</v>
      </c>
      <c r="T183" s="3342">
        <v>18</v>
      </c>
      <c r="U183" s="3342">
        <v>19</v>
      </c>
      <c r="V183" s="3342">
        <v>20</v>
      </c>
      <c r="W183" s="3342">
        <v>21</v>
      </c>
      <c r="X183" s="3343">
        <v>22</v>
      </c>
      <c r="Y183" s="3343">
        <v>23</v>
      </c>
      <c r="Z183" s="3342">
        <v>24</v>
      </c>
      <c r="AA183" s="3342">
        <v>25</v>
      </c>
      <c r="AB183" s="3342">
        <v>26</v>
      </c>
      <c r="AC183" s="3342">
        <v>27</v>
      </c>
      <c r="AD183" s="3342">
        <v>28</v>
      </c>
      <c r="AE183" s="3343">
        <v>29</v>
      </c>
      <c r="AF183" s="3343">
        <v>30</v>
      </c>
      <c r="AG183" s="3432">
        <v>31</v>
      </c>
      <c r="AH183" s="183"/>
      <c r="AI183" s="177"/>
    </row>
    <row r="184" spans="1:36" ht="22.35" customHeight="1">
      <c r="A184" s="109">
        <v>66</v>
      </c>
      <c r="B184" s="318" t="s">
        <v>248</v>
      </c>
      <c r="C184" s="514"/>
      <c r="D184" s="514"/>
      <c r="E184" s="514" t="s">
        <v>113</v>
      </c>
      <c r="F184" s="514" t="s">
        <v>113</v>
      </c>
      <c r="G184" s="514" t="s">
        <v>113</v>
      </c>
      <c r="H184" s="514" t="s">
        <v>113</v>
      </c>
      <c r="I184" s="514" t="s">
        <v>113</v>
      </c>
      <c r="J184" s="514"/>
      <c r="K184" s="514"/>
      <c r="L184" s="514" t="s">
        <v>113</v>
      </c>
      <c r="M184" s="514" t="s">
        <v>113</v>
      </c>
      <c r="N184" s="514" t="s">
        <v>113</v>
      </c>
      <c r="O184" s="514" t="s">
        <v>113</v>
      </c>
      <c r="P184" s="514" t="s">
        <v>113</v>
      </c>
      <c r="Q184" s="514"/>
      <c r="R184" s="514"/>
      <c r="S184" s="514" t="s">
        <v>113</v>
      </c>
      <c r="T184" s="514" t="s">
        <v>113</v>
      </c>
      <c r="U184" s="514" t="s">
        <v>113</v>
      </c>
      <c r="V184" s="514" t="s">
        <v>113</v>
      </c>
      <c r="W184" s="514" t="s">
        <v>113</v>
      </c>
      <c r="X184" s="514"/>
      <c r="Y184" s="514"/>
      <c r="Z184" s="514" t="s">
        <v>113</v>
      </c>
      <c r="AA184" s="514" t="s">
        <v>113</v>
      </c>
      <c r="AB184" s="514" t="s">
        <v>113</v>
      </c>
      <c r="AC184" s="561" t="s">
        <v>113</v>
      </c>
      <c r="AD184" s="561" t="s">
        <v>113</v>
      </c>
      <c r="AE184" s="561"/>
      <c r="AF184" s="561"/>
      <c r="AG184" s="562" t="s">
        <v>113</v>
      </c>
      <c r="AH184" s="182"/>
      <c r="AI184" s="182"/>
    </row>
    <row r="185" spans="1:36" ht="22.35" customHeight="1">
      <c r="A185" s="148">
        <v>67</v>
      </c>
      <c r="B185" s="3226" t="s">
        <v>249</v>
      </c>
      <c r="C185" s="3392"/>
      <c r="D185" s="3392"/>
      <c r="E185" s="3671" t="s">
        <v>113</v>
      </c>
      <c r="F185" s="3671" t="s">
        <v>113</v>
      </c>
      <c r="G185" s="3671" t="s">
        <v>362</v>
      </c>
      <c r="H185" s="3392" t="s">
        <v>113</v>
      </c>
      <c r="I185" s="3392" t="s">
        <v>113</v>
      </c>
      <c r="J185" s="3392"/>
      <c r="K185" s="3392"/>
      <c r="L185" s="3392" t="s">
        <v>113</v>
      </c>
      <c r="M185" s="3392" t="s">
        <v>113</v>
      </c>
      <c r="N185" s="3392" t="s">
        <v>113</v>
      </c>
      <c r="O185" s="3392" t="s">
        <v>113</v>
      </c>
      <c r="P185" s="3392" t="s">
        <v>113</v>
      </c>
      <c r="Q185" s="3392"/>
      <c r="R185" s="3392"/>
      <c r="S185" s="3392" t="s">
        <v>113</v>
      </c>
      <c r="T185" s="3392" t="s">
        <v>113</v>
      </c>
      <c r="U185" s="3392" t="s">
        <v>113</v>
      </c>
      <c r="V185" s="3392" t="s">
        <v>113</v>
      </c>
      <c r="W185" s="3392" t="s">
        <v>113</v>
      </c>
      <c r="X185" s="3392"/>
      <c r="Y185" s="3392"/>
      <c r="Z185" s="3392" t="s">
        <v>113</v>
      </c>
      <c r="AA185" s="3619" t="s">
        <v>113</v>
      </c>
      <c r="AB185" s="3619" t="s">
        <v>113</v>
      </c>
      <c r="AC185" s="3619" t="s">
        <v>113</v>
      </c>
      <c r="AD185" s="3619" t="s">
        <v>113</v>
      </c>
      <c r="AE185" s="3619"/>
      <c r="AF185" s="3619"/>
      <c r="AG185" s="3672" t="s">
        <v>113</v>
      </c>
      <c r="AH185" s="182"/>
      <c r="AI185" s="182"/>
    </row>
    <row r="186" spans="1:36" ht="22.35" customHeight="1">
      <c r="A186" s="109">
        <v>68</v>
      </c>
      <c r="B186" s="3226" t="s">
        <v>250</v>
      </c>
      <c r="C186" s="3392"/>
      <c r="D186" s="3392"/>
      <c r="E186" s="3392" t="s">
        <v>118</v>
      </c>
      <c r="F186" s="3392" t="s">
        <v>118</v>
      </c>
      <c r="G186" s="3392" t="s">
        <v>118</v>
      </c>
      <c r="H186" s="3392" t="s">
        <v>118</v>
      </c>
      <c r="I186" s="3392" t="s">
        <v>118</v>
      </c>
      <c r="J186" s="3392"/>
      <c r="K186" s="3392"/>
      <c r="L186" s="3392" t="s">
        <v>118</v>
      </c>
      <c r="M186" s="3392" t="s">
        <v>118</v>
      </c>
      <c r="N186" s="3671" t="s">
        <v>118</v>
      </c>
      <c r="O186" s="3671" t="s">
        <v>118</v>
      </c>
      <c r="P186" s="3671" t="s">
        <v>129</v>
      </c>
      <c r="Q186" s="3392"/>
      <c r="R186" s="3392"/>
      <c r="S186" s="3671" t="s">
        <v>129</v>
      </c>
      <c r="T186" s="3392" t="s">
        <v>118</v>
      </c>
      <c r="U186" s="3392" t="s">
        <v>118</v>
      </c>
      <c r="V186" s="3392" t="s">
        <v>118</v>
      </c>
      <c r="W186" s="3392" t="s">
        <v>118</v>
      </c>
      <c r="X186" s="3392"/>
      <c r="Y186" s="3392"/>
      <c r="Z186" s="3392" t="s">
        <v>118</v>
      </c>
      <c r="AA186" s="3392" t="s">
        <v>118</v>
      </c>
      <c r="AB186" s="3392" t="s">
        <v>118</v>
      </c>
      <c r="AC186" s="3392" t="s">
        <v>118</v>
      </c>
      <c r="AD186" s="3392" t="s">
        <v>118</v>
      </c>
      <c r="AE186" s="3392"/>
      <c r="AF186" s="3392"/>
      <c r="AG186" s="3229" t="s">
        <v>118</v>
      </c>
      <c r="AH186" s="182"/>
      <c r="AI186" s="182"/>
    </row>
    <row r="187" spans="1:36" ht="22.35" customHeight="1">
      <c r="A187" s="109">
        <v>69</v>
      </c>
      <c r="B187" s="3226" t="s">
        <v>251</v>
      </c>
      <c r="C187" s="3392"/>
      <c r="D187" s="3392"/>
      <c r="E187" s="3392" t="s">
        <v>126</v>
      </c>
      <c r="F187" s="3392" t="s">
        <v>126</v>
      </c>
      <c r="G187" s="3392" t="s">
        <v>126</v>
      </c>
      <c r="H187" s="3392" t="s">
        <v>126</v>
      </c>
      <c r="I187" s="3392" t="s">
        <v>126</v>
      </c>
      <c r="J187" s="3392"/>
      <c r="K187" s="3392"/>
      <c r="L187" s="3392" t="s">
        <v>126</v>
      </c>
      <c r="M187" s="3392" t="s">
        <v>126</v>
      </c>
      <c r="N187" s="3392" t="s">
        <v>126</v>
      </c>
      <c r="O187" s="3392" t="s">
        <v>126</v>
      </c>
      <c r="P187" s="3392" t="s">
        <v>126</v>
      </c>
      <c r="Q187" s="3392"/>
      <c r="R187" s="3392"/>
      <c r="S187" s="3392" t="s">
        <v>126</v>
      </c>
      <c r="T187" s="3392" t="s">
        <v>126</v>
      </c>
      <c r="U187" s="3671" t="s">
        <v>126</v>
      </c>
      <c r="V187" s="3671" t="s">
        <v>126</v>
      </c>
      <c r="W187" s="3671" t="s">
        <v>126</v>
      </c>
      <c r="X187" s="3671"/>
      <c r="Y187" s="3671"/>
      <c r="Z187" s="3671" t="s">
        <v>126</v>
      </c>
      <c r="AA187" s="3671" t="s">
        <v>126</v>
      </c>
      <c r="AB187" s="3671" t="s">
        <v>126</v>
      </c>
      <c r="AC187" s="3671" t="s">
        <v>126</v>
      </c>
      <c r="AD187" s="3671" t="s">
        <v>126</v>
      </c>
      <c r="AE187" s="3671"/>
      <c r="AF187" s="3671"/>
      <c r="AG187" s="3673" t="s">
        <v>126</v>
      </c>
      <c r="AH187" s="182"/>
      <c r="AI187" s="182"/>
    </row>
    <row r="188" spans="1:36" ht="22.35" customHeight="1">
      <c r="A188" s="109">
        <v>70</v>
      </c>
      <c r="B188" s="3376" t="s">
        <v>133</v>
      </c>
      <c r="C188" s="3392"/>
      <c r="D188" s="3392"/>
      <c r="E188" s="3392" t="s">
        <v>50</v>
      </c>
      <c r="F188" s="3392" t="s">
        <v>50</v>
      </c>
      <c r="G188" s="3392" t="s">
        <v>50</v>
      </c>
      <c r="H188" s="3392" t="s">
        <v>50</v>
      </c>
      <c r="I188" s="3392" t="s">
        <v>50</v>
      </c>
      <c r="J188" s="3392"/>
      <c r="K188" s="3392"/>
      <c r="L188" s="3392" t="s">
        <v>50</v>
      </c>
      <c r="M188" s="3392" t="s">
        <v>50</v>
      </c>
      <c r="N188" s="3392" t="s">
        <v>50</v>
      </c>
      <c r="O188" s="3392" t="s">
        <v>50</v>
      </c>
      <c r="P188" s="3674" t="s">
        <v>50</v>
      </c>
      <c r="Q188" s="3674"/>
      <c r="R188" s="3674"/>
      <c r="S188" s="3674" t="s">
        <v>50</v>
      </c>
      <c r="T188" s="3674" t="s">
        <v>50</v>
      </c>
      <c r="U188" s="3674" t="s">
        <v>50</v>
      </c>
      <c r="V188" s="3674" t="s">
        <v>50</v>
      </c>
      <c r="W188" s="3392" t="s">
        <v>50</v>
      </c>
      <c r="X188" s="3392"/>
      <c r="Y188" s="3392"/>
      <c r="Z188" s="3671" t="s">
        <v>50</v>
      </c>
      <c r="AA188" s="3671" t="s">
        <v>50</v>
      </c>
      <c r="AB188" s="3671" t="s">
        <v>50</v>
      </c>
      <c r="AC188" s="3671" t="s">
        <v>50</v>
      </c>
      <c r="AD188" s="3671" t="s">
        <v>358</v>
      </c>
      <c r="AE188" s="3586"/>
      <c r="AF188" s="3586"/>
      <c r="AG188" s="3675" t="s">
        <v>50</v>
      </c>
      <c r="AH188" s="182"/>
      <c r="AI188" s="182"/>
    </row>
    <row r="189" spans="1:36" ht="22.35" customHeight="1">
      <c r="A189" s="109">
        <v>71</v>
      </c>
      <c r="B189" s="3226" t="s">
        <v>253</v>
      </c>
      <c r="C189" s="3232"/>
      <c r="D189" s="3232"/>
      <c r="E189" s="3232" t="s">
        <v>132</v>
      </c>
      <c r="F189" s="3232" t="s">
        <v>132</v>
      </c>
      <c r="G189" s="3232" t="s">
        <v>132</v>
      </c>
      <c r="H189" s="3232" t="s">
        <v>132</v>
      </c>
      <c r="I189" s="3232" t="s">
        <v>132</v>
      </c>
      <c r="J189" s="3232"/>
      <c r="K189" s="3232"/>
      <c r="L189" s="3232" t="s">
        <v>132</v>
      </c>
      <c r="M189" s="3232" t="s">
        <v>132</v>
      </c>
      <c r="N189" s="3232" t="s">
        <v>132</v>
      </c>
      <c r="O189" s="3232" t="s">
        <v>132</v>
      </c>
      <c r="P189" s="3232" t="s">
        <v>132</v>
      </c>
      <c r="Q189" s="3232"/>
      <c r="R189" s="3232"/>
      <c r="S189" s="3232" t="s">
        <v>132</v>
      </c>
      <c r="T189" s="3232" t="s">
        <v>132</v>
      </c>
      <c r="U189" s="3232" t="s">
        <v>132</v>
      </c>
      <c r="V189" s="3232" t="s">
        <v>132</v>
      </c>
      <c r="W189" s="3232" t="s">
        <v>132</v>
      </c>
      <c r="X189" s="3232"/>
      <c r="Y189" s="3232"/>
      <c r="Z189" s="3676" t="s">
        <v>132</v>
      </c>
      <c r="AA189" s="3676" t="s">
        <v>132</v>
      </c>
      <c r="AB189" s="3676" t="s">
        <v>132</v>
      </c>
      <c r="AC189" s="3676" t="s">
        <v>132</v>
      </c>
      <c r="AD189" s="3676" t="s">
        <v>132</v>
      </c>
      <c r="AE189" s="3676"/>
      <c r="AF189" s="3676"/>
      <c r="AG189" s="3677" t="s">
        <v>132</v>
      </c>
      <c r="AH189" s="182"/>
      <c r="AI189" s="182"/>
    </row>
    <row r="190" spans="1:36" ht="22.35" customHeight="1">
      <c r="A190" s="109">
        <v>72</v>
      </c>
      <c r="B190" s="3624"/>
      <c r="C190" s="3392"/>
      <c r="D190" s="3392"/>
      <c r="E190" s="3392" t="s">
        <v>135</v>
      </c>
      <c r="F190" s="3392" t="s">
        <v>135</v>
      </c>
      <c r="G190" s="3392" t="s">
        <v>135</v>
      </c>
      <c r="H190" s="3392" t="s">
        <v>135</v>
      </c>
      <c r="I190" s="3392" t="s">
        <v>135</v>
      </c>
      <c r="J190" s="3392"/>
      <c r="K190" s="3392"/>
      <c r="L190" s="3392" t="s">
        <v>135</v>
      </c>
      <c r="M190" s="3392" t="s">
        <v>135</v>
      </c>
      <c r="N190" s="3392" t="s">
        <v>135</v>
      </c>
      <c r="O190" s="3392" t="s">
        <v>135</v>
      </c>
      <c r="P190" s="3392" t="s">
        <v>135</v>
      </c>
      <c r="Q190" s="3392"/>
      <c r="R190" s="3392"/>
      <c r="S190" s="3392" t="s">
        <v>135</v>
      </c>
      <c r="T190" s="3392" t="s">
        <v>135</v>
      </c>
      <c r="U190" s="3392" t="s">
        <v>135</v>
      </c>
      <c r="V190" s="3392" t="s">
        <v>135</v>
      </c>
      <c r="W190" s="3392" t="s">
        <v>135</v>
      </c>
      <c r="X190" s="3392"/>
      <c r="Y190" s="3392"/>
      <c r="Z190" s="3392" t="s">
        <v>135</v>
      </c>
      <c r="AA190" s="3392" t="s">
        <v>135</v>
      </c>
      <c r="AB190" s="3392" t="s">
        <v>135</v>
      </c>
      <c r="AC190" s="3392" t="s">
        <v>135</v>
      </c>
      <c r="AD190" s="3392" t="s">
        <v>135</v>
      </c>
      <c r="AE190" s="3392"/>
      <c r="AF190" s="3392"/>
      <c r="AG190" s="3229" t="s">
        <v>135</v>
      </c>
      <c r="AH190" s="182"/>
      <c r="AI190" s="182"/>
    </row>
    <row r="191" spans="1:36" ht="22.35" customHeight="1">
      <c r="A191" s="109">
        <v>73</v>
      </c>
      <c r="B191" s="3226" t="s">
        <v>255</v>
      </c>
      <c r="C191" s="522"/>
      <c r="D191" s="522"/>
      <c r="E191" s="522" t="s">
        <v>52</v>
      </c>
      <c r="F191" s="522" t="s">
        <v>52</v>
      </c>
      <c r="G191" s="685" t="s">
        <v>52</v>
      </c>
      <c r="H191" s="685" t="s">
        <v>52</v>
      </c>
      <c r="I191" s="685" t="s">
        <v>52</v>
      </c>
      <c r="J191" s="685"/>
      <c r="K191" s="685"/>
      <c r="L191" s="685" t="s">
        <v>52</v>
      </c>
      <c r="M191" s="685" t="s">
        <v>256</v>
      </c>
      <c r="N191" s="554" t="s">
        <v>52</v>
      </c>
      <c r="O191" s="522" t="s">
        <v>52</v>
      </c>
      <c r="P191" s="522" t="s">
        <v>52</v>
      </c>
      <c r="Q191" s="522"/>
      <c r="R191" s="522"/>
      <c r="S191" s="522" t="s">
        <v>52</v>
      </c>
      <c r="T191" s="522" t="s">
        <v>52</v>
      </c>
      <c r="U191" s="522" t="s">
        <v>52</v>
      </c>
      <c r="V191" s="522" t="s">
        <v>52</v>
      </c>
      <c r="W191" s="522" t="s">
        <v>52</v>
      </c>
      <c r="X191" s="522"/>
      <c r="Y191" s="522"/>
      <c r="Z191" s="522" t="s">
        <v>52</v>
      </c>
      <c r="AA191" s="522" t="s">
        <v>52</v>
      </c>
      <c r="AB191" s="522" t="s">
        <v>52</v>
      </c>
      <c r="AC191" s="522" t="s">
        <v>52</v>
      </c>
      <c r="AD191" s="522" t="s">
        <v>52</v>
      </c>
      <c r="AE191" s="522"/>
      <c r="AF191" s="522"/>
      <c r="AG191" s="513" t="s">
        <v>52</v>
      </c>
      <c r="AH191" s="182"/>
      <c r="AI191" s="182"/>
    </row>
    <row r="192" spans="1:36" ht="22.35" customHeight="1">
      <c r="A192" s="109">
        <v>74</v>
      </c>
      <c r="B192" s="3226" t="s">
        <v>257</v>
      </c>
      <c r="C192" s="3468"/>
      <c r="D192" s="3468"/>
      <c r="E192" s="3468" t="s">
        <v>141</v>
      </c>
      <c r="F192" s="3678" t="s">
        <v>141</v>
      </c>
      <c r="G192" s="3678" t="s">
        <v>141</v>
      </c>
      <c r="H192" s="3678" t="s">
        <v>141</v>
      </c>
      <c r="I192" s="3678" t="s">
        <v>141</v>
      </c>
      <c r="J192" s="3678"/>
      <c r="K192" s="3678"/>
      <c r="L192" s="3678" t="s">
        <v>141</v>
      </c>
      <c r="M192" s="685" t="s">
        <v>141</v>
      </c>
      <c r="N192" s="3678" t="s">
        <v>141</v>
      </c>
      <c r="O192" s="3678" t="s">
        <v>141</v>
      </c>
      <c r="P192" s="3678" t="s">
        <v>258</v>
      </c>
      <c r="Q192" s="3468"/>
      <c r="R192" s="3468"/>
      <c r="S192" s="3468" t="s">
        <v>141</v>
      </c>
      <c r="T192" s="3468" t="s">
        <v>141</v>
      </c>
      <c r="U192" s="3468" t="s">
        <v>141</v>
      </c>
      <c r="V192" s="3468" t="s">
        <v>141</v>
      </c>
      <c r="W192" s="3468" t="s">
        <v>141</v>
      </c>
      <c r="X192" s="3468"/>
      <c r="Y192" s="3468"/>
      <c r="Z192" s="3468" t="s">
        <v>141</v>
      </c>
      <c r="AA192" s="3468" t="s">
        <v>141</v>
      </c>
      <c r="AB192" s="3468" t="s">
        <v>141</v>
      </c>
      <c r="AC192" s="3468" t="s">
        <v>141</v>
      </c>
      <c r="AD192" s="3468" t="s">
        <v>141</v>
      </c>
      <c r="AE192" s="3468"/>
      <c r="AF192" s="3468"/>
      <c r="AG192" s="3650" t="s">
        <v>141</v>
      </c>
      <c r="AH192" s="182"/>
      <c r="AI192" s="182"/>
    </row>
    <row r="193" spans="1:35" ht="22.35" customHeight="1">
      <c r="A193" s="109">
        <v>75</v>
      </c>
      <c r="B193" s="3624" t="s">
        <v>259</v>
      </c>
      <c r="C193" s="3468"/>
      <c r="D193" s="3468"/>
      <c r="E193" s="3468" t="s">
        <v>124</v>
      </c>
      <c r="F193" s="3468" t="s">
        <v>124</v>
      </c>
      <c r="G193" s="3468" t="s">
        <v>124</v>
      </c>
      <c r="H193" s="3468" t="s">
        <v>124</v>
      </c>
      <c r="I193" s="3468" t="s">
        <v>124</v>
      </c>
      <c r="J193" s="3468"/>
      <c r="K193" s="3468"/>
      <c r="L193" s="3468" t="s">
        <v>124</v>
      </c>
      <c r="M193" s="3466" t="s">
        <v>260</v>
      </c>
      <c r="N193" s="3476" t="s">
        <v>124</v>
      </c>
      <c r="O193" s="3476" t="s">
        <v>124</v>
      </c>
      <c r="P193" s="3476" t="s">
        <v>124</v>
      </c>
      <c r="Q193" s="3476"/>
      <c r="R193" s="3476"/>
      <c r="S193" s="3468" t="s">
        <v>124</v>
      </c>
      <c r="T193" s="3468" t="s">
        <v>124</v>
      </c>
      <c r="U193" s="3483" t="s">
        <v>260</v>
      </c>
      <c r="V193" s="3633" t="s">
        <v>124</v>
      </c>
      <c r="W193" s="3633" t="s">
        <v>124</v>
      </c>
      <c r="X193" s="3468"/>
      <c r="Y193" s="3468"/>
      <c r="Z193" s="3468" t="s">
        <v>124</v>
      </c>
      <c r="AA193" s="3468" t="s">
        <v>124</v>
      </c>
      <c r="AB193" s="3468" t="s">
        <v>124</v>
      </c>
      <c r="AC193" s="3468" t="s">
        <v>124</v>
      </c>
      <c r="AD193" s="3468" t="s">
        <v>124</v>
      </c>
      <c r="AE193" s="3468"/>
      <c r="AF193" s="3468"/>
      <c r="AG193" s="3650" t="s">
        <v>124</v>
      </c>
      <c r="AH193" s="182"/>
      <c r="AI193" s="182"/>
    </row>
    <row r="194" spans="1:35" ht="22.35" customHeight="1">
      <c r="A194" s="109">
        <v>76</v>
      </c>
      <c r="B194" s="3226" t="s">
        <v>261</v>
      </c>
      <c r="C194" s="3468"/>
      <c r="D194" s="3468"/>
      <c r="E194" s="3468" t="s">
        <v>242</v>
      </c>
      <c r="F194" s="3468" t="s">
        <v>242</v>
      </c>
      <c r="G194" s="3468" t="s">
        <v>242</v>
      </c>
      <c r="H194" s="3468" t="s">
        <v>242</v>
      </c>
      <c r="I194" s="3468" t="s">
        <v>242</v>
      </c>
      <c r="J194" s="3468"/>
      <c r="K194" s="3468"/>
      <c r="L194" s="3468" t="s">
        <v>242</v>
      </c>
      <c r="M194" s="3468" t="s">
        <v>242</v>
      </c>
      <c r="N194" s="3468" t="s">
        <v>242</v>
      </c>
      <c r="O194" s="3468" t="s">
        <v>242</v>
      </c>
      <c r="P194" s="3468" t="s">
        <v>242</v>
      </c>
      <c r="Q194" s="3468"/>
      <c r="R194" s="3468"/>
      <c r="S194" s="3468" t="s">
        <v>242</v>
      </c>
      <c r="T194" s="3468" t="s">
        <v>242</v>
      </c>
      <c r="U194" s="3468" t="s">
        <v>242</v>
      </c>
      <c r="V194" s="3468" t="s">
        <v>242</v>
      </c>
      <c r="W194" s="3468" t="s">
        <v>242</v>
      </c>
      <c r="X194" s="3468"/>
      <c r="Y194" s="3468"/>
      <c r="Z194" s="3468" t="s">
        <v>242</v>
      </c>
      <c r="AA194" s="3468" t="s">
        <v>242</v>
      </c>
      <c r="AB194" s="3468" t="s">
        <v>242</v>
      </c>
      <c r="AC194" s="3468" t="s">
        <v>242</v>
      </c>
      <c r="AD194" s="3468" t="s">
        <v>242</v>
      </c>
      <c r="AE194" s="3468"/>
      <c r="AF194" s="3468"/>
      <c r="AG194" s="3650" t="s">
        <v>242</v>
      </c>
      <c r="AH194" s="182"/>
      <c r="AI194" s="182"/>
    </row>
    <row r="195" spans="1:35" ht="22.35" customHeight="1">
      <c r="A195" s="109">
        <v>77</v>
      </c>
      <c r="B195" s="3624"/>
      <c r="C195" s="3468"/>
      <c r="D195" s="3468"/>
      <c r="E195" s="3468" t="s">
        <v>122</v>
      </c>
      <c r="F195" s="3468" t="s">
        <v>122</v>
      </c>
      <c r="G195" s="3468" t="s">
        <v>122</v>
      </c>
      <c r="H195" s="3468" t="s">
        <v>122</v>
      </c>
      <c r="I195" s="3468" t="s">
        <v>122</v>
      </c>
      <c r="J195" s="3468"/>
      <c r="K195" s="3468"/>
      <c r="L195" s="3468" t="s">
        <v>122</v>
      </c>
      <c r="M195" s="3468" t="s">
        <v>122</v>
      </c>
      <c r="N195" s="3468" t="s">
        <v>122</v>
      </c>
      <c r="O195" s="3468" t="s">
        <v>122</v>
      </c>
      <c r="P195" s="3468" t="s">
        <v>122</v>
      </c>
      <c r="Q195" s="3468"/>
      <c r="R195" s="3468"/>
      <c r="S195" s="3468" t="s">
        <v>122</v>
      </c>
      <c r="T195" s="3468" t="s">
        <v>122</v>
      </c>
      <c r="U195" s="3382" t="s">
        <v>122</v>
      </c>
      <c r="V195" s="3382" t="s">
        <v>122</v>
      </c>
      <c r="W195" s="3468" t="s">
        <v>122</v>
      </c>
      <c r="X195" s="3468"/>
      <c r="Y195" s="3468"/>
      <c r="Z195" s="3468" t="s">
        <v>122</v>
      </c>
      <c r="AA195" s="3468" t="s">
        <v>122</v>
      </c>
      <c r="AB195" s="3468" t="s">
        <v>122</v>
      </c>
      <c r="AC195" s="3468" t="s">
        <v>122</v>
      </c>
      <c r="AD195" s="3468" t="s">
        <v>122</v>
      </c>
      <c r="AE195" s="3468"/>
      <c r="AF195" s="3468"/>
      <c r="AG195" s="3650" t="s">
        <v>122</v>
      </c>
      <c r="AH195" s="182"/>
      <c r="AI195" s="182"/>
    </row>
    <row r="196" spans="1:35" ht="22.35" customHeight="1">
      <c r="A196" s="109">
        <v>78</v>
      </c>
      <c r="B196" s="3624" t="s">
        <v>262</v>
      </c>
      <c r="C196" s="3468"/>
      <c r="D196" s="3468"/>
      <c r="E196" s="3468" t="s">
        <v>246</v>
      </c>
      <c r="F196" s="3468" t="s">
        <v>246</v>
      </c>
      <c r="G196" s="3468" t="s">
        <v>246</v>
      </c>
      <c r="H196" s="3468" t="s">
        <v>246</v>
      </c>
      <c r="I196" s="3468" t="s">
        <v>246</v>
      </c>
      <c r="J196" s="3468"/>
      <c r="K196" s="3468"/>
      <c r="L196" s="3468" t="s">
        <v>246</v>
      </c>
      <c r="M196" s="3468" t="s">
        <v>246</v>
      </c>
      <c r="N196" s="3468" t="s">
        <v>246</v>
      </c>
      <c r="O196" s="3468" t="s">
        <v>246</v>
      </c>
      <c r="P196" s="3468" t="s">
        <v>246</v>
      </c>
      <c r="Q196" s="3468"/>
      <c r="R196" s="3468"/>
      <c r="S196" s="3466" t="s">
        <v>246</v>
      </c>
      <c r="T196" s="3466" t="s">
        <v>406</v>
      </c>
      <c r="U196" s="3476" t="s">
        <v>246</v>
      </c>
      <c r="V196" s="3468" t="s">
        <v>246</v>
      </c>
      <c r="W196" s="3468" t="s">
        <v>246</v>
      </c>
      <c r="X196" s="3468"/>
      <c r="Y196" s="3468"/>
      <c r="Z196" s="3635" t="s">
        <v>246</v>
      </c>
      <c r="AA196" s="3635" t="s">
        <v>246</v>
      </c>
      <c r="AB196" s="3635" t="s">
        <v>246</v>
      </c>
      <c r="AC196" s="3635" t="s">
        <v>246</v>
      </c>
      <c r="AD196" s="3635" t="s">
        <v>246</v>
      </c>
      <c r="AE196" s="3635"/>
      <c r="AF196" s="3635"/>
      <c r="AG196" s="3679" t="s">
        <v>246</v>
      </c>
      <c r="AH196" s="107"/>
      <c r="AI196" s="107"/>
    </row>
    <row r="197" spans="1:35" ht="21" customHeight="1" thickBot="1">
      <c r="A197" s="109">
        <v>79</v>
      </c>
      <c r="B197" s="3652" t="s">
        <v>263</v>
      </c>
      <c r="C197" s="998"/>
      <c r="D197" s="998"/>
      <c r="E197" s="998" t="s">
        <v>127</v>
      </c>
      <c r="F197" s="998" t="s">
        <v>127</v>
      </c>
      <c r="G197" s="998" t="s">
        <v>127</v>
      </c>
      <c r="H197" s="998" t="s">
        <v>127</v>
      </c>
      <c r="I197" s="998" t="s">
        <v>127</v>
      </c>
      <c r="J197" s="998"/>
      <c r="K197" s="998"/>
      <c r="L197" s="998" t="s">
        <v>127</v>
      </c>
      <c r="M197" s="998" t="s">
        <v>127</v>
      </c>
      <c r="N197" s="998" t="s">
        <v>127</v>
      </c>
      <c r="O197" s="998" t="s">
        <v>127</v>
      </c>
      <c r="P197" s="998" t="s">
        <v>127</v>
      </c>
      <c r="Q197" s="998"/>
      <c r="R197" s="998"/>
      <c r="S197" s="998" t="s">
        <v>127</v>
      </c>
      <c r="T197" s="998" t="s">
        <v>127</v>
      </c>
      <c r="U197" s="998" t="s">
        <v>127</v>
      </c>
      <c r="V197" s="998" t="s">
        <v>127</v>
      </c>
      <c r="W197" s="1072" t="s">
        <v>127</v>
      </c>
      <c r="X197" s="1072"/>
      <c r="Y197" s="1072"/>
      <c r="Z197" s="998" t="s">
        <v>127</v>
      </c>
      <c r="AA197" s="998" t="s">
        <v>127</v>
      </c>
      <c r="AB197" s="998" t="s">
        <v>127</v>
      </c>
      <c r="AC197" s="998" t="s">
        <v>127</v>
      </c>
      <c r="AD197" s="3680" t="s">
        <v>127</v>
      </c>
      <c r="AE197" s="1072"/>
      <c r="AF197" s="1072"/>
      <c r="AG197" s="1982" t="s">
        <v>264</v>
      </c>
      <c r="AH197" s="115"/>
    </row>
    <row r="198" spans="1:35" ht="21" customHeight="1">
      <c r="A198" s="109"/>
      <c r="B198" s="229"/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  <c r="M198" s="228"/>
      <c r="N198" s="228"/>
      <c r="O198" s="228"/>
      <c r="P198" s="228"/>
      <c r="Q198" s="228"/>
      <c r="R198" s="228"/>
      <c r="S198" s="228"/>
      <c r="T198" s="228"/>
      <c r="U198" s="228"/>
      <c r="V198" s="228"/>
      <c r="W198" s="228"/>
      <c r="X198" s="228"/>
      <c r="Y198" s="228"/>
      <c r="Z198" s="228"/>
      <c r="AA198" s="228"/>
      <c r="AB198" s="228"/>
      <c r="AC198" s="228"/>
      <c r="AD198" s="228"/>
      <c r="AE198" s="228"/>
      <c r="AF198" s="228"/>
      <c r="AG198" s="228"/>
      <c r="AH198" s="115"/>
    </row>
    <row r="199" spans="1:35" ht="22.35" customHeight="1">
      <c r="A199" s="14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</row>
    <row r="200" spans="1:35" ht="22.35" customHeight="1" thickBot="1">
      <c r="A200" s="148"/>
      <c r="B200" s="59"/>
    </row>
    <row r="201" spans="1:35" ht="22.35" customHeight="1">
      <c r="B201" s="3681" t="s">
        <v>266</v>
      </c>
      <c r="C201" s="391" t="s">
        <v>94</v>
      </c>
      <c r="D201" s="391"/>
      <c r="E201" s="391"/>
      <c r="F201" s="391"/>
      <c r="G201" s="392" t="s">
        <v>95</v>
      </c>
      <c r="H201" s="391"/>
      <c r="I201" s="391"/>
      <c r="J201" s="391"/>
      <c r="K201" s="392" t="s">
        <v>96</v>
      </c>
      <c r="L201" s="391"/>
      <c r="M201" s="391"/>
      <c r="N201" s="391"/>
      <c r="O201" s="392" t="s">
        <v>97</v>
      </c>
      <c r="P201" s="391"/>
      <c r="Q201" s="391"/>
      <c r="R201" s="391"/>
      <c r="S201" s="392" t="s">
        <v>98</v>
      </c>
      <c r="T201" s="391"/>
      <c r="U201" s="391"/>
      <c r="V201" s="391"/>
      <c r="W201" s="393" t="s">
        <v>99</v>
      </c>
      <c r="X201" s="357"/>
      <c r="Y201" s="391"/>
      <c r="Z201" s="394"/>
      <c r="AA201" s="393" t="s">
        <v>100</v>
      </c>
      <c r="AB201" s="357"/>
      <c r="AC201" s="391"/>
      <c r="AD201" s="394"/>
      <c r="AE201" s="395" t="s">
        <v>101</v>
      </c>
      <c r="AF201" s="391"/>
      <c r="AG201" s="391"/>
      <c r="AH201" s="391"/>
      <c r="AI201" s="358"/>
    </row>
    <row r="202" spans="1:35" ht="22.35" customHeight="1">
      <c r="A202" s="1" t="s">
        <v>265</v>
      </c>
      <c r="B202" s="3242">
        <v>3701</v>
      </c>
      <c r="C202" s="110" t="s">
        <v>267</v>
      </c>
      <c r="D202" s="110"/>
      <c r="E202" s="110"/>
      <c r="F202" s="110"/>
      <c r="G202" s="675" t="s">
        <v>268</v>
      </c>
      <c r="H202" s="110"/>
      <c r="I202" s="110"/>
      <c r="J202" s="110"/>
      <c r="K202" s="675" t="s">
        <v>268</v>
      </c>
      <c r="L202" s="110"/>
      <c r="M202" s="110"/>
      <c r="N202" s="110"/>
      <c r="O202" s="675" t="s">
        <v>268</v>
      </c>
      <c r="P202" s="110"/>
      <c r="Q202" s="110"/>
      <c r="R202" s="110"/>
      <c r="S202" s="675" t="s">
        <v>269</v>
      </c>
      <c r="T202" s="110"/>
      <c r="U202" s="110"/>
      <c r="V202" s="110"/>
      <c r="W202" s="3243"/>
      <c r="X202" s="3244"/>
      <c r="Y202" s="3402"/>
      <c r="Z202" s="3245"/>
      <c r="AA202" s="3243"/>
      <c r="AB202" s="3244"/>
      <c r="AC202" s="3402"/>
      <c r="AD202" s="3245"/>
      <c r="AE202" s="3525"/>
      <c r="AF202" s="3402"/>
      <c r="AG202" s="3402"/>
      <c r="AH202" s="3402"/>
      <c r="AI202" s="3333"/>
    </row>
    <row r="203" spans="1:35" ht="22.35" customHeight="1">
      <c r="A203" s="1"/>
      <c r="B203" s="3681">
        <v>3700</v>
      </c>
      <c r="C203" s="3402" t="s">
        <v>170</v>
      </c>
      <c r="D203" s="3402"/>
      <c r="E203" s="3402"/>
      <c r="F203" s="3402"/>
      <c r="G203" s="3246" t="s">
        <v>170</v>
      </c>
      <c r="H203" s="3402"/>
      <c r="I203" s="3402"/>
      <c r="J203" s="3402"/>
      <c r="K203" s="3246" t="s">
        <v>170</v>
      </c>
      <c r="L203" s="3402"/>
      <c r="M203" s="3402"/>
      <c r="N203" s="3402"/>
      <c r="O203" s="3246" t="s">
        <v>170</v>
      </c>
      <c r="P203" s="3402"/>
      <c r="Q203" s="3402"/>
      <c r="R203" s="3402"/>
      <c r="S203" s="3246" t="s">
        <v>171</v>
      </c>
      <c r="T203" s="3402"/>
      <c r="U203" s="3402"/>
      <c r="V203" s="3402"/>
      <c r="W203" s="3402"/>
      <c r="X203" s="3246"/>
      <c r="Y203" s="3402"/>
      <c r="Z203" s="3527"/>
      <c r="AA203" s="3525"/>
      <c r="AB203" s="3402"/>
      <c r="AC203" s="3402"/>
      <c r="AD203" s="3454"/>
      <c r="AE203" s="3247"/>
      <c r="AF203" s="3402"/>
      <c r="AG203" s="3402"/>
      <c r="AH203" s="3454"/>
      <c r="AI203" s="3333"/>
    </row>
    <row r="204" spans="1:35" ht="22.35" customHeight="1">
      <c r="A204" s="1"/>
      <c r="B204" s="3681">
        <v>8514</v>
      </c>
      <c r="C204" s="3402" t="s">
        <v>268</v>
      </c>
      <c r="D204" s="3402"/>
      <c r="E204" s="3402"/>
      <c r="F204" s="3402"/>
      <c r="G204" s="3246" t="s">
        <v>268</v>
      </c>
      <c r="H204" s="3402"/>
      <c r="I204" s="3402"/>
      <c r="J204" s="3402"/>
      <c r="K204" s="3246" t="s">
        <v>268</v>
      </c>
      <c r="L204" s="3402"/>
      <c r="M204" s="3402"/>
      <c r="N204" s="3402"/>
      <c r="O204" s="3246" t="s">
        <v>268</v>
      </c>
      <c r="P204" s="3402"/>
      <c r="Q204" s="3402"/>
      <c r="R204" s="3402"/>
      <c r="S204" s="3246" t="s">
        <v>270</v>
      </c>
      <c r="T204" s="3402"/>
      <c r="U204" s="3402"/>
      <c r="V204" s="3402"/>
      <c r="W204" s="3402"/>
      <c r="X204" s="3246"/>
      <c r="Y204" s="3402"/>
      <c r="Z204" s="3527"/>
      <c r="AA204" s="3453"/>
      <c r="AB204" s="3402"/>
      <c r="AC204" s="3402"/>
      <c r="AD204" s="3454"/>
      <c r="AE204" s="3453"/>
      <c r="AF204" s="3402"/>
      <c r="AG204" s="3402"/>
      <c r="AH204" s="3454"/>
      <c r="AI204" s="3333"/>
    </row>
    <row r="205" spans="1:35" ht="22.35" customHeight="1">
      <c r="B205" s="3681">
        <v>8500</v>
      </c>
      <c r="C205" s="165" t="s">
        <v>271</v>
      </c>
      <c r="D205" s="165"/>
      <c r="E205" s="165"/>
      <c r="F205" s="165"/>
      <c r="G205" s="166" t="s">
        <v>271</v>
      </c>
      <c r="H205" s="165"/>
      <c r="I205" s="165"/>
      <c r="J205" s="165"/>
      <c r="K205" s="166" t="s">
        <v>271</v>
      </c>
      <c r="L205" s="165"/>
      <c r="M205" s="165"/>
      <c r="N205" s="165"/>
      <c r="O205" s="166" t="s">
        <v>271</v>
      </c>
      <c r="P205" s="165"/>
      <c r="Q205" s="165"/>
      <c r="R205" s="165"/>
      <c r="S205" s="166" t="s">
        <v>272</v>
      </c>
      <c r="T205" s="165"/>
      <c r="U205" s="165"/>
      <c r="V205" s="165"/>
      <c r="W205" s="165"/>
      <c r="X205" s="166"/>
      <c r="Y205" s="165"/>
      <c r="Z205" s="121"/>
      <c r="AA205" s="120"/>
      <c r="AB205" s="165"/>
      <c r="AC205" s="165"/>
      <c r="AD205" s="121"/>
      <c r="AE205" s="120"/>
      <c r="AF205" s="165"/>
      <c r="AG205" s="165"/>
      <c r="AH205" s="113"/>
      <c r="AI205" s="119"/>
    </row>
    <row r="206" spans="1:35" ht="22.35" customHeight="1">
      <c r="A206" s="1"/>
      <c r="B206" s="3681">
        <v>8514</v>
      </c>
      <c r="C206" s="168" t="s">
        <v>268</v>
      </c>
      <c r="D206" s="168"/>
      <c r="E206" s="168"/>
      <c r="F206" s="168"/>
      <c r="G206" s="169" t="s">
        <v>268</v>
      </c>
      <c r="H206" s="168"/>
      <c r="I206" s="168"/>
      <c r="J206" s="168"/>
      <c r="K206" s="169" t="s">
        <v>268</v>
      </c>
      <c r="L206" s="168"/>
      <c r="M206" s="168"/>
      <c r="N206" s="168"/>
      <c r="O206" s="169" t="s">
        <v>268</v>
      </c>
      <c r="P206" s="168"/>
      <c r="Q206" s="168"/>
      <c r="R206" s="168"/>
      <c r="S206" s="169" t="s">
        <v>270</v>
      </c>
      <c r="T206" s="168"/>
      <c r="U206" s="168"/>
      <c r="V206" s="168"/>
      <c r="W206" s="168"/>
      <c r="X206" s="149"/>
      <c r="Y206" s="165"/>
      <c r="Z206" s="167"/>
      <c r="AA206" s="156"/>
      <c r="AB206" s="117"/>
      <c r="AC206" s="165"/>
      <c r="AD206" s="165"/>
      <c r="AE206" s="118"/>
      <c r="AF206" s="165"/>
      <c r="AG206" s="165"/>
      <c r="AH206" s="165"/>
      <c r="AI206" s="119"/>
    </row>
    <row r="207" spans="1:35" ht="22.35" customHeight="1" thickBot="1">
      <c r="A207" s="1"/>
      <c r="B207" s="3682" t="s">
        <v>273</v>
      </c>
      <c r="C207" s="3409" t="s">
        <v>274</v>
      </c>
      <c r="D207" s="3409"/>
      <c r="E207" s="3409"/>
      <c r="F207" s="3409"/>
      <c r="G207" s="3249" t="s">
        <v>274</v>
      </c>
      <c r="H207" s="3409"/>
      <c r="I207" s="3409"/>
      <c r="J207" s="3409"/>
      <c r="K207" s="3250" t="s">
        <v>274</v>
      </c>
      <c r="L207" s="3409"/>
      <c r="M207" s="3409"/>
      <c r="N207" s="3409"/>
      <c r="O207" s="3249" t="s">
        <v>274</v>
      </c>
      <c r="P207" s="3409"/>
      <c r="Q207" s="3409"/>
      <c r="R207" s="3409"/>
      <c r="S207" s="3249" t="s">
        <v>275</v>
      </c>
      <c r="T207" s="3409"/>
      <c r="U207" s="3409"/>
      <c r="V207" s="3409"/>
      <c r="W207" s="3409"/>
      <c r="X207" s="3249"/>
      <c r="Y207" s="3409"/>
      <c r="Z207" s="3562"/>
      <c r="AA207" s="3538"/>
      <c r="AB207" s="3409"/>
      <c r="AC207" s="3409"/>
      <c r="AD207" s="3545"/>
      <c r="AE207" s="3251"/>
      <c r="AF207" s="3409"/>
      <c r="AG207" s="3409"/>
      <c r="AH207" s="3545"/>
      <c r="AI207" s="3412"/>
    </row>
    <row r="208" spans="1:35" ht="22.35" customHeight="1">
      <c r="A208" s="1"/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thickBot="1">
      <c r="A210" s="1"/>
      <c r="B210" s="3414" t="s">
        <v>29</v>
      </c>
      <c r="C210" s="3343">
        <v>1</v>
      </c>
      <c r="D210" s="3343">
        <v>2</v>
      </c>
      <c r="E210" s="3342">
        <v>3</v>
      </c>
      <c r="F210" s="3342">
        <v>4</v>
      </c>
      <c r="G210" s="3342">
        <v>5</v>
      </c>
      <c r="H210" s="3342">
        <v>6</v>
      </c>
      <c r="I210" s="3342">
        <v>7</v>
      </c>
      <c r="J210" s="3343">
        <v>8</v>
      </c>
      <c r="K210" s="3343">
        <v>9</v>
      </c>
      <c r="L210" s="3342">
        <v>10</v>
      </c>
      <c r="M210" s="3342">
        <v>11</v>
      </c>
      <c r="N210" s="3342">
        <v>12</v>
      </c>
      <c r="O210" s="3342">
        <v>13</v>
      </c>
      <c r="P210" s="3342">
        <v>14</v>
      </c>
      <c r="Q210" s="3343">
        <v>15</v>
      </c>
      <c r="R210" s="3343">
        <v>16</v>
      </c>
      <c r="S210" s="3342">
        <v>17</v>
      </c>
      <c r="T210" s="3342">
        <v>18</v>
      </c>
      <c r="U210" s="3342">
        <v>19</v>
      </c>
      <c r="V210" s="3342">
        <v>20</v>
      </c>
      <c r="W210" s="3342">
        <v>21</v>
      </c>
      <c r="X210" s="3343">
        <v>22</v>
      </c>
      <c r="Y210" s="3343">
        <v>23</v>
      </c>
      <c r="Z210" s="3342">
        <v>24</v>
      </c>
      <c r="AA210" s="3342">
        <v>25</v>
      </c>
      <c r="AB210" s="3342">
        <v>26</v>
      </c>
      <c r="AC210" s="3342">
        <v>27</v>
      </c>
      <c r="AD210" s="3342">
        <v>28</v>
      </c>
      <c r="AE210" s="3343">
        <v>29</v>
      </c>
      <c r="AF210" s="3343">
        <v>30</v>
      </c>
      <c r="AG210" s="3432">
        <v>31</v>
      </c>
      <c r="AH210" s="176"/>
      <c r="AI210" s="177"/>
    </row>
    <row r="211" spans="1:35" ht="22.35" customHeight="1">
      <c r="A211" s="1" t="s">
        <v>276</v>
      </c>
      <c r="B211" s="540" t="s">
        <v>277</v>
      </c>
      <c r="C211" s="3378"/>
      <c r="D211" s="3378"/>
      <c r="E211" s="3391" t="s">
        <v>32</v>
      </c>
      <c r="F211" s="3605" t="s">
        <v>32</v>
      </c>
      <c r="G211" s="3605" t="s">
        <v>32</v>
      </c>
      <c r="H211" s="3605" t="s">
        <v>32</v>
      </c>
      <c r="I211" s="3605" t="s">
        <v>32</v>
      </c>
      <c r="J211" s="3605"/>
      <c r="K211" s="3605"/>
      <c r="L211" s="3605" t="s">
        <v>32</v>
      </c>
      <c r="M211" s="3605" t="s">
        <v>32</v>
      </c>
      <c r="N211" s="3605" t="s">
        <v>32</v>
      </c>
      <c r="O211" s="3605" t="s">
        <v>32</v>
      </c>
      <c r="P211" s="3605" t="s">
        <v>278</v>
      </c>
      <c r="Q211" s="3380"/>
      <c r="R211" s="3382"/>
      <c r="S211" s="3382" t="s">
        <v>32</v>
      </c>
      <c r="T211" s="3378" t="s">
        <v>32</v>
      </c>
      <c r="U211" s="3382" t="s">
        <v>32</v>
      </c>
      <c r="V211" s="3382" t="s">
        <v>32</v>
      </c>
      <c r="W211" s="3382" t="s">
        <v>32</v>
      </c>
      <c r="X211" s="3378"/>
      <c r="Y211" s="3382"/>
      <c r="Z211" s="3378" t="s">
        <v>32</v>
      </c>
      <c r="AA211" s="3378" t="s">
        <v>32</v>
      </c>
      <c r="AB211" s="3378" t="s">
        <v>32</v>
      </c>
      <c r="AC211" s="3378" t="s">
        <v>32</v>
      </c>
      <c r="AD211" s="3378" t="s">
        <v>32</v>
      </c>
      <c r="AE211" s="3378"/>
      <c r="AF211" s="3378"/>
      <c r="AG211" s="234" t="s">
        <v>32</v>
      </c>
      <c r="AH211" s="176"/>
      <c r="AI211" s="177"/>
    </row>
    <row r="212" spans="1:35" ht="22.35" customHeight="1" thickBot="1">
      <c r="A212" s="3500"/>
      <c r="B212" s="3599" t="s">
        <v>279</v>
      </c>
      <c r="C212" s="3378"/>
      <c r="D212" s="3378"/>
      <c r="E212" s="3378" t="s">
        <v>32</v>
      </c>
      <c r="F212" s="3378" t="s">
        <v>32</v>
      </c>
      <c r="G212" s="3378" t="s">
        <v>32</v>
      </c>
      <c r="H212" s="3378" t="s">
        <v>32</v>
      </c>
      <c r="I212" s="3378" t="s">
        <v>32</v>
      </c>
      <c r="J212" s="3378"/>
      <c r="K212" s="3378"/>
      <c r="L212" s="3378" t="s">
        <v>32</v>
      </c>
      <c r="M212" s="3378" t="s">
        <v>32</v>
      </c>
      <c r="N212" s="3382" t="s">
        <v>32</v>
      </c>
      <c r="O212" s="3382" t="s">
        <v>32</v>
      </c>
      <c r="P212" s="3382" t="s">
        <v>32</v>
      </c>
      <c r="Q212" s="3380"/>
      <c r="R212" s="3382"/>
      <c r="S212" s="3378" t="s">
        <v>32</v>
      </c>
      <c r="T212" s="3378" t="s">
        <v>32</v>
      </c>
      <c r="U212" s="3382" t="s">
        <v>32</v>
      </c>
      <c r="V212" s="3382" t="s">
        <v>32</v>
      </c>
      <c r="W212" s="3382" t="s">
        <v>32</v>
      </c>
      <c r="X212" s="3378"/>
      <c r="Y212" s="3382"/>
      <c r="Z212" s="3378" t="s">
        <v>32</v>
      </c>
      <c r="AA212" s="3378" t="s">
        <v>32</v>
      </c>
      <c r="AB212" s="3378" t="s">
        <v>32</v>
      </c>
      <c r="AC212" s="3378" t="s">
        <v>32</v>
      </c>
      <c r="AD212" s="3380" t="s">
        <v>32</v>
      </c>
      <c r="AE212" s="3380"/>
      <c r="AF212" s="3380"/>
      <c r="AG212" s="3255" t="s">
        <v>32</v>
      </c>
      <c r="AH212" s="176"/>
      <c r="AI212" s="177"/>
    </row>
    <row r="213" spans="1:35" ht="22.35" customHeight="1">
      <c r="A213" s="249">
        <v>1</v>
      </c>
      <c r="B213" s="3601" t="s">
        <v>280</v>
      </c>
      <c r="C213" s="3378"/>
      <c r="D213" s="3378"/>
      <c r="E213" s="3391" t="s">
        <v>32</v>
      </c>
      <c r="F213" s="3378" t="s">
        <v>32</v>
      </c>
      <c r="G213" s="3378" t="s">
        <v>32</v>
      </c>
      <c r="H213" s="3378" t="s">
        <v>32</v>
      </c>
      <c r="I213" s="3378" t="s">
        <v>32</v>
      </c>
      <c r="J213" s="3378"/>
      <c r="K213" s="3378"/>
      <c r="L213" s="3378" t="s">
        <v>32</v>
      </c>
      <c r="M213" s="3378" t="s">
        <v>32</v>
      </c>
      <c r="N213" s="3382" t="s">
        <v>32</v>
      </c>
      <c r="O213" s="3382" t="s">
        <v>32</v>
      </c>
      <c r="P213" s="3382" t="s">
        <v>32</v>
      </c>
      <c r="Q213" s="3380"/>
      <c r="R213" s="3382"/>
      <c r="S213" s="3378" t="s">
        <v>32</v>
      </c>
      <c r="T213" s="3378" t="s">
        <v>32</v>
      </c>
      <c r="U213" s="3382" t="s">
        <v>32</v>
      </c>
      <c r="V213" s="3382" t="s">
        <v>32</v>
      </c>
      <c r="W213" s="3382" t="s">
        <v>32</v>
      </c>
      <c r="X213" s="3382"/>
      <c r="Y213" s="3382"/>
      <c r="Z213" s="3378" t="s">
        <v>32</v>
      </c>
      <c r="AA213" s="3378" t="s">
        <v>32</v>
      </c>
      <c r="AB213" s="3378" t="s">
        <v>32</v>
      </c>
      <c r="AC213" s="3378" t="s">
        <v>32</v>
      </c>
      <c r="AD213" s="3380" t="s">
        <v>32</v>
      </c>
      <c r="AE213" s="3380"/>
      <c r="AF213" s="3380"/>
      <c r="AG213" s="3255" t="s">
        <v>32</v>
      </c>
      <c r="AH213" s="181"/>
      <c r="AI213" s="182"/>
    </row>
    <row r="214" spans="1:35" ht="21" customHeight="1">
      <c r="A214" s="3598"/>
      <c r="B214" s="3602" t="s">
        <v>281</v>
      </c>
      <c r="C214" s="3378"/>
      <c r="D214" s="3378"/>
      <c r="E214" s="3378" t="s">
        <v>32</v>
      </c>
      <c r="F214" s="3378" t="s">
        <v>32</v>
      </c>
      <c r="G214" s="3378" t="s">
        <v>32</v>
      </c>
      <c r="H214" s="3378" t="s">
        <v>32</v>
      </c>
      <c r="I214" s="3378" t="s">
        <v>32</v>
      </c>
      <c r="J214" s="3378"/>
      <c r="K214" s="3378"/>
      <c r="L214" s="3378" t="s">
        <v>32</v>
      </c>
      <c r="M214" s="3378" t="s">
        <v>32</v>
      </c>
      <c r="N214" s="3382" t="s">
        <v>32</v>
      </c>
      <c r="O214" s="3382" t="s">
        <v>32</v>
      </c>
      <c r="P214" s="3382" t="s">
        <v>32</v>
      </c>
      <c r="Q214" s="3380"/>
      <c r="R214" s="3382"/>
      <c r="S214" s="3378" t="s">
        <v>32</v>
      </c>
      <c r="T214" s="3378" t="s">
        <v>32</v>
      </c>
      <c r="U214" s="3382" t="s">
        <v>32</v>
      </c>
      <c r="V214" s="3382" t="s">
        <v>32</v>
      </c>
      <c r="W214" s="3382" t="s">
        <v>32</v>
      </c>
      <c r="X214" s="3378"/>
      <c r="Y214" s="3382"/>
      <c r="Z214" s="3378" t="s">
        <v>32</v>
      </c>
      <c r="AA214" s="3378" t="s">
        <v>32</v>
      </c>
      <c r="AB214" s="3378" t="s">
        <v>32</v>
      </c>
      <c r="AC214" s="3378" t="s">
        <v>32</v>
      </c>
      <c r="AD214" s="3382" t="s">
        <v>32</v>
      </c>
      <c r="AE214" s="3382"/>
      <c r="AF214" s="3382"/>
      <c r="AG214" s="3255" t="s">
        <v>32</v>
      </c>
      <c r="AH214" s="181"/>
      <c r="AI214" s="182"/>
    </row>
    <row r="215" spans="1:35" ht="21" customHeight="1">
      <c r="A215" s="3600">
        <v>2</v>
      </c>
      <c r="B215" s="3388" t="s">
        <v>282</v>
      </c>
      <c r="C215" s="3378"/>
      <c r="D215" s="3378"/>
      <c r="E215" s="3378" t="s">
        <v>32</v>
      </c>
      <c r="F215" s="3378" t="s">
        <v>32</v>
      </c>
      <c r="G215" s="3378" t="s">
        <v>32</v>
      </c>
      <c r="H215" s="3378" t="s">
        <v>32</v>
      </c>
      <c r="I215" s="3378" t="s">
        <v>32</v>
      </c>
      <c r="J215" s="3378"/>
      <c r="K215" s="3378"/>
      <c r="L215" s="3378" t="s">
        <v>32</v>
      </c>
      <c r="M215" s="3378" t="s">
        <v>32</v>
      </c>
      <c r="N215" s="3382" t="s">
        <v>32</v>
      </c>
      <c r="O215" s="3382" t="s">
        <v>32</v>
      </c>
      <c r="P215" s="3382" t="s">
        <v>32</v>
      </c>
      <c r="Q215" s="3380"/>
      <c r="R215" s="3382"/>
      <c r="S215" s="3378" t="s">
        <v>32</v>
      </c>
      <c r="T215" s="3378" t="s">
        <v>32</v>
      </c>
      <c r="U215" s="3382" t="s">
        <v>32</v>
      </c>
      <c r="V215" s="3683" t="s">
        <v>32</v>
      </c>
      <c r="W215" s="3683" t="s">
        <v>32</v>
      </c>
      <c r="X215" s="3683" t="s">
        <v>32</v>
      </c>
      <c r="Y215" s="3683" t="s">
        <v>32</v>
      </c>
      <c r="Z215" s="3683" t="s">
        <v>32</v>
      </c>
      <c r="AA215" s="3683" t="s">
        <v>32</v>
      </c>
      <c r="AB215" s="3125" t="s">
        <v>32</v>
      </c>
      <c r="AC215" s="3378" t="s">
        <v>32</v>
      </c>
      <c r="AD215" s="3382" t="s">
        <v>32</v>
      </c>
      <c r="AE215" s="3382"/>
      <c r="AF215" s="3382"/>
      <c r="AG215" s="3255" t="s">
        <v>32</v>
      </c>
      <c r="AH215" s="181"/>
      <c r="AI215" s="182"/>
    </row>
    <row r="216" spans="1:35" ht="21" customHeight="1">
      <c r="A216" s="3600">
        <v>3</v>
      </c>
      <c r="B216" s="3388" t="s">
        <v>283</v>
      </c>
      <c r="C216" s="3378"/>
      <c r="D216" s="3378"/>
      <c r="E216" s="3378" t="s">
        <v>32</v>
      </c>
      <c r="F216" s="3378" t="s">
        <v>32</v>
      </c>
      <c r="G216" s="3378" t="s">
        <v>32</v>
      </c>
      <c r="H216" s="3378" t="s">
        <v>32</v>
      </c>
      <c r="I216" s="3378" t="s">
        <v>32</v>
      </c>
      <c r="J216" s="3378"/>
      <c r="K216" s="3378"/>
      <c r="L216" s="3378" t="s">
        <v>32</v>
      </c>
      <c r="M216" s="3378" t="s">
        <v>32</v>
      </c>
      <c r="N216" s="3382" t="s">
        <v>32</v>
      </c>
      <c r="O216" s="3382" t="s">
        <v>32</v>
      </c>
      <c r="P216" s="3382" t="s">
        <v>32</v>
      </c>
      <c r="Q216" s="3380"/>
      <c r="R216" s="3382"/>
      <c r="S216" s="3236" t="s">
        <v>32</v>
      </c>
      <c r="T216" s="3236" t="s">
        <v>32</v>
      </c>
      <c r="U216" s="3382" t="s">
        <v>32</v>
      </c>
      <c r="V216" s="3382" t="s">
        <v>32</v>
      </c>
      <c r="W216" s="3382" t="s">
        <v>32</v>
      </c>
      <c r="X216" s="3378"/>
      <c r="Y216" s="3387"/>
      <c r="Z216" s="3378" t="s">
        <v>32</v>
      </c>
      <c r="AA216" s="3378" t="s">
        <v>32</v>
      </c>
      <c r="AB216" s="3378" t="s">
        <v>32</v>
      </c>
      <c r="AC216" s="3378" t="s">
        <v>32</v>
      </c>
      <c r="AD216" s="3387" t="s">
        <v>32</v>
      </c>
      <c r="AE216" s="3380"/>
      <c r="AF216" s="3380"/>
      <c r="AG216" s="3255" t="s">
        <v>32</v>
      </c>
      <c r="AH216" s="181"/>
      <c r="AI216" s="182"/>
    </row>
    <row r="217" spans="1:35" ht="21" customHeight="1">
      <c r="A217" s="3600">
        <v>4</v>
      </c>
      <c r="B217" s="3602" t="s">
        <v>284</v>
      </c>
      <c r="C217" s="3378"/>
      <c r="D217" s="3378"/>
      <c r="E217" s="3378" t="s">
        <v>32</v>
      </c>
      <c r="F217" s="3378" t="s">
        <v>32</v>
      </c>
      <c r="G217" s="3378" t="s">
        <v>32</v>
      </c>
      <c r="H217" s="3378" t="s">
        <v>32</v>
      </c>
      <c r="I217" s="3378" t="s">
        <v>32</v>
      </c>
      <c r="J217" s="3378"/>
      <c r="K217" s="3378"/>
      <c r="L217" s="3378" t="s">
        <v>32</v>
      </c>
      <c r="M217" s="3378" t="s">
        <v>32</v>
      </c>
      <c r="N217" s="3382" t="s">
        <v>32</v>
      </c>
      <c r="O217" s="3382" t="s">
        <v>32</v>
      </c>
      <c r="P217" s="3382" t="s">
        <v>32</v>
      </c>
      <c r="Q217" s="3380"/>
      <c r="R217" s="3382"/>
      <c r="S217" s="3378" t="s">
        <v>32</v>
      </c>
      <c r="T217" s="3378" t="s">
        <v>32</v>
      </c>
      <c r="U217" s="3382" t="s">
        <v>32</v>
      </c>
      <c r="V217" s="3382" t="s">
        <v>32</v>
      </c>
      <c r="W217" s="3382" t="s">
        <v>32</v>
      </c>
      <c r="X217" s="3378"/>
      <c r="Y217" s="3382"/>
      <c r="Z217" s="3378" t="s">
        <v>32</v>
      </c>
      <c r="AA217" s="3378" t="s">
        <v>32</v>
      </c>
      <c r="AB217" s="3378" t="s">
        <v>32</v>
      </c>
      <c r="AC217" s="3378" t="s">
        <v>32</v>
      </c>
      <c r="AD217" s="3380" t="s">
        <v>32</v>
      </c>
      <c r="AE217" s="3380"/>
      <c r="AF217" s="3380"/>
      <c r="AG217" s="3255" t="s">
        <v>32</v>
      </c>
      <c r="AH217" s="181"/>
      <c r="AI217" s="182"/>
    </row>
    <row r="218" spans="1:35" ht="22.35" customHeight="1">
      <c r="A218" s="3600">
        <v>5</v>
      </c>
      <c r="B218" s="3388" t="s">
        <v>285</v>
      </c>
      <c r="C218" s="3378"/>
      <c r="D218" s="3378"/>
      <c r="E218" s="3378" t="s">
        <v>32</v>
      </c>
      <c r="F218" s="3378" t="s">
        <v>32</v>
      </c>
      <c r="G218" s="3378" t="s">
        <v>32</v>
      </c>
      <c r="H218" s="3684" t="s">
        <v>32</v>
      </c>
      <c r="I218" s="3378" t="s">
        <v>32</v>
      </c>
      <c r="J218" s="3378"/>
      <c r="K218" s="3378"/>
      <c r="L218" s="3378" t="s">
        <v>32</v>
      </c>
      <c r="M218" s="3378" t="s">
        <v>32</v>
      </c>
      <c r="N218" s="3382" t="s">
        <v>32</v>
      </c>
      <c r="O218" s="3382" t="s">
        <v>32</v>
      </c>
      <c r="P218" s="3382" t="s">
        <v>32</v>
      </c>
      <c r="Q218" s="3380"/>
      <c r="R218" s="3382"/>
      <c r="S218" s="3378" t="s">
        <v>32</v>
      </c>
      <c r="T218" s="3378" t="s">
        <v>32</v>
      </c>
      <c r="U218" s="3382" t="s">
        <v>32</v>
      </c>
      <c r="V218" s="3382" t="s">
        <v>32</v>
      </c>
      <c r="W218" s="3382" t="s">
        <v>32</v>
      </c>
      <c r="X218" s="3378"/>
      <c r="Y218" s="3382"/>
      <c r="Z218" s="3378" t="s">
        <v>32</v>
      </c>
      <c r="AA218" s="3378" t="s">
        <v>32</v>
      </c>
      <c r="AB218" s="3378" t="s">
        <v>32</v>
      </c>
      <c r="AC218" s="3378" t="s">
        <v>32</v>
      </c>
      <c r="AD218" s="3382" t="s">
        <v>32</v>
      </c>
      <c r="AE218" s="3382"/>
      <c r="AF218" s="3382"/>
      <c r="AG218" s="3255" t="s">
        <v>32</v>
      </c>
      <c r="AH218" s="181"/>
      <c r="AI218" s="182"/>
    </row>
    <row r="219" spans="1:35" ht="22.35" customHeight="1">
      <c r="A219" s="3600">
        <v>6</v>
      </c>
      <c r="B219" s="3388" t="s">
        <v>286</v>
      </c>
      <c r="C219" s="3378"/>
      <c r="D219" s="3378"/>
      <c r="E219" s="3378" t="s">
        <v>32</v>
      </c>
      <c r="F219" s="3603" t="s">
        <v>32</v>
      </c>
      <c r="G219" s="3603" t="s">
        <v>32</v>
      </c>
      <c r="H219" s="3378" t="s">
        <v>32</v>
      </c>
      <c r="I219" s="3378" t="s">
        <v>32</v>
      </c>
      <c r="J219" s="3378"/>
      <c r="K219" s="3378"/>
      <c r="L219" s="3378" t="s">
        <v>32</v>
      </c>
      <c r="M219" s="3378" t="s">
        <v>32</v>
      </c>
      <c r="N219" s="3382" t="s">
        <v>32</v>
      </c>
      <c r="O219" s="3382" t="s">
        <v>32</v>
      </c>
      <c r="P219" s="3382" t="s">
        <v>32</v>
      </c>
      <c r="Q219" s="3380"/>
      <c r="R219" s="3382"/>
      <c r="S219" s="3378" t="s">
        <v>32</v>
      </c>
      <c r="T219" s="3378" t="s">
        <v>32</v>
      </c>
      <c r="U219" s="3685" t="s">
        <v>32</v>
      </c>
      <c r="V219" s="3685" t="s">
        <v>32</v>
      </c>
      <c r="W219" s="3685" t="s">
        <v>278</v>
      </c>
      <c r="X219" s="3125"/>
      <c r="Y219" s="3125"/>
      <c r="Z219" s="3125" t="s">
        <v>32</v>
      </c>
      <c r="AA219" s="3125" t="s">
        <v>32</v>
      </c>
      <c r="AB219" s="3125" t="s">
        <v>32</v>
      </c>
      <c r="AC219" s="3236" t="s">
        <v>32</v>
      </c>
      <c r="AD219" s="3603" t="s">
        <v>32</v>
      </c>
      <c r="AE219" s="3382"/>
      <c r="AF219" s="3382"/>
      <c r="AG219" s="3255" t="s">
        <v>32</v>
      </c>
      <c r="AH219" s="181"/>
      <c r="AI219" s="182"/>
    </row>
    <row r="220" spans="1:35" ht="22.35" customHeight="1">
      <c r="A220" s="3600">
        <v>7</v>
      </c>
      <c r="B220" s="3388" t="s">
        <v>287</v>
      </c>
      <c r="C220" s="3378"/>
      <c r="D220" s="3378"/>
      <c r="E220" s="3378" t="s">
        <v>32</v>
      </c>
      <c r="F220" s="3378" t="s">
        <v>32</v>
      </c>
      <c r="G220" s="3378" t="s">
        <v>32</v>
      </c>
      <c r="H220" s="3378" t="s">
        <v>32</v>
      </c>
      <c r="I220" s="3378" t="s">
        <v>32</v>
      </c>
      <c r="J220" s="3378"/>
      <c r="K220" s="3378"/>
      <c r="L220" s="3378" t="s">
        <v>32</v>
      </c>
      <c r="M220" s="3378" t="s">
        <v>32</v>
      </c>
      <c r="N220" s="3382" t="s">
        <v>32</v>
      </c>
      <c r="O220" s="3382" t="s">
        <v>32</v>
      </c>
      <c r="P220" s="3382" t="s">
        <v>32</v>
      </c>
      <c r="Q220" s="3380"/>
      <c r="R220" s="3382"/>
      <c r="S220" s="3382" t="s">
        <v>32</v>
      </c>
      <c r="T220" s="3378" t="s">
        <v>32</v>
      </c>
      <c r="U220" s="3382" t="s">
        <v>32</v>
      </c>
      <c r="V220" s="3382" t="s">
        <v>32</v>
      </c>
      <c r="W220" s="3382" t="s">
        <v>32</v>
      </c>
      <c r="X220" s="3378"/>
      <c r="Y220" s="3382"/>
      <c r="Z220" s="3378" t="s">
        <v>32</v>
      </c>
      <c r="AA220" s="3378" t="s">
        <v>32</v>
      </c>
      <c r="AB220" s="3378" t="s">
        <v>32</v>
      </c>
      <c r="AC220" s="3378" t="s">
        <v>32</v>
      </c>
      <c r="AD220" s="3378" t="s">
        <v>32</v>
      </c>
      <c r="AE220" s="3378"/>
      <c r="AF220" s="3378"/>
      <c r="AG220" s="3255" t="s">
        <v>32</v>
      </c>
      <c r="AH220" s="181"/>
      <c r="AI220" s="182"/>
    </row>
    <row r="221" spans="1:35" ht="22.35" customHeight="1">
      <c r="A221" s="3600">
        <v>8</v>
      </c>
      <c r="B221" s="3388" t="s">
        <v>288</v>
      </c>
      <c r="C221" s="3378"/>
      <c r="D221" s="3378"/>
      <c r="E221" s="3378" t="s">
        <v>32</v>
      </c>
      <c r="F221" s="3378" t="s">
        <v>32</v>
      </c>
      <c r="G221" s="3603" t="s">
        <v>32</v>
      </c>
      <c r="H221" s="3378" t="s">
        <v>32</v>
      </c>
      <c r="I221" s="3378" t="s">
        <v>32</v>
      </c>
      <c r="J221" s="3378"/>
      <c r="K221" s="3378"/>
      <c r="L221" s="3378" t="s">
        <v>32</v>
      </c>
      <c r="M221" s="3378" t="s">
        <v>32</v>
      </c>
      <c r="N221" s="3382" t="s">
        <v>32</v>
      </c>
      <c r="O221" s="3382" t="s">
        <v>32</v>
      </c>
      <c r="P221" s="3382" t="s">
        <v>32</v>
      </c>
      <c r="Q221" s="3380"/>
      <c r="R221" s="3382"/>
      <c r="S221" s="3603" t="s">
        <v>32</v>
      </c>
      <c r="T221" s="3378" t="s">
        <v>32</v>
      </c>
      <c r="U221" s="3236" t="s">
        <v>32</v>
      </c>
      <c r="V221" s="3382" t="s">
        <v>32</v>
      </c>
      <c r="W221" s="3382" t="s">
        <v>32</v>
      </c>
      <c r="X221" s="3378"/>
      <c r="Y221" s="3605"/>
      <c r="Z221" s="3605" t="s">
        <v>32</v>
      </c>
      <c r="AA221" s="3605" t="s">
        <v>32</v>
      </c>
      <c r="AB221" s="3605" t="s">
        <v>32</v>
      </c>
      <c r="AC221" s="3605" t="s">
        <v>32</v>
      </c>
      <c r="AD221" s="3605" t="s">
        <v>278</v>
      </c>
      <c r="AE221" s="3125"/>
      <c r="AF221" s="3125"/>
      <c r="AG221" s="3255" t="s">
        <v>32</v>
      </c>
      <c r="AH221" s="181"/>
      <c r="AI221" s="182"/>
    </row>
    <row r="222" spans="1:35" ht="22.35" customHeight="1">
      <c r="A222" s="3600">
        <v>9</v>
      </c>
      <c r="B222" s="3388" t="s">
        <v>289</v>
      </c>
      <c r="C222" s="3686"/>
      <c r="D222" s="3686"/>
      <c r="E222" s="3686" t="s">
        <v>32</v>
      </c>
      <c r="F222" s="3605" t="s">
        <v>32</v>
      </c>
      <c r="G222" s="3605" t="s">
        <v>32</v>
      </c>
      <c r="H222" s="3605" t="s">
        <v>32</v>
      </c>
      <c r="I222" s="3605" t="s">
        <v>278</v>
      </c>
      <c r="J222" s="3378"/>
      <c r="K222" s="3378"/>
      <c r="L222" s="3378" t="s">
        <v>32</v>
      </c>
      <c r="M222" s="3378" t="s">
        <v>32</v>
      </c>
      <c r="N222" s="3378" t="s">
        <v>32</v>
      </c>
      <c r="O222" s="3378" t="s">
        <v>32</v>
      </c>
      <c r="P222" s="3382" t="s">
        <v>32</v>
      </c>
      <c r="Q222" s="3380"/>
      <c r="R222" s="3382"/>
      <c r="S222" s="3378" t="s">
        <v>32</v>
      </c>
      <c r="T222" s="3378" t="s">
        <v>32</v>
      </c>
      <c r="U222" s="3382" t="s">
        <v>32</v>
      </c>
      <c r="V222" s="3382" t="s">
        <v>32</v>
      </c>
      <c r="W222" s="3382" t="s">
        <v>32</v>
      </c>
      <c r="X222" s="3378"/>
      <c r="Y222" s="3382"/>
      <c r="Z222" s="3378" t="s">
        <v>32</v>
      </c>
      <c r="AA222" s="3378" t="s">
        <v>32</v>
      </c>
      <c r="AB222" s="3378" t="s">
        <v>32</v>
      </c>
      <c r="AC222" s="3378" t="s">
        <v>32</v>
      </c>
      <c r="AD222" s="3382" t="s">
        <v>32</v>
      </c>
      <c r="AE222" s="3382"/>
      <c r="AF222" s="3382"/>
      <c r="AG222" s="3262" t="s">
        <v>32</v>
      </c>
      <c r="AH222" s="181"/>
      <c r="AI222" s="182"/>
    </row>
    <row r="223" spans="1:35" ht="22.35" customHeight="1">
      <c r="A223" s="3604">
        <v>10</v>
      </c>
      <c r="B223" s="3388" t="s">
        <v>290</v>
      </c>
      <c r="C223" s="3378"/>
      <c r="D223" s="3378"/>
      <c r="E223" s="3378" t="s">
        <v>32</v>
      </c>
      <c r="F223" s="3391" t="s">
        <v>32</v>
      </c>
      <c r="G223" s="3378" t="s">
        <v>32</v>
      </c>
      <c r="H223" s="3391" t="s">
        <v>32</v>
      </c>
      <c r="I223" s="3378" t="s">
        <v>32</v>
      </c>
      <c r="J223" s="3378"/>
      <c r="K223" s="3378"/>
      <c r="L223" s="3378" t="s">
        <v>32</v>
      </c>
      <c r="M223" s="3391" t="s">
        <v>32</v>
      </c>
      <c r="N223" s="3382" t="s">
        <v>32</v>
      </c>
      <c r="O223" s="3391" t="s">
        <v>32</v>
      </c>
      <c r="P223" s="3382" t="s">
        <v>32</v>
      </c>
      <c r="Q223" s="3380"/>
      <c r="R223" s="3382"/>
      <c r="S223" s="3378" t="s">
        <v>32</v>
      </c>
      <c r="T223" s="3236" t="s">
        <v>32</v>
      </c>
      <c r="U223" s="3382" t="s">
        <v>32</v>
      </c>
      <c r="V223" s="3236" t="s">
        <v>32</v>
      </c>
      <c r="W223" s="3382" t="s">
        <v>32</v>
      </c>
      <c r="X223" s="3378"/>
      <c r="Y223" s="3382"/>
      <c r="Z223" s="3378" t="s">
        <v>32</v>
      </c>
      <c r="AA223" s="3236" t="s">
        <v>32</v>
      </c>
      <c r="AB223" s="3378" t="s">
        <v>32</v>
      </c>
      <c r="AC223" s="3236" t="s">
        <v>32</v>
      </c>
      <c r="AD223" s="3382" t="s">
        <v>32</v>
      </c>
      <c r="AE223" s="3382"/>
      <c r="AF223" s="3382"/>
      <c r="AG223" s="3263" t="s">
        <v>32</v>
      </c>
      <c r="AH223" s="181"/>
      <c r="AI223" s="182"/>
    </row>
    <row r="224" spans="1:35" ht="22.35" customHeight="1">
      <c r="A224" s="3600">
        <v>11</v>
      </c>
      <c r="B224" s="3388" t="s">
        <v>291</v>
      </c>
      <c r="C224" s="3378"/>
      <c r="D224" s="3378"/>
      <c r="E224" s="3391" t="s">
        <v>32</v>
      </c>
      <c r="F224" s="3378" t="s">
        <v>32</v>
      </c>
      <c r="G224" s="3378" t="s">
        <v>32</v>
      </c>
      <c r="H224" s="3378" t="s">
        <v>32</v>
      </c>
      <c r="I224" s="3378" t="s">
        <v>32</v>
      </c>
      <c r="J224" s="3378"/>
      <c r="K224" s="3378"/>
      <c r="L224" s="3378" t="s">
        <v>32</v>
      </c>
      <c r="M224" s="3378" t="s">
        <v>32</v>
      </c>
      <c r="N224" s="3382" t="s">
        <v>32</v>
      </c>
      <c r="O224" s="3382" t="s">
        <v>32</v>
      </c>
      <c r="P224" s="3382" t="s">
        <v>32</v>
      </c>
      <c r="Q224" s="3380"/>
      <c r="R224" s="3382"/>
      <c r="S224" s="3382" t="s">
        <v>32</v>
      </c>
      <c r="T224" s="3568" t="s">
        <v>32</v>
      </c>
      <c r="U224" s="3568" t="s">
        <v>278</v>
      </c>
      <c r="V224" s="3125" t="s">
        <v>32</v>
      </c>
      <c r="W224" s="3125" t="s">
        <v>32</v>
      </c>
      <c r="X224" s="3378"/>
      <c r="Y224" s="3382"/>
      <c r="Z224" s="3378" t="s">
        <v>32</v>
      </c>
      <c r="AA224" s="3378" t="s">
        <v>32</v>
      </c>
      <c r="AB224" s="3378" t="s">
        <v>32</v>
      </c>
      <c r="AC224" s="3378" t="s">
        <v>32</v>
      </c>
      <c r="AD224" s="3378" t="s">
        <v>32</v>
      </c>
      <c r="AE224" s="3378"/>
      <c r="AF224" s="3378"/>
      <c r="AG224" s="3255" t="s">
        <v>32</v>
      </c>
      <c r="AH224" s="181"/>
      <c r="AI224" s="182"/>
    </row>
    <row r="225" spans="1:35" ht="22.35" customHeight="1">
      <c r="A225" s="3600">
        <v>12</v>
      </c>
      <c r="B225" s="3376" t="s">
        <v>420</v>
      </c>
      <c r="C225" s="3378"/>
      <c r="D225" s="3378"/>
      <c r="E225" s="3378" t="s">
        <v>32</v>
      </c>
      <c r="F225" s="3378" t="s">
        <v>32</v>
      </c>
      <c r="G225" s="3378" t="s">
        <v>32</v>
      </c>
      <c r="H225" s="3605" t="s">
        <v>32</v>
      </c>
      <c r="I225" s="3605" t="s">
        <v>32</v>
      </c>
      <c r="J225" s="3605"/>
      <c r="K225" s="3605"/>
      <c r="L225" s="3605" t="s">
        <v>32</v>
      </c>
      <c r="M225" s="3605" t="s">
        <v>32</v>
      </c>
      <c r="N225" s="3605" t="s">
        <v>32</v>
      </c>
      <c r="O225" s="3605" t="s">
        <v>32</v>
      </c>
      <c r="P225" s="3382" t="s">
        <v>32</v>
      </c>
      <c r="Q225" s="3380"/>
      <c r="R225" s="3382"/>
      <c r="S225" s="3378" t="s">
        <v>32</v>
      </c>
      <c r="T225" s="3378" t="s">
        <v>32</v>
      </c>
      <c r="U225" s="3382" t="s">
        <v>32</v>
      </c>
      <c r="V225" s="3382" t="s">
        <v>32</v>
      </c>
      <c r="W225" s="3382" t="s">
        <v>32</v>
      </c>
      <c r="X225" s="3378"/>
      <c r="Y225" s="3382"/>
      <c r="Z225" s="3378" t="s">
        <v>32</v>
      </c>
      <c r="AA225" s="3378" t="s">
        <v>32</v>
      </c>
      <c r="AB225" s="3378" t="s">
        <v>32</v>
      </c>
      <c r="AC225" s="3378" t="s">
        <v>32</v>
      </c>
      <c r="AD225" s="3378" t="s">
        <v>32</v>
      </c>
      <c r="AE225" s="3387"/>
      <c r="AF225" s="3378"/>
      <c r="AG225" s="3255" t="s">
        <v>32</v>
      </c>
      <c r="AH225" s="181"/>
      <c r="AI225" s="182"/>
    </row>
    <row r="226" spans="1:35" ht="22.35" customHeight="1">
      <c r="A226" s="3600"/>
      <c r="B226" s="3602" t="s">
        <v>293</v>
      </c>
      <c r="C226" s="3378"/>
      <c r="D226" s="3378"/>
      <c r="E226" s="3378" t="s">
        <v>32</v>
      </c>
      <c r="F226" s="3378" t="s">
        <v>32</v>
      </c>
      <c r="G226" s="3378" t="s">
        <v>32</v>
      </c>
      <c r="H226" s="3378" t="s">
        <v>32</v>
      </c>
      <c r="I226" s="3378" t="s">
        <v>32</v>
      </c>
      <c r="J226" s="3378"/>
      <c r="K226" s="3378"/>
      <c r="L226" s="3378" t="s">
        <v>32</v>
      </c>
      <c r="M226" s="3378" t="s">
        <v>32</v>
      </c>
      <c r="N226" s="3382" t="s">
        <v>32</v>
      </c>
      <c r="O226" s="3382" t="s">
        <v>32</v>
      </c>
      <c r="P226" s="3382" t="s">
        <v>32</v>
      </c>
      <c r="Q226" s="3380"/>
      <c r="R226" s="3382"/>
      <c r="S226" s="3378" t="s">
        <v>32</v>
      </c>
      <c r="T226" s="3378" t="s">
        <v>32</v>
      </c>
      <c r="U226" s="3382" t="s">
        <v>32</v>
      </c>
      <c r="V226" s="3382" t="s">
        <v>32</v>
      </c>
      <c r="W226" s="3382" t="s">
        <v>32</v>
      </c>
      <c r="X226" s="3378"/>
      <c r="Y226" s="3382"/>
      <c r="Z226" s="3378" t="s">
        <v>32</v>
      </c>
      <c r="AA226" s="3378" t="s">
        <v>32</v>
      </c>
      <c r="AB226" s="3378" t="s">
        <v>32</v>
      </c>
      <c r="AC226" s="3378" t="s">
        <v>32</v>
      </c>
      <c r="AD226" s="3378" t="s">
        <v>32</v>
      </c>
      <c r="AE226" s="3378"/>
      <c r="AF226" s="3378"/>
      <c r="AG226" s="3255" t="s">
        <v>32</v>
      </c>
      <c r="AH226" s="181"/>
      <c r="AI226" s="182"/>
    </row>
    <row r="227" spans="1:35" ht="22.35" customHeight="1">
      <c r="A227" s="3600">
        <v>13</v>
      </c>
      <c r="B227" s="3388" t="s">
        <v>294</v>
      </c>
      <c r="C227" s="3687"/>
      <c r="D227" s="3687"/>
      <c r="E227" s="3687" t="s">
        <v>32</v>
      </c>
      <c r="F227" s="3687" t="s">
        <v>32</v>
      </c>
      <c r="G227" s="3687" t="s">
        <v>32</v>
      </c>
      <c r="H227" s="3687" t="s">
        <v>32</v>
      </c>
      <c r="I227" s="3687" t="s">
        <v>32</v>
      </c>
      <c r="J227" s="3687"/>
      <c r="K227" s="3687"/>
      <c r="L227" s="3687" t="s">
        <v>32</v>
      </c>
      <c r="M227" s="3687" t="s">
        <v>32</v>
      </c>
      <c r="N227" s="3687" t="s">
        <v>32</v>
      </c>
      <c r="O227" s="3687" t="s">
        <v>32</v>
      </c>
      <c r="P227" s="3687" t="s">
        <v>32</v>
      </c>
      <c r="Q227" s="3687"/>
      <c r="R227" s="3687"/>
      <c r="S227" s="3687" t="s">
        <v>32</v>
      </c>
      <c r="T227" s="3687" t="s">
        <v>32</v>
      </c>
      <c r="U227" s="3687" t="s">
        <v>32</v>
      </c>
      <c r="V227" s="3687" t="s">
        <v>32</v>
      </c>
      <c r="W227" s="3687" t="s">
        <v>32</v>
      </c>
      <c r="X227" s="3687"/>
      <c r="Y227" s="3687"/>
      <c r="Z227" s="3687" t="s">
        <v>32</v>
      </c>
      <c r="AA227" s="3687" t="s">
        <v>32</v>
      </c>
      <c r="AB227" s="3687" t="s">
        <v>32</v>
      </c>
      <c r="AC227" s="3687" t="s">
        <v>32</v>
      </c>
      <c r="AD227" s="3687" t="s">
        <v>32</v>
      </c>
      <c r="AE227" s="3687"/>
      <c r="AF227" s="3687"/>
      <c r="AG227" s="3688" t="s">
        <v>32</v>
      </c>
      <c r="AH227" s="181"/>
      <c r="AI227" s="182"/>
    </row>
    <row r="228" spans="1:35" ht="22.35" customHeight="1">
      <c r="A228" s="3600">
        <v>14</v>
      </c>
      <c r="B228" s="3388" t="s">
        <v>295</v>
      </c>
      <c r="C228" s="3378"/>
      <c r="D228" s="3378"/>
      <c r="E228" s="3378" t="s">
        <v>32</v>
      </c>
      <c r="F228" s="3378" t="s">
        <v>32</v>
      </c>
      <c r="G228" s="3378" t="s">
        <v>32</v>
      </c>
      <c r="H228" s="3378" t="s">
        <v>32</v>
      </c>
      <c r="I228" s="3378" t="s">
        <v>32</v>
      </c>
      <c r="J228" s="3378"/>
      <c r="K228" s="3378"/>
      <c r="L228" s="3568" t="s">
        <v>32</v>
      </c>
      <c r="M228" s="3568" t="s">
        <v>32</v>
      </c>
      <c r="N228" s="3568" t="s">
        <v>278</v>
      </c>
      <c r="O228" s="3382" t="s">
        <v>32</v>
      </c>
      <c r="P228" s="3382" t="s">
        <v>32</v>
      </c>
      <c r="Q228" s="3380"/>
      <c r="R228" s="3382"/>
      <c r="S228" s="3378" t="s">
        <v>32</v>
      </c>
      <c r="T228" s="3378" t="s">
        <v>32</v>
      </c>
      <c r="U228" s="3382" t="s">
        <v>32</v>
      </c>
      <c r="V228" s="3382" t="s">
        <v>32</v>
      </c>
      <c r="W228" s="3382" t="s">
        <v>32</v>
      </c>
      <c r="X228" s="3378"/>
      <c r="Y228" s="3382"/>
      <c r="Z228" s="3378" t="s">
        <v>32</v>
      </c>
      <c r="AA228" s="3378" t="s">
        <v>32</v>
      </c>
      <c r="AB228" s="3378" t="s">
        <v>32</v>
      </c>
      <c r="AC228" s="3378" t="s">
        <v>32</v>
      </c>
      <c r="AD228" s="3378" t="s">
        <v>32</v>
      </c>
      <c r="AE228" s="3378"/>
      <c r="AF228" s="3382"/>
      <c r="AG228" s="3262" t="s">
        <v>32</v>
      </c>
      <c r="AH228" s="181"/>
      <c r="AI228" s="182"/>
    </row>
    <row r="229" spans="1:35" ht="22.35" customHeight="1">
      <c r="A229" s="3600">
        <v>15</v>
      </c>
      <c r="B229" s="3388" t="s">
        <v>296</v>
      </c>
      <c r="C229" s="3378"/>
      <c r="D229" s="3378"/>
      <c r="E229" s="3378" t="s">
        <v>32</v>
      </c>
      <c r="F229" s="3378" t="s">
        <v>32</v>
      </c>
      <c r="G229" s="3378" t="s">
        <v>32</v>
      </c>
      <c r="H229" s="3378" t="s">
        <v>32</v>
      </c>
      <c r="I229" s="3378" t="s">
        <v>32</v>
      </c>
      <c r="J229" s="3378"/>
      <c r="K229" s="3378"/>
      <c r="L229" s="3378" t="s">
        <v>32</v>
      </c>
      <c r="M229" s="3378" t="s">
        <v>32</v>
      </c>
      <c r="N229" s="3382" t="s">
        <v>32</v>
      </c>
      <c r="O229" s="3382" t="s">
        <v>32</v>
      </c>
      <c r="P229" s="3382" t="s">
        <v>32</v>
      </c>
      <c r="Q229" s="3380"/>
      <c r="R229" s="3382"/>
      <c r="S229" s="3568" t="s">
        <v>32</v>
      </c>
      <c r="T229" s="3568" t="s">
        <v>32</v>
      </c>
      <c r="U229" s="3568" t="s">
        <v>32</v>
      </c>
      <c r="V229" s="3568" t="s">
        <v>32</v>
      </c>
      <c r="W229" s="3568" t="s">
        <v>278</v>
      </c>
      <c r="X229" s="3378"/>
      <c r="Y229" s="3382"/>
      <c r="Z229" s="3378" t="s">
        <v>32</v>
      </c>
      <c r="AA229" s="3378" t="s">
        <v>32</v>
      </c>
      <c r="AB229" s="3378" t="s">
        <v>32</v>
      </c>
      <c r="AC229" s="3378" t="s">
        <v>32</v>
      </c>
      <c r="AD229" s="3378" t="s">
        <v>32</v>
      </c>
      <c r="AE229" s="3378"/>
      <c r="AF229" s="3378"/>
      <c r="AG229" s="3255" t="s">
        <v>32</v>
      </c>
      <c r="AH229" s="178"/>
      <c r="AI229" s="107"/>
    </row>
    <row r="230" spans="1:35" ht="22.35" customHeight="1">
      <c r="A230" s="3600">
        <v>16</v>
      </c>
      <c r="B230" s="3388" t="s">
        <v>297</v>
      </c>
      <c r="C230" s="3378"/>
      <c r="D230" s="3378"/>
      <c r="E230" s="3378" t="s">
        <v>32</v>
      </c>
      <c r="F230" s="3391" t="s">
        <v>32</v>
      </c>
      <c r="G230" s="3378" t="s">
        <v>32</v>
      </c>
      <c r="H230" s="3378" t="s">
        <v>32</v>
      </c>
      <c r="I230" s="3378" t="s">
        <v>32</v>
      </c>
      <c r="J230" s="3378"/>
      <c r="K230" s="3378"/>
      <c r="L230" s="3378" t="s">
        <v>32</v>
      </c>
      <c r="M230" s="3378" t="s">
        <v>32</v>
      </c>
      <c r="N230" s="3568" t="s">
        <v>32</v>
      </c>
      <c r="O230" s="3568" t="s">
        <v>32</v>
      </c>
      <c r="P230" s="3568" t="s">
        <v>32</v>
      </c>
      <c r="Q230" s="3568"/>
      <c r="R230" s="3568"/>
      <c r="S230" s="3568" t="s">
        <v>32</v>
      </c>
      <c r="T230" s="3568" t="s">
        <v>32</v>
      </c>
      <c r="U230" s="3568" t="s">
        <v>32</v>
      </c>
      <c r="V230" s="3568" t="s">
        <v>32</v>
      </c>
      <c r="W230" s="3568" t="s">
        <v>32</v>
      </c>
      <c r="X230" s="3568"/>
      <c r="Y230" s="3568"/>
      <c r="Z230" s="3568" t="s">
        <v>32</v>
      </c>
      <c r="AA230" s="3568" t="s">
        <v>32</v>
      </c>
      <c r="AB230" s="3568" t="s">
        <v>32</v>
      </c>
      <c r="AC230" s="3568" t="s">
        <v>32</v>
      </c>
      <c r="AD230" s="3568" t="s">
        <v>32</v>
      </c>
      <c r="AE230" s="3568"/>
      <c r="AF230" s="3568"/>
      <c r="AG230" s="3689" t="s">
        <v>278</v>
      </c>
      <c r="AH230" s="178"/>
      <c r="AI230" s="107"/>
    </row>
    <row r="231" spans="1:35" ht="22.35" customHeight="1">
      <c r="A231" s="3600"/>
      <c r="B231" s="3265"/>
      <c r="C231" s="3378"/>
      <c r="D231" s="3378"/>
      <c r="E231" s="3378"/>
      <c r="F231" s="3378"/>
      <c r="G231" s="3378"/>
      <c r="H231" s="3378"/>
      <c r="I231" s="3378"/>
      <c r="J231" s="3378"/>
      <c r="K231" s="3378"/>
      <c r="L231" s="3378"/>
      <c r="M231" s="3378"/>
      <c r="N231" s="3378"/>
      <c r="O231" s="3378"/>
      <c r="P231" s="3378"/>
      <c r="Q231" s="3378"/>
      <c r="R231" s="3378"/>
      <c r="S231" s="3378"/>
      <c r="T231" s="3378"/>
      <c r="U231" s="3378"/>
      <c r="V231" s="3378"/>
      <c r="W231" s="3378"/>
      <c r="X231" s="3378"/>
      <c r="Y231" s="3378"/>
      <c r="Z231" s="3378"/>
      <c r="AA231" s="3378"/>
      <c r="AB231" s="3378"/>
      <c r="AC231" s="3378"/>
      <c r="AD231" s="3378"/>
      <c r="AE231" s="3378"/>
      <c r="AF231" s="3378"/>
      <c r="AG231" s="3255"/>
      <c r="AH231" s="178"/>
      <c r="AI231" s="107"/>
    </row>
    <row r="232" spans="1:35" ht="22.35" customHeight="1">
      <c r="A232" s="3600"/>
      <c r="B232" s="3388"/>
      <c r="C232" s="3378"/>
      <c r="D232" s="3378"/>
      <c r="E232" s="3378"/>
      <c r="F232" s="3378"/>
      <c r="G232" s="3378"/>
      <c r="H232" s="3378"/>
      <c r="I232" s="3378"/>
      <c r="J232" s="3378"/>
      <c r="K232" s="3378"/>
      <c r="L232" s="3378"/>
      <c r="M232" s="3378"/>
      <c r="N232" s="3382"/>
      <c r="O232" s="3382"/>
      <c r="P232" s="3382"/>
      <c r="Q232" s="3380"/>
      <c r="R232" s="3382"/>
      <c r="S232" s="3378"/>
      <c r="T232" s="3378"/>
      <c r="U232" s="3382"/>
      <c r="V232" s="3382"/>
      <c r="W232" s="3382"/>
      <c r="X232" s="3378"/>
      <c r="Y232" s="3382"/>
      <c r="Z232" s="3378"/>
      <c r="AA232" s="3378"/>
      <c r="AB232" s="3378"/>
      <c r="AC232" s="3378"/>
      <c r="AD232" s="3378"/>
      <c r="AE232" s="3378"/>
      <c r="AF232" s="3382"/>
      <c r="AG232" s="3262"/>
      <c r="AH232" s="178"/>
      <c r="AI232" s="107"/>
    </row>
    <row r="233" spans="1:35" ht="22.35" customHeight="1">
      <c r="A233" s="3125"/>
      <c r="B233" s="3125"/>
      <c r="C233" s="3378"/>
      <c r="D233" s="3378"/>
      <c r="E233" s="3378"/>
      <c r="F233" s="3378"/>
      <c r="G233" s="3378"/>
      <c r="H233" s="3378"/>
      <c r="I233" s="3378"/>
      <c r="J233" s="3378"/>
      <c r="K233" s="3378"/>
      <c r="L233" s="3378"/>
      <c r="M233" s="3378"/>
      <c r="N233" s="3378"/>
      <c r="O233" s="3378"/>
      <c r="P233" s="3378"/>
      <c r="Q233" s="3378"/>
      <c r="R233" s="3378"/>
      <c r="S233" s="3378"/>
      <c r="T233" s="3378"/>
      <c r="U233" s="3378"/>
      <c r="V233" s="3378"/>
      <c r="W233" s="3378"/>
      <c r="X233" s="3378"/>
      <c r="Y233" s="3378"/>
      <c r="Z233" s="3378"/>
      <c r="AA233" s="3378"/>
      <c r="AB233" s="3378"/>
      <c r="AC233" s="3378"/>
      <c r="AD233" s="3378"/>
      <c r="AE233" s="3378"/>
      <c r="AF233" s="3378"/>
      <c r="AG233" s="3255"/>
      <c r="AH233" s="178"/>
      <c r="AI233" s="107"/>
    </row>
    <row r="234" spans="1:35" ht="22.35" customHeight="1">
      <c r="A234" s="3125"/>
      <c r="B234" s="3125"/>
      <c r="C234" s="3378"/>
      <c r="D234" s="3378"/>
      <c r="E234" s="3378"/>
      <c r="F234" s="3378"/>
      <c r="G234" s="3378"/>
      <c r="H234" s="3609"/>
      <c r="I234" s="3378"/>
      <c r="J234" s="3378"/>
      <c r="K234" s="3378"/>
      <c r="L234" s="3378"/>
      <c r="M234" s="3378"/>
      <c r="N234" s="3378"/>
      <c r="O234" s="3378"/>
      <c r="P234" s="3378"/>
      <c r="Q234" s="3378"/>
      <c r="R234" s="3378"/>
      <c r="S234" s="3378"/>
      <c r="T234" s="3378"/>
      <c r="U234" s="3378"/>
      <c r="V234" s="3378"/>
      <c r="W234" s="3378"/>
      <c r="X234" s="3378"/>
      <c r="Y234" s="3378"/>
      <c r="Z234" s="3378"/>
      <c r="AA234" s="3378"/>
      <c r="AB234" s="3378"/>
      <c r="AC234" s="3378"/>
      <c r="AD234" s="3378"/>
      <c r="AE234" s="3378"/>
      <c r="AF234" s="3378"/>
      <c r="AG234" s="3266"/>
      <c r="AH234" s="178"/>
      <c r="AI234" s="107"/>
    </row>
    <row r="235" spans="1:35" ht="22.35" customHeight="1">
      <c r="A235" s="3125"/>
      <c r="B235" s="3267"/>
      <c r="C235" s="3378"/>
      <c r="D235" s="3378"/>
      <c r="E235" s="3378"/>
      <c r="F235" s="3378"/>
      <c r="G235" s="3378"/>
      <c r="H235" s="3378"/>
      <c r="I235" s="3378"/>
      <c r="J235" s="3378"/>
      <c r="K235" s="3378"/>
      <c r="L235" s="3378"/>
      <c r="M235" s="3378"/>
      <c r="N235" s="3378"/>
      <c r="O235" s="3378"/>
      <c r="P235" s="3378"/>
      <c r="Q235" s="3378"/>
      <c r="R235" s="3378"/>
      <c r="S235" s="3378"/>
      <c r="T235" s="3378"/>
      <c r="U235" s="3378"/>
      <c r="V235" s="3378"/>
      <c r="W235" s="3378"/>
      <c r="X235" s="3378"/>
      <c r="Y235" s="3378"/>
      <c r="Z235" s="3378"/>
      <c r="AA235" s="3378"/>
      <c r="AB235" s="3378"/>
      <c r="AC235" s="3378"/>
      <c r="AD235" s="3378"/>
      <c r="AE235" s="3378"/>
      <c r="AF235" s="3378"/>
      <c r="AG235" s="3266"/>
      <c r="AH235" s="178"/>
      <c r="AI235" s="107"/>
    </row>
    <row r="236" spans="1:35" ht="22.35" customHeight="1">
      <c r="A236" s="3125"/>
      <c r="B236" s="3268"/>
      <c r="C236" s="3378"/>
      <c r="D236" s="3378"/>
      <c r="E236" s="3378"/>
      <c r="F236" s="3378"/>
      <c r="G236" s="3378"/>
      <c r="H236" s="3378"/>
      <c r="I236" s="3378"/>
      <c r="J236" s="3378"/>
      <c r="K236" s="3378"/>
      <c r="L236" s="3378"/>
      <c r="M236" s="3378"/>
      <c r="N236" s="3378"/>
      <c r="O236" s="3378"/>
      <c r="P236" s="3378"/>
      <c r="Q236" s="3378"/>
      <c r="R236" s="3378"/>
      <c r="S236" s="3378"/>
      <c r="T236" s="3378"/>
      <c r="U236" s="3378"/>
      <c r="V236" s="3378"/>
      <c r="W236" s="3378"/>
      <c r="X236" s="3378"/>
      <c r="Y236" s="3378"/>
      <c r="Z236" s="3378"/>
      <c r="AA236" s="3378"/>
      <c r="AB236" s="3378"/>
      <c r="AC236" s="3378"/>
      <c r="AD236" s="3378"/>
      <c r="AE236" s="3378"/>
      <c r="AF236" s="3378"/>
      <c r="AG236" s="3266"/>
      <c r="AH236" s="178"/>
      <c r="AI236" s="107"/>
    </row>
    <row r="237" spans="1:35" ht="22.35" customHeight="1">
      <c r="A237" s="3600"/>
      <c r="B237" s="122"/>
      <c r="C237" s="106"/>
      <c r="D237" s="106"/>
      <c r="E237" s="106"/>
      <c r="F237" s="106"/>
      <c r="G237" s="106"/>
      <c r="H237" s="106"/>
      <c r="I237" s="106"/>
      <c r="J237" s="106"/>
      <c r="L237" s="106"/>
      <c r="M237" s="106"/>
      <c r="N237" s="106"/>
      <c r="O237" s="106"/>
      <c r="P237" s="72"/>
      <c r="Q237" s="72"/>
      <c r="R237" s="72"/>
      <c r="S237" s="106"/>
      <c r="T237" s="106"/>
      <c r="U237" s="106"/>
      <c r="V237" s="106"/>
      <c r="W237" s="106"/>
      <c r="X237" s="106"/>
      <c r="Y237" s="106"/>
      <c r="Z237" s="106"/>
      <c r="AA237" s="106"/>
      <c r="AB237" s="106"/>
      <c r="AC237" s="106"/>
      <c r="AD237" s="106"/>
      <c r="AE237" s="106"/>
      <c r="AF237" s="106"/>
      <c r="AG237" s="106"/>
      <c r="AH237" s="107"/>
      <c r="AI237" s="107"/>
    </row>
    <row r="238" spans="1:35">
      <c r="A238" s="3600"/>
    </row>
    <row r="239" spans="1:35">
      <c r="A239" s="108"/>
    </row>
    <row r="241" spans="1:35" ht="21" customHeight="1" thickBot="1"/>
    <row r="242" spans="1:35" ht="21" customHeight="1">
      <c r="B242" s="396" t="s">
        <v>266</v>
      </c>
      <c r="C242" s="368"/>
      <c r="D242" s="384" t="s">
        <v>94</v>
      </c>
      <c r="E242" s="357"/>
      <c r="F242" s="372"/>
      <c r="G242" s="368"/>
      <c r="H242" s="384" t="s">
        <v>95</v>
      </c>
      <c r="I242" s="357"/>
      <c r="J242" s="372"/>
      <c r="K242" s="368"/>
      <c r="L242" s="384" t="s">
        <v>96</v>
      </c>
      <c r="M242" s="357"/>
      <c r="N242" s="372"/>
      <c r="O242" s="368"/>
      <c r="P242" s="384" t="s">
        <v>97</v>
      </c>
      <c r="Q242" s="357"/>
      <c r="R242" s="372"/>
      <c r="S242" s="368"/>
      <c r="T242" s="384" t="s">
        <v>98</v>
      </c>
      <c r="U242" s="357"/>
      <c r="V242" s="372"/>
      <c r="W242" s="368"/>
      <c r="X242" s="384" t="s">
        <v>99</v>
      </c>
      <c r="Y242" s="357"/>
      <c r="Z242" s="372"/>
      <c r="AA242" s="368"/>
      <c r="AB242" s="384" t="s">
        <v>100</v>
      </c>
      <c r="AC242" s="357"/>
      <c r="AD242" s="357"/>
      <c r="AE242" s="387" t="s">
        <v>101</v>
      </c>
      <c r="AF242" s="357"/>
      <c r="AG242" s="357"/>
      <c r="AH242" s="357"/>
      <c r="AI242" s="358"/>
    </row>
    <row r="243" spans="1:35" ht="21" customHeight="1">
      <c r="A243" s="161" t="s">
        <v>298</v>
      </c>
      <c r="B243" s="3"/>
      <c r="C243" s="537" t="s">
        <v>299</v>
      </c>
      <c r="D243" s="117"/>
      <c r="E243" s="533"/>
      <c r="F243" s="534"/>
      <c r="G243" s="537" t="s">
        <v>299</v>
      </c>
      <c r="H243" s="117"/>
      <c r="I243" s="533"/>
      <c r="J243" s="534"/>
      <c r="K243" s="537" t="s">
        <v>299</v>
      </c>
      <c r="L243" s="117"/>
      <c r="M243" s="533"/>
      <c r="N243" s="534"/>
      <c r="O243" s="537" t="s">
        <v>299</v>
      </c>
      <c r="P243" s="532"/>
      <c r="Q243" s="533"/>
      <c r="R243" s="534"/>
      <c r="S243" s="538" t="s">
        <v>300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B244" s="3269"/>
      <c r="C244" s="3571" t="s">
        <v>178</v>
      </c>
      <c r="D244" s="3270"/>
      <c r="E244" s="533"/>
      <c r="F244" s="534"/>
      <c r="G244" s="3571" t="s">
        <v>178</v>
      </c>
      <c r="H244" s="117"/>
      <c r="I244" s="533"/>
      <c r="J244" s="534"/>
      <c r="K244" s="3571" t="s">
        <v>178</v>
      </c>
      <c r="L244" s="117"/>
      <c r="M244" s="533"/>
      <c r="N244" s="534"/>
      <c r="O244" s="3571" t="s">
        <v>178</v>
      </c>
      <c r="P244" s="117"/>
      <c r="Q244" s="533"/>
      <c r="R244" s="534"/>
      <c r="S244" s="537" t="s">
        <v>301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3269"/>
      <c r="C245" s="3571" t="s">
        <v>181</v>
      </c>
      <c r="D245" s="3270"/>
      <c r="E245" s="533"/>
      <c r="F245" s="534"/>
      <c r="G245" s="3571" t="s">
        <v>181</v>
      </c>
      <c r="H245" s="117"/>
      <c r="I245" s="533"/>
      <c r="J245" s="534"/>
      <c r="K245" s="3571" t="s">
        <v>181</v>
      </c>
      <c r="L245" s="117"/>
      <c r="M245" s="533"/>
      <c r="N245" s="534"/>
      <c r="O245" s="3571" t="s">
        <v>181</v>
      </c>
      <c r="P245" s="117"/>
      <c r="Q245" s="533"/>
      <c r="R245" s="534"/>
      <c r="S245" s="3571" t="s">
        <v>176</v>
      </c>
      <c r="T245" s="117"/>
      <c r="U245" s="533"/>
      <c r="V245" s="534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A246" s="110"/>
      <c r="B246" s="3269"/>
      <c r="C246" s="3453"/>
      <c r="D246" s="3454"/>
      <c r="E246" s="165"/>
      <c r="F246" s="167"/>
      <c r="G246" s="3453"/>
      <c r="H246" s="3454"/>
      <c r="I246" s="165"/>
      <c r="J246" s="167"/>
      <c r="K246" s="3453"/>
      <c r="L246" s="3454"/>
      <c r="M246" s="165"/>
      <c r="N246" s="167"/>
      <c r="O246" s="3453"/>
      <c r="P246" s="3454"/>
      <c r="Q246" s="165"/>
      <c r="R246" s="167"/>
      <c r="S246" s="3453"/>
      <c r="T246" s="3454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3269"/>
      <c r="C247" s="3525"/>
      <c r="D247" s="3454"/>
      <c r="E247" s="165"/>
      <c r="F247" s="167"/>
      <c r="G247" s="117"/>
      <c r="H247" s="117"/>
      <c r="I247" s="165"/>
      <c r="J247" s="167"/>
      <c r="K247" s="117"/>
      <c r="L247" s="117"/>
      <c r="M247" s="165"/>
      <c r="N247" s="167"/>
      <c r="O247" s="117"/>
      <c r="P247" s="117"/>
      <c r="Q247" s="165"/>
      <c r="R247" s="167"/>
      <c r="S247" s="117"/>
      <c r="T247" s="117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3269" t="s">
        <v>148</v>
      </c>
      <c r="C248" s="3525" t="s">
        <v>302</v>
      </c>
      <c r="D248" s="3270"/>
      <c r="E248" s="533"/>
      <c r="F248" s="534"/>
      <c r="G248" s="3525" t="s">
        <v>302</v>
      </c>
      <c r="H248" s="3270"/>
      <c r="I248" s="533"/>
      <c r="J248" s="534"/>
      <c r="K248" s="3525" t="s">
        <v>302</v>
      </c>
      <c r="L248" s="3270"/>
      <c r="M248" s="533"/>
      <c r="N248" s="534"/>
      <c r="O248" s="3525" t="s">
        <v>302</v>
      </c>
      <c r="P248" s="3270"/>
      <c r="Q248" s="533"/>
      <c r="R248" s="534"/>
      <c r="S248" s="117" t="s">
        <v>303</v>
      </c>
      <c r="T248" s="117"/>
      <c r="U248" s="533"/>
      <c r="V248" s="534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B249" s="3269" t="s">
        <v>152</v>
      </c>
      <c r="C249" s="3525" t="s">
        <v>304</v>
      </c>
      <c r="D249" s="3270"/>
      <c r="E249" s="533"/>
      <c r="F249" s="534"/>
      <c r="G249" s="3525" t="s">
        <v>304</v>
      </c>
      <c r="H249" s="3270"/>
      <c r="I249" s="533"/>
      <c r="J249" s="534"/>
      <c r="K249" s="3525" t="s">
        <v>304</v>
      </c>
      <c r="L249" s="3270"/>
      <c r="M249" s="533"/>
      <c r="N249" s="534"/>
      <c r="O249" s="3525" t="s">
        <v>304</v>
      </c>
      <c r="P249" s="3270"/>
      <c r="Q249" s="533"/>
      <c r="R249" s="534"/>
      <c r="S249" s="117" t="s">
        <v>305</v>
      </c>
      <c r="T249" s="117"/>
      <c r="U249" s="533"/>
      <c r="V249" s="534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thickBot="1">
      <c r="B250" s="3271" t="s">
        <v>159</v>
      </c>
      <c r="C250" s="3538" t="s">
        <v>306</v>
      </c>
      <c r="D250" s="3272"/>
      <c r="E250" s="535"/>
      <c r="F250" s="536"/>
      <c r="G250" s="3538" t="s">
        <v>306</v>
      </c>
      <c r="H250" s="3272"/>
      <c r="I250" s="535"/>
      <c r="J250" s="536"/>
      <c r="K250" s="3538" t="s">
        <v>306</v>
      </c>
      <c r="L250" s="3272"/>
      <c r="M250" s="535"/>
      <c r="N250" s="536"/>
      <c r="O250" s="3538" t="s">
        <v>306</v>
      </c>
      <c r="P250" s="3272"/>
      <c r="Q250" s="535"/>
      <c r="R250" s="536"/>
      <c r="S250" s="456" t="s">
        <v>307</v>
      </c>
      <c r="T250" s="456"/>
      <c r="U250" s="535"/>
      <c r="V250" s="536"/>
      <c r="W250" s="517"/>
      <c r="X250" s="456"/>
      <c r="Y250" s="518"/>
      <c r="Z250" s="519"/>
      <c r="AA250" s="520"/>
      <c r="AB250" s="456"/>
      <c r="AC250" s="518"/>
      <c r="AD250" s="518"/>
      <c r="AE250" s="521"/>
      <c r="AF250" s="518"/>
      <c r="AG250" s="516"/>
      <c r="AH250" s="516"/>
      <c r="AI250" s="453"/>
    </row>
    <row r="251" spans="1:35" ht="21" customHeight="1">
      <c r="B251" s="59"/>
      <c r="C251" s="64"/>
      <c r="D251" s="18"/>
      <c r="G251" s="64"/>
      <c r="H251" s="18"/>
      <c r="K251" s="64"/>
      <c r="L251" s="18"/>
      <c r="O251" s="64"/>
      <c r="P251" s="18"/>
      <c r="S251" s="64"/>
      <c r="T251" s="64"/>
      <c r="X251" s="64"/>
      <c r="AB251" s="64"/>
      <c r="AE251" s="64"/>
    </row>
    <row r="252" spans="1:35" ht="21" customHeight="1"/>
    <row r="253" spans="1:35" ht="21" customHeight="1" thickBot="1">
      <c r="B253" s="3341" t="s">
        <v>29</v>
      </c>
      <c r="C253" s="3343">
        <v>1</v>
      </c>
      <c r="D253" s="3343">
        <v>2</v>
      </c>
      <c r="E253" s="3342">
        <v>3</v>
      </c>
      <c r="F253" s="3342">
        <v>4</v>
      </c>
      <c r="G253" s="3342">
        <v>5</v>
      </c>
      <c r="H253" s="3342">
        <v>6</v>
      </c>
      <c r="I253" s="3342">
        <v>7</v>
      </c>
      <c r="J253" s="3343">
        <v>8</v>
      </c>
      <c r="K253" s="3343">
        <v>9</v>
      </c>
      <c r="L253" s="3342">
        <v>10</v>
      </c>
      <c r="M253" s="3342">
        <v>11</v>
      </c>
      <c r="N253" s="3342">
        <v>12</v>
      </c>
      <c r="O253" s="3342">
        <v>13</v>
      </c>
      <c r="P253" s="3342">
        <v>14</v>
      </c>
      <c r="Q253" s="3343">
        <v>15</v>
      </c>
      <c r="R253" s="3343">
        <v>16</v>
      </c>
      <c r="S253" s="3342">
        <v>17</v>
      </c>
      <c r="T253" s="3342">
        <v>18</v>
      </c>
      <c r="U253" s="3342">
        <v>19</v>
      </c>
      <c r="V253" s="3342">
        <v>20</v>
      </c>
      <c r="W253" s="3342">
        <v>21</v>
      </c>
      <c r="X253" s="3343">
        <v>22</v>
      </c>
      <c r="Y253" s="3343">
        <v>23</v>
      </c>
      <c r="Z253" s="3342">
        <v>24</v>
      </c>
      <c r="AA253" s="3342">
        <v>25</v>
      </c>
      <c r="AB253" s="3342">
        <v>26</v>
      </c>
      <c r="AC253" s="3342">
        <v>27</v>
      </c>
      <c r="AD253" s="3342">
        <v>28</v>
      </c>
      <c r="AE253" s="3343">
        <v>29</v>
      </c>
      <c r="AF253" s="3343">
        <v>30</v>
      </c>
      <c r="AG253" s="3432">
        <v>31</v>
      </c>
      <c r="AH253" s="176"/>
      <c r="AI253" s="177"/>
    </row>
    <row r="254" spans="1:35" ht="21" customHeight="1">
      <c r="A254" s="693">
        <v>1</v>
      </c>
      <c r="B254" s="175" t="s">
        <v>309</v>
      </c>
      <c r="C254" s="3378"/>
      <c r="D254" s="3378"/>
      <c r="E254" s="3378" t="s">
        <v>32</v>
      </c>
      <c r="F254" s="3378" t="s">
        <v>32</v>
      </c>
      <c r="G254" s="3378" t="s">
        <v>32</v>
      </c>
      <c r="H254" s="3378" t="s">
        <v>32</v>
      </c>
      <c r="I254" s="3378" t="s">
        <v>32</v>
      </c>
      <c r="J254" s="3378"/>
      <c r="K254" s="3378"/>
      <c r="L254" s="3378" t="s">
        <v>32</v>
      </c>
      <c r="M254" s="3378" t="s">
        <v>32</v>
      </c>
      <c r="N254" s="3382" t="s">
        <v>32</v>
      </c>
      <c r="O254" s="3382" t="s">
        <v>32</v>
      </c>
      <c r="P254" s="3382" t="s">
        <v>32</v>
      </c>
      <c r="Q254" s="3380"/>
      <c r="R254" s="3382"/>
      <c r="S254" s="3378" t="s">
        <v>32</v>
      </c>
      <c r="T254" s="3378" t="s">
        <v>32</v>
      </c>
      <c r="U254" s="3382" t="s">
        <v>32</v>
      </c>
      <c r="V254" s="3382" t="s">
        <v>32</v>
      </c>
      <c r="W254" s="3382" t="s">
        <v>32</v>
      </c>
      <c r="X254" s="3378"/>
      <c r="Y254" s="3382"/>
      <c r="Z254" s="3378" t="s">
        <v>32</v>
      </c>
      <c r="AA254" s="3378" t="s">
        <v>32</v>
      </c>
      <c r="AB254" s="3378" t="s">
        <v>32</v>
      </c>
      <c r="AC254" s="3378" t="s">
        <v>32</v>
      </c>
      <c r="AD254" s="3378" t="s">
        <v>32</v>
      </c>
      <c r="AE254" s="3378"/>
      <c r="AF254" s="3382"/>
      <c r="AG254" s="362"/>
      <c r="AH254" s="181"/>
      <c r="AI254" s="182"/>
    </row>
    <row r="255" spans="1:35" ht="21" customHeight="1">
      <c r="A255" s="3500">
        <v>2</v>
      </c>
      <c r="B255" s="3514" t="s">
        <v>310</v>
      </c>
      <c r="C255" s="3378"/>
      <c r="D255" s="3378"/>
      <c r="E255" s="3483" t="s">
        <v>32</v>
      </c>
      <c r="F255" s="3483" t="s">
        <v>32</v>
      </c>
      <c r="G255" s="3483" t="s">
        <v>32</v>
      </c>
      <c r="H255" s="3483" t="s">
        <v>32</v>
      </c>
      <c r="I255" s="3483" t="s">
        <v>278</v>
      </c>
      <c r="J255" s="3378"/>
      <c r="K255" s="3378"/>
      <c r="L255" s="3378" t="s">
        <v>32</v>
      </c>
      <c r="M255" s="3378" t="s">
        <v>32</v>
      </c>
      <c r="N255" s="3382" t="s">
        <v>32</v>
      </c>
      <c r="O255" s="3382" t="s">
        <v>32</v>
      </c>
      <c r="P255" s="3382" t="s">
        <v>32</v>
      </c>
      <c r="Q255" s="3380"/>
      <c r="R255" s="3382"/>
      <c r="S255" s="3605" t="s">
        <v>32</v>
      </c>
      <c r="T255" s="3605" t="s">
        <v>32</v>
      </c>
      <c r="U255" s="3605" t="s">
        <v>32</v>
      </c>
      <c r="V255" s="3605" t="s">
        <v>32</v>
      </c>
      <c r="W255" s="3605" t="s">
        <v>32</v>
      </c>
      <c r="X255" s="3605"/>
      <c r="Y255" s="3605"/>
      <c r="Z255" s="3605" t="s">
        <v>32</v>
      </c>
      <c r="AA255" s="3605" t="s">
        <v>278</v>
      </c>
      <c r="AB255" s="3378" t="s">
        <v>32</v>
      </c>
      <c r="AC255" s="3378" t="s">
        <v>32</v>
      </c>
      <c r="AD255" s="3378" t="s">
        <v>32</v>
      </c>
      <c r="AE255" s="3378"/>
      <c r="AF255" s="3382"/>
      <c r="AG255" s="3262" t="s">
        <v>32</v>
      </c>
      <c r="AH255" s="181"/>
      <c r="AI255" s="182"/>
    </row>
    <row r="256" spans="1:35" ht="21" customHeight="1">
      <c r="A256" s="3273">
        <v>3</v>
      </c>
      <c r="B256" s="3514" t="s">
        <v>311</v>
      </c>
      <c r="C256" s="3378"/>
      <c r="D256" s="3378"/>
      <c r="E256" s="3378" t="s">
        <v>32</v>
      </c>
      <c r="F256" s="3391" t="s">
        <v>32</v>
      </c>
      <c r="G256" s="3391" t="s">
        <v>32</v>
      </c>
      <c r="H256" s="3391" t="s">
        <v>32</v>
      </c>
      <c r="I256" s="3391" t="s">
        <v>32</v>
      </c>
      <c r="J256" s="3378"/>
      <c r="K256" s="3378"/>
      <c r="L256" s="3378" t="s">
        <v>32</v>
      </c>
      <c r="M256" s="3378" t="s">
        <v>32</v>
      </c>
      <c r="N256" s="3382" t="s">
        <v>32</v>
      </c>
      <c r="O256" s="3382" t="s">
        <v>32</v>
      </c>
      <c r="P256" s="3382" t="s">
        <v>32</v>
      </c>
      <c r="Q256" s="3380"/>
      <c r="R256" s="3382"/>
      <c r="S256" s="3378" t="s">
        <v>32</v>
      </c>
      <c r="T256" s="3378" t="s">
        <v>32</v>
      </c>
      <c r="U256" s="3382" t="s">
        <v>32</v>
      </c>
      <c r="V256" s="3382" t="s">
        <v>32</v>
      </c>
      <c r="W256" s="3382" t="s">
        <v>32</v>
      </c>
      <c r="X256" s="3378"/>
      <c r="Y256" s="3382"/>
      <c r="Z256" s="3378" t="s">
        <v>32</v>
      </c>
      <c r="AA256" s="3378" t="s">
        <v>32</v>
      </c>
      <c r="AB256" s="3378" t="s">
        <v>32</v>
      </c>
      <c r="AC256" s="3378" t="s">
        <v>32</v>
      </c>
      <c r="AD256" s="3380" t="s">
        <v>32</v>
      </c>
      <c r="AE256" s="3380"/>
      <c r="AF256" s="3382"/>
      <c r="AG256" s="3430"/>
      <c r="AH256" s="181"/>
      <c r="AI256" s="182"/>
    </row>
    <row r="257" spans="1:35" ht="21" customHeight="1" thickBot="1">
      <c r="A257" s="3350"/>
      <c r="B257" s="3276"/>
      <c r="C257" s="3342"/>
      <c r="D257" s="3342"/>
      <c r="E257" s="3342"/>
      <c r="F257" s="3342"/>
      <c r="G257" s="3342"/>
      <c r="H257" s="3342"/>
      <c r="I257" s="3342"/>
      <c r="J257" s="3342"/>
      <c r="K257" s="3342"/>
      <c r="L257" s="3342"/>
      <c r="M257" s="3342"/>
      <c r="N257" s="3342"/>
      <c r="O257" s="3342"/>
      <c r="P257" s="3342"/>
      <c r="Q257" s="3342"/>
      <c r="R257" s="3342"/>
      <c r="S257" s="3342"/>
      <c r="T257" s="3342"/>
      <c r="U257" s="3342"/>
      <c r="V257" s="3342"/>
      <c r="W257" s="3342"/>
      <c r="X257" s="3342"/>
      <c r="Y257" s="3342"/>
      <c r="Z257" s="3342"/>
      <c r="AA257" s="3342"/>
      <c r="AB257" s="3342"/>
      <c r="AC257" s="3342"/>
      <c r="AD257" s="3342"/>
      <c r="AE257" s="3342"/>
      <c r="AF257" s="3342"/>
      <c r="AG257" s="3432"/>
      <c r="AH257" s="181"/>
      <c r="AI257" s="182"/>
    </row>
    <row r="258" spans="1:35" ht="21" customHeight="1">
      <c r="A258" s="3274"/>
      <c r="B258" s="743" t="s">
        <v>312</v>
      </c>
      <c r="C258" s="744"/>
      <c r="D258" s="744"/>
      <c r="E258" s="744"/>
      <c r="F258" s="744"/>
      <c r="G258" s="744"/>
      <c r="H258" s="744"/>
      <c r="I258" s="744"/>
      <c r="J258" s="744"/>
      <c r="K258" s="744"/>
      <c r="L258" s="744"/>
      <c r="M258" s="744"/>
      <c r="N258" s="744"/>
      <c r="O258" s="744"/>
      <c r="P258" s="744"/>
      <c r="Q258" s="744"/>
      <c r="R258" s="744"/>
      <c r="S258" s="744"/>
      <c r="T258" s="744"/>
      <c r="U258" s="744"/>
      <c r="V258" s="744"/>
      <c r="W258" s="744"/>
      <c r="X258" s="744"/>
      <c r="Y258" s="744"/>
      <c r="Z258" s="744"/>
      <c r="AA258" s="744"/>
      <c r="AB258" s="744"/>
      <c r="AC258" s="744"/>
      <c r="AD258" s="744"/>
      <c r="AE258" s="744"/>
      <c r="AF258" s="744"/>
      <c r="AG258" s="745"/>
      <c r="AH258" s="179"/>
      <c r="AI258" s="180"/>
    </row>
    <row r="259" spans="1:35" ht="21" customHeight="1" thickBot="1">
      <c r="A259" s="3275">
        <v>4</v>
      </c>
      <c r="B259" s="3277" t="s">
        <v>313</v>
      </c>
      <c r="C259" s="3426"/>
      <c r="D259" s="3426"/>
      <c r="E259" s="3367" t="s">
        <v>314</v>
      </c>
      <c r="F259" s="3367" t="s">
        <v>314</v>
      </c>
      <c r="G259" s="3367" t="s">
        <v>314</v>
      </c>
      <c r="H259" s="3367" t="s">
        <v>314</v>
      </c>
      <c r="I259" s="3367" t="s">
        <v>314</v>
      </c>
      <c r="J259" s="3426"/>
      <c r="K259" s="3426"/>
      <c r="L259" s="3426" t="s">
        <v>314</v>
      </c>
      <c r="M259" s="3426" t="s">
        <v>314</v>
      </c>
      <c r="N259" s="3426" t="s">
        <v>314</v>
      </c>
      <c r="O259" s="3426" t="s">
        <v>314</v>
      </c>
      <c r="P259" s="3426" t="s">
        <v>314</v>
      </c>
      <c r="Q259" s="3426"/>
      <c r="R259" s="3426"/>
      <c r="S259" s="3426" t="s">
        <v>314</v>
      </c>
      <c r="T259" s="3426" t="s">
        <v>314</v>
      </c>
      <c r="U259" s="3426" t="s">
        <v>314</v>
      </c>
      <c r="V259" s="3426" t="s">
        <v>314</v>
      </c>
      <c r="W259" s="3426" t="s">
        <v>314</v>
      </c>
      <c r="X259" s="3426"/>
      <c r="Y259" s="3426"/>
      <c r="Z259" s="3426" t="s">
        <v>314</v>
      </c>
      <c r="AA259" s="3426" t="s">
        <v>314</v>
      </c>
      <c r="AB259" s="3426" t="s">
        <v>314</v>
      </c>
      <c r="AC259" s="3426" t="s">
        <v>314</v>
      </c>
      <c r="AD259" s="3426" t="s">
        <v>314</v>
      </c>
      <c r="AE259" s="3426"/>
      <c r="AF259" s="3426"/>
      <c r="AG259" s="3426" t="s">
        <v>314</v>
      </c>
      <c r="AH259" s="181"/>
      <c r="AI259" s="182"/>
    </row>
    <row r="260" spans="1:35" ht="21" customHeight="1">
      <c r="A260" s="226">
        <v>5</v>
      </c>
      <c r="B260" s="3243" t="s">
        <v>316</v>
      </c>
      <c r="C260" s="3426"/>
      <c r="D260" s="3426"/>
      <c r="E260" s="3426" t="s">
        <v>317</v>
      </c>
      <c r="F260" s="3426" t="s">
        <v>317</v>
      </c>
      <c r="G260" s="3426" t="s">
        <v>317</v>
      </c>
      <c r="H260" s="3426" t="s">
        <v>317</v>
      </c>
      <c r="I260" s="3426" t="s">
        <v>317</v>
      </c>
      <c r="J260" s="3426"/>
      <c r="K260" s="3426"/>
      <c r="L260" s="3426" t="s">
        <v>317</v>
      </c>
      <c r="M260" s="3426" t="s">
        <v>317</v>
      </c>
      <c r="N260" s="3426" t="s">
        <v>317</v>
      </c>
      <c r="O260" s="3426" t="s">
        <v>317</v>
      </c>
      <c r="P260" s="3426" t="s">
        <v>317</v>
      </c>
      <c r="Q260" s="3426"/>
      <c r="R260" s="3426"/>
      <c r="S260" s="3426" t="s">
        <v>317</v>
      </c>
      <c r="T260" s="3426" t="s">
        <v>317</v>
      </c>
      <c r="U260" s="3426" t="s">
        <v>317</v>
      </c>
      <c r="V260" s="3426" t="s">
        <v>317</v>
      </c>
      <c r="W260" s="3426" t="s">
        <v>317</v>
      </c>
      <c r="X260" s="3426"/>
      <c r="Y260" s="3426"/>
      <c r="Z260" s="3426" t="s">
        <v>317</v>
      </c>
      <c r="AA260" s="3426" t="s">
        <v>317</v>
      </c>
      <c r="AB260" s="3426" t="s">
        <v>317</v>
      </c>
      <c r="AC260" s="3426" t="s">
        <v>317</v>
      </c>
      <c r="AD260" s="3426" t="s">
        <v>317</v>
      </c>
      <c r="AE260" s="3426"/>
      <c r="AF260" s="3426"/>
      <c r="AG260" s="3426" t="s">
        <v>317</v>
      </c>
      <c r="AH260" s="181"/>
      <c r="AI260" s="182"/>
    </row>
    <row r="261" spans="1:35" ht="21" customHeight="1" thickBot="1">
      <c r="A261" s="3273">
        <v>6</v>
      </c>
      <c r="B261" s="3280" t="s">
        <v>318</v>
      </c>
      <c r="C261" s="3420"/>
      <c r="D261" s="3420"/>
      <c r="E261" s="3420" t="s">
        <v>319</v>
      </c>
      <c r="F261" s="3420" t="s">
        <v>319</v>
      </c>
      <c r="G261" s="3420" t="s">
        <v>319</v>
      </c>
      <c r="H261" s="3420" t="s">
        <v>319</v>
      </c>
      <c r="I261" s="3420" t="s">
        <v>319</v>
      </c>
      <c r="J261" s="3420"/>
      <c r="K261" s="3420"/>
      <c r="L261" s="3420" t="s">
        <v>319</v>
      </c>
      <c r="M261" s="3443" t="s">
        <v>319</v>
      </c>
      <c r="N261" s="3420" t="s">
        <v>319</v>
      </c>
      <c r="O261" s="3420" t="s">
        <v>319</v>
      </c>
      <c r="P261" s="3420" t="s">
        <v>319</v>
      </c>
      <c r="Q261" s="3420"/>
      <c r="R261" s="3420"/>
      <c r="S261" s="3420" t="s">
        <v>319</v>
      </c>
      <c r="T261" s="3443" t="s">
        <v>319</v>
      </c>
      <c r="U261" s="3420" t="s">
        <v>319</v>
      </c>
      <c r="V261" s="3420" t="s">
        <v>319</v>
      </c>
      <c r="W261" s="3420" t="s">
        <v>319</v>
      </c>
      <c r="X261" s="3420"/>
      <c r="Y261" s="3420"/>
      <c r="Z261" s="3420" t="s">
        <v>319</v>
      </c>
      <c r="AA261" s="3420" t="s">
        <v>319</v>
      </c>
      <c r="AB261" s="3420" t="s">
        <v>319</v>
      </c>
      <c r="AC261" s="3420" t="s">
        <v>319</v>
      </c>
      <c r="AD261" s="3420" t="s">
        <v>319</v>
      </c>
      <c r="AE261" s="3420"/>
      <c r="AF261" s="3420"/>
      <c r="AG261" s="3420" t="s">
        <v>319</v>
      </c>
      <c r="AH261" s="181"/>
      <c r="AI261" s="182"/>
    </row>
    <row r="262" spans="1:35" ht="21" customHeight="1">
      <c r="A262" s="3273"/>
    </row>
    <row r="263" spans="1:35" ht="24" customHeight="1" thickBot="1">
      <c r="A263" s="3279"/>
    </row>
    <row r="264" spans="1:35" ht="25.5" customHeight="1" thickBot="1"/>
    <row r="265" spans="1:35" ht="21" customHeight="1">
      <c r="B265" s="396" t="s">
        <v>266</v>
      </c>
      <c r="C265" s="368"/>
      <c r="D265" s="384" t="s">
        <v>94</v>
      </c>
      <c r="E265" s="357"/>
      <c r="F265" s="372"/>
      <c r="G265" s="368"/>
      <c r="H265" s="384" t="s">
        <v>95</v>
      </c>
      <c r="I265" s="357"/>
      <c r="J265" s="372"/>
      <c r="K265" s="368"/>
      <c r="L265" s="384" t="s">
        <v>96</v>
      </c>
      <c r="M265" s="357"/>
      <c r="N265" s="372"/>
      <c r="O265" s="368"/>
      <c r="P265" s="384" t="s">
        <v>97</v>
      </c>
      <c r="Q265" s="357"/>
      <c r="R265" s="372"/>
      <c r="S265" s="368"/>
      <c r="T265" s="384" t="s">
        <v>98</v>
      </c>
      <c r="U265" s="357"/>
      <c r="V265" s="372"/>
      <c r="W265" s="368"/>
      <c r="X265" s="384" t="s">
        <v>99</v>
      </c>
      <c r="Y265" s="357"/>
      <c r="Z265" s="372"/>
      <c r="AA265" s="368"/>
      <c r="AB265" s="384" t="s">
        <v>100</v>
      </c>
      <c r="AC265" s="357"/>
      <c r="AD265" s="357"/>
      <c r="AE265" s="387" t="s">
        <v>101</v>
      </c>
      <c r="AF265" s="357"/>
      <c r="AG265" s="357"/>
      <c r="AH265" s="357"/>
      <c r="AI265" s="358"/>
    </row>
    <row r="266" spans="1:35" ht="21" customHeight="1">
      <c r="A266" s="161" t="s">
        <v>320</v>
      </c>
      <c r="B266" s="3"/>
      <c r="C266" s="8"/>
      <c r="D266" s="117"/>
      <c r="E266" s="14"/>
      <c r="F266" s="116"/>
      <c r="G266" s="8"/>
      <c r="H266" s="117"/>
      <c r="I266" s="14"/>
      <c r="J266" s="116"/>
      <c r="K266" s="8"/>
      <c r="L266" s="117"/>
      <c r="M266" s="14"/>
      <c r="N266" s="116"/>
      <c r="O266" s="8"/>
      <c r="P266" s="117"/>
      <c r="Q266" s="14"/>
      <c r="R266" s="116"/>
      <c r="S266" s="8"/>
      <c r="T266" s="117"/>
      <c r="U266" s="14"/>
      <c r="V266" s="116"/>
      <c r="W266" s="8"/>
      <c r="X266" s="117"/>
      <c r="Y266" s="14"/>
      <c r="Z266" s="116"/>
      <c r="AA266" s="8"/>
      <c r="AB266" s="117"/>
      <c r="AC266" s="14"/>
      <c r="AD266" s="14"/>
      <c r="AE266" s="118"/>
      <c r="AF266" s="14"/>
      <c r="AG266" s="14"/>
      <c r="AH266" s="14"/>
      <c r="AI266" s="119"/>
    </row>
    <row r="267" spans="1:35" ht="21" customHeight="1">
      <c r="A267" s="1"/>
      <c r="B267" s="3269"/>
      <c r="C267" s="3453"/>
      <c r="D267" s="3324"/>
      <c r="E267" s="3324"/>
      <c r="F267" s="3527"/>
      <c r="G267" s="3453"/>
      <c r="H267" s="3324"/>
      <c r="I267" s="3324"/>
      <c r="J267" s="3527"/>
      <c r="K267" s="3453"/>
      <c r="L267" s="3324"/>
      <c r="M267" s="3324"/>
      <c r="N267" s="3527"/>
      <c r="O267" s="3453"/>
      <c r="P267" s="3324"/>
      <c r="Q267" s="3324"/>
      <c r="R267" s="3527"/>
      <c r="S267" s="3453"/>
      <c r="T267" s="3324"/>
      <c r="U267" s="3324"/>
      <c r="V267" s="3527"/>
      <c r="W267" s="3453"/>
      <c r="X267" s="3324"/>
      <c r="Y267" s="3324"/>
      <c r="Z267" s="3527"/>
      <c r="AA267" s="3525"/>
      <c r="AB267" s="3324"/>
      <c r="AC267" s="3324"/>
      <c r="AD267" s="3454"/>
      <c r="AE267" s="3282"/>
      <c r="AF267" s="3324"/>
      <c r="AG267" s="3324"/>
      <c r="AH267" s="3454"/>
      <c r="AI267" s="3333"/>
    </row>
    <row r="268" spans="1:35" ht="21" customHeight="1" thickBot="1">
      <c r="A268" s="1"/>
      <c r="B268" s="3537"/>
      <c r="C268" s="3538"/>
      <c r="D268" s="3405"/>
      <c r="E268" s="3405"/>
      <c r="F268" s="3562"/>
      <c r="G268" s="3538"/>
      <c r="H268" s="3405"/>
      <c r="I268" s="3405"/>
      <c r="J268" s="3562"/>
      <c r="K268" s="3538"/>
      <c r="L268" s="3405"/>
      <c r="M268" s="3405"/>
      <c r="N268" s="3562"/>
      <c r="O268" s="3538"/>
      <c r="P268" s="3405"/>
      <c r="Q268" s="3405"/>
      <c r="R268" s="3562"/>
      <c r="S268" s="3538"/>
      <c r="T268" s="3405"/>
      <c r="U268" s="3405"/>
      <c r="V268" s="3562"/>
      <c r="W268" s="3560"/>
      <c r="X268" s="3405"/>
      <c r="Y268" s="3405"/>
      <c r="Z268" s="3562"/>
      <c r="AA268" s="3560"/>
      <c r="AB268" s="3405"/>
      <c r="AC268" s="3405"/>
      <c r="AD268" s="3545"/>
      <c r="AE268" s="3560"/>
      <c r="AF268" s="3405"/>
      <c r="AG268" s="3405"/>
      <c r="AH268" s="3545"/>
      <c r="AI268" s="3412"/>
    </row>
    <row r="269" spans="1:35" ht="21" customHeight="1">
      <c r="A269" s="110"/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33" customHeight="1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 thickBot="1">
      <c r="A271" s="1"/>
      <c r="B271" s="3284" t="s">
        <v>29</v>
      </c>
      <c r="C271" s="3343">
        <v>1</v>
      </c>
      <c r="D271" s="3343">
        <v>2</v>
      </c>
      <c r="E271" s="3342">
        <v>3</v>
      </c>
      <c r="F271" s="3342">
        <v>4</v>
      </c>
      <c r="G271" s="3342">
        <v>5</v>
      </c>
      <c r="H271" s="3342">
        <v>6</v>
      </c>
      <c r="I271" s="3342">
        <v>7</v>
      </c>
      <c r="J271" s="3343">
        <v>8</v>
      </c>
      <c r="K271" s="3343">
        <v>9</v>
      </c>
      <c r="L271" s="3342">
        <v>10</v>
      </c>
      <c r="M271" s="3342">
        <v>11</v>
      </c>
      <c r="N271" s="3342">
        <v>12</v>
      </c>
      <c r="O271" s="3342">
        <v>13</v>
      </c>
      <c r="P271" s="3342">
        <v>14</v>
      </c>
      <c r="Q271" s="3343">
        <v>15</v>
      </c>
      <c r="R271" s="3343">
        <v>16</v>
      </c>
      <c r="S271" s="3342">
        <v>17</v>
      </c>
      <c r="T271" s="3342">
        <v>18</v>
      </c>
      <c r="U271" s="3342">
        <v>19</v>
      </c>
      <c r="V271" s="3342">
        <v>20</v>
      </c>
      <c r="W271" s="3342">
        <v>21</v>
      </c>
      <c r="X271" s="3343">
        <v>22</v>
      </c>
      <c r="Y271" s="3343">
        <v>23</v>
      </c>
      <c r="Z271" s="3342">
        <v>24</v>
      </c>
      <c r="AA271" s="3342">
        <v>25</v>
      </c>
      <c r="AB271" s="3342">
        <v>26</v>
      </c>
      <c r="AC271" s="3342">
        <v>27</v>
      </c>
      <c r="AD271" s="3342">
        <v>28</v>
      </c>
      <c r="AE271" s="3343">
        <v>29</v>
      </c>
      <c r="AF271" s="3343">
        <v>30</v>
      </c>
      <c r="AG271" s="3432">
        <v>31</v>
      </c>
      <c r="AH271" s="186"/>
      <c r="AI271" s="177"/>
    </row>
    <row r="272" spans="1:35" ht="21" customHeight="1">
      <c r="A272" s="1">
        <v>1</v>
      </c>
      <c r="B272" s="157" t="s">
        <v>322</v>
      </c>
      <c r="C272" s="3386"/>
      <c r="D272" s="3386"/>
      <c r="E272" s="3386" t="s">
        <v>32</v>
      </c>
      <c r="F272" s="3386" t="s">
        <v>32</v>
      </c>
      <c r="G272" s="3378" t="s">
        <v>32</v>
      </c>
      <c r="H272" s="3378" t="s">
        <v>32</v>
      </c>
      <c r="I272" s="3378" t="s">
        <v>32</v>
      </c>
      <c r="J272" s="3378"/>
      <c r="K272" s="3378"/>
      <c r="L272" s="3378" t="s">
        <v>32</v>
      </c>
      <c r="M272" s="3378" t="s">
        <v>32</v>
      </c>
      <c r="N272" s="3382" t="s">
        <v>32</v>
      </c>
      <c r="O272" s="3382" t="s">
        <v>32</v>
      </c>
      <c r="P272" s="3382" t="s">
        <v>32</v>
      </c>
      <c r="Q272" s="3380"/>
      <c r="R272" s="3382"/>
      <c r="S272" s="3378" t="s">
        <v>32</v>
      </c>
      <c r="T272" s="3378" t="s">
        <v>32</v>
      </c>
      <c r="U272" s="3382" t="s">
        <v>32</v>
      </c>
      <c r="V272" s="3382" t="s">
        <v>32</v>
      </c>
      <c r="W272" s="3382" t="s">
        <v>32</v>
      </c>
      <c r="X272" s="3378"/>
      <c r="Y272" s="3382"/>
      <c r="Z272" s="3378" t="s">
        <v>32</v>
      </c>
      <c r="AA272" s="3378" t="s">
        <v>32</v>
      </c>
      <c r="AB272" s="3378" t="s">
        <v>32</v>
      </c>
      <c r="AC272" s="3378" t="s">
        <v>32</v>
      </c>
      <c r="AD272" s="3378" t="s">
        <v>32</v>
      </c>
      <c r="AE272" s="3378"/>
      <c r="AF272" s="3378"/>
      <c r="AG272" s="3378" t="s">
        <v>32</v>
      </c>
      <c r="AH272" s="187"/>
      <c r="AI272" s="184"/>
    </row>
    <row r="273" spans="1:35" ht="21" customHeight="1" thickBot="1">
      <c r="A273" s="3283">
        <v>2</v>
      </c>
      <c r="B273" s="3286" t="s">
        <v>323</v>
      </c>
      <c r="C273" s="3378"/>
      <c r="D273" s="3378"/>
      <c r="E273" s="3378" t="s">
        <v>32</v>
      </c>
      <c r="F273" s="3378" t="s">
        <v>32</v>
      </c>
      <c r="G273" s="3378" t="s">
        <v>32</v>
      </c>
      <c r="H273" s="3378" t="s">
        <v>32</v>
      </c>
      <c r="I273" s="3378" t="s">
        <v>32</v>
      </c>
      <c r="J273" s="3378"/>
      <c r="K273" s="3378"/>
      <c r="L273" s="3378" t="s">
        <v>32</v>
      </c>
      <c r="M273" s="3378" t="s">
        <v>32</v>
      </c>
      <c r="N273" s="3382" t="s">
        <v>32</v>
      </c>
      <c r="O273" s="3382" t="s">
        <v>32</v>
      </c>
      <c r="P273" s="3382" t="s">
        <v>32</v>
      </c>
      <c r="Q273" s="3380"/>
      <c r="R273" s="3382"/>
      <c r="S273" s="3378" t="s">
        <v>32</v>
      </c>
      <c r="T273" s="3378" t="s">
        <v>32</v>
      </c>
      <c r="U273" s="3603" t="s">
        <v>32</v>
      </c>
      <c r="V273" s="3382" t="s">
        <v>32</v>
      </c>
      <c r="W273" s="3382" t="s">
        <v>32</v>
      </c>
      <c r="X273" s="3378"/>
      <c r="Y273" s="3382"/>
      <c r="Z273" s="3378" t="s">
        <v>32</v>
      </c>
      <c r="AA273" s="3378" t="s">
        <v>32</v>
      </c>
      <c r="AB273" s="3378" t="s">
        <v>32</v>
      </c>
      <c r="AC273" s="3378" t="s">
        <v>32</v>
      </c>
      <c r="AD273" s="3378" t="s">
        <v>32</v>
      </c>
      <c r="AE273" s="3380"/>
      <c r="AF273" s="3380"/>
      <c r="AG273" s="3378" t="s">
        <v>32</v>
      </c>
      <c r="AH273" s="187"/>
      <c r="AI273" s="184"/>
    </row>
    <row r="274" spans="1:35" ht="21" customHeight="1">
      <c r="A274" s="88">
        <v>3</v>
      </c>
      <c r="B274" s="3286" t="s">
        <v>324</v>
      </c>
      <c r="C274" s="3378"/>
      <c r="D274" s="3378"/>
      <c r="E274" s="3378" t="s">
        <v>32</v>
      </c>
      <c r="F274" s="3378" t="s">
        <v>32</v>
      </c>
      <c r="G274" s="3378" t="s">
        <v>32</v>
      </c>
      <c r="H274" s="3378" t="s">
        <v>32</v>
      </c>
      <c r="I274" s="3378" t="s">
        <v>32</v>
      </c>
      <c r="J274" s="3378"/>
      <c r="K274" s="3378"/>
      <c r="L274" s="3378" t="s">
        <v>32</v>
      </c>
      <c r="M274" s="3378" t="s">
        <v>32</v>
      </c>
      <c r="N274" s="3382" t="s">
        <v>32</v>
      </c>
      <c r="O274" s="3382" t="s">
        <v>32</v>
      </c>
      <c r="P274" s="3382" t="s">
        <v>32</v>
      </c>
      <c r="Q274" s="3380"/>
      <c r="R274" s="3382"/>
      <c r="S274" s="3378" t="s">
        <v>32</v>
      </c>
      <c r="T274" s="3378" t="s">
        <v>32</v>
      </c>
      <c r="U274" s="3382" t="s">
        <v>32</v>
      </c>
      <c r="V274" s="3382" t="s">
        <v>32</v>
      </c>
      <c r="W274" s="3382" t="s">
        <v>32</v>
      </c>
      <c r="X274" s="3378"/>
      <c r="Y274" s="3382"/>
      <c r="Z274" s="3378" t="s">
        <v>32</v>
      </c>
      <c r="AA274" s="3378" t="s">
        <v>32</v>
      </c>
      <c r="AB274" s="3378" t="s">
        <v>32</v>
      </c>
      <c r="AC274" s="3378" t="s">
        <v>32</v>
      </c>
      <c r="AD274" s="3378" t="s">
        <v>32</v>
      </c>
      <c r="AE274" s="3378"/>
      <c r="AF274" s="3378"/>
      <c r="AG274" s="3378" t="s">
        <v>32</v>
      </c>
      <c r="AH274" s="187"/>
      <c r="AI274" s="184"/>
    </row>
    <row r="275" spans="1:35" ht="21" customHeight="1">
      <c r="A275" s="3273">
        <v>4</v>
      </c>
      <c r="B275" s="3286" t="s">
        <v>325</v>
      </c>
      <c r="C275" s="3378"/>
      <c r="D275" s="3378"/>
      <c r="E275" s="3378" t="s">
        <v>32</v>
      </c>
      <c r="F275" s="3378" t="s">
        <v>32</v>
      </c>
      <c r="G275" s="3378" t="s">
        <v>32</v>
      </c>
      <c r="H275" s="3378" t="s">
        <v>32</v>
      </c>
      <c r="I275" s="3378" t="s">
        <v>32</v>
      </c>
      <c r="J275" s="3378"/>
      <c r="K275" s="3378"/>
      <c r="L275" s="3378" t="s">
        <v>32</v>
      </c>
      <c r="M275" s="3378" t="s">
        <v>32</v>
      </c>
      <c r="N275" s="3382" t="s">
        <v>32</v>
      </c>
      <c r="O275" s="3382" t="s">
        <v>32</v>
      </c>
      <c r="P275" s="3382" t="s">
        <v>32</v>
      </c>
      <c r="Q275" s="3380"/>
      <c r="R275" s="3382"/>
      <c r="S275" s="3378" t="s">
        <v>32</v>
      </c>
      <c r="T275" s="3378" t="s">
        <v>32</v>
      </c>
      <c r="U275" s="3382" t="s">
        <v>32</v>
      </c>
      <c r="V275" s="3382" t="s">
        <v>32</v>
      </c>
      <c r="W275" s="3382" t="s">
        <v>32</v>
      </c>
      <c r="X275" s="3378"/>
      <c r="Y275" s="3382"/>
      <c r="Z275" s="3378" t="s">
        <v>32</v>
      </c>
      <c r="AA275" s="3378" t="s">
        <v>32</v>
      </c>
      <c r="AB275" s="3378" t="s">
        <v>32</v>
      </c>
      <c r="AC275" s="3378" t="s">
        <v>32</v>
      </c>
      <c r="AD275" s="3378" t="s">
        <v>32</v>
      </c>
      <c r="AE275" s="3378"/>
      <c r="AF275" s="3378"/>
      <c r="AG275" s="3378" t="s">
        <v>32</v>
      </c>
      <c r="AH275" s="187"/>
      <c r="AI275" s="184"/>
    </row>
    <row r="276" spans="1:35" ht="21" customHeight="1">
      <c r="A276" s="3273">
        <v>5</v>
      </c>
      <c r="B276" s="3286" t="s">
        <v>326</v>
      </c>
      <c r="C276" s="3378"/>
      <c r="D276" s="3378"/>
      <c r="E276" s="3378" t="s">
        <v>32</v>
      </c>
      <c r="F276" s="3378" t="s">
        <v>32</v>
      </c>
      <c r="G276" s="3603" t="s">
        <v>32</v>
      </c>
      <c r="H276" s="3378" t="s">
        <v>32</v>
      </c>
      <c r="I276" s="3603" t="s">
        <v>32</v>
      </c>
      <c r="J276" s="3378"/>
      <c r="K276" s="3378"/>
      <c r="L276" s="3378" t="s">
        <v>32</v>
      </c>
      <c r="M276" s="3378" t="s">
        <v>32</v>
      </c>
      <c r="N276" s="3382" t="s">
        <v>32</v>
      </c>
      <c r="O276" s="3603" t="s">
        <v>32</v>
      </c>
      <c r="P276" s="3603" t="s">
        <v>32</v>
      </c>
      <c r="Q276" s="3380"/>
      <c r="R276" s="3382"/>
      <c r="S276" s="3378" t="s">
        <v>32</v>
      </c>
      <c r="T276" s="3378" t="s">
        <v>32</v>
      </c>
      <c r="U276" s="3382" t="s">
        <v>32</v>
      </c>
      <c r="V276" s="3603" t="s">
        <v>32</v>
      </c>
      <c r="W276" s="3603" t="s">
        <v>32</v>
      </c>
      <c r="X276" s="3378"/>
      <c r="Y276" s="3382"/>
      <c r="Z276" s="3378" t="s">
        <v>32</v>
      </c>
      <c r="AA276" s="3378" t="s">
        <v>32</v>
      </c>
      <c r="AB276" s="3603" t="s">
        <v>32</v>
      </c>
      <c r="AC276" s="3378" t="s">
        <v>32</v>
      </c>
      <c r="AD276" s="3378" t="s">
        <v>32</v>
      </c>
      <c r="AE276" s="3378"/>
      <c r="AF276" s="3378"/>
      <c r="AG276" s="3426" t="s">
        <v>32</v>
      </c>
      <c r="AH276" s="187"/>
      <c r="AI276" s="184"/>
    </row>
    <row r="277" spans="1:35" ht="21" customHeight="1">
      <c r="A277" s="3273">
        <v>6</v>
      </c>
      <c r="B277" s="3286" t="s">
        <v>327</v>
      </c>
      <c r="C277" s="3378"/>
      <c r="D277" s="3378"/>
      <c r="E277" s="3378" t="s">
        <v>32</v>
      </c>
      <c r="F277" s="3568" t="s">
        <v>32</v>
      </c>
      <c r="G277" s="3568" t="s">
        <v>32</v>
      </c>
      <c r="H277" s="3568" t="s">
        <v>32</v>
      </c>
      <c r="I277" s="3568" t="s">
        <v>278</v>
      </c>
      <c r="J277" s="3378"/>
      <c r="K277" s="3378"/>
      <c r="L277" s="3378" t="s">
        <v>32</v>
      </c>
      <c r="M277" s="3378" t="s">
        <v>32</v>
      </c>
      <c r="N277" s="3382" t="s">
        <v>32</v>
      </c>
      <c r="O277" s="3382" t="s">
        <v>32</v>
      </c>
      <c r="P277" s="3382" t="s">
        <v>32</v>
      </c>
      <c r="Q277" s="3380"/>
      <c r="R277" s="3382"/>
      <c r="S277" s="3378" t="s">
        <v>32</v>
      </c>
      <c r="T277" s="3378" t="s">
        <v>32</v>
      </c>
      <c r="U277" s="3382" t="s">
        <v>32</v>
      </c>
      <c r="V277" s="3382" t="s">
        <v>32</v>
      </c>
      <c r="W277" s="3603" t="s">
        <v>32</v>
      </c>
      <c r="X277" s="3378"/>
      <c r="Y277" s="3382"/>
      <c r="Z277" s="3378" t="s">
        <v>32</v>
      </c>
      <c r="AA277" s="3378" t="s">
        <v>32</v>
      </c>
      <c r="AB277" s="3378" t="s">
        <v>32</v>
      </c>
      <c r="AC277" s="3378" t="s">
        <v>32</v>
      </c>
      <c r="AD277" s="3378" t="s">
        <v>32</v>
      </c>
      <c r="AE277" s="3378"/>
      <c r="AF277" s="3378"/>
      <c r="AG277" s="3426" t="s">
        <v>32</v>
      </c>
      <c r="AH277" s="187"/>
      <c r="AI277" s="184"/>
    </row>
    <row r="278" spans="1:35" ht="21" customHeight="1">
      <c r="A278" s="3273">
        <v>7</v>
      </c>
      <c r="B278" s="3286" t="s">
        <v>328</v>
      </c>
      <c r="C278" s="3378"/>
      <c r="D278" s="3378"/>
      <c r="E278" s="3378" t="s">
        <v>32</v>
      </c>
      <c r="F278" s="3378" t="s">
        <v>32</v>
      </c>
      <c r="G278" s="3378" t="s">
        <v>32</v>
      </c>
      <c r="H278" s="3378" t="s">
        <v>32</v>
      </c>
      <c r="I278" s="3378" t="s">
        <v>32</v>
      </c>
      <c r="J278" s="3378"/>
      <c r="K278" s="3378"/>
      <c r="L278" s="3378" t="s">
        <v>32</v>
      </c>
      <c r="M278" s="3378" t="s">
        <v>32</v>
      </c>
      <c r="N278" s="3382" t="s">
        <v>32</v>
      </c>
      <c r="O278" s="3382" t="s">
        <v>32</v>
      </c>
      <c r="P278" s="3382" t="s">
        <v>32</v>
      </c>
      <c r="Q278" s="3380"/>
      <c r="R278" s="3382"/>
      <c r="S278" s="3378" t="s">
        <v>32</v>
      </c>
      <c r="T278" s="3378" t="s">
        <v>32</v>
      </c>
      <c r="U278" s="3382" t="s">
        <v>32</v>
      </c>
      <c r="V278" s="3382" t="s">
        <v>32</v>
      </c>
      <c r="W278" s="3382" t="s">
        <v>32</v>
      </c>
      <c r="X278" s="3378"/>
      <c r="Y278" s="3382"/>
      <c r="Z278" s="3378" t="s">
        <v>32</v>
      </c>
      <c r="AA278" s="3378" t="s">
        <v>32</v>
      </c>
      <c r="AB278" s="3378" t="s">
        <v>32</v>
      </c>
      <c r="AC278" s="3378" t="s">
        <v>32</v>
      </c>
      <c r="AD278" s="3378" t="s">
        <v>32</v>
      </c>
      <c r="AE278" s="3378"/>
      <c r="AF278" s="3378"/>
      <c r="AG278" s="3426" t="s">
        <v>32</v>
      </c>
      <c r="AH278" s="187"/>
      <c r="AI278" s="184"/>
    </row>
    <row r="279" spans="1:35" ht="21" customHeight="1">
      <c r="A279" s="3273">
        <v>8</v>
      </c>
      <c r="B279" s="3286" t="s">
        <v>329</v>
      </c>
      <c r="C279" s="3378"/>
      <c r="D279" s="3378"/>
      <c r="E279" s="3378" t="s">
        <v>32</v>
      </c>
      <c r="F279" s="3378" t="s">
        <v>32</v>
      </c>
      <c r="G279" s="3378" t="s">
        <v>32</v>
      </c>
      <c r="H279" s="3378" t="s">
        <v>32</v>
      </c>
      <c r="I279" s="3378" t="s">
        <v>32</v>
      </c>
      <c r="J279" s="3378"/>
      <c r="K279" s="3378"/>
      <c r="L279" s="3378" t="s">
        <v>32</v>
      </c>
      <c r="M279" s="3378" t="s">
        <v>32</v>
      </c>
      <c r="N279" s="3382" t="s">
        <v>32</v>
      </c>
      <c r="O279" s="3382" t="s">
        <v>32</v>
      </c>
      <c r="P279" s="3382" t="s">
        <v>32</v>
      </c>
      <c r="Q279" s="3380"/>
      <c r="R279" s="3382"/>
      <c r="S279" s="3378" t="s">
        <v>32</v>
      </c>
      <c r="T279" s="3378" t="s">
        <v>32</v>
      </c>
      <c r="U279" s="3382" t="s">
        <v>32</v>
      </c>
      <c r="V279" s="3382" t="s">
        <v>32</v>
      </c>
      <c r="W279" s="3382" t="s">
        <v>32</v>
      </c>
      <c r="X279" s="3378"/>
      <c r="Y279" s="3382"/>
      <c r="Z279" s="3378" t="s">
        <v>32</v>
      </c>
      <c r="AA279" s="3378" t="s">
        <v>32</v>
      </c>
      <c r="AB279" s="3378" t="s">
        <v>32</v>
      </c>
      <c r="AC279" s="3378" t="s">
        <v>32</v>
      </c>
      <c r="AD279" s="3378" t="s">
        <v>32</v>
      </c>
      <c r="AE279" s="3378"/>
      <c r="AF279" s="3378"/>
      <c r="AG279" s="3426" t="s">
        <v>32</v>
      </c>
      <c r="AH279" s="187"/>
      <c r="AI279" s="184"/>
    </row>
    <row r="280" spans="1:35" ht="21" customHeight="1">
      <c r="A280" s="3273">
        <v>9</v>
      </c>
      <c r="B280" s="3287" t="s">
        <v>330</v>
      </c>
      <c r="C280" s="3378"/>
      <c r="D280" s="3378"/>
      <c r="E280" s="3378" t="s">
        <v>32</v>
      </c>
      <c r="F280" s="3378" t="s">
        <v>32</v>
      </c>
      <c r="G280" s="3378" t="s">
        <v>32</v>
      </c>
      <c r="H280" s="3378" t="s">
        <v>32</v>
      </c>
      <c r="I280" s="3378" t="s">
        <v>32</v>
      </c>
      <c r="J280" s="3378"/>
      <c r="K280" s="3378"/>
      <c r="L280" s="3378" t="s">
        <v>32</v>
      </c>
      <c r="M280" s="3378" t="s">
        <v>32</v>
      </c>
      <c r="N280" s="3382" t="s">
        <v>32</v>
      </c>
      <c r="O280" s="3382" t="s">
        <v>32</v>
      </c>
      <c r="P280" s="3382" t="s">
        <v>32</v>
      </c>
      <c r="Q280" s="3380"/>
      <c r="R280" s="3382"/>
      <c r="S280" s="3378" t="s">
        <v>32</v>
      </c>
      <c r="T280" s="3378" t="s">
        <v>32</v>
      </c>
      <c r="U280" s="3382" t="s">
        <v>32</v>
      </c>
      <c r="V280" s="3382" t="s">
        <v>32</v>
      </c>
      <c r="W280" s="3382" t="s">
        <v>32</v>
      </c>
      <c r="X280" s="3378"/>
      <c r="Y280" s="3382"/>
      <c r="Z280" s="3378" t="s">
        <v>32</v>
      </c>
      <c r="AA280" s="3378" t="s">
        <v>32</v>
      </c>
      <c r="AB280" s="3378" t="s">
        <v>32</v>
      </c>
      <c r="AC280" s="3378" t="s">
        <v>32</v>
      </c>
      <c r="AD280" s="3378" t="s">
        <v>32</v>
      </c>
      <c r="AE280" s="3378"/>
      <c r="AF280" s="3378"/>
      <c r="AG280" s="3362" t="s">
        <v>278</v>
      </c>
      <c r="AH280" s="187"/>
      <c r="AI280" s="184"/>
    </row>
    <row r="281" spans="1:35" ht="21" customHeight="1">
      <c r="A281" s="3273">
        <v>10</v>
      </c>
      <c r="B281" s="3288" t="s">
        <v>331</v>
      </c>
      <c r="C281" s="3378"/>
      <c r="D281" s="3378"/>
      <c r="E281" s="3378" t="s">
        <v>32</v>
      </c>
      <c r="F281" s="3378" t="s">
        <v>32</v>
      </c>
      <c r="G281" s="3378" t="s">
        <v>32</v>
      </c>
      <c r="H281" s="3378" t="s">
        <v>32</v>
      </c>
      <c r="I281" s="3378" t="s">
        <v>32</v>
      </c>
      <c r="J281" s="3378"/>
      <c r="K281" s="3378"/>
      <c r="L281" s="3378" t="s">
        <v>32</v>
      </c>
      <c r="M281" s="3378" t="s">
        <v>32</v>
      </c>
      <c r="N281" s="3382" t="s">
        <v>32</v>
      </c>
      <c r="O281" s="3382" t="s">
        <v>32</v>
      </c>
      <c r="P281" s="3382" t="s">
        <v>32</v>
      </c>
      <c r="Q281" s="3380"/>
      <c r="R281" s="3382"/>
      <c r="S281" s="3378" t="s">
        <v>32</v>
      </c>
      <c r="T281" s="3378" t="s">
        <v>32</v>
      </c>
      <c r="U281" s="3382" t="s">
        <v>32</v>
      </c>
      <c r="V281" s="3382" t="s">
        <v>32</v>
      </c>
      <c r="W281" s="3382" t="s">
        <v>32</v>
      </c>
      <c r="X281" s="3378"/>
      <c r="Y281" s="3289"/>
      <c r="Z281" s="3378" t="s">
        <v>32</v>
      </c>
      <c r="AA281" s="3378" t="s">
        <v>32</v>
      </c>
      <c r="AB281" s="3378" t="s">
        <v>32</v>
      </c>
      <c r="AC281" s="3378" t="s">
        <v>32</v>
      </c>
      <c r="AD281" s="3378" t="s">
        <v>32</v>
      </c>
      <c r="AE281" s="3382"/>
      <c r="AF281" s="3382"/>
      <c r="AG281" s="3426" t="s">
        <v>32</v>
      </c>
      <c r="AH281" s="187"/>
      <c r="AI281" s="184"/>
    </row>
    <row r="282" spans="1:35" ht="21" customHeight="1">
      <c r="A282" s="3273">
        <v>11</v>
      </c>
      <c r="B282" s="3388" t="s">
        <v>332</v>
      </c>
      <c r="C282" s="3391"/>
      <c r="D282" s="3391"/>
      <c r="E282" s="3391" t="s">
        <v>32</v>
      </c>
      <c r="F282" s="3391" t="s">
        <v>32</v>
      </c>
      <c r="G282" s="3391" t="s">
        <v>32</v>
      </c>
      <c r="H282" s="3378" t="s">
        <v>32</v>
      </c>
      <c r="I282" s="3378" t="s">
        <v>32</v>
      </c>
      <c r="J282" s="3378"/>
      <c r="K282" s="3378"/>
      <c r="L282" s="3378" t="s">
        <v>32</v>
      </c>
      <c r="M282" s="3378" t="s">
        <v>32</v>
      </c>
      <c r="N282" s="3382" t="s">
        <v>32</v>
      </c>
      <c r="O282" s="3382" t="s">
        <v>32</v>
      </c>
      <c r="P282" s="3382" t="s">
        <v>32</v>
      </c>
      <c r="Q282" s="3380"/>
      <c r="R282" s="3382"/>
      <c r="S282" s="3378" t="s">
        <v>32</v>
      </c>
      <c r="T282" s="3378" t="s">
        <v>32</v>
      </c>
      <c r="U282" s="3382" t="s">
        <v>32</v>
      </c>
      <c r="V282" s="3382" t="s">
        <v>32</v>
      </c>
      <c r="W282" s="3382" t="s">
        <v>32</v>
      </c>
      <c r="X282" s="3378"/>
      <c r="Y282" s="3382"/>
      <c r="Z282" s="3378" t="s">
        <v>32</v>
      </c>
      <c r="AA282" s="3378" t="s">
        <v>32</v>
      </c>
      <c r="AB282" s="3378" t="s">
        <v>32</v>
      </c>
      <c r="AC282" s="3378" t="s">
        <v>32</v>
      </c>
      <c r="AD282" s="3378" t="s">
        <v>32</v>
      </c>
      <c r="AE282" s="3378"/>
      <c r="AF282" s="3378"/>
      <c r="AG282" s="3426" t="s">
        <v>32</v>
      </c>
      <c r="AH282" s="187"/>
      <c r="AI282" s="184"/>
    </row>
    <row r="283" spans="1:35" ht="21" customHeight="1">
      <c r="A283" s="3273"/>
      <c r="B283" s="3288"/>
      <c r="C283" s="3378"/>
      <c r="D283" s="3290"/>
      <c r="E283" s="3378"/>
      <c r="F283" s="3378"/>
      <c r="G283" s="3378"/>
      <c r="H283" s="3378"/>
      <c r="I283" s="3378"/>
      <c r="J283" s="3378"/>
      <c r="K283" s="3378"/>
      <c r="L283" s="3378"/>
      <c r="M283" s="3378"/>
      <c r="N283" s="3378"/>
      <c r="O283" s="3378"/>
      <c r="P283" s="3378"/>
      <c r="Q283" s="3378"/>
      <c r="R283" s="3378"/>
      <c r="S283" s="3378"/>
      <c r="T283" s="3378"/>
      <c r="U283" s="3378"/>
      <c r="V283" s="3378"/>
      <c r="W283" s="3378"/>
      <c r="X283" s="3378"/>
      <c r="Y283" s="3378"/>
      <c r="Z283" s="3378"/>
      <c r="AA283" s="3378"/>
      <c r="AB283" s="3378"/>
      <c r="AC283" s="3378"/>
      <c r="AD283" s="3378"/>
      <c r="AE283" s="3378"/>
      <c r="AF283" s="3378"/>
      <c r="AG283" s="3426"/>
      <c r="AH283" s="187"/>
      <c r="AI283" s="184"/>
    </row>
    <row r="284" spans="1:35" ht="21" customHeight="1">
      <c r="A284" s="3273"/>
      <c r="B284" s="3288"/>
      <c r="C284" s="3426"/>
      <c r="D284" s="3426"/>
      <c r="E284" s="3426"/>
      <c r="F284" s="3426"/>
      <c r="G284" s="3426"/>
      <c r="H284" s="3426"/>
      <c r="I284" s="3426"/>
      <c r="J284" s="3426"/>
      <c r="K284" s="3426"/>
      <c r="L284" s="3426"/>
      <c r="M284" s="3426"/>
      <c r="N284" s="3355"/>
      <c r="O284" s="3355"/>
      <c r="P284" s="3426"/>
      <c r="Q284" s="3426"/>
      <c r="R284" s="3426"/>
      <c r="S284" s="3426"/>
      <c r="T284" s="3426"/>
      <c r="U284" s="3426"/>
      <c r="V284" s="3426"/>
      <c r="W284" s="3426"/>
      <c r="X284" s="3426"/>
      <c r="Y284" s="3426"/>
      <c r="Z284" s="3426"/>
      <c r="AA284" s="3426"/>
      <c r="AB284" s="3355"/>
      <c r="AC284" s="3355"/>
      <c r="AD284" s="3426"/>
      <c r="AE284" s="3426"/>
      <c r="AF284" s="3426"/>
      <c r="AG284" s="3426"/>
      <c r="AH284" s="187"/>
      <c r="AI284" s="185"/>
    </row>
    <row r="285" spans="1:35" ht="21" customHeight="1" thickBot="1">
      <c r="A285" s="3273"/>
      <c r="B285" s="1188"/>
      <c r="C285" s="3291"/>
      <c r="D285" s="3292"/>
      <c r="E285" s="3292"/>
      <c r="F285" s="3292"/>
      <c r="G285" s="3292"/>
      <c r="H285" s="3292"/>
      <c r="I285" s="3292"/>
      <c r="J285" s="3292"/>
      <c r="K285" s="3292"/>
      <c r="L285" s="3292"/>
      <c r="M285" s="3292"/>
      <c r="N285" s="3293"/>
      <c r="O285" s="3293"/>
      <c r="P285" s="3292"/>
      <c r="Q285" s="3292"/>
      <c r="R285" s="3292"/>
      <c r="S285" s="3292"/>
      <c r="T285" s="3292"/>
      <c r="U285" s="3292"/>
      <c r="V285" s="3292"/>
      <c r="W285" s="3292"/>
      <c r="X285" s="3292"/>
      <c r="Y285" s="3292"/>
      <c r="Z285" s="3292"/>
      <c r="AA285" s="3292"/>
      <c r="AB285" s="3293"/>
      <c r="AC285" s="3293"/>
      <c r="AD285" s="3292"/>
      <c r="AE285" s="3292"/>
      <c r="AF285" s="3292"/>
      <c r="AG285" s="3292"/>
      <c r="AH285" s="187"/>
      <c r="AI285" s="185"/>
    </row>
    <row r="286" spans="1:35">
      <c r="A286" s="3447"/>
    </row>
    <row r="287" spans="1:35" ht="12.75" thickBot="1">
      <c r="A287" s="1126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 B128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S62" numberStoredAsText="1"/>
  </ignoredError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3F2C-42E0-41BD-9149-F5986F0A84F7}">
  <sheetPr codeName="Ark79"/>
  <dimension ref="A1:AN285"/>
  <sheetViews>
    <sheetView zoomScale="90" zoomScaleNormal="90" workbookViewId="0">
      <pane xSplit="2" ySplit="3" topLeftCell="Y222" activePane="bottomRight" state="frozen"/>
      <selection pane="topRight" activeCell="AJ75" sqref="AJ75"/>
      <selection pane="bottomLeft" activeCell="AJ75" sqref="AJ75"/>
      <selection pane="bottomRight" activeCell="Y222" sqref="Y222"/>
    </sheetView>
  </sheetViews>
  <sheetFormatPr defaultColWidth="9.140625" defaultRowHeight="1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>
      <c r="A1" t="s">
        <v>0</v>
      </c>
      <c r="B1" s="1" t="s">
        <v>1</v>
      </c>
      <c r="AK1" t="s">
        <v>0</v>
      </c>
    </row>
    <row r="2" spans="1:38" ht="13.35" customHeight="1">
      <c r="B2" s="3294" t="s">
        <v>2</v>
      </c>
      <c r="C2" s="3295" t="s">
        <v>3</v>
      </c>
      <c r="D2" s="3296"/>
      <c r="E2" s="3297" t="s">
        <v>4</v>
      </c>
      <c r="F2" s="3298"/>
      <c r="G2" s="3299"/>
      <c r="H2" s="3299"/>
      <c r="I2" s="3299"/>
      <c r="J2" s="3299"/>
      <c r="K2" s="3300"/>
      <c r="L2" s="3301" t="s">
        <v>5</v>
      </c>
      <c r="M2" s="3302"/>
      <c r="N2" s="3303"/>
      <c r="O2" s="3304" t="s">
        <v>6</v>
      </c>
      <c r="P2" s="3305"/>
      <c r="Q2" s="3306"/>
      <c r="R2" s="3307"/>
      <c r="S2" s="3308" t="s">
        <v>7</v>
      </c>
      <c r="T2" s="3309"/>
      <c r="U2" s="3310"/>
      <c r="V2" s="3309"/>
      <c r="W2" s="3311" t="s">
        <v>8</v>
      </c>
      <c r="X2" s="3312"/>
      <c r="Y2" s="3313"/>
      <c r="Z2" s="163" t="s">
        <v>9</v>
      </c>
      <c r="AA2" s="3314"/>
      <c r="AB2" s="3315"/>
      <c r="AC2" s="3316"/>
      <c r="AD2" s="3317" t="s">
        <v>10</v>
      </c>
      <c r="AE2" s="3318"/>
      <c r="AF2" s="3318"/>
      <c r="AG2" s="3319"/>
      <c r="AJ2" t="s">
        <v>0</v>
      </c>
    </row>
    <row r="3" spans="1:38" ht="13.35" customHeight="1">
      <c r="A3" s="1"/>
      <c r="B3" s="3320" t="s">
        <v>11</v>
      </c>
      <c r="C3" s="3321" t="s">
        <v>12</v>
      </c>
      <c r="D3" s="3322"/>
      <c r="E3" s="91"/>
      <c r="F3" s="92"/>
      <c r="G3" s="92"/>
      <c r="H3" s="164" t="s">
        <v>13</v>
      </c>
      <c r="I3" s="93"/>
      <c r="J3" s="93"/>
      <c r="K3" s="94"/>
      <c r="L3" s="3323" t="s">
        <v>14</v>
      </c>
      <c r="M3" s="3324"/>
      <c r="N3" s="3325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3324"/>
      <c r="AA3" s="3324"/>
      <c r="AB3" s="3326"/>
      <c r="AC3" s="3327"/>
      <c r="AD3" s="3328" t="s">
        <v>17</v>
      </c>
      <c r="AE3" s="3329"/>
      <c r="AF3" s="3329"/>
      <c r="AG3" s="3330"/>
    </row>
    <row r="4" spans="1:38" ht="13.35" customHeight="1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>
      <c r="A5" s="161" t="s">
        <v>19</v>
      </c>
      <c r="B5" s="1"/>
    </row>
    <row r="6" spans="1:38" ht="22.35" customHeight="1">
      <c r="A6" s="3331" t="s">
        <v>20</v>
      </c>
      <c r="B6" s="3324"/>
      <c r="C6" s="3332"/>
      <c r="D6" s="3331" t="s">
        <v>21</v>
      </c>
      <c r="E6" s="3324"/>
      <c r="F6" s="3324"/>
      <c r="G6" s="3324"/>
      <c r="H6" s="3333"/>
      <c r="I6" s="3324"/>
      <c r="J6" s="3324"/>
      <c r="K6" s="3324"/>
      <c r="L6" s="3334" t="s">
        <v>22</v>
      </c>
      <c r="M6" s="3324"/>
      <c r="N6" s="3324"/>
      <c r="O6" s="3324"/>
      <c r="P6" s="3324"/>
      <c r="Q6" s="3324"/>
      <c r="R6" s="3324"/>
      <c r="S6" s="3332"/>
      <c r="T6" s="3335"/>
      <c r="U6" s="3324"/>
      <c r="V6" s="3324"/>
      <c r="W6" s="3324"/>
      <c r="X6" s="3324"/>
      <c r="Y6" s="3324"/>
      <c r="Z6" s="3324"/>
      <c r="AA6" s="3332"/>
      <c r="AB6" s="3336"/>
      <c r="AC6" s="3337"/>
      <c r="AD6" s="3337"/>
      <c r="AE6" s="3337"/>
      <c r="AF6" s="3337"/>
      <c r="AG6" s="3338"/>
    </row>
    <row r="7" spans="1:38" ht="22.35" customHeight="1">
      <c r="A7" s="3331" t="s">
        <v>23</v>
      </c>
      <c r="B7" s="3324"/>
      <c r="C7" s="3324"/>
      <c r="D7" s="3324"/>
      <c r="E7" s="3324"/>
      <c r="F7" s="3324"/>
      <c r="G7" s="3324"/>
      <c r="H7" s="3324"/>
      <c r="I7" s="3324"/>
      <c r="J7" s="3324"/>
      <c r="K7" s="3332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3324"/>
      <c r="V7" s="3324"/>
      <c r="W7" s="3324"/>
      <c r="X7" s="3324"/>
      <c r="Y7" s="3324"/>
      <c r="Z7" s="3324"/>
      <c r="AA7" s="3324"/>
      <c r="AB7" s="3339"/>
      <c r="AC7" s="3324"/>
      <c r="AD7" s="3324"/>
      <c r="AE7" s="3324"/>
      <c r="AF7" s="3324"/>
      <c r="AG7" s="3332"/>
    </row>
    <row r="8" spans="1:38" ht="22.35" customHeight="1">
      <c r="A8" s="161" t="s">
        <v>25</v>
      </c>
      <c r="L8" s="100"/>
      <c r="AB8" s="1"/>
    </row>
    <row r="9" spans="1:38" ht="22.35" customHeight="1">
      <c r="A9" s="161" t="s">
        <v>26</v>
      </c>
      <c r="L9" s="100"/>
      <c r="AB9" s="1"/>
    </row>
    <row r="10" spans="1:38" ht="22.35" customHeight="1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>
      <c r="A11" s="3340" t="s">
        <v>28</v>
      </c>
      <c r="B11" s="3341" t="s">
        <v>29</v>
      </c>
      <c r="C11" s="3342">
        <v>1</v>
      </c>
      <c r="D11" s="3342">
        <v>2</v>
      </c>
      <c r="E11" s="3342">
        <v>3</v>
      </c>
      <c r="F11" s="3342">
        <v>4</v>
      </c>
      <c r="G11" s="3343">
        <v>5</v>
      </c>
      <c r="H11" s="3343">
        <v>6</v>
      </c>
      <c r="I11" s="3342">
        <v>7</v>
      </c>
      <c r="J11" s="3342">
        <v>8</v>
      </c>
      <c r="K11" s="3342">
        <v>9</v>
      </c>
      <c r="L11" s="3342">
        <v>10</v>
      </c>
      <c r="M11" s="3342">
        <v>11</v>
      </c>
      <c r="N11" s="3343">
        <v>12</v>
      </c>
      <c r="O11" s="3343">
        <v>13</v>
      </c>
      <c r="P11" s="3342">
        <v>14</v>
      </c>
      <c r="Q11" s="3342">
        <v>15</v>
      </c>
      <c r="R11" s="3342">
        <v>16</v>
      </c>
      <c r="S11" s="3342">
        <v>17</v>
      </c>
      <c r="T11" s="3342">
        <v>18</v>
      </c>
      <c r="U11" s="3343">
        <v>19</v>
      </c>
      <c r="V11" s="3343">
        <v>20</v>
      </c>
      <c r="W11" s="3342">
        <v>21</v>
      </c>
      <c r="X11" s="3342">
        <v>22</v>
      </c>
      <c r="Y11" s="3342">
        <v>23</v>
      </c>
      <c r="Z11" s="3342">
        <v>24</v>
      </c>
      <c r="AA11" s="3342">
        <v>25</v>
      </c>
      <c r="AB11" s="3343">
        <v>26</v>
      </c>
      <c r="AC11" s="3343">
        <v>27</v>
      </c>
      <c r="AD11" s="3342">
        <v>28</v>
      </c>
      <c r="AE11" s="3342"/>
      <c r="AF11" s="3342"/>
      <c r="AG11" s="3432"/>
      <c r="AH11" s="176"/>
      <c r="AI11" s="177"/>
      <c r="AJ11" s="3346" t="s">
        <v>30</v>
      </c>
    </row>
    <row r="12" spans="1:38" ht="22.35" customHeight="1">
      <c r="A12" s="506">
        <v>8500</v>
      </c>
      <c r="B12" s="389" t="s">
        <v>31</v>
      </c>
      <c r="C12" s="349" t="s">
        <v>32</v>
      </c>
      <c r="D12" s="349" t="s">
        <v>32</v>
      </c>
      <c r="E12" s="349" t="s">
        <v>32</v>
      </c>
      <c r="F12" s="349" t="s">
        <v>32</v>
      </c>
      <c r="G12" s="349"/>
      <c r="H12" s="349"/>
      <c r="I12" s="349" t="s">
        <v>32</v>
      </c>
      <c r="J12" s="349" t="s">
        <v>32</v>
      </c>
      <c r="K12" s="349" t="s">
        <v>32</v>
      </c>
      <c r="L12" s="349" t="s">
        <v>32</v>
      </c>
      <c r="M12" s="349" t="s">
        <v>32</v>
      </c>
      <c r="N12" s="349"/>
      <c r="O12" s="349"/>
      <c r="P12" s="539" t="s">
        <v>32</v>
      </c>
      <c r="Q12" s="349" t="s">
        <v>32</v>
      </c>
      <c r="R12" s="349" t="s">
        <v>32</v>
      </c>
      <c r="S12" s="349" t="s">
        <v>32</v>
      </c>
      <c r="T12" s="539" t="s">
        <v>32</v>
      </c>
      <c r="U12" s="349"/>
      <c r="V12" s="349"/>
      <c r="W12" s="350" t="s">
        <v>32</v>
      </c>
      <c r="X12" s="350" t="s">
        <v>32</v>
      </c>
      <c r="Y12" s="350" t="s">
        <v>32</v>
      </c>
      <c r="Z12" s="350" t="s">
        <v>32</v>
      </c>
      <c r="AA12" s="350" t="s">
        <v>32</v>
      </c>
      <c r="AB12" s="349"/>
      <c r="AC12" s="349"/>
      <c r="AD12" s="350" t="s">
        <v>32</v>
      </c>
      <c r="AE12" s="350"/>
      <c r="AF12" s="350"/>
      <c r="AG12" s="352"/>
      <c r="AH12" s="182"/>
      <c r="AI12" s="182"/>
      <c r="AJ12" s="3346">
        <v>160.33000000000001</v>
      </c>
    </row>
    <row r="13" spans="1:38" ht="22.35" customHeight="1">
      <c r="A13" s="3347" t="s">
        <v>33</v>
      </c>
      <c r="B13" s="3348"/>
      <c r="C13" s="3348"/>
      <c r="D13" s="3348"/>
      <c r="E13" s="3348"/>
      <c r="F13" s="3348"/>
      <c r="G13" s="3348"/>
      <c r="H13" s="3348"/>
      <c r="I13" s="3348"/>
      <c r="J13" s="3348"/>
      <c r="K13" s="3348"/>
      <c r="L13" s="3348"/>
      <c r="M13" s="3348"/>
      <c r="N13" s="3348"/>
      <c r="O13" s="3348"/>
      <c r="P13" s="3348"/>
      <c r="Q13" s="3348"/>
      <c r="R13" s="3348"/>
      <c r="S13" s="3348"/>
      <c r="T13" s="3348"/>
      <c r="U13" s="3348"/>
      <c r="V13" s="3348"/>
      <c r="W13" s="3348"/>
      <c r="X13" s="3348"/>
      <c r="Y13" s="3348"/>
      <c r="Z13" s="3348"/>
      <c r="AA13" s="3348"/>
      <c r="AB13" s="3348"/>
      <c r="AC13" s="3348"/>
      <c r="AD13" s="3348"/>
      <c r="AE13" s="3348"/>
      <c r="AF13" s="3348"/>
      <c r="AG13" s="3349"/>
      <c r="AH13" s="180"/>
      <c r="AI13" s="180"/>
    </row>
    <row r="14" spans="1:38" ht="22.35" customHeight="1">
      <c r="A14" s="3350">
        <v>8546</v>
      </c>
      <c r="B14" s="3376" t="s">
        <v>51</v>
      </c>
      <c r="C14" s="3352">
        <v>2</v>
      </c>
      <c r="D14" s="3352">
        <v>2</v>
      </c>
      <c r="E14" s="3352">
        <v>2</v>
      </c>
      <c r="F14" s="3352">
        <v>2</v>
      </c>
      <c r="G14" s="3352" t="s">
        <v>35</v>
      </c>
      <c r="H14" s="3353" t="s">
        <v>35</v>
      </c>
      <c r="I14" s="3353" t="s">
        <v>36</v>
      </c>
      <c r="J14" s="3353" t="s">
        <v>36</v>
      </c>
      <c r="K14" s="3354" t="s">
        <v>36</v>
      </c>
      <c r="L14" s="3353" t="s">
        <v>36</v>
      </c>
      <c r="M14" s="3355" t="s">
        <v>36</v>
      </c>
      <c r="N14" s="3352"/>
      <c r="O14" s="3352"/>
      <c r="P14" s="3356">
        <v>4</v>
      </c>
      <c r="Q14" s="3356">
        <v>4</v>
      </c>
      <c r="R14" s="3353">
        <v>4</v>
      </c>
      <c r="S14" s="3357">
        <v>4</v>
      </c>
      <c r="T14" s="3356">
        <v>4</v>
      </c>
      <c r="U14" s="3356" t="s">
        <v>37</v>
      </c>
      <c r="V14" s="3353" t="s">
        <v>37</v>
      </c>
      <c r="W14" s="3353" t="s">
        <v>36</v>
      </c>
      <c r="X14" s="3353" t="s">
        <v>36</v>
      </c>
      <c r="Y14" s="3353" t="s">
        <v>36</v>
      </c>
      <c r="Z14" s="3360" t="s">
        <v>36</v>
      </c>
      <c r="AA14" s="3353" t="s">
        <v>36</v>
      </c>
      <c r="AB14" s="3353"/>
      <c r="AC14" s="3353"/>
      <c r="AD14" s="3610">
        <v>1</v>
      </c>
      <c r="AE14" s="3353"/>
      <c r="AF14" s="3353"/>
      <c r="AG14" s="3358"/>
      <c r="AH14" s="182"/>
      <c r="AI14" s="182"/>
    </row>
    <row r="15" spans="1:38" ht="22.35" customHeight="1">
      <c r="A15" s="3350">
        <v>8546</v>
      </c>
      <c r="B15" s="3359" t="s">
        <v>38</v>
      </c>
      <c r="C15" s="3610">
        <v>1</v>
      </c>
      <c r="D15" s="3610">
        <v>1</v>
      </c>
      <c r="E15" s="3610">
        <v>1</v>
      </c>
      <c r="F15" s="3356">
        <v>1</v>
      </c>
      <c r="G15" s="3356"/>
      <c r="H15" s="3356"/>
      <c r="I15" s="3353">
        <v>2</v>
      </c>
      <c r="J15" s="3354">
        <v>2</v>
      </c>
      <c r="K15" s="3356">
        <v>2</v>
      </c>
      <c r="L15" s="3353">
        <v>2</v>
      </c>
      <c r="M15" s="3353">
        <v>2</v>
      </c>
      <c r="N15" s="3353" t="s">
        <v>35</v>
      </c>
      <c r="O15" s="3353" t="s">
        <v>35</v>
      </c>
      <c r="P15" s="3353" t="s">
        <v>36</v>
      </c>
      <c r="Q15" s="3353" t="s">
        <v>36</v>
      </c>
      <c r="R15" s="3353" t="s">
        <v>36</v>
      </c>
      <c r="S15" s="3353" t="s">
        <v>36</v>
      </c>
      <c r="T15" s="3353" t="s">
        <v>36</v>
      </c>
      <c r="U15" s="3353"/>
      <c r="V15" s="3353"/>
      <c r="W15" s="3367">
        <v>4</v>
      </c>
      <c r="X15" s="3367">
        <v>4</v>
      </c>
      <c r="Y15" s="3367">
        <v>4</v>
      </c>
      <c r="Z15" s="3367">
        <v>4</v>
      </c>
      <c r="AA15" s="3367">
        <v>4</v>
      </c>
      <c r="AB15" s="3367" t="s">
        <v>37</v>
      </c>
      <c r="AC15" s="3367" t="s">
        <v>37</v>
      </c>
      <c r="AD15" s="3353" t="s">
        <v>36</v>
      </c>
      <c r="AE15" s="3353"/>
      <c r="AF15" s="3353"/>
      <c r="AG15" s="3358"/>
      <c r="AH15" s="182"/>
      <c r="AI15" s="182"/>
      <c r="AL15" t="s">
        <v>0</v>
      </c>
    </row>
    <row r="16" spans="1:38" ht="22.35" customHeight="1">
      <c r="A16" s="3350">
        <v>8546</v>
      </c>
      <c r="B16" s="3361" t="s">
        <v>39</v>
      </c>
      <c r="C16" s="3611">
        <v>4</v>
      </c>
      <c r="D16" s="3612" t="s">
        <v>334</v>
      </c>
      <c r="E16" s="3690">
        <v>4</v>
      </c>
      <c r="F16" s="3353">
        <v>4</v>
      </c>
      <c r="G16" s="3353" t="s">
        <v>37</v>
      </c>
      <c r="H16" s="3353" t="s">
        <v>37</v>
      </c>
      <c r="I16" s="3353" t="s">
        <v>36</v>
      </c>
      <c r="J16" s="3353" t="s">
        <v>36</v>
      </c>
      <c r="K16" s="3353" t="s">
        <v>36</v>
      </c>
      <c r="L16" s="3353" t="s">
        <v>36</v>
      </c>
      <c r="M16" s="3353" t="s">
        <v>36</v>
      </c>
      <c r="N16" s="3356"/>
      <c r="O16" s="3356"/>
      <c r="P16" s="3367">
        <v>1</v>
      </c>
      <c r="Q16" s="3367">
        <v>1</v>
      </c>
      <c r="R16" s="3367">
        <v>1</v>
      </c>
      <c r="S16" s="3367">
        <v>1</v>
      </c>
      <c r="T16" s="3367">
        <v>1</v>
      </c>
      <c r="U16" s="3367"/>
      <c r="V16" s="3367"/>
      <c r="W16" s="3367">
        <v>2</v>
      </c>
      <c r="X16" s="3367">
        <v>2</v>
      </c>
      <c r="Y16" s="3367">
        <v>2</v>
      </c>
      <c r="Z16" s="3367">
        <v>2</v>
      </c>
      <c r="AA16" s="3367">
        <v>2</v>
      </c>
      <c r="AB16" s="3367" t="s">
        <v>35</v>
      </c>
      <c r="AC16" s="3367" t="s">
        <v>35</v>
      </c>
      <c r="AD16" s="3353" t="s">
        <v>36</v>
      </c>
      <c r="AE16" s="3353"/>
      <c r="AF16" s="3353"/>
      <c r="AG16" s="3358"/>
      <c r="AH16" s="182"/>
      <c r="AI16" s="182"/>
    </row>
    <row r="17" spans="1:40" ht="22.35" customHeight="1">
      <c r="A17" s="3350">
        <v>8546</v>
      </c>
      <c r="B17" s="3359" t="s">
        <v>40</v>
      </c>
      <c r="C17" s="3353" t="s">
        <v>36</v>
      </c>
      <c r="D17" s="3354" t="s">
        <v>36</v>
      </c>
      <c r="E17" s="3353" t="s">
        <v>36</v>
      </c>
      <c r="F17" s="3356" t="s">
        <v>36</v>
      </c>
      <c r="G17" s="3353"/>
      <c r="H17" s="3353"/>
      <c r="I17" s="3367">
        <v>4</v>
      </c>
      <c r="J17" s="3367">
        <v>4</v>
      </c>
      <c r="K17" s="3367">
        <v>4</v>
      </c>
      <c r="L17" s="3367">
        <v>4</v>
      </c>
      <c r="M17" s="3367">
        <v>4</v>
      </c>
      <c r="N17" s="3367" t="s">
        <v>37</v>
      </c>
      <c r="O17" s="3367" t="s">
        <v>37</v>
      </c>
      <c r="P17" s="3352" t="s">
        <v>36</v>
      </c>
      <c r="Q17" s="3352" t="s">
        <v>36</v>
      </c>
      <c r="R17" s="3352" t="s">
        <v>36</v>
      </c>
      <c r="S17" s="3352" t="s">
        <v>36</v>
      </c>
      <c r="T17" s="3353" t="s">
        <v>36</v>
      </c>
      <c r="U17" s="3353"/>
      <c r="V17" s="3353"/>
      <c r="W17" s="3691">
        <v>1</v>
      </c>
      <c r="X17" s="3354">
        <v>1</v>
      </c>
      <c r="Y17" s="3353">
        <v>1</v>
      </c>
      <c r="Z17" s="3353">
        <v>1</v>
      </c>
      <c r="AA17" s="3692">
        <v>1</v>
      </c>
      <c r="AB17" s="3614"/>
      <c r="AC17" s="3615"/>
      <c r="AD17" s="3615">
        <v>2</v>
      </c>
      <c r="AE17" s="3615"/>
      <c r="AF17" s="3615"/>
      <c r="AG17" s="3358"/>
      <c r="AH17" s="182"/>
      <c r="AI17" s="182"/>
    </row>
    <row r="18" spans="1:40" ht="22.35" customHeight="1">
      <c r="A18" s="3350">
        <v>8546</v>
      </c>
      <c r="B18" s="3361" t="s">
        <v>41</v>
      </c>
      <c r="C18" s="3353" t="s">
        <v>36</v>
      </c>
      <c r="D18" s="3354" t="s">
        <v>36</v>
      </c>
      <c r="E18" s="3353" t="s">
        <v>36</v>
      </c>
      <c r="F18" s="3353" t="s">
        <v>36</v>
      </c>
      <c r="G18" s="3353"/>
      <c r="H18" s="3353"/>
      <c r="I18" s="3353">
        <v>1</v>
      </c>
      <c r="J18" s="3356">
        <v>1</v>
      </c>
      <c r="K18" s="3356">
        <v>1</v>
      </c>
      <c r="L18" s="3363">
        <v>1</v>
      </c>
      <c r="M18" s="3363">
        <v>1</v>
      </c>
      <c r="N18" s="3356"/>
      <c r="O18" s="3353"/>
      <c r="P18" s="3356">
        <v>2</v>
      </c>
      <c r="Q18" s="3356">
        <v>2</v>
      </c>
      <c r="R18" s="3356">
        <v>2</v>
      </c>
      <c r="S18" s="3356">
        <v>2</v>
      </c>
      <c r="T18" s="3356">
        <v>2</v>
      </c>
      <c r="U18" s="3355" t="s">
        <v>35</v>
      </c>
      <c r="V18" s="3355" t="s">
        <v>35</v>
      </c>
      <c r="W18" s="3353" t="s">
        <v>36</v>
      </c>
      <c r="X18" s="3353" t="s">
        <v>36</v>
      </c>
      <c r="Y18" s="3353" t="s">
        <v>36</v>
      </c>
      <c r="Z18" s="3353" t="s">
        <v>36</v>
      </c>
      <c r="AA18" s="3353" t="s">
        <v>36</v>
      </c>
      <c r="AB18" s="3353"/>
      <c r="AC18" s="3369"/>
      <c r="AD18" s="3353">
        <v>4</v>
      </c>
      <c r="AE18" s="3353"/>
      <c r="AF18" s="3353"/>
      <c r="AG18" s="3358"/>
      <c r="AH18" s="182"/>
      <c r="AI18" s="182"/>
    </row>
    <row r="19" spans="1:40" ht="22.35" customHeight="1" thickBot="1">
      <c r="A19" s="3370" t="s">
        <v>42</v>
      </c>
      <c r="B19" s="3371"/>
      <c r="C19" s="3372"/>
      <c r="D19" s="3372"/>
      <c r="E19" s="3372"/>
      <c r="F19" s="3372"/>
      <c r="G19" s="3372"/>
      <c r="H19" s="3372"/>
      <c r="I19" s="3372"/>
      <c r="J19" s="3372"/>
      <c r="K19" s="3372"/>
      <c r="L19" s="3372"/>
      <c r="M19" s="3372"/>
      <c r="N19" s="3372"/>
      <c r="O19" s="3372"/>
      <c r="P19" s="3372"/>
      <c r="Q19" s="3372"/>
      <c r="R19" s="3372"/>
      <c r="S19" s="3372"/>
      <c r="T19" s="3372"/>
      <c r="U19" s="3372"/>
      <c r="V19" s="3372"/>
      <c r="W19" s="3372"/>
      <c r="X19" s="3372"/>
      <c r="Y19" s="3372"/>
      <c r="Z19" s="3372"/>
      <c r="AA19" s="3372"/>
      <c r="AB19" s="3372"/>
      <c r="AC19" s="3372"/>
      <c r="AD19" s="3372"/>
      <c r="AE19" s="3372"/>
      <c r="AF19" s="3372"/>
      <c r="AG19" s="3373"/>
      <c r="AH19" s="180"/>
      <c r="AI19" s="180"/>
      <c r="AJ19" s="3346" t="s">
        <v>30</v>
      </c>
      <c r="AK19" s="3346" t="s">
        <v>43</v>
      </c>
      <c r="AL19" s="3346" t="s">
        <v>44</v>
      </c>
      <c r="AM19" s="3346" t="s">
        <v>45</v>
      </c>
      <c r="AN19" s="3346" t="s">
        <v>46</v>
      </c>
    </row>
    <row r="20" spans="1:40" ht="22.35" customHeight="1">
      <c r="A20" s="353">
        <v>8500</v>
      </c>
      <c r="B20" s="354" t="s">
        <v>48</v>
      </c>
      <c r="C20" s="349">
        <v>1</v>
      </c>
      <c r="D20" s="349" t="s">
        <v>32</v>
      </c>
      <c r="E20" s="349">
        <v>1</v>
      </c>
      <c r="F20" s="349" t="s">
        <v>32</v>
      </c>
      <c r="G20" s="349"/>
      <c r="H20" s="349"/>
      <c r="I20" s="349" t="s">
        <v>32</v>
      </c>
      <c r="J20" s="349" t="s">
        <v>32</v>
      </c>
      <c r="K20" s="349" t="s">
        <v>32</v>
      </c>
      <c r="L20" s="349">
        <v>1</v>
      </c>
      <c r="M20" s="349">
        <v>1</v>
      </c>
      <c r="N20" s="349"/>
      <c r="O20" s="557"/>
      <c r="P20" s="541" t="s">
        <v>32</v>
      </c>
      <c r="Q20" s="349" t="s">
        <v>32</v>
      </c>
      <c r="R20" s="349" t="s">
        <v>32</v>
      </c>
      <c r="S20" s="349" t="s">
        <v>32</v>
      </c>
      <c r="T20" s="349" t="s">
        <v>32</v>
      </c>
      <c r="U20" s="574"/>
      <c r="V20" s="349"/>
      <c r="W20" s="349">
        <v>1</v>
      </c>
      <c r="X20" s="349" t="s">
        <v>32</v>
      </c>
      <c r="Y20" s="349" t="s">
        <v>32</v>
      </c>
      <c r="Z20" s="349" t="s">
        <v>32</v>
      </c>
      <c r="AA20" s="349" t="s">
        <v>32</v>
      </c>
      <c r="AB20" s="349"/>
      <c r="AC20" s="571"/>
      <c r="AD20" s="349">
        <v>1</v>
      </c>
      <c r="AE20" s="349"/>
      <c r="AF20" s="349"/>
      <c r="AG20" s="397"/>
      <c r="AH20" s="182"/>
      <c r="AI20" s="182"/>
      <c r="AJ20" s="3125"/>
      <c r="AK20" s="3125"/>
      <c r="AL20" s="3125" t="str">
        <f>IF(AJ20="","",SUM(AJ20:AK20))</f>
        <v/>
      </c>
      <c r="AM20" s="3374" t="str">
        <f>IF(AJ20="","",AL20-NormTid)</f>
        <v/>
      </c>
      <c r="AN20" s="3374" t="str">
        <f>IF(AM20="","",AM20+'Januar 2022'!AN20)</f>
        <v/>
      </c>
    </row>
    <row r="21" spans="1:40" ht="22.35" customHeight="1">
      <c r="A21" s="3375">
        <v>8500</v>
      </c>
      <c r="B21" s="3376" t="s">
        <v>49</v>
      </c>
      <c r="C21" s="3378">
        <v>4</v>
      </c>
      <c r="D21" s="3378">
        <v>4</v>
      </c>
      <c r="E21" s="3684" t="s">
        <v>36</v>
      </c>
      <c r="F21" s="3378" t="s">
        <v>32</v>
      </c>
      <c r="G21" s="3378"/>
      <c r="H21" s="3378"/>
      <c r="I21" s="3391" t="s">
        <v>32</v>
      </c>
      <c r="J21" s="3391" t="s">
        <v>32</v>
      </c>
      <c r="K21" s="3693" t="s">
        <v>32</v>
      </c>
      <c r="L21" s="3391" t="s">
        <v>32</v>
      </c>
      <c r="M21" s="3391" t="s">
        <v>32</v>
      </c>
      <c r="N21" s="3391"/>
      <c r="O21" s="3391"/>
      <c r="P21" s="3353">
        <v>1</v>
      </c>
      <c r="Q21" s="3354">
        <v>1</v>
      </c>
      <c r="R21" s="3353">
        <v>1</v>
      </c>
      <c r="S21" s="3353">
        <v>1</v>
      </c>
      <c r="T21" s="3615">
        <v>1</v>
      </c>
      <c r="U21" s="3378" t="s">
        <v>111</v>
      </c>
      <c r="V21" s="3378" t="s">
        <v>111</v>
      </c>
      <c r="W21" s="3356">
        <v>2</v>
      </c>
      <c r="X21" s="3614">
        <v>2</v>
      </c>
      <c r="Y21" s="3353">
        <v>2</v>
      </c>
      <c r="Z21" s="3357">
        <v>2</v>
      </c>
      <c r="AA21" s="3356">
        <v>2</v>
      </c>
      <c r="AB21" s="3356" t="s">
        <v>35</v>
      </c>
      <c r="AC21" s="3353" t="s">
        <v>35</v>
      </c>
      <c r="AD21" s="3378" t="s">
        <v>36</v>
      </c>
      <c r="AE21" s="3378"/>
      <c r="AF21" s="3378"/>
      <c r="AG21" s="3383"/>
      <c r="AH21" s="182"/>
      <c r="AI21" s="182"/>
      <c r="AJ21" s="3125">
        <v>165.15</v>
      </c>
      <c r="AK21" s="3125">
        <v>5.5</v>
      </c>
      <c r="AL21" s="3125">
        <f t="shared" ref="AL21:AL23" si="0">IF(AJ21="","",SUM(AJ21:AK21))</f>
        <v>170.65</v>
      </c>
      <c r="AM21" s="3374">
        <f>IF(AJ21="","",AL21-NormTid)</f>
        <v>10.319999999999993</v>
      </c>
      <c r="AN21" s="3374">
        <f>IF(AM21="","",AM21+'Januar 2022'!AN21)</f>
        <v>9.9899999999999807</v>
      </c>
    </row>
    <row r="22" spans="1:40" ht="22.35" customHeight="1">
      <c r="A22" s="3375">
        <v>8500</v>
      </c>
      <c r="B22" s="3376" t="s">
        <v>429</v>
      </c>
      <c r="C22" s="3378" t="s">
        <v>246</v>
      </c>
      <c r="D22" s="3378">
        <v>1</v>
      </c>
      <c r="E22" s="3378" t="s">
        <v>32</v>
      </c>
      <c r="F22" s="3392" t="s">
        <v>32</v>
      </c>
      <c r="G22" s="3378"/>
      <c r="H22" s="3378"/>
      <c r="I22" s="3356">
        <v>4</v>
      </c>
      <c r="J22" s="3356">
        <v>4</v>
      </c>
      <c r="K22" s="3353">
        <v>4</v>
      </c>
      <c r="L22" s="3357">
        <v>4</v>
      </c>
      <c r="M22" s="3356">
        <v>4</v>
      </c>
      <c r="N22" s="3356" t="s">
        <v>37</v>
      </c>
      <c r="O22" s="3353" t="s">
        <v>37</v>
      </c>
      <c r="P22" s="3694" t="s">
        <v>36</v>
      </c>
      <c r="Q22" s="3695" t="s">
        <v>36</v>
      </c>
      <c r="R22" s="3694" t="s">
        <v>36</v>
      </c>
      <c r="S22" s="3696" t="s">
        <v>36</v>
      </c>
      <c r="T22" s="3696" t="s">
        <v>36</v>
      </c>
      <c r="U22" s="3697"/>
      <c r="V22" s="3697"/>
      <c r="W22" s="3356">
        <v>4</v>
      </c>
      <c r="X22" s="3356">
        <v>4</v>
      </c>
      <c r="Y22" s="3356">
        <v>4</v>
      </c>
      <c r="Z22" s="3356">
        <v>4</v>
      </c>
      <c r="AA22" s="3356">
        <v>4</v>
      </c>
      <c r="AB22" s="3355" t="s">
        <v>37</v>
      </c>
      <c r="AC22" s="3355" t="s">
        <v>37</v>
      </c>
      <c r="AD22" s="3378" t="s">
        <v>36</v>
      </c>
      <c r="AE22" s="3378"/>
      <c r="AF22" s="3378"/>
      <c r="AG22" s="3383"/>
      <c r="AH22" s="182"/>
      <c r="AI22" s="182"/>
      <c r="AJ22" s="3125">
        <v>161.15</v>
      </c>
      <c r="AK22" s="3125">
        <v>10.25</v>
      </c>
      <c r="AL22" s="3125">
        <f t="shared" si="0"/>
        <v>171.4</v>
      </c>
      <c r="AM22" s="3374">
        <f>IF(AJ22="","",AL22-NormTid)</f>
        <v>11.069999999999993</v>
      </c>
      <c r="AN22" s="3374">
        <f>IF(AM22="","",AM22+'Januar 2022'!AN22)</f>
        <v>13.239999999999981</v>
      </c>
    </row>
    <row r="23" spans="1:40" ht="22.35" customHeight="1">
      <c r="A23" s="3375"/>
      <c r="B23" s="3384"/>
      <c r="C23" s="3378"/>
      <c r="D23" s="3380"/>
      <c r="E23" s="3378"/>
      <c r="F23" s="3378"/>
      <c r="G23" s="3378"/>
      <c r="H23" s="3378"/>
      <c r="I23" s="3378"/>
      <c r="J23" s="3378"/>
      <c r="K23" s="3378"/>
      <c r="L23" s="3378"/>
      <c r="M23" s="3378"/>
      <c r="N23" s="3378"/>
      <c r="O23" s="3386"/>
      <c r="P23" s="3378"/>
      <c r="Q23" s="3378"/>
      <c r="R23" s="3387"/>
      <c r="S23" s="3387"/>
      <c r="T23" s="3378"/>
      <c r="U23" s="3378"/>
      <c r="V23" s="3378"/>
      <c r="W23" s="3378"/>
      <c r="X23" s="3378"/>
      <c r="Y23" s="3378"/>
      <c r="Z23" s="3378"/>
      <c r="AA23" s="3378"/>
      <c r="AB23" s="3378"/>
      <c r="AC23" s="3382"/>
      <c r="AD23" s="3382"/>
      <c r="AE23" s="3382"/>
      <c r="AF23" s="3382"/>
      <c r="AG23" s="3383"/>
      <c r="AJ23" s="3125"/>
      <c r="AK23" s="3125"/>
      <c r="AL23" s="3125" t="str">
        <f t="shared" si="0"/>
        <v/>
      </c>
      <c r="AM23" s="3374" t="str">
        <f>IF(AJ23="","",AL23-NormTid)</f>
        <v/>
      </c>
      <c r="AN23" s="3374" t="str">
        <f>IF(AM23="","",AM23+'Januar 2022'!AN23)</f>
        <v/>
      </c>
    </row>
    <row r="24" spans="1:40" ht="22.35" customHeight="1" thickBot="1">
      <c r="A24" s="1283"/>
      <c r="B24" s="3388" t="s">
        <v>54</v>
      </c>
      <c r="C24" s="3378" t="s">
        <v>32</v>
      </c>
      <c r="D24" s="3378" t="s">
        <v>32</v>
      </c>
      <c r="E24" s="3378" t="s">
        <v>32</v>
      </c>
      <c r="F24" s="3378" t="s">
        <v>32</v>
      </c>
      <c r="G24" s="3378"/>
      <c r="H24" s="3378"/>
      <c r="I24" s="3378" t="s">
        <v>32</v>
      </c>
      <c r="J24" s="3378" t="s">
        <v>32</v>
      </c>
      <c r="K24" s="3378" t="s">
        <v>32</v>
      </c>
      <c r="L24" s="3378" t="s">
        <v>32</v>
      </c>
      <c r="M24" s="3378" t="s">
        <v>32</v>
      </c>
      <c r="N24" s="3382"/>
      <c r="O24" s="3382"/>
      <c r="P24" s="3684" t="s">
        <v>32</v>
      </c>
      <c r="Q24" s="3380" t="s">
        <v>32</v>
      </c>
      <c r="R24" s="3382" t="s">
        <v>32</v>
      </c>
      <c r="S24" s="3378" t="s">
        <v>32</v>
      </c>
      <c r="T24" s="3378" t="s">
        <v>32</v>
      </c>
      <c r="U24" s="3382"/>
      <c r="V24" s="3382"/>
      <c r="W24" s="3382" t="s">
        <v>32</v>
      </c>
      <c r="X24" s="3684" t="s">
        <v>32</v>
      </c>
      <c r="Y24" s="3382" t="s">
        <v>32</v>
      </c>
      <c r="Z24" s="3378" t="s">
        <v>32</v>
      </c>
      <c r="AA24" s="3378" t="s">
        <v>32</v>
      </c>
      <c r="AB24" s="3378"/>
      <c r="AC24" s="3378"/>
      <c r="AD24" s="3378" t="s">
        <v>32</v>
      </c>
      <c r="AE24" s="3378"/>
      <c r="AF24" s="3378"/>
      <c r="AG24" s="3383"/>
    </row>
    <row r="25" spans="1:40" ht="22.35" customHeight="1">
      <c r="A25" s="102"/>
      <c r="C25" s="3392" t="s">
        <v>0</v>
      </c>
      <c r="E25" t="s">
        <v>0</v>
      </c>
      <c r="F25" s="3392" t="s">
        <v>32</v>
      </c>
      <c r="J25" t="s">
        <v>0</v>
      </c>
      <c r="M25" t="s">
        <v>0</v>
      </c>
      <c r="N25" t="s">
        <v>0</v>
      </c>
      <c r="O25" t="s">
        <v>0</v>
      </c>
      <c r="P25" t="s">
        <v>113</v>
      </c>
      <c r="Q25" t="s">
        <v>0</v>
      </c>
      <c r="R25" t="s">
        <v>0</v>
      </c>
      <c r="S25" t="s">
        <v>0</v>
      </c>
      <c r="T25" t="s">
        <v>0</v>
      </c>
      <c r="W25" t="s">
        <v>173</v>
      </c>
      <c r="X25" s="3378" t="s">
        <v>0</v>
      </c>
      <c r="Y25" s="3378" t="s">
        <v>183</v>
      </c>
      <c r="Z25" s="3378" t="s">
        <v>183</v>
      </c>
      <c r="AA25" s="3378" t="s">
        <v>0</v>
      </c>
      <c r="AC25" s="676"/>
      <c r="AD25" s="3378" t="s">
        <v>32</v>
      </c>
    </row>
    <row r="26" spans="1:40" ht="22.35" customHeight="1">
      <c r="A26" s="102"/>
      <c r="C26" t="s">
        <v>113</v>
      </c>
      <c r="D26" t="s">
        <v>113</v>
      </c>
      <c r="E26" t="s">
        <v>113</v>
      </c>
      <c r="F26" t="s">
        <v>0</v>
      </c>
      <c r="G26" t="s">
        <v>0</v>
      </c>
      <c r="H26" t="s">
        <v>0</v>
      </c>
      <c r="P26" t="s">
        <v>0</v>
      </c>
      <c r="Q26" t="s">
        <v>0</v>
      </c>
      <c r="R26" t="s">
        <v>0</v>
      </c>
      <c r="W26">
        <v>23</v>
      </c>
      <c r="X26">
        <v>23</v>
      </c>
      <c r="Y26" t="s">
        <v>0</v>
      </c>
      <c r="AB26" s="3378"/>
      <c r="AC26" s="3378"/>
      <c r="AD26" s="3392" t="s">
        <v>0</v>
      </c>
    </row>
    <row r="27" spans="1:40" ht="22.35" customHeight="1">
      <c r="A27" s="102"/>
      <c r="C27" s="211" t="s">
        <v>0</v>
      </c>
      <c r="E27" s="211" t="s">
        <v>0</v>
      </c>
      <c r="F27" t="s">
        <v>0</v>
      </c>
      <c r="W27" s="3352" t="s">
        <v>0</v>
      </c>
      <c r="X27" s="3352" t="s">
        <v>0</v>
      </c>
      <c r="Y27" t="s">
        <v>0</v>
      </c>
      <c r="Z27" t="s">
        <v>0</v>
      </c>
      <c r="AA27" t="s">
        <v>0</v>
      </c>
    </row>
    <row r="28" spans="1:40" ht="22.35" customHeight="1">
      <c r="A28" s="102"/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Y28" s="3382" t="s">
        <v>0</v>
      </c>
      <c r="Z28" s="3378" t="s">
        <v>0</v>
      </c>
      <c r="AA28" s="3232" t="s">
        <v>0</v>
      </c>
    </row>
    <row r="29" spans="1:40" ht="22.35" customHeight="1">
      <c r="A29" s="102"/>
      <c r="C29">
        <v>22</v>
      </c>
      <c r="D29">
        <v>22</v>
      </c>
      <c r="E29">
        <v>22</v>
      </c>
      <c r="F29" t="s">
        <v>0</v>
      </c>
      <c r="G29" t="s">
        <v>0</v>
      </c>
      <c r="H29">
        <v>22</v>
      </c>
    </row>
    <row r="30" spans="1:40" ht="12.75" customHeight="1" thickBot="1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>
      <c r="A31" s="247" t="s">
        <v>56</v>
      </c>
      <c r="B31" s="313"/>
      <c r="C31" s="313"/>
      <c r="D31" s="355" t="s">
        <v>57</v>
      </c>
      <c r="E31" s="314"/>
      <c r="F31" s="314"/>
      <c r="G31" s="314"/>
      <c r="H31" s="314"/>
      <c r="I31" s="314"/>
      <c r="J31" s="314"/>
      <c r="K31" s="314"/>
      <c r="L31" s="314"/>
      <c r="M31" s="315" t="s">
        <v>58</v>
      </c>
      <c r="N31" s="314"/>
      <c r="O31" s="314"/>
      <c r="P31" s="314"/>
      <c r="Q31" s="314"/>
      <c r="R31" s="314"/>
      <c r="S31" s="316"/>
      <c r="T31" s="4033" t="s">
        <v>59</v>
      </c>
      <c r="U31" s="4034"/>
      <c r="V31" s="4034"/>
      <c r="W31" s="4034"/>
      <c r="X31" s="4034"/>
      <c r="Y31" s="4034"/>
      <c r="Z31" s="4035"/>
      <c r="AA31" s="356" t="s">
        <v>60</v>
      </c>
      <c r="AB31" s="357"/>
      <c r="AC31" s="357"/>
      <c r="AD31" s="357"/>
      <c r="AE31" s="357"/>
      <c r="AF31" s="357"/>
      <c r="AG31" s="358"/>
      <c r="AK31" s="1"/>
    </row>
    <row r="32" spans="1:40" ht="22.35" customHeight="1">
      <c r="A32" s="3394" t="s">
        <v>61</v>
      </c>
      <c r="B32" s="3337"/>
      <c r="C32" s="3337"/>
      <c r="D32" s="3395" t="s">
        <v>62</v>
      </c>
      <c r="E32" s="3396"/>
      <c r="F32" s="3324"/>
      <c r="G32" s="3324"/>
      <c r="H32" s="3324"/>
      <c r="I32" s="3324"/>
      <c r="J32" s="3324"/>
      <c r="K32" s="3324"/>
      <c r="L32" s="3332"/>
      <c r="M32" s="3397" t="s">
        <v>63</v>
      </c>
      <c r="N32" s="3337"/>
      <c r="O32" s="3398"/>
      <c r="P32" s="3337"/>
      <c r="Q32" s="3337"/>
      <c r="R32" s="3337"/>
      <c r="S32" s="3399"/>
      <c r="T32" s="3395" t="s">
        <v>64</v>
      </c>
      <c r="U32" s="3324"/>
      <c r="V32" s="3396"/>
      <c r="W32" s="3324"/>
      <c r="X32" s="3324"/>
      <c r="Y32" s="3324"/>
      <c r="Z32" s="3332"/>
      <c r="AA32" s="162" t="s">
        <v>65</v>
      </c>
      <c r="AD32" s="100"/>
      <c r="AG32" s="103"/>
      <c r="AK32" s="1"/>
    </row>
    <row r="33" spans="1:38" ht="22.35" customHeight="1">
      <c r="A33" s="3400" t="s">
        <v>66</v>
      </c>
      <c r="B33" s="3324"/>
      <c r="C33" s="3324"/>
      <c r="D33" s="3401"/>
      <c r="E33" s="3324"/>
      <c r="F33" s="3324"/>
      <c r="G33" s="3332"/>
      <c r="H33" s="3339" t="s">
        <v>67</v>
      </c>
      <c r="I33" s="3324"/>
      <c r="J33" s="3324"/>
      <c r="K33" s="3324"/>
      <c r="L33" s="3324"/>
      <c r="M33" s="3402"/>
      <c r="N33" s="3324"/>
      <c r="O33" s="3324"/>
      <c r="P33" s="3324"/>
      <c r="Q33" s="3324"/>
      <c r="R33" s="3324"/>
      <c r="S33" s="3324"/>
      <c r="T33" s="3401"/>
      <c r="U33" s="161" t="s">
        <v>68</v>
      </c>
      <c r="AA33" s="3398"/>
      <c r="AB33" s="3337"/>
      <c r="AC33" s="3337"/>
      <c r="AD33" s="3337"/>
      <c r="AE33" s="3337"/>
      <c r="AF33" s="3337"/>
      <c r="AG33" s="3403"/>
      <c r="AK33" s="64"/>
    </row>
    <row r="34" spans="1:38" ht="22.35" customHeight="1" thickBot="1">
      <c r="A34" s="3404" t="s">
        <v>69</v>
      </c>
      <c r="B34" s="3405"/>
      <c r="C34" s="3405"/>
      <c r="D34" s="3406"/>
      <c r="E34" s="3405"/>
      <c r="F34" s="3405"/>
      <c r="G34" s="3407"/>
      <c r="H34" s="3408" t="s">
        <v>70</v>
      </c>
      <c r="I34" s="3407"/>
      <c r="J34" s="3405"/>
      <c r="K34" s="3405"/>
      <c r="L34" s="3405"/>
      <c r="M34" s="3409"/>
      <c r="N34" s="3405"/>
      <c r="O34" s="3405"/>
      <c r="P34" s="3405"/>
      <c r="Q34" s="3410"/>
      <c r="R34" s="3410"/>
      <c r="S34" s="3410"/>
      <c r="T34" s="3406"/>
      <c r="U34" s="3411" t="s">
        <v>71</v>
      </c>
      <c r="V34" s="3405"/>
      <c r="W34" s="3405"/>
      <c r="X34" s="3405"/>
      <c r="Y34" s="3405"/>
      <c r="Z34" s="3405"/>
      <c r="AA34" s="3405"/>
      <c r="AB34" s="3405"/>
      <c r="AC34" s="3405"/>
      <c r="AD34" s="3405"/>
      <c r="AE34" s="3405"/>
      <c r="AF34" s="3405"/>
      <c r="AG34" s="3412"/>
      <c r="AK34" s="1"/>
    </row>
    <row r="35" spans="1:38" ht="22.35" customHeight="1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>
      <c r="A36" s="3413" t="s">
        <v>28</v>
      </c>
      <c r="B36" s="3414" t="s">
        <v>29</v>
      </c>
      <c r="C36" s="3342">
        <v>1</v>
      </c>
      <c r="D36" s="3342">
        <v>2</v>
      </c>
      <c r="E36" s="3342">
        <v>3</v>
      </c>
      <c r="F36" s="3342">
        <v>4</v>
      </c>
      <c r="G36" s="3343">
        <v>5</v>
      </c>
      <c r="H36" s="3343">
        <v>6</v>
      </c>
      <c r="I36" s="3342">
        <v>7</v>
      </c>
      <c r="J36" s="3342">
        <v>8</v>
      </c>
      <c r="K36" s="3342">
        <v>9</v>
      </c>
      <c r="L36" s="3342">
        <v>10</v>
      </c>
      <c r="M36" s="3342">
        <v>11</v>
      </c>
      <c r="N36" s="3343">
        <v>12</v>
      </c>
      <c r="O36" s="3343">
        <v>13</v>
      </c>
      <c r="P36" s="3342">
        <v>14</v>
      </c>
      <c r="Q36" s="3342">
        <v>15</v>
      </c>
      <c r="R36" s="3342">
        <v>16</v>
      </c>
      <c r="S36" s="3342">
        <v>17</v>
      </c>
      <c r="T36" s="3342">
        <v>18</v>
      </c>
      <c r="U36" s="3343">
        <v>19</v>
      </c>
      <c r="V36" s="3343">
        <v>20</v>
      </c>
      <c r="W36" s="3342">
        <v>21</v>
      </c>
      <c r="X36" s="3342">
        <v>22</v>
      </c>
      <c r="Y36" s="3342">
        <v>23</v>
      </c>
      <c r="Z36" s="3342">
        <v>24</v>
      </c>
      <c r="AA36" s="3342">
        <v>25</v>
      </c>
      <c r="AB36" s="3343">
        <v>26</v>
      </c>
      <c r="AC36" s="3343">
        <v>27</v>
      </c>
      <c r="AD36" s="3342">
        <v>28</v>
      </c>
      <c r="AE36" s="3342"/>
      <c r="AF36" s="3342"/>
      <c r="AG36" s="3432"/>
      <c r="AH36" s="176"/>
      <c r="AI36" s="177"/>
      <c r="AL36" t="s">
        <v>0</v>
      </c>
    </row>
    <row r="37" spans="1:38" ht="22.35" customHeight="1">
      <c r="A37" s="359">
        <v>1</v>
      </c>
      <c r="B37" s="360" t="s">
        <v>72</v>
      </c>
      <c r="C37" s="361">
        <v>6</v>
      </c>
      <c r="D37" s="349">
        <v>6</v>
      </c>
      <c r="E37" s="361">
        <v>6</v>
      </c>
      <c r="F37" s="361">
        <v>6</v>
      </c>
      <c r="G37" s="361"/>
      <c r="H37" s="361"/>
      <c r="I37" s="361" t="s">
        <v>36</v>
      </c>
      <c r="J37" s="349" t="s">
        <v>36</v>
      </c>
      <c r="K37" s="361" t="s">
        <v>36</v>
      </c>
      <c r="L37" s="361" t="s">
        <v>36</v>
      </c>
      <c r="M37" s="361" t="s">
        <v>36</v>
      </c>
      <c r="N37" s="557"/>
      <c r="O37" s="557"/>
      <c r="P37" s="361">
        <v>5</v>
      </c>
      <c r="Q37" s="350">
        <v>5</v>
      </c>
      <c r="R37" s="349">
        <v>5</v>
      </c>
      <c r="S37" s="361">
        <v>5</v>
      </c>
      <c r="T37" s="361">
        <v>5</v>
      </c>
      <c r="U37" s="361"/>
      <c r="V37" s="557"/>
      <c r="W37" s="361">
        <v>10</v>
      </c>
      <c r="X37" s="350">
        <v>10</v>
      </c>
      <c r="Y37" s="350">
        <v>10</v>
      </c>
      <c r="Z37" s="361">
        <v>10</v>
      </c>
      <c r="AA37" s="361">
        <v>10</v>
      </c>
      <c r="AB37" s="350" t="s">
        <v>77</v>
      </c>
      <c r="AC37" s="350" t="s">
        <v>77</v>
      </c>
      <c r="AD37" s="350" t="s">
        <v>36</v>
      </c>
      <c r="AE37" s="361"/>
      <c r="AF37" s="361"/>
      <c r="AG37" s="362"/>
      <c r="AH37" s="181"/>
      <c r="AI37" s="182"/>
    </row>
    <row r="38" spans="1:38" ht="22.35" customHeight="1">
      <c r="A38" s="3415">
        <v>6</v>
      </c>
      <c r="B38" s="3376" t="s">
        <v>130</v>
      </c>
      <c r="C38" s="3352">
        <v>7</v>
      </c>
      <c r="D38" s="3352">
        <v>7</v>
      </c>
      <c r="E38" s="3352">
        <v>7</v>
      </c>
      <c r="F38" s="3427">
        <v>7</v>
      </c>
      <c r="G38" s="3377"/>
      <c r="H38" s="3352"/>
      <c r="I38" s="3352">
        <v>4</v>
      </c>
      <c r="J38" s="3435">
        <v>4</v>
      </c>
      <c r="K38" s="3352">
        <v>4</v>
      </c>
      <c r="L38" s="3352">
        <v>4</v>
      </c>
      <c r="M38" s="3352">
        <v>4</v>
      </c>
      <c r="N38" s="3352"/>
      <c r="O38" s="3377" t="s">
        <v>109</v>
      </c>
      <c r="P38" s="3698">
        <v>3</v>
      </c>
      <c r="Q38" s="3698">
        <v>3</v>
      </c>
      <c r="R38" s="3698">
        <v>3</v>
      </c>
      <c r="S38" s="3698">
        <v>3</v>
      </c>
      <c r="T38" s="3698">
        <v>3</v>
      </c>
      <c r="U38" s="3698"/>
      <c r="V38" s="3698"/>
      <c r="W38" s="3352">
        <v>11</v>
      </c>
      <c r="X38" s="3352">
        <v>11</v>
      </c>
      <c r="Y38" s="3352">
        <v>11</v>
      </c>
      <c r="Z38" s="3352">
        <v>11</v>
      </c>
      <c r="AA38" s="3352">
        <v>11</v>
      </c>
      <c r="AB38" s="3352" t="s">
        <v>73</v>
      </c>
      <c r="AC38" s="3352" t="s">
        <v>73</v>
      </c>
      <c r="AD38" s="3352" t="s">
        <v>36</v>
      </c>
      <c r="AE38" s="3352"/>
      <c r="AF38" s="3352"/>
      <c r="AG38" s="3416"/>
      <c r="AH38" s="181"/>
      <c r="AI38" s="182"/>
    </row>
    <row r="39" spans="1:38" ht="22.35" customHeight="1" thickBot="1">
      <c r="A39" s="3417">
        <v>11</v>
      </c>
      <c r="B39" s="3418" t="s">
        <v>79</v>
      </c>
      <c r="C39" s="3344">
        <v>8</v>
      </c>
      <c r="D39" s="3344">
        <v>8</v>
      </c>
      <c r="E39" s="3344">
        <v>8</v>
      </c>
      <c r="F39" s="3344">
        <v>8</v>
      </c>
      <c r="G39" s="3344"/>
      <c r="H39" s="3344"/>
      <c r="I39" s="3378">
        <v>89</v>
      </c>
      <c r="J39" s="3483" t="s">
        <v>32</v>
      </c>
      <c r="K39" s="3483" t="s">
        <v>32</v>
      </c>
      <c r="L39" s="3378">
        <v>89</v>
      </c>
      <c r="M39" s="3378">
        <v>89</v>
      </c>
      <c r="N39" s="3421"/>
      <c r="O39" s="3421"/>
      <c r="P39" s="3420">
        <v>1</v>
      </c>
      <c r="Q39" s="3342">
        <v>1</v>
      </c>
      <c r="R39" s="3419">
        <v>1</v>
      </c>
      <c r="S39" s="3424">
        <v>1</v>
      </c>
      <c r="T39" s="3422">
        <v>1</v>
      </c>
      <c r="U39" s="3422"/>
      <c r="V39" s="3422"/>
      <c r="W39" s="3378">
        <v>1</v>
      </c>
      <c r="X39" s="3378">
        <v>1</v>
      </c>
      <c r="Y39" s="3483" t="s">
        <v>32</v>
      </c>
      <c r="Z39" s="3378">
        <v>1</v>
      </c>
      <c r="AA39" s="3378">
        <v>1</v>
      </c>
      <c r="AB39" s="3425" t="s">
        <v>0</v>
      </c>
      <c r="AC39" s="3425" t="s">
        <v>0</v>
      </c>
      <c r="AD39" s="3425">
        <v>3</v>
      </c>
      <c r="AE39" s="3420"/>
      <c r="AF39" s="3420"/>
      <c r="AG39" s="3438"/>
      <c r="AH39" s="181"/>
      <c r="AI39" s="182"/>
    </row>
    <row r="40" spans="1:38" ht="22.35" customHeight="1">
      <c r="A40" s="359">
        <v>2</v>
      </c>
      <c r="B40" s="175" t="s">
        <v>81</v>
      </c>
      <c r="C40" s="349" t="s">
        <v>36</v>
      </c>
      <c r="D40" s="349" t="s">
        <v>36</v>
      </c>
      <c r="E40" s="349" t="s">
        <v>36</v>
      </c>
      <c r="F40" s="349" t="s">
        <v>36</v>
      </c>
      <c r="G40" s="349"/>
      <c r="H40" s="361"/>
      <c r="I40" s="361">
        <v>5</v>
      </c>
      <c r="J40" s="349">
        <v>5</v>
      </c>
      <c r="K40" s="349">
        <v>5</v>
      </c>
      <c r="L40" s="361">
        <v>5</v>
      </c>
      <c r="M40" s="361">
        <v>5</v>
      </c>
      <c r="N40" s="361"/>
      <c r="O40" s="350"/>
      <c r="P40" s="361">
        <v>10</v>
      </c>
      <c r="Q40" s="350">
        <v>10</v>
      </c>
      <c r="R40" s="350">
        <v>10</v>
      </c>
      <c r="S40" s="349">
        <v>10</v>
      </c>
      <c r="T40" s="350">
        <v>10</v>
      </c>
      <c r="U40" s="350" t="s">
        <v>77</v>
      </c>
      <c r="V40" s="350" t="s">
        <v>77</v>
      </c>
      <c r="W40" s="350" t="s">
        <v>36</v>
      </c>
      <c r="X40" s="350" t="s">
        <v>36</v>
      </c>
      <c r="Y40" s="361" t="s">
        <v>36</v>
      </c>
      <c r="Z40" s="361" t="s">
        <v>36</v>
      </c>
      <c r="AA40" s="361" t="s">
        <v>36</v>
      </c>
      <c r="AB40" s="361" t="s">
        <v>80</v>
      </c>
      <c r="AC40" s="350" t="s">
        <v>80</v>
      </c>
      <c r="AD40" s="350">
        <v>7</v>
      </c>
      <c r="AE40" s="361"/>
      <c r="AF40" s="361"/>
      <c r="AG40" s="362"/>
      <c r="AH40" s="181"/>
      <c r="AI40" s="182"/>
    </row>
    <row r="41" spans="1:38" ht="22.35" customHeight="1">
      <c r="A41" s="3415">
        <v>7</v>
      </c>
      <c r="B41" s="3359" t="s">
        <v>82</v>
      </c>
      <c r="C41" s="3367">
        <v>4</v>
      </c>
      <c r="D41" s="3367">
        <v>4</v>
      </c>
      <c r="E41" s="3367">
        <v>4</v>
      </c>
      <c r="F41" s="3367">
        <v>4</v>
      </c>
      <c r="G41" s="3367"/>
      <c r="H41" s="3367"/>
      <c r="I41" s="3428">
        <v>3</v>
      </c>
      <c r="J41" s="3428">
        <v>3</v>
      </c>
      <c r="K41" s="3428">
        <v>3</v>
      </c>
      <c r="L41" s="3428">
        <v>3</v>
      </c>
      <c r="M41" s="3428">
        <v>3</v>
      </c>
      <c r="N41" s="3428"/>
      <c r="O41" s="3428"/>
      <c r="P41" s="3356">
        <v>11</v>
      </c>
      <c r="Q41" s="3356">
        <v>11</v>
      </c>
      <c r="R41" s="3356">
        <v>11</v>
      </c>
      <c r="S41" s="3356">
        <v>11</v>
      </c>
      <c r="T41" s="3356">
        <v>11</v>
      </c>
      <c r="U41" s="3429" t="s">
        <v>73</v>
      </c>
      <c r="V41" s="3429" t="s">
        <v>73</v>
      </c>
      <c r="W41" s="3429" t="s">
        <v>36</v>
      </c>
      <c r="X41" s="3426" t="s">
        <v>36</v>
      </c>
      <c r="Y41" s="3426" t="s">
        <v>36</v>
      </c>
      <c r="Z41" s="3426" t="s">
        <v>36</v>
      </c>
      <c r="AA41" s="3426" t="s">
        <v>36</v>
      </c>
      <c r="AB41" s="3426" t="s">
        <v>74</v>
      </c>
      <c r="AC41" s="3426" t="s">
        <v>74</v>
      </c>
      <c r="AD41" s="3426">
        <v>8</v>
      </c>
      <c r="AE41" s="3426"/>
      <c r="AF41" s="3426"/>
      <c r="AG41" s="3430"/>
      <c r="AH41" s="181"/>
      <c r="AI41" s="182"/>
    </row>
    <row r="42" spans="1:38" ht="22.35" customHeight="1" thickBot="1">
      <c r="A42" s="3417">
        <v>12</v>
      </c>
      <c r="B42" s="3624" t="s">
        <v>110</v>
      </c>
      <c r="C42" s="3421" t="s">
        <v>36</v>
      </c>
      <c r="D42" s="3421" t="s">
        <v>36</v>
      </c>
      <c r="E42" s="3421" t="s">
        <v>36</v>
      </c>
      <c r="F42" s="3421" t="s">
        <v>36</v>
      </c>
      <c r="G42" s="3421"/>
      <c r="H42" s="3421"/>
      <c r="I42" s="3420">
        <v>1</v>
      </c>
      <c r="J42" s="3420">
        <v>1</v>
      </c>
      <c r="K42" s="3342">
        <v>1</v>
      </c>
      <c r="L42" s="3420">
        <v>1</v>
      </c>
      <c r="M42" s="3420">
        <v>1</v>
      </c>
      <c r="N42" s="3420"/>
      <c r="O42" s="3420"/>
      <c r="P42" s="3420">
        <v>9</v>
      </c>
      <c r="Q42" s="3420">
        <v>9</v>
      </c>
      <c r="R42" s="3420">
        <v>9</v>
      </c>
      <c r="S42" s="3420">
        <v>9</v>
      </c>
      <c r="T42" s="3420">
        <v>9</v>
      </c>
      <c r="U42" s="3425" t="s">
        <v>76</v>
      </c>
      <c r="V42" s="3425" t="s">
        <v>77</v>
      </c>
      <c r="W42" s="3425" t="s">
        <v>36</v>
      </c>
      <c r="X42" s="3420" t="s">
        <v>36</v>
      </c>
      <c r="Y42" s="3420" t="s">
        <v>36</v>
      </c>
      <c r="Z42" s="3420" t="s">
        <v>36</v>
      </c>
      <c r="AA42" s="3420" t="s">
        <v>36</v>
      </c>
      <c r="AB42" s="3420" t="s">
        <v>78</v>
      </c>
      <c r="AC42" s="3342" t="s">
        <v>74</v>
      </c>
      <c r="AD42" s="3699">
        <v>6</v>
      </c>
      <c r="AE42" s="3342"/>
      <c r="AF42" s="3342"/>
      <c r="AG42" s="3432"/>
      <c r="AH42" s="181"/>
      <c r="AI42" s="182"/>
    </row>
    <row r="43" spans="1:38" ht="22.35" customHeight="1">
      <c r="A43" s="359">
        <v>3</v>
      </c>
      <c r="B43" s="363" t="s">
        <v>84</v>
      </c>
      <c r="C43" s="541">
        <v>5</v>
      </c>
      <c r="D43" s="541">
        <v>5</v>
      </c>
      <c r="E43" s="541">
        <v>5</v>
      </c>
      <c r="F43" s="541">
        <v>5</v>
      </c>
      <c r="G43" s="541"/>
      <c r="H43" s="541"/>
      <c r="I43" s="361">
        <v>10</v>
      </c>
      <c r="J43" s="350">
        <v>10</v>
      </c>
      <c r="K43" s="350">
        <v>10</v>
      </c>
      <c r="L43" s="350">
        <v>10</v>
      </c>
      <c r="M43" s="350">
        <v>10</v>
      </c>
      <c r="N43" s="350" t="s">
        <v>77</v>
      </c>
      <c r="O43" s="350" t="s">
        <v>77</v>
      </c>
      <c r="P43" s="350" t="s">
        <v>36</v>
      </c>
      <c r="Q43" s="350" t="s">
        <v>36</v>
      </c>
      <c r="R43" s="361" t="s">
        <v>36</v>
      </c>
      <c r="S43" s="361" t="s">
        <v>36</v>
      </c>
      <c r="T43" s="361" t="s">
        <v>36</v>
      </c>
      <c r="U43" s="361" t="s">
        <v>80</v>
      </c>
      <c r="V43" s="350" t="s">
        <v>80</v>
      </c>
      <c r="W43" s="350">
        <v>7</v>
      </c>
      <c r="X43" s="349">
        <v>7</v>
      </c>
      <c r="Y43" s="361">
        <v>7</v>
      </c>
      <c r="Z43" s="361">
        <v>7</v>
      </c>
      <c r="AA43" s="701">
        <v>7</v>
      </c>
      <c r="AB43" s="701"/>
      <c r="AC43" s="722"/>
      <c r="AD43" s="701">
        <v>4</v>
      </c>
      <c r="AE43" s="361"/>
      <c r="AF43" s="361"/>
      <c r="AG43" s="362"/>
      <c r="AH43" s="181"/>
      <c r="AI43" s="182"/>
    </row>
    <row r="44" spans="1:38" ht="22.35" customHeight="1">
      <c r="A44" s="3415">
        <v>8</v>
      </c>
      <c r="B44" s="3359" t="s">
        <v>85</v>
      </c>
      <c r="C44" s="3357">
        <v>3</v>
      </c>
      <c r="D44" s="3357">
        <v>3</v>
      </c>
      <c r="E44" s="3357">
        <v>3</v>
      </c>
      <c r="F44" s="3357">
        <v>3</v>
      </c>
      <c r="G44" s="3356"/>
      <c r="H44" s="3356"/>
      <c r="I44" s="3426">
        <v>11</v>
      </c>
      <c r="J44" s="3355">
        <v>11</v>
      </c>
      <c r="K44" s="3352">
        <v>11</v>
      </c>
      <c r="L44" s="3352">
        <v>11</v>
      </c>
      <c r="M44" s="3352">
        <v>11</v>
      </c>
      <c r="N44" s="3356" t="s">
        <v>73</v>
      </c>
      <c r="O44" s="3426" t="s">
        <v>73</v>
      </c>
      <c r="P44" s="3426" t="s">
        <v>36</v>
      </c>
      <c r="Q44" s="3426" t="s">
        <v>36</v>
      </c>
      <c r="R44" s="3426" t="s">
        <v>36</v>
      </c>
      <c r="S44" s="3426" t="s">
        <v>36</v>
      </c>
      <c r="T44" s="3426" t="s">
        <v>36</v>
      </c>
      <c r="U44" s="3426" t="s">
        <v>74</v>
      </c>
      <c r="V44" s="3426" t="s">
        <v>74</v>
      </c>
      <c r="W44" s="3426">
        <v>8</v>
      </c>
      <c r="X44" s="3355">
        <v>8</v>
      </c>
      <c r="Y44" s="3488">
        <v>8</v>
      </c>
      <c r="Z44" s="3426">
        <v>8</v>
      </c>
      <c r="AA44" s="3426">
        <v>8</v>
      </c>
      <c r="AB44" s="3426"/>
      <c r="AC44" s="3662"/>
      <c r="AD44" s="3356" t="s">
        <v>36</v>
      </c>
      <c r="AE44" s="3356"/>
      <c r="AF44" s="3357"/>
      <c r="AG44" s="3430"/>
      <c r="AH44" s="181"/>
      <c r="AI44" s="182"/>
    </row>
    <row r="45" spans="1:38" ht="22.35" customHeight="1" thickBot="1">
      <c r="A45" s="3417">
        <v>13</v>
      </c>
      <c r="B45" s="3418" t="s">
        <v>86</v>
      </c>
      <c r="C45" s="3622" t="s">
        <v>333</v>
      </c>
      <c r="D45" s="3700">
        <v>1</v>
      </c>
      <c r="E45" s="3700">
        <v>1</v>
      </c>
      <c r="F45" s="3700" t="s">
        <v>124</v>
      </c>
      <c r="G45" s="3420"/>
      <c r="H45" s="3420"/>
      <c r="I45" s="3420">
        <v>9</v>
      </c>
      <c r="J45" s="3342">
        <v>9</v>
      </c>
      <c r="K45" s="3420">
        <v>9</v>
      </c>
      <c r="L45" s="3425">
        <v>9</v>
      </c>
      <c r="M45" s="3420">
        <v>9</v>
      </c>
      <c r="N45" s="3701" t="s">
        <v>76</v>
      </c>
      <c r="O45" s="3425" t="s">
        <v>77</v>
      </c>
      <c r="P45" s="3425" t="s">
        <v>36</v>
      </c>
      <c r="Q45" s="3420" t="s">
        <v>36</v>
      </c>
      <c r="R45" s="3420" t="s">
        <v>36</v>
      </c>
      <c r="S45" s="3420" t="s">
        <v>36</v>
      </c>
      <c r="T45" s="3420" t="s">
        <v>36</v>
      </c>
      <c r="U45" s="3420" t="s">
        <v>78</v>
      </c>
      <c r="V45" s="3420" t="s">
        <v>74</v>
      </c>
      <c r="W45" s="3420">
        <v>6</v>
      </c>
      <c r="X45" s="3420">
        <v>6</v>
      </c>
      <c r="Y45" s="3342">
        <v>6</v>
      </c>
      <c r="Z45" s="3420">
        <v>6</v>
      </c>
      <c r="AA45" s="3420">
        <v>6</v>
      </c>
      <c r="AB45" s="3420"/>
      <c r="AC45" s="3420"/>
      <c r="AD45" s="3420" t="s">
        <v>36</v>
      </c>
      <c r="AE45" s="3342"/>
      <c r="AF45" s="3420"/>
      <c r="AG45" s="3438"/>
      <c r="AH45" s="181"/>
      <c r="AI45" s="182"/>
    </row>
    <row r="46" spans="1:38" ht="22.35" customHeight="1">
      <c r="A46" s="359">
        <v>4</v>
      </c>
      <c r="B46" s="3479" t="s">
        <v>392</v>
      </c>
      <c r="C46" s="361">
        <v>10</v>
      </c>
      <c r="D46" s="350">
        <v>10</v>
      </c>
      <c r="E46" s="361">
        <v>10</v>
      </c>
      <c r="F46" s="349">
        <v>10</v>
      </c>
      <c r="G46" s="349" t="s">
        <v>77</v>
      </c>
      <c r="H46" s="349" t="s">
        <v>77</v>
      </c>
      <c r="I46" s="349" t="s">
        <v>36</v>
      </c>
      <c r="J46" s="349" t="s">
        <v>36</v>
      </c>
      <c r="K46" s="349" t="s">
        <v>36</v>
      </c>
      <c r="L46" s="349" t="s">
        <v>36</v>
      </c>
      <c r="M46" s="349" t="s">
        <v>36</v>
      </c>
      <c r="N46" s="349" t="s">
        <v>80</v>
      </c>
      <c r="O46" s="349" t="s">
        <v>80</v>
      </c>
      <c r="P46" s="349">
        <v>7</v>
      </c>
      <c r="Q46" s="571">
        <v>7</v>
      </c>
      <c r="R46" s="571">
        <v>7</v>
      </c>
      <c r="S46" s="571">
        <v>7</v>
      </c>
      <c r="T46" s="602">
        <v>7</v>
      </c>
      <c r="U46" s="361"/>
      <c r="V46" s="364"/>
      <c r="W46" s="3702">
        <v>4</v>
      </c>
      <c r="X46" s="3702">
        <v>4</v>
      </c>
      <c r="Y46" s="583">
        <v>4</v>
      </c>
      <c r="Z46" s="568">
        <v>4</v>
      </c>
      <c r="AA46" s="568" t="s">
        <v>334</v>
      </c>
      <c r="AB46" s="361"/>
      <c r="AC46" s="361"/>
      <c r="AD46" s="620">
        <v>3</v>
      </c>
      <c r="AE46" s="350"/>
      <c r="AF46" s="361"/>
      <c r="AG46" s="362"/>
      <c r="AH46" s="181"/>
      <c r="AI46" s="182"/>
    </row>
    <row r="47" spans="1:38" ht="22.35" customHeight="1">
      <c r="A47" s="3415">
        <v>9</v>
      </c>
      <c r="B47" s="3359" t="s">
        <v>88</v>
      </c>
      <c r="C47" s="3426">
        <v>11</v>
      </c>
      <c r="D47" s="3426">
        <v>11</v>
      </c>
      <c r="E47" s="3426">
        <v>11</v>
      </c>
      <c r="F47" s="3426">
        <v>11</v>
      </c>
      <c r="G47" s="3426" t="s">
        <v>73</v>
      </c>
      <c r="H47" s="3426" t="s">
        <v>73</v>
      </c>
      <c r="I47" s="3426" t="s">
        <v>36</v>
      </c>
      <c r="J47" s="3426" t="s">
        <v>36</v>
      </c>
      <c r="K47" s="3426" t="s">
        <v>36</v>
      </c>
      <c r="L47" s="3426" t="s">
        <v>36</v>
      </c>
      <c r="M47" s="3426" t="s">
        <v>36</v>
      </c>
      <c r="N47" s="3426" t="s">
        <v>74</v>
      </c>
      <c r="O47" s="3426" t="s">
        <v>74</v>
      </c>
      <c r="P47" s="3426">
        <v>8</v>
      </c>
      <c r="Q47" s="3355">
        <v>8</v>
      </c>
      <c r="R47" s="3426">
        <v>8</v>
      </c>
      <c r="S47" s="3426">
        <v>8</v>
      </c>
      <c r="T47" s="3426">
        <v>8</v>
      </c>
      <c r="U47" s="3426"/>
      <c r="V47" s="3426"/>
      <c r="W47" s="3426" t="s">
        <v>36</v>
      </c>
      <c r="X47" s="3426" t="s">
        <v>36</v>
      </c>
      <c r="Y47" s="3426" t="s">
        <v>36</v>
      </c>
      <c r="Z47" s="3426" t="s">
        <v>36</v>
      </c>
      <c r="AA47" s="3426" t="s">
        <v>36</v>
      </c>
      <c r="AB47" s="3426"/>
      <c r="AC47" s="3426"/>
      <c r="AD47" s="3703">
        <v>1</v>
      </c>
      <c r="AE47" s="3426"/>
      <c r="AF47" s="3426"/>
      <c r="AG47" s="3430"/>
      <c r="AH47" s="181"/>
      <c r="AI47" s="182"/>
    </row>
    <row r="48" spans="1:38" ht="22.35" customHeight="1" thickBot="1">
      <c r="A48" s="3417">
        <v>14</v>
      </c>
      <c r="B48" s="3418" t="s">
        <v>89</v>
      </c>
      <c r="C48" s="3342">
        <v>9</v>
      </c>
      <c r="D48" s="3420">
        <v>9</v>
      </c>
      <c r="E48" s="3420">
        <v>9</v>
      </c>
      <c r="F48" s="3420">
        <v>9</v>
      </c>
      <c r="G48" s="3425" t="s">
        <v>76</v>
      </c>
      <c r="H48" s="3425" t="s">
        <v>77</v>
      </c>
      <c r="I48" s="3425" t="s">
        <v>36</v>
      </c>
      <c r="J48" s="3420" t="s">
        <v>36</v>
      </c>
      <c r="K48" s="3420" t="s">
        <v>36</v>
      </c>
      <c r="L48" s="3420" t="s">
        <v>36</v>
      </c>
      <c r="M48" s="3420" t="s">
        <v>36</v>
      </c>
      <c r="N48" s="3420" t="s">
        <v>78</v>
      </c>
      <c r="O48" s="3342" t="s">
        <v>74</v>
      </c>
      <c r="P48" s="3704">
        <v>6</v>
      </c>
      <c r="Q48" s="3705">
        <v>6</v>
      </c>
      <c r="R48" s="3704">
        <v>6</v>
      </c>
      <c r="S48" s="3705">
        <v>6</v>
      </c>
      <c r="T48" s="3705">
        <v>6</v>
      </c>
      <c r="U48" s="3705"/>
      <c r="V48" s="3705"/>
      <c r="W48" s="3420" t="s">
        <v>36</v>
      </c>
      <c r="X48" s="3342" t="s">
        <v>36</v>
      </c>
      <c r="Y48" s="3420" t="s">
        <v>36</v>
      </c>
      <c r="Z48" s="3420" t="s">
        <v>36</v>
      </c>
      <c r="AA48" s="3420" t="s">
        <v>36</v>
      </c>
      <c r="AB48" s="3420"/>
      <c r="AC48" s="3342"/>
      <c r="AD48" s="3419">
        <v>5</v>
      </c>
      <c r="AE48" s="3420"/>
      <c r="AF48" s="3342"/>
      <c r="AG48" s="3432"/>
      <c r="AH48" s="181"/>
      <c r="AI48" s="182"/>
    </row>
    <row r="49" spans="1:40" ht="22.35" customHeight="1">
      <c r="A49" s="359">
        <v>5</v>
      </c>
      <c r="B49" s="3359" t="s">
        <v>90</v>
      </c>
      <c r="C49" s="569" t="s">
        <v>363</v>
      </c>
      <c r="D49" s="400" t="s">
        <v>36</v>
      </c>
      <c r="E49" s="400" t="s">
        <v>36</v>
      </c>
      <c r="F49" s="350" t="s">
        <v>36</v>
      </c>
      <c r="G49" s="527" t="s">
        <v>80</v>
      </c>
      <c r="H49" s="350" t="s">
        <v>80</v>
      </c>
      <c r="I49" s="350">
        <v>7</v>
      </c>
      <c r="J49" s="574">
        <v>7</v>
      </c>
      <c r="K49" s="361">
        <v>7</v>
      </c>
      <c r="L49" s="361">
        <v>7</v>
      </c>
      <c r="M49" s="361">
        <v>7</v>
      </c>
      <c r="N49" s="351"/>
      <c r="O49" s="627"/>
      <c r="P49" s="3391">
        <v>4</v>
      </c>
      <c r="Q49" s="3391">
        <v>4</v>
      </c>
      <c r="R49" s="3391">
        <v>4</v>
      </c>
      <c r="S49" s="3391">
        <v>4</v>
      </c>
      <c r="T49" s="3391">
        <v>4</v>
      </c>
      <c r="U49" s="3391"/>
      <c r="V49" s="3391"/>
      <c r="W49" s="628">
        <v>3</v>
      </c>
      <c r="X49" s="350">
        <v>3</v>
      </c>
      <c r="Y49" s="351">
        <v>3</v>
      </c>
      <c r="Z49" s="350">
        <v>3</v>
      </c>
      <c r="AA49" s="350">
        <v>3</v>
      </c>
      <c r="AB49" s="350"/>
      <c r="AC49" s="350"/>
      <c r="AD49" s="361">
        <v>11</v>
      </c>
      <c r="AE49" s="361"/>
      <c r="AF49" s="349"/>
      <c r="AG49" s="352"/>
      <c r="AH49" s="181"/>
      <c r="AI49" s="182"/>
    </row>
    <row r="50" spans="1:40" ht="22.35" customHeight="1">
      <c r="A50" s="3415">
        <v>10</v>
      </c>
      <c r="B50" s="3359" t="s">
        <v>91</v>
      </c>
      <c r="C50" s="3426" t="s">
        <v>36</v>
      </c>
      <c r="D50" s="3426" t="s">
        <v>36</v>
      </c>
      <c r="E50" s="3426" t="s">
        <v>36</v>
      </c>
      <c r="F50" s="3356" t="s">
        <v>36</v>
      </c>
      <c r="G50" s="3352" t="s">
        <v>74</v>
      </c>
      <c r="H50" s="3352" t="s">
        <v>74</v>
      </c>
      <c r="I50" s="3352">
        <v>8</v>
      </c>
      <c r="J50" s="3352">
        <v>8</v>
      </c>
      <c r="K50" s="3352">
        <v>8</v>
      </c>
      <c r="L50" s="3352">
        <v>8</v>
      </c>
      <c r="M50" s="3352">
        <v>8</v>
      </c>
      <c r="N50" s="3352"/>
      <c r="O50" s="3352"/>
      <c r="P50" s="629" t="s">
        <v>36</v>
      </c>
      <c r="Q50" s="629" t="s">
        <v>36</v>
      </c>
      <c r="R50" s="629" t="s">
        <v>36</v>
      </c>
      <c r="S50" s="629" t="s">
        <v>36</v>
      </c>
      <c r="T50" s="629" t="s">
        <v>36</v>
      </c>
      <c r="U50" s="629"/>
      <c r="V50" s="629"/>
      <c r="W50" s="3367">
        <v>1</v>
      </c>
      <c r="X50" s="3367">
        <v>1</v>
      </c>
      <c r="Y50" s="3367">
        <v>1</v>
      </c>
      <c r="Z50" s="3367">
        <v>1</v>
      </c>
      <c r="AA50" s="3367">
        <v>1</v>
      </c>
      <c r="AB50" s="3367"/>
      <c r="AC50" s="3367"/>
      <c r="AD50" s="3426">
        <v>9</v>
      </c>
      <c r="AE50" s="3426"/>
      <c r="AF50" s="3426"/>
      <c r="AG50" s="3430"/>
      <c r="AH50" s="181"/>
      <c r="AI50" s="182"/>
    </row>
    <row r="51" spans="1:40" ht="22.35" customHeight="1" thickBot="1">
      <c r="A51" s="3417">
        <v>15</v>
      </c>
      <c r="B51" s="3418" t="s">
        <v>92</v>
      </c>
      <c r="C51" s="3420" t="s">
        <v>36</v>
      </c>
      <c r="D51" s="3420" t="s">
        <v>36</v>
      </c>
      <c r="E51" s="3420" t="s">
        <v>36</v>
      </c>
      <c r="F51" s="3425" t="s">
        <v>36</v>
      </c>
      <c r="G51" s="3425" t="s">
        <v>78</v>
      </c>
      <c r="H51" s="3425" t="s">
        <v>74</v>
      </c>
      <c r="I51" s="3425">
        <v>6</v>
      </c>
      <c r="J51" s="3425">
        <v>6</v>
      </c>
      <c r="K51" s="3342">
        <v>6</v>
      </c>
      <c r="L51" s="3420">
        <v>6</v>
      </c>
      <c r="M51" s="3420">
        <v>6</v>
      </c>
      <c r="N51" s="3420"/>
      <c r="O51" s="3420"/>
      <c r="P51" s="3420" t="s">
        <v>36</v>
      </c>
      <c r="Q51" s="3342" t="s">
        <v>36</v>
      </c>
      <c r="R51" s="3420" t="s">
        <v>36</v>
      </c>
      <c r="S51" s="3420" t="s">
        <v>36</v>
      </c>
      <c r="T51" s="3420" t="s">
        <v>36</v>
      </c>
      <c r="U51" s="3420"/>
      <c r="V51" s="3420"/>
      <c r="W51" s="3420">
        <v>5</v>
      </c>
      <c r="X51" s="3420">
        <v>5</v>
      </c>
      <c r="Y51" s="3342">
        <v>5</v>
      </c>
      <c r="Z51" s="3420">
        <v>5</v>
      </c>
      <c r="AA51" s="3420">
        <v>5</v>
      </c>
      <c r="AB51" s="3420"/>
      <c r="AC51" s="3420"/>
      <c r="AD51" s="3420">
        <v>10</v>
      </c>
      <c r="AE51" s="3342"/>
      <c r="AF51" s="3425"/>
      <c r="AG51" s="3444"/>
      <c r="AH51" s="181"/>
      <c r="AI51" s="182"/>
    </row>
    <row r="52" spans="1:40" ht="22.35" customHeight="1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  <c r="AK53" s="192"/>
    </row>
    <row r="54" spans="1:40" ht="22.35" customHeight="1">
      <c r="A54" s="3445" t="s">
        <v>28</v>
      </c>
      <c r="B54" s="3445"/>
      <c r="C54" s="3427"/>
      <c r="D54" s="3445" t="s">
        <v>94</v>
      </c>
      <c r="E54" s="3446"/>
      <c r="F54" s="3427"/>
      <c r="G54" s="3445" t="s">
        <v>95</v>
      </c>
      <c r="H54" s="3446"/>
      <c r="I54" s="3427"/>
      <c r="J54" s="3445" t="s">
        <v>96</v>
      </c>
      <c r="K54" s="3446"/>
      <c r="L54" s="3427"/>
      <c r="M54" s="3445" t="s">
        <v>97</v>
      </c>
      <c r="N54" s="3446"/>
      <c r="O54" s="3427"/>
      <c r="P54" s="3445" t="s">
        <v>98</v>
      </c>
      <c r="Q54" s="3446"/>
      <c r="R54" s="3447"/>
      <c r="S54" s="3448" t="s">
        <v>99</v>
      </c>
      <c r="T54" s="3446"/>
      <c r="U54" s="3427"/>
      <c r="V54" s="3445" t="s">
        <v>100</v>
      </c>
      <c r="W54" s="3446"/>
      <c r="X54" s="3449" t="s">
        <v>101</v>
      </c>
      <c r="Y54" s="3446"/>
      <c r="Z54" s="3446"/>
      <c r="AA54" s="3450"/>
      <c r="AB54" s="3326"/>
      <c r="AC54" s="3326"/>
      <c r="AD54" s="3326"/>
      <c r="AE54" s="3326"/>
      <c r="AF54" s="3326"/>
      <c r="AG54" s="3327"/>
      <c r="AH54" s="1"/>
    </row>
    <row r="55" spans="1:40" ht="22.35" customHeight="1">
      <c r="A55" s="3451">
        <v>8517</v>
      </c>
      <c r="B55" s="3452" t="s">
        <v>381</v>
      </c>
      <c r="C55" s="3453" t="s">
        <v>394</v>
      </c>
      <c r="D55" s="3454"/>
      <c r="E55" s="3325"/>
      <c r="F55" s="3453" t="s">
        <v>394</v>
      </c>
      <c r="G55" s="3454"/>
      <c r="H55" s="3325"/>
      <c r="I55" s="3453" t="s">
        <v>394</v>
      </c>
      <c r="J55" s="3454"/>
      <c r="K55" s="3325"/>
      <c r="L55" s="3453" t="s">
        <v>394</v>
      </c>
      <c r="M55" s="3454"/>
      <c r="N55" s="3325"/>
      <c r="O55" s="3453" t="s">
        <v>395</v>
      </c>
      <c r="P55" s="3454"/>
      <c r="Q55" s="3325"/>
      <c r="R55" s="3453"/>
      <c r="S55" s="3454"/>
      <c r="T55" s="3325"/>
      <c r="U55" s="3453" t="s">
        <v>383</v>
      </c>
      <c r="V55" s="3454"/>
      <c r="W55" s="3325"/>
      <c r="X55" s="3323"/>
      <c r="Y55" s="3326"/>
      <c r="Z55" s="3326"/>
      <c r="AA55" s="3326"/>
      <c r="AB55" s="3326"/>
      <c r="AC55" s="3326"/>
      <c r="AD55" s="3326"/>
      <c r="AE55" s="3326"/>
      <c r="AF55" s="3326"/>
      <c r="AG55" s="3327"/>
      <c r="AH55" s="1"/>
    </row>
    <row r="56" spans="1:40" ht="22.35" customHeight="1">
      <c r="B56" s="3350" t="s">
        <v>102</v>
      </c>
      <c r="C56" s="3455" t="s">
        <v>103</v>
      </c>
      <c r="D56" s="3456"/>
      <c r="E56" s="3457"/>
      <c r="F56" s="3455" t="s">
        <v>103</v>
      </c>
      <c r="G56" s="3458"/>
      <c r="H56" s="3457"/>
      <c r="I56" s="3453" t="s">
        <v>103</v>
      </c>
      <c r="J56" s="3454"/>
      <c r="K56" s="3459"/>
      <c r="L56" s="3453" t="s">
        <v>103</v>
      </c>
      <c r="M56" s="3454"/>
      <c r="N56" s="3459"/>
      <c r="O56" s="3453" t="s">
        <v>104</v>
      </c>
      <c r="P56" s="3454"/>
      <c r="Q56" s="3325"/>
      <c r="R56" s="3460" t="s">
        <v>0</v>
      </c>
      <c r="S56" s="3454"/>
      <c r="T56" s="3459"/>
      <c r="U56" s="3454" t="s">
        <v>0</v>
      </c>
      <c r="V56" s="3454"/>
      <c r="W56" s="3325"/>
      <c r="X56" s="741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>
      <c r="A57" s="3461"/>
      <c r="B57" s="3452" t="s">
        <v>105</v>
      </c>
      <c r="C57" s="3453" t="s">
        <v>396</v>
      </c>
      <c r="D57" s="3454"/>
      <c r="E57" s="3325"/>
      <c r="F57" s="3453" t="s">
        <v>396</v>
      </c>
      <c r="G57" s="3454"/>
      <c r="H57" s="3325"/>
      <c r="I57" s="3453" t="s">
        <v>396</v>
      </c>
      <c r="J57" s="3454"/>
      <c r="K57" s="3325"/>
      <c r="L57" s="3453" t="s">
        <v>396</v>
      </c>
      <c r="M57" s="3454"/>
      <c r="N57" s="3325"/>
      <c r="O57" s="3453" t="s">
        <v>397</v>
      </c>
      <c r="P57" s="3454"/>
      <c r="Q57" s="3325"/>
      <c r="R57" s="112"/>
      <c r="S57" s="113"/>
      <c r="T57" s="3459"/>
      <c r="U57" s="3454"/>
      <c r="V57" s="3454"/>
      <c r="W57" s="3325"/>
      <c r="X57" s="3323"/>
      <c r="Y57" s="3326"/>
      <c r="Z57" s="3326"/>
      <c r="AA57" s="3326"/>
      <c r="AB57" s="3326"/>
      <c r="AC57" s="3326"/>
      <c r="AD57" s="3326"/>
      <c r="AE57" s="3326"/>
      <c r="AF57" s="3326"/>
      <c r="AG57" s="3327"/>
      <c r="AH57" s="1"/>
    </row>
    <row r="58" spans="1:40" ht="22.35" customHeight="1">
      <c r="A58" s="3445"/>
      <c r="B58" s="3350"/>
      <c r="C58" s="3462"/>
      <c r="D58" s="3462"/>
      <c r="E58" s="3463"/>
      <c r="F58" s="3462"/>
      <c r="G58" s="3462"/>
      <c r="H58" s="3463"/>
      <c r="I58" s="3462"/>
      <c r="J58" s="3462"/>
      <c r="K58" s="3463"/>
      <c r="L58" s="3462"/>
      <c r="M58" s="3462"/>
      <c r="N58" s="3463"/>
      <c r="O58" s="3462"/>
      <c r="P58" s="3462"/>
      <c r="Q58" s="3463"/>
      <c r="R58" s="3462"/>
      <c r="S58" s="3462"/>
      <c r="T58" s="3463"/>
      <c r="U58" s="3462"/>
      <c r="V58" s="3462"/>
      <c r="W58" s="3463"/>
      <c r="X58" s="3323"/>
      <c r="Y58" s="3326"/>
      <c r="Z58" s="3326"/>
      <c r="AA58" s="3326"/>
      <c r="AB58" s="3326"/>
      <c r="AC58" s="3326"/>
      <c r="AD58" s="3326"/>
      <c r="AE58" s="3326"/>
      <c r="AF58" s="3326"/>
      <c r="AG58" s="3327"/>
      <c r="AH58" s="1"/>
    </row>
    <row r="59" spans="1:40" ht="22.35" customHeight="1">
      <c r="A59" s="713"/>
      <c r="B59" s="714"/>
      <c r="C59" s="715"/>
      <c r="D59" s="715"/>
      <c r="E59" s="716"/>
      <c r="F59" s="715"/>
      <c r="G59" s="715"/>
      <c r="H59" s="716"/>
      <c r="I59" s="715"/>
      <c r="J59" s="715"/>
      <c r="K59" s="716"/>
      <c r="L59" s="715"/>
      <c r="M59" s="715"/>
      <c r="N59" s="716"/>
      <c r="O59" s="715"/>
      <c r="P59" s="715"/>
      <c r="Q59" s="716"/>
      <c r="R59" s="715"/>
      <c r="S59" s="715"/>
      <c r="T59" s="716"/>
      <c r="U59" s="715"/>
      <c r="V59" s="715"/>
      <c r="W59" s="716"/>
      <c r="X59" s="716"/>
      <c r="Y59" s="221"/>
      <c r="Z59" s="221"/>
      <c r="AA59" s="221"/>
      <c r="AB59" s="221"/>
      <c r="AC59" s="221"/>
      <c r="AD59" s="221"/>
      <c r="AE59" s="221"/>
      <c r="AF59" s="221"/>
      <c r="AG59" s="221"/>
      <c r="AH59" s="1"/>
    </row>
    <row r="60" spans="1:40" ht="22.35" customHeight="1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19"/>
      <c r="R60" s="69"/>
      <c r="S60" s="69"/>
      <c r="T60" s="19"/>
      <c r="U60" s="69"/>
      <c r="V60" s="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40" ht="22.35" customHeight="1" thickBot="1">
      <c r="A61" s="3464"/>
      <c r="B61" s="3341" t="s">
        <v>29</v>
      </c>
      <c r="C61" s="3342">
        <v>1</v>
      </c>
      <c r="D61" s="3342">
        <v>2</v>
      </c>
      <c r="E61" s="3342">
        <v>3</v>
      </c>
      <c r="F61" s="3342">
        <v>4</v>
      </c>
      <c r="G61" s="3343">
        <v>5</v>
      </c>
      <c r="H61" s="3343">
        <v>6</v>
      </c>
      <c r="I61" s="3342">
        <v>7</v>
      </c>
      <c r="J61" s="3342">
        <v>8</v>
      </c>
      <c r="K61" s="3342">
        <v>9</v>
      </c>
      <c r="L61" s="3342">
        <v>10</v>
      </c>
      <c r="M61" s="3342">
        <v>11</v>
      </c>
      <c r="N61" s="3343">
        <v>12</v>
      </c>
      <c r="O61" s="3343">
        <v>13</v>
      </c>
      <c r="P61" s="3342">
        <v>14</v>
      </c>
      <c r="Q61" s="3342">
        <v>15</v>
      </c>
      <c r="R61" s="3342">
        <v>16</v>
      </c>
      <c r="S61" s="3342">
        <v>17</v>
      </c>
      <c r="T61" s="3342">
        <v>18</v>
      </c>
      <c r="U61" s="3343">
        <v>19</v>
      </c>
      <c r="V61" s="3343">
        <v>20</v>
      </c>
      <c r="W61" s="3342">
        <v>21</v>
      </c>
      <c r="X61" s="3342">
        <v>22</v>
      </c>
      <c r="Y61" s="3342">
        <v>23</v>
      </c>
      <c r="Z61" s="3342">
        <v>24</v>
      </c>
      <c r="AA61" s="3342">
        <v>25</v>
      </c>
      <c r="AB61" s="3343">
        <v>26</v>
      </c>
      <c r="AC61" s="3343">
        <v>27</v>
      </c>
      <c r="AD61" s="3342">
        <v>28</v>
      </c>
      <c r="AE61" s="3342"/>
      <c r="AF61" s="3342"/>
      <c r="AG61" s="3432"/>
      <c r="AH61" s="1"/>
      <c r="AJ61" s="3346" t="s">
        <v>30</v>
      </c>
      <c r="AK61" s="3346" t="s">
        <v>43</v>
      </c>
      <c r="AL61" s="3346" t="s">
        <v>44</v>
      </c>
      <c r="AM61" s="3346" t="s">
        <v>45</v>
      </c>
      <c r="AN61" s="3346" t="s">
        <v>46</v>
      </c>
    </row>
    <row r="62" spans="1:40" ht="22.35" customHeight="1" thickBot="1">
      <c r="A62" s="303"/>
      <c r="B62" s="304" t="s">
        <v>107</v>
      </c>
      <c r="C62" s="3466" t="s">
        <v>36</v>
      </c>
      <c r="D62" s="3466" t="s">
        <v>36</v>
      </c>
      <c r="E62" s="3466" t="s">
        <v>36</v>
      </c>
      <c r="F62" s="3466" t="s">
        <v>36</v>
      </c>
      <c r="G62" s="683"/>
      <c r="H62" s="683"/>
      <c r="I62" s="3362" t="s">
        <v>108</v>
      </c>
      <c r="J62" s="3362" t="s">
        <v>108</v>
      </c>
      <c r="K62" s="3362" t="s">
        <v>108</v>
      </c>
      <c r="L62" s="3706" t="s">
        <v>108</v>
      </c>
      <c r="M62" s="3706" t="s">
        <v>108</v>
      </c>
      <c r="N62" s="3706" t="s">
        <v>109</v>
      </c>
      <c r="O62" s="3706" t="s">
        <v>109</v>
      </c>
      <c r="P62" s="3355">
        <v>25</v>
      </c>
      <c r="Q62" s="3355">
        <v>25</v>
      </c>
      <c r="R62" s="3355">
        <v>25</v>
      </c>
      <c r="S62" s="3378" t="s">
        <v>36</v>
      </c>
      <c r="T62" s="3378" t="s">
        <v>36</v>
      </c>
      <c r="U62" s="307"/>
      <c r="V62" s="305"/>
      <c r="W62" s="3519" t="s">
        <v>108</v>
      </c>
      <c r="X62" s="3519" t="s">
        <v>108</v>
      </c>
      <c r="Y62" s="3519" t="s">
        <v>108</v>
      </c>
      <c r="Z62" s="3519" t="s">
        <v>108</v>
      </c>
      <c r="AA62" s="3378" t="s">
        <v>36</v>
      </c>
      <c r="AB62" s="305"/>
      <c r="AC62" s="305"/>
      <c r="AD62" s="305">
        <v>25</v>
      </c>
      <c r="AE62" s="305"/>
      <c r="AF62" s="305"/>
      <c r="AG62" s="397"/>
      <c r="AH62" s="1"/>
      <c r="AJ62" s="3125">
        <v>142.25</v>
      </c>
      <c r="AK62" s="3125">
        <v>9.75</v>
      </c>
      <c r="AL62" s="3125">
        <f t="shared" ref="AL62:AL76" si="1">IF(AJ62="","",SUM(AJ62:AK62))</f>
        <v>152</v>
      </c>
      <c r="AM62" s="3374">
        <f t="shared" ref="AM62" si="2">IF(AJ62="","",AL62-NormTid)</f>
        <v>-8.3300000000000125</v>
      </c>
      <c r="AN62" s="3374">
        <f>IF(AM62="","",AM62+'Januar 2022'!AN62)</f>
        <v>16.339999999999975</v>
      </c>
    </row>
    <row r="63" spans="1:40" ht="22.35" customHeight="1" thickBot="1">
      <c r="A63" s="3351"/>
      <c r="B63" s="3376" t="s">
        <v>112</v>
      </c>
      <c r="C63" s="3475">
        <v>26</v>
      </c>
      <c r="D63" s="3378">
        <v>26</v>
      </c>
      <c r="E63" s="3378">
        <v>26</v>
      </c>
      <c r="F63" s="3378" t="s">
        <v>108</v>
      </c>
      <c r="G63" s="3378"/>
      <c r="H63" s="3378">
        <v>26</v>
      </c>
      <c r="I63" s="3378" t="s">
        <v>36</v>
      </c>
      <c r="J63" s="3475" t="s">
        <v>36</v>
      </c>
      <c r="K63" s="3475" t="s">
        <v>36</v>
      </c>
      <c r="L63" s="3378" t="s">
        <v>36</v>
      </c>
      <c r="M63" s="3378" t="s">
        <v>36</v>
      </c>
      <c r="N63" s="3475">
        <v>89</v>
      </c>
      <c r="O63" s="3382">
        <v>26</v>
      </c>
      <c r="P63" s="3516" t="s">
        <v>113</v>
      </c>
      <c r="Q63" s="3516" t="s">
        <v>36</v>
      </c>
      <c r="R63" s="3516" t="s">
        <v>36</v>
      </c>
      <c r="S63" s="3516" t="s">
        <v>32</v>
      </c>
      <c r="T63" s="3516" t="s">
        <v>32</v>
      </c>
      <c r="U63" s="3355" t="s">
        <v>0</v>
      </c>
      <c r="V63" s="3382"/>
      <c r="W63" s="3519" t="s">
        <v>32</v>
      </c>
      <c r="X63" s="3519" t="s">
        <v>32</v>
      </c>
      <c r="Y63" s="3378" t="s">
        <v>36</v>
      </c>
      <c r="Z63" s="3378" t="s">
        <v>36</v>
      </c>
      <c r="AA63" s="3378" t="s">
        <v>108</v>
      </c>
      <c r="AB63" s="3378" t="s">
        <v>109</v>
      </c>
      <c r="AC63" s="3378" t="s">
        <v>109</v>
      </c>
      <c r="AD63" s="3707" t="s">
        <v>36</v>
      </c>
      <c r="AE63" s="3378"/>
      <c r="AF63" s="3378"/>
      <c r="AG63" s="3383"/>
      <c r="AH63" s="1"/>
      <c r="AJ63" s="3125">
        <v>126.5</v>
      </c>
      <c r="AK63" s="3125">
        <v>8.75</v>
      </c>
      <c r="AL63" s="3125">
        <f t="shared" si="1"/>
        <v>135.25</v>
      </c>
      <c r="AM63" s="3374">
        <f t="shared" ref="AM63:AM76" si="3">IF(AJ63="","",AL63-NormTid)</f>
        <v>-25.080000000000013</v>
      </c>
      <c r="AN63" s="3374">
        <f>IF(AM63="","",AM63+'Januar 2022'!AN63)</f>
        <v>-25.660000000000025</v>
      </c>
    </row>
    <row r="64" spans="1:40" ht="22.35" customHeight="1">
      <c r="A64" s="3351"/>
      <c r="B64" s="3351" t="s">
        <v>117</v>
      </c>
      <c r="C64" s="3475">
        <v>5</v>
      </c>
      <c r="D64" s="3378">
        <v>5</v>
      </c>
      <c r="E64" s="3378">
        <v>5</v>
      </c>
      <c r="F64" s="3378">
        <v>5</v>
      </c>
      <c r="G64" s="3378"/>
      <c r="H64" s="3378"/>
      <c r="I64" s="3378">
        <v>26</v>
      </c>
      <c r="J64" s="3378">
        <v>26</v>
      </c>
      <c r="K64" s="3378">
        <v>26</v>
      </c>
      <c r="L64" s="3378">
        <v>26</v>
      </c>
      <c r="M64" s="3378">
        <v>26</v>
      </c>
      <c r="N64" s="3355" t="s">
        <v>0</v>
      </c>
      <c r="O64" s="3382"/>
      <c r="P64" s="3708" t="s">
        <v>32</v>
      </c>
      <c r="Q64" s="3708" t="s">
        <v>32</v>
      </c>
      <c r="R64" s="3708" t="s">
        <v>32</v>
      </c>
      <c r="S64" s="3708" t="s">
        <v>32</v>
      </c>
      <c r="T64" s="3708" t="s">
        <v>32</v>
      </c>
      <c r="U64" s="3708"/>
      <c r="V64" s="3708"/>
      <c r="W64" s="3392" t="s">
        <v>32</v>
      </c>
      <c r="X64" s="3232">
        <v>4</v>
      </c>
      <c r="Y64" s="3232">
        <v>4</v>
      </c>
      <c r="Z64" s="3475" t="s">
        <v>36</v>
      </c>
      <c r="AA64" s="3475" t="s">
        <v>36</v>
      </c>
      <c r="AB64" s="3392" t="s">
        <v>32</v>
      </c>
      <c r="AC64" s="3392" t="s">
        <v>32</v>
      </c>
      <c r="AD64" s="3392" t="s">
        <v>338</v>
      </c>
      <c r="AE64" s="3378"/>
      <c r="AF64" s="3378"/>
      <c r="AG64" s="3567"/>
      <c r="AH64" s="1"/>
      <c r="AJ64" s="3125">
        <v>157</v>
      </c>
      <c r="AK64" s="3125">
        <v>5.5</v>
      </c>
      <c r="AL64" s="3125">
        <f t="shared" si="1"/>
        <v>162.5</v>
      </c>
      <c r="AM64" s="3374">
        <f t="shared" si="3"/>
        <v>2.1699999999999875</v>
      </c>
      <c r="AN64" s="3374">
        <f>IF(AM64="","",AM64+'Januar 2022'!AN65)</f>
        <v>-17.410000000000025</v>
      </c>
    </row>
    <row r="65" spans="1:40" ht="22.35" customHeight="1">
      <c r="A65" s="3351"/>
      <c r="B65" s="3351" t="s">
        <v>119</v>
      </c>
      <c r="C65" s="3483" t="s">
        <v>32</v>
      </c>
      <c r="D65" s="3483" t="s">
        <v>32</v>
      </c>
      <c r="E65" s="3483" t="s">
        <v>32</v>
      </c>
      <c r="F65" s="3483" t="s">
        <v>32</v>
      </c>
      <c r="G65" s="3483"/>
      <c r="H65" s="3483"/>
      <c r="I65" s="3483" t="s">
        <v>32</v>
      </c>
      <c r="J65" s="3483" t="s">
        <v>32</v>
      </c>
      <c r="K65" s="3483" t="s">
        <v>32</v>
      </c>
      <c r="L65" s="3483" t="s">
        <v>32</v>
      </c>
      <c r="M65" s="3483" t="s">
        <v>32</v>
      </c>
      <c r="N65" s="3472"/>
      <c r="O65" s="3472"/>
      <c r="P65" s="3709" t="s">
        <v>32</v>
      </c>
      <c r="Q65" s="3709" t="s">
        <v>32</v>
      </c>
      <c r="R65" s="3709" t="s">
        <v>32</v>
      </c>
      <c r="S65" s="3709" t="s">
        <v>32</v>
      </c>
      <c r="T65" s="3709" t="s">
        <v>32</v>
      </c>
      <c r="U65" s="3709"/>
      <c r="V65" s="3709"/>
      <c r="W65" s="3472" t="s">
        <v>32</v>
      </c>
      <c r="X65" s="3472" t="s">
        <v>32</v>
      </c>
      <c r="Y65" s="3472" t="s">
        <v>32</v>
      </c>
      <c r="Z65" s="3483" t="s">
        <v>32</v>
      </c>
      <c r="AA65" s="3483" t="s">
        <v>32</v>
      </c>
      <c r="AB65" s="3483"/>
      <c r="AC65" s="3483"/>
      <c r="AD65" s="3483" t="s">
        <v>32</v>
      </c>
      <c r="AE65" s="3483"/>
      <c r="AF65" s="3483"/>
      <c r="AG65" s="3710"/>
      <c r="AH65" s="1"/>
      <c r="AJ65" s="3125"/>
      <c r="AK65" s="3125"/>
      <c r="AL65" s="3125" t="str">
        <f t="shared" si="1"/>
        <v/>
      </c>
      <c r="AM65" s="3374" t="str">
        <f t="shared" si="3"/>
        <v/>
      </c>
      <c r="AN65" s="3374" t="str">
        <f>IF(AM65="","",AM65+'Januar 2022'!AN66)</f>
        <v/>
      </c>
    </row>
    <row r="66" spans="1:40" ht="22.35" customHeight="1" thickBot="1">
      <c r="A66" s="3351"/>
      <c r="B66" s="3351" t="s">
        <v>120</v>
      </c>
      <c r="C66" s="3382">
        <v>8</v>
      </c>
      <c r="D66" s="3382">
        <v>8</v>
      </c>
      <c r="E66" s="3382">
        <v>8</v>
      </c>
      <c r="F66" s="3382">
        <v>8</v>
      </c>
      <c r="G66" s="3382"/>
      <c r="H66" s="192" t="s">
        <v>32</v>
      </c>
      <c r="I66" s="3392" t="s">
        <v>108</v>
      </c>
      <c r="J66" s="3392" t="s">
        <v>108</v>
      </c>
      <c r="K66" s="3392" t="s">
        <v>108</v>
      </c>
      <c r="L66" s="3392" t="s">
        <v>108</v>
      </c>
      <c r="M66" s="3392" t="s">
        <v>108</v>
      </c>
      <c r="N66" s="3355" t="s">
        <v>111</v>
      </c>
      <c r="O66" s="3378" t="s">
        <v>111</v>
      </c>
      <c r="P66" s="1072">
        <v>89</v>
      </c>
      <c r="Q66" s="1072">
        <v>89</v>
      </c>
      <c r="R66" s="1072">
        <v>89</v>
      </c>
      <c r="S66" s="1072">
        <v>89</v>
      </c>
      <c r="T66" s="1072">
        <v>89</v>
      </c>
      <c r="U66" s="3382"/>
      <c r="V66" s="3481"/>
      <c r="W66" s="3378">
        <v>25</v>
      </c>
      <c r="X66" s="3475">
        <v>25</v>
      </c>
      <c r="Y66" s="3475">
        <v>25</v>
      </c>
      <c r="Z66" s="3475">
        <v>25</v>
      </c>
      <c r="AA66" s="3378">
        <v>25</v>
      </c>
      <c r="AB66" s="3475"/>
      <c r="AC66" s="192" t="s">
        <v>0</v>
      </c>
      <c r="AD66" s="3378" t="s">
        <v>32</v>
      </c>
      <c r="AE66" s="3378"/>
      <c r="AF66" s="3378"/>
      <c r="AG66" s="3383"/>
      <c r="AH66" s="1"/>
      <c r="AJ66" s="3125">
        <v>169.5</v>
      </c>
      <c r="AK66" s="3125">
        <v>8.5</v>
      </c>
      <c r="AL66" s="3125">
        <f t="shared" si="1"/>
        <v>178</v>
      </c>
      <c r="AM66" s="3374">
        <f t="shared" si="3"/>
        <v>17.669999999999987</v>
      </c>
      <c r="AN66" s="3374">
        <f>IF(AM66="","",AM66+'Januar 2022'!AN67)</f>
        <v>52.589999999999975</v>
      </c>
    </row>
    <row r="67" spans="1:40" ht="22.35" customHeight="1">
      <c r="A67" s="3388"/>
      <c r="B67" s="3624" t="s">
        <v>123</v>
      </c>
      <c r="C67" s="352" t="s">
        <v>108</v>
      </c>
      <c r="D67" s="352" t="s">
        <v>108</v>
      </c>
      <c r="E67" s="352" t="s">
        <v>108</v>
      </c>
      <c r="F67" s="352">
        <v>26</v>
      </c>
      <c r="G67" s="3377"/>
      <c r="H67" s="3378" t="s">
        <v>0</v>
      </c>
      <c r="I67" s="3708" t="s">
        <v>36</v>
      </c>
      <c r="J67" s="3708" t="s">
        <v>36</v>
      </c>
      <c r="K67" s="3708" t="s">
        <v>36</v>
      </c>
      <c r="L67" s="3708" t="s">
        <v>36</v>
      </c>
      <c r="M67" s="3708" t="s">
        <v>36</v>
      </c>
      <c r="N67" s="3708"/>
      <c r="O67" s="3708"/>
      <c r="P67" s="3684">
        <v>26</v>
      </c>
      <c r="Q67" s="3378">
        <v>26</v>
      </c>
      <c r="R67" s="3378">
        <v>26</v>
      </c>
      <c r="S67" s="3378">
        <v>26</v>
      </c>
      <c r="T67" s="3378">
        <v>26</v>
      </c>
      <c r="U67" s="3481"/>
      <c r="V67" s="3378">
        <v>26</v>
      </c>
      <c r="W67" s="3378" t="s">
        <v>36</v>
      </c>
      <c r="X67" s="3475" t="s">
        <v>36</v>
      </c>
      <c r="Y67" s="3475" t="s">
        <v>36</v>
      </c>
      <c r="Z67" s="3378" t="s">
        <v>36</v>
      </c>
      <c r="AA67" s="3378" t="s">
        <v>36</v>
      </c>
      <c r="AB67" s="3378"/>
      <c r="AC67" s="192" t="s">
        <v>32</v>
      </c>
      <c r="AD67" s="3378">
        <v>26</v>
      </c>
      <c r="AE67" s="3378"/>
      <c r="AF67" s="3378"/>
      <c r="AG67" s="3383"/>
      <c r="AH67" s="1"/>
      <c r="AJ67" s="3125">
        <v>92.25</v>
      </c>
      <c r="AK67" s="3125">
        <v>7</v>
      </c>
      <c r="AL67" s="3125">
        <f t="shared" si="1"/>
        <v>99.25</v>
      </c>
      <c r="AM67" s="3374">
        <f t="shared" si="3"/>
        <v>-61.080000000000013</v>
      </c>
      <c r="AN67" s="3374">
        <f>IF(AM67="","",AM67+'Januar 2022'!AN68)</f>
        <v>-60.160000000000025</v>
      </c>
    </row>
    <row r="68" spans="1:40" ht="22.35" customHeight="1">
      <c r="A68" s="3376"/>
      <c r="B68" s="3376" t="s">
        <v>128</v>
      </c>
      <c r="C68" s="3639" t="s">
        <v>135</v>
      </c>
      <c r="D68" s="3639" t="s">
        <v>355</v>
      </c>
      <c r="E68" s="3125" t="s">
        <v>135</v>
      </c>
      <c r="F68" s="3125" t="s">
        <v>135</v>
      </c>
      <c r="G68" s="3480"/>
      <c r="H68" s="3480"/>
      <c r="I68" s="3386" t="s">
        <v>135</v>
      </c>
      <c r="J68" s="3386" t="s">
        <v>135</v>
      </c>
      <c r="K68" s="3386" t="s">
        <v>135</v>
      </c>
      <c r="L68" s="3386" t="s">
        <v>135</v>
      </c>
      <c r="M68" s="3386" t="s">
        <v>135</v>
      </c>
      <c r="N68" s="3693"/>
      <c r="O68" s="3693"/>
      <c r="P68" s="3386" t="s">
        <v>135</v>
      </c>
      <c r="Q68" s="3386" t="s">
        <v>135</v>
      </c>
      <c r="R68" s="3386" t="s">
        <v>135</v>
      </c>
      <c r="S68" s="3386" t="s">
        <v>135</v>
      </c>
      <c r="T68" s="3386" t="s">
        <v>135</v>
      </c>
      <c r="U68" s="3382"/>
      <c r="V68" s="3382"/>
      <c r="W68" s="3386" t="s">
        <v>135</v>
      </c>
      <c r="X68" s="3386" t="s">
        <v>135</v>
      </c>
      <c r="Y68" s="3386" t="s">
        <v>135</v>
      </c>
      <c r="Z68" s="3386" t="s">
        <v>135</v>
      </c>
      <c r="AA68" s="3711" t="s">
        <v>135</v>
      </c>
      <c r="AB68" s="3378"/>
      <c r="AC68" s="3378"/>
      <c r="AD68" s="3386" t="s">
        <v>135</v>
      </c>
      <c r="AE68" s="3378"/>
      <c r="AF68" s="3378"/>
      <c r="AG68" s="3383"/>
      <c r="AH68" s="1"/>
      <c r="AJ68" s="3125">
        <v>148</v>
      </c>
      <c r="AK68" s="3125">
        <v>0.75</v>
      </c>
      <c r="AL68" s="3125">
        <f t="shared" si="1"/>
        <v>148.75</v>
      </c>
      <c r="AM68" s="3374">
        <f t="shared" si="3"/>
        <v>-11.580000000000013</v>
      </c>
      <c r="AN68" s="3374">
        <f>IF(AM68="","",AM68+'Januar 2022'!AN69)</f>
        <v>-15.660000000000025</v>
      </c>
    </row>
    <row r="69" spans="1:40" ht="22.35" customHeight="1" thickBot="1">
      <c r="A69" s="3351"/>
      <c r="B69" s="3351" t="s">
        <v>131</v>
      </c>
      <c r="C69" s="3125" t="s">
        <v>122</v>
      </c>
      <c r="D69" s="3125" t="s">
        <v>122</v>
      </c>
      <c r="E69" s="3125" t="s">
        <v>122</v>
      </c>
      <c r="F69" s="3125" t="s">
        <v>122</v>
      </c>
      <c r="G69" s="3378"/>
      <c r="H69" s="3378"/>
      <c r="I69" s="3125" t="s">
        <v>122</v>
      </c>
      <c r="J69" s="3125" t="s">
        <v>122</v>
      </c>
      <c r="K69" s="3125" t="s">
        <v>122</v>
      </c>
      <c r="L69" s="3125" t="s">
        <v>122</v>
      </c>
      <c r="M69" s="3125" t="s">
        <v>122</v>
      </c>
      <c r="N69" s="3382"/>
      <c r="O69" s="3382"/>
      <c r="P69" s="3125" t="s">
        <v>122</v>
      </c>
      <c r="Q69" s="3125" t="s">
        <v>122</v>
      </c>
      <c r="R69" s="3125" t="s">
        <v>122</v>
      </c>
      <c r="S69" s="3125" t="s">
        <v>122</v>
      </c>
      <c r="T69" s="3125" t="s">
        <v>122</v>
      </c>
      <c r="U69" s="3382"/>
      <c r="V69" s="3382"/>
      <c r="W69" s="3125" t="s">
        <v>122</v>
      </c>
      <c r="X69" s="3125" t="s">
        <v>122</v>
      </c>
      <c r="Y69" s="3125" t="s">
        <v>122</v>
      </c>
      <c r="Z69" s="3125" t="s">
        <v>122</v>
      </c>
      <c r="AA69" s="3125" t="s">
        <v>122</v>
      </c>
      <c r="AB69" s="3378"/>
      <c r="AC69" s="3378"/>
      <c r="AD69" s="3378" t="s">
        <v>122</v>
      </c>
      <c r="AE69" s="3378"/>
      <c r="AF69" s="3378"/>
      <c r="AG69" s="3383"/>
      <c r="AH69" s="1"/>
      <c r="AJ69" s="3125">
        <v>148</v>
      </c>
      <c r="AK69" s="3125">
        <v>0</v>
      </c>
      <c r="AL69" s="3125">
        <f t="shared" si="1"/>
        <v>148</v>
      </c>
      <c r="AM69" s="3374">
        <f t="shared" si="3"/>
        <v>-12.330000000000013</v>
      </c>
      <c r="AN69" s="3374">
        <f>IF(AM69="","",AM69+'Januar 2022'!AN70)</f>
        <v>-17.160000000000025</v>
      </c>
    </row>
    <row r="70" spans="1:40" ht="22.35" customHeight="1" thickBot="1">
      <c r="A70" s="3712"/>
      <c r="B70" s="3110" t="s">
        <v>139</v>
      </c>
      <c r="C70" s="3392" t="s">
        <v>32</v>
      </c>
      <c r="D70" s="3378" t="s">
        <v>36</v>
      </c>
      <c r="E70" s="349" t="s">
        <v>32</v>
      </c>
      <c r="F70" s="3378" t="s">
        <v>36</v>
      </c>
      <c r="G70" s="3392" t="s">
        <v>32</v>
      </c>
      <c r="H70" s="3392" t="s">
        <v>32</v>
      </c>
      <c r="I70" s="3378" t="s">
        <v>36</v>
      </c>
      <c r="J70" s="3378">
        <v>4</v>
      </c>
      <c r="K70" s="3378">
        <v>89</v>
      </c>
      <c r="L70" s="3475" t="s">
        <v>32</v>
      </c>
      <c r="M70" s="3475" t="s">
        <v>32</v>
      </c>
      <c r="N70" s="3382"/>
      <c r="O70" s="3382"/>
      <c r="P70" s="3474" t="s">
        <v>32</v>
      </c>
      <c r="Q70" s="3392" t="s">
        <v>32</v>
      </c>
      <c r="R70" s="3392" t="s">
        <v>113</v>
      </c>
      <c r="S70" s="3392" t="s">
        <v>113</v>
      </c>
      <c r="T70" s="3392" t="s">
        <v>32</v>
      </c>
      <c r="U70" s="3382"/>
      <c r="V70" s="3382"/>
      <c r="W70" s="3519" t="s">
        <v>36</v>
      </c>
      <c r="X70" s="3519" t="s">
        <v>36</v>
      </c>
      <c r="Y70" s="3519" t="s">
        <v>32</v>
      </c>
      <c r="Z70" s="3519" t="s">
        <v>32</v>
      </c>
      <c r="AA70" s="3713" t="s">
        <v>278</v>
      </c>
      <c r="AB70" s="3425" t="s">
        <v>76</v>
      </c>
      <c r="AC70" s="3425" t="s">
        <v>77</v>
      </c>
      <c r="AD70" s="3378" t="s">
        <v>36</v>
      </c>
      <c r="AE70" s="3378"/>
      <c r="AF70" s="3378"/>
      <c r="AG70" s="3383"/>
      <c r="AH70" s="1"/>
      <c r="AJ70" s="3125">
        <v>170</v>
      </c>
      <c r="AK70" s="3125">
        <v>8.75</v>
      </c>
      <c r="AL70" s="3125">
        <f t="shared" si="1"/>
        <v>178.75</v>
      </c>
      <c r="AM70" s="3374">
        <f t="shared" si="3"/>
        <v>18.419999999999987</v>
      </c>
      <c r="AN70" s="3374">
        <f>IF(AM70="","",AM70+'Januar 2022'!AN71)</f>
        <v>7.339999999999975</v>
      </c>
    </row>
    <row r="71" spans="1:40" ht="22.35" customHeight="1" thickBot="1">
      <c r="A71" s="3351"/>
      <c r="B71" s="3110" t="s">
        <v>140</v>
      </c>
      <c r="C71" s="3378" t="s">
        <v>36</v>
      </c>
      <c r="D71" s="3475" t="s">
        <v>135</v>
      </c>
      <c r="E71" s="3378" t="s">
        <v>36</v>
      </c>
      <c r="F71" s="3378" t="s">
        <v>36</v>
      </c>
      <c r="G71" s="3378" t="s">
        <v>109</v>
      </c>
      <c r="H71" s="3378" t="s">
        <v>109</v>
      </c>
      <c r="I71" s="3392" t="s">
        <v>32</v>
      </c>
      <c r="J71" s="3474" t="s">
        <v>32</v>
      </c>
      <c r="K71" s="3392" t="s">
        <v>32</v>
      </c>
      <c r="L71" s="3392" t="s">
        <v>32</v>
      </c>
      <c r="M71" s="3392" t="s">
        <v>32</v>
      </c>
      <c r="N71" s="557"/>
      <c r="O71" s="3483">
        <v>22</v>
      </c>
      <c r="P71" s="3483" t="s">
        <v>36</v>
      </c>
      <c r="Q71" s="3483" t="s">
        <v>36</v>
      </c>
      <c r="R71" s="3483" t="s">
        <v>36</v>
      </c>
      <c r="S71" s="3483" t="s">
        <v>36</v>
      </c>
      <c r="T71" s="3483" t="s">
        <v>36</v>
      </c>
      <c r="U71" s="3466" t="s">
        <v>111</v>
      </c>
      <c r="V71" s="3466" t="s">
        <v>315</v>
      </c>
      <c r="W71" s="3475">
        <v>26</v>
      </c>
      <c r="X71" s="3378">
        <v>26</v>
      </c>
      <c r="Y71" s="3475">
        <v>26</v>
      </c>
      <c r="Z71" s="3378">
        <v>26</v>
      </c>
      <c r="AA71" s="3475">
        <v>26</v>
      </c>
      <c r="AB71" s="3382"/>
      <c r="AC71" s="3475">
        <v>26</v>
      </c>
      <c r="AD71" s="3378" t="s">
        <v>108</v>
      </c>
      <c r="AE71" s="3378"/>
      <c r="AF71" s="3378"/>
      <c r="AG71" s="3383"/>
      <c r="AH71" s="1"/>
      <c r="AJ71" s="3125">
        <v>125.75</v>
      </c>
      <c r="AK71" s="3125">
        <v>8.5</v>
      </c>
      <c r="AL71" s="3125">
        <f t="shared" si="1"/>
        <v>134.25</v>
      </c>
      <c r="AM71" s="3374">
        <f t="shared" si="3"/>
        <v>-26.080000000000013</v>
      </c>
      <c r="AN71" s="3374">
        <f>IF(AM71="","",AM71+'Januar 2022'!AN72)</f>
        <v>-4.660000000000025</v>
      </c>
    </row>
    <row r="72" spans="1:40" ht="22.35" customHeight="1">
      <c r="B72" s="3624" t="s">
        <v>398</v>
      </c>
      <c r="C72" s="3392" t="s">
        <v>32</v>
      </c>
      <c r="D72" s="3474" t="s">
        <v>32</v>
      </c>
      <c r="E72" s="3474" t="s">
        <v>32</v>
      </c>
      <c r="F72" s="3378" t="s">
        <v>32</v>
      </c>
      <c r="G72" s="349" t="s">
        <v>80</v>
      </c>
      <c r="H72" s="3378"/>
      <c r="I72" s="3392" t="s">
        <v>32</v>
      </c>
      <c r="J72" s="3392" t="s">
        <v>32</v>
      </c>
      <c r="K72" s="3392" t="s">
        <v>32</v>
      </c>
      <c r="L72" s="3392" t="s">
        <v>32</v>
      </c>
      <c r="M72" s="3392" t="s">
        <v>32</v>
      </c>
      <c r="N72" s="3378"/>
      <c r="O72" s="3378"/>
      <c r="P72" s="3392" t="s">
        <v>32</v>
      </c>
      <c r="Q72" s="3392" t="s">
        <v>32</v>
      </c>
      <c r="R72" s="3392" t="s">
        <v>32</v>
      </c>
      <c r="S72" s="3392" t="s">
        <v>32</v>
      </c>
      <c r="T72" s="3392" t="s">
        <v>32</v>
      </c>
      <c r="U72" s="3378"/>
      <c r="V72" s="3378"/>
      <c r="W72" s="3392" t="s">
        <v>32</v>
      </c>
      <c r="X72" s="3474" t="s">
        <v>32</v>
      </c>
      <c r="Y72" s="3392" t="s">
        <v>32</v>
      </c>
      <c r="Z72" s="3392" t="s">
        <v>32</v>
      </c>
      <c r="AA72" s="3392" t="s">
        <v>32</v>
      </c>
      <c r="AB72" s="3378"/>
      <c r="AC72" s="3378"/>
      <c r="AD72" s="3634" t="s">
        <v>32</v>
      </c>
      <c r="AE72" s="3378"/>
      <c r="AF72" s="3378"/>
      <c r="AG72" s="3383"/>
      <c r="AH72" s="1"/>
      <c r="AJ72" s="3125">
        <v>162.5</v>
      </c>
      <c r="AK72" s="3125">
        <v>2.25</v>
      </c>
      <c r="AL72" s="3125">
        <f t="shared" si="1"/>
        <v>164.75</v>
      </c>
      <c r="AM72" s="3374">
        <f t="shared" si="3"/>
        <v>4.4199999999999875</v>
      </c>
      <c r="AN72" s="3374">
        <f>IF(AM72="","",AM72+'Januar 2022'!AN73)</f>
        <v>12.839999999999975</v>
      </c>
    </row>
    <row r="73" spans="1:40" ht="22.35" customHeight="1">
      <c r="B73" s="3624" t="s">
        <v>399</v>
      </c>
      <c r="C73" s="3383">
        <v>25</v>
      </c>
      <c r="D73" s="3383">
        <v>25</v>
      </c>
      <c r="E73" s="3383">
        <v>25</v>
      </c>
      <c r="F73" s="3383">
        <v>25</v>
      </c>
      <c r="G73" s="3378"/>
      <c r="H73" s="3378"/>
      <c r="I73" s="3378">
        <v>25</v>
      </c>
      <c r="J73" s="3378">
        <v>25</v>
      </c>
      <c r="K73" s="3378">
        <v>25</v>
      </c>
      <c r="L73" s="3378">
        <v>25</v>
      </c>
      <c r="M73" s="3378">
        <v>25</v>
      </c>
      <c r="N73" s="3392" t="s">
        <v>0</v>
      </c>
      <c r="O73" s="3392" t="s">
        <v>0</v>
      </c>
      <c r="P73" s="3355" t="s">
        <v>108</v>
      </c>
      <c r="Q73" s="3355" t="s">
        <v>108</v>
      </c>
      <c r="R73" s="3355" t="s">
        <v>108</v>
      </c>
      <c r="S73" s="3355" t="s">
        <v>108</v>
      </c>
      <c r="T73" s="3355" t="s">
        <v>108</v>
      </c>
      <c r="U73" s="3355" t="s">
        <v>109</v>
      </c>
      <c r="V73" s="3355" t="s">
        <v>109</v>
      </c>
      <c r="W73" s="3378" t="s">
        <v>36</v>
      </c>
      <c r="X73" s="3378" t="s">
        <v>36</v>
      </c>
      <c r="Y73" s="3378" t="s">
        <v>36</v>
      </c>
      <c r="Z73" s="3232">
        <v>99</v>
      </c>
      <c r="AA73" s="3232">
        <v>4</v>
      </c>
      <c r="AB73" s="3468"/>
      <c r="AC73" s="3468"/>
      <c r="AD73" s="3646">
        <v>9</v>
      </c>
      <c r="AE73" s="3643"/>
      <c r="AF73" s="3468"/>
      <c r="AG73" s="3567"/>
      <c r="AH73" s="1"/>
      <c r="AJ73" s="3125">
        <v>173.5</v>
      </c>
      <c r="AK73" s="3125">
        <v>11</v>
      </c>
      <c r="AL73" s="3125">
        <f t="shared" si="1"/>
        <v>184.5</v>
      </c>
      <c r="AM73" s="3374">
        <f t="shared" si="3"/>
        <v>24.169999999999987</v>
      </c>
      <c r="AN73" s="3374">
        <f>IF(AM73="","",AM73+'Januar 2022'!AN74)</f>
        <v>49.589999999999975</v>
      </c>
    </row>
    <row r="74" spans="1:40" ht="22.35" customHeight="1" thickBot="1">
      <c r="B74" s="3624" t="s">
        <v>424</v>
      </c>
      <c r="C74" s="3378">
        <v>4</v>
      </c>
      <c r="D74" s="3378">
        <v>4</v>
      </c>
      <c r="E74" s="3378">
        <v>4</v>
      </c>
      <c r="F74" s="3378">
        <v>4</v>
      </c>
      <c r="G74" s="3378"/>
      <c r="H74" s="705" t="s">
        <v>32</v>
      </c>
      <c r="I74" s="3378" t="s">
        <v>36</v>
      </c>
      <c r="J74" s="3378" t="s">
        <v>36</v>
      </c>
      <c r="K74" s="3646">
        <v>25</v>
      </c>
      <c r="L74" s="3646">
        <v>25</v>
      </c>
      <c r="M74" s="3646">
        <v>25</v>
      </c>
      <c r="N74" s="3378"/>
      <c r="O74" s="3378"/>
      <c r="P74" s="3378">
        <v>25</v>
      </c>
      <c r="Q74" s="3378">
        <v>25</v>
      </c>
      <c r="R74" s="3378">
        <v>25</v>
      </c>
      <c r="S74" s="3378">
        <v>25</v>
      </c>
      <c r="T74" s="3378">
        <v>25</v>
      </c>
      <c r="U74" s="3378"/>
      <c r="V74" s="192" t="s">
        <v>32</v>
      </c>
      <c r="W74" s="3378" t="s">
        <v>334</v>
      </c>
      <c r="X74" s="3378" t="s">
        <v>0</v>
      </c>
      <c r="Y74" s="3378"/>
      <c r="Z74" s="3378"/>
      <c r="AA74" s="3378"/>
      <c r="AB74" s="3378"/>
      <c r="AC74" s="3378"/>
      <c r="AD74" s="3378"/>
      <c r="AE74" s="3378"/>
      <c r="AF74" s="3378"/>
      <c r="AG74" s="3383"/>
      <c r="AH74" s="1"/>
      <c r="AJ74" s="3125">
        <v>128</v>
      </c>
      <c r="AK74" s="3125">
        <v>6.25</v>
      </c>
      <c r="AL74" s="3125">
        <f t="shared" si="1"/>
        <v>134.25</v>
      </c>
      <c r="AM74" s="3374">
        <f t="shared" si="3"/>
        <v>-26.080000000000013</v>
      </c>
      <c r="AN74" s="3374">
        <f>IF(AM74="","",AM74+'Januar 2022'!AN75)</f>
        <v>20.589999999999975</v>
      </c>
    </row>
    <row r="75" spans="1:40" ht="22.35" customHeight="1">
      <c r="B75" s="3479" t="s">
        <v>134</v>
      </c>
      <c r="C75" s="361">
        <v>10</v>
      </c>
      <c r="D75" s="350">
        <v>10</v>
      </c>
      <c r="E75" s="361">
        <v>10</v>
      </c>
      <c r="F75" s="349">
        <v>10</v>
      </c>
      <c r="G75" s="349" t="s">
        <v>77</v>
      </c>
      <c r="H75" s="349" t="s">
        <v>77</v>
      </c>
      <c r="I75" s="349" t="s">
        <v>36</v>
      </c>
      <c r="J75" s="349" t="s">
        <v>36</v>
      </c>
      <c r="K75" s="349" t="s">
        <v>36</v>
      </c>
      <c r="L75" s="349" t="s">
        <v>36</v>
      </c>
      <c r="M75" s="349" t="s">
        <v>36</v>
      </c>
      <c r="N75" s="349" t="s">
        <v>80</v>
      </c>
      <c r="O75" s="349" t="s">
        <v>80</v>
      </c>
      <c r="P75" s="349">
        <v>7</v>
      </c>
      <c r="Q75" s="571">
        <v>7</v>
      </c>
      <c r="R75" s="571">
        <v>7</v>
      </c>
      <c r="S75" s="571">
        <v>7</v>
      </c>
      <c r="T75" s="602">
        <v>7</v>
      </c>
      <c r="U75" s="361"/>
      <c r="V75" s="364"/>
      <c r="W75" s="3702">
        <v>4</v>
      </c>
      <c r="X75" s="3702">
        <v>4</v>
      </c>
      <c r="Y75" s="583">
        <v>4</v>
      </c>
      <c r="Z75" s="568">
        <v>4</v>
      </c>
      <c r="AA75" s="568" t="s">
        <v>334</v>
      </c>
      <c r="AB75" s="361"/>
      <c r="AC75" s="361"/>
      <c r="AD75" s="620">
        <v>3</v>
      </c>
      <c r="AE75" s="350"/>
      <c r="AF75" s="361"/>
      <c r="AG75" s="362"/>
      <c r="AJ75" s="3125"/>
      <c r="AK75" s="3125"/>
      <c r="AL75" s="3125" t="str">
        <f t="shared" si="1"/>
        <v/>
      </c>
      <c r="AM75" s="3374" t="str">
        <f t="shared" si="3"/>
        <v/>
      </c>
      <c r="AN75" s="3374" t="str">
        <f>IF(AM75="","",AM75+'Januar 2022'!AN76)</f>
        <v/>
      </c>
    </row>
    <row r="76" spans="1:40" ht="22.35" customHeight="1">
      <c r="B76" s="3376" t="s">
        <v>366</v>
      </c>
      <c r="C76" s="3355" t="s">
        <v>211</v>
      </c>
      <c r="D76" s="3355" t="s">
        <v>211</v>
      </c>
      <c r="E76" s="3355" t="s">
        <v>211</v>
      </c>
      <c r="F76" s="3355" t="s">
        <v>211</v>
      </c>
      <c r="G76" s="3355"/>
      <c r="H76" s="3355"/>
      <c r="I76" s="3355" t="s">
        <v>212</v>
      </c>
      <c r="J76" s="3355" t="s">
        <v>212</v>
      </c>
      <c r="K76" s="3355" t="s">
        <v>212</v>
      </c>
      <c r="L76" s="3355" t="s">
        <v>212</v>
      </c>
      <c r="M76" s="3355" t="s">
        <v>212</v>
      </c>
      <c r="N76" s="3428" t="s">
        <v>212</v>
      </c>
      <c r="O76" s="3355"/>
      <c r="P76" s="3355" t="s">
        <v>213</v>
      </c>
      <c r="Q76" s="3355" t="s">
        <v>213</v>
      </c>
      <c r="R76" s="3355" t="s">
        <v>213</v>
      </c>
      <c r="S76" s="3355" t="s">
        <v>213</v>
      </c>
      <c r="T76" s="3355" t="s">
        <v>36</v>
      </c>
      <c r="U76" s="3355"/>
      <c r="V76" s="3355"/>
      <c r="W76" s="3355" t="s">
        <v>211</v>
      </c>
      <c r="X76" s="3355" t="s">
        <v>211</v>
      </c>
      <c r="Y76" s="3355" t="s">
        <v>211</v>
      </c>
      <c r="Z76" s="3355" t="s">
        <v>211</v>
      </c>
      <c r="AA76" s="3355" t="s">
        <v>211</v>
      </c>
      <c r="AB76" s="3428"/>
      <c r="AC76" s="3428"/>
      <c r="AD76" s="3428" t="s">
        <v>212</v>
      </c>
      <c r="AE76" s="3428"/>
      <c r="AF76" s="3428"/>
      <c r="AG76" s="3416"/>
      <c r="AJ76" s="3125"/>
      <c r="AK76" s="3125"/>
      <c r="AL76" s="3125" t="str">
        <f t="shared" si="1"/>
        <v/>
      </c>
      <c r="AM76" s="3374" t="str">
        <f t="shared" si="3"/>
        <v/>
      </c>
      <c r="AN76" s="3374" t="str">
        <f>IF(AM76="","",AM76+'Januar 2022'!AN77)</f>
        <v/>
      </c>
    </row>
    <row r="77" spans="1:40" ht="22.35" customHeight="1">
      <c r="B77" s="3493"/>
      <c r="AJ77" s="200"/>
      <c r="AK77" s="200"/>
      <c r="AL77" s="200"/>
      <c r="AM77" s="529"/>
      <c r="AN77" s="529"/>
    </row>
    <row r="78" spans="1:40" ht="22.35" customHeight="1" thickBot="1">
      <c r="A78" s="3110"/>
      <c r="B78" s="3111" t="s">
        <v>138</v>
      </c>
      <c r="C78" s="3494">
        <v>1</v>
      </c>
      <c r="D78" s="3494">
        <v>2</v>
      </c>
      <c r="E78" s="3494">
        <v>3</v>
      </c>
      <c r="F78" s="3494">
        <v>4</v>
      </c>
      <c r="G78" s="3495">
        <v>5</v>
      </c>
      <c r="H78" s="3495">
        <v>6</v>
      </c>
      <c r="I78" s="3494">
        <v>7</v>
      </c>
      <c r="J78" s="3494">
        <v>8</v>
      </c>
      <c r="K78" s="3494">
        <v>9</v>
      </c>
      <c r="L78" s="3494">
        <v>10</v>
      </c>
      <c r="M78" s="3494">
        <v>11</v>
      </c>
      <c r="N78" s="3495">
        <v>12</v>
      </c>
      <c r="O78" s="3495">
        <v>13</v>
      </c>
      <c r="P78" s="3494">
        <v>14</v>
      </c>
      <c r="Q78" s="3494">
        <v>15</v>
      </c>
      <c r="R78" s="3494">
        <v>16</v>
      </c>
      <c r="S78" s="3494">
        <v>17</v>
      </c>
      <c r="T78" s="3494">
        <v>18</v>
      </c>
      <c r="U78" s="3495">
        <v>19</v>
      </c>
      <c r="V78" s="3495">
        <v>20</v>
      </c>
      <c r="W78" s="3494">
        <v>21</v>
      </c>
      <c r="X78" s="3494">
        <v>22</v>
      </c>
      <c r="Y78" s="3494">
        <v>23</v>
      </c>
      <c r="Z78" s="3494">
        <v>24</v>
      </c>
      <c r="AA78" s="3494">
        <v>25</v>
      </c>
      <c r="AB78" s="3495">
        <v>26</v>
      </c>
      <c r="AC78" s="3495">
        <v>27</v>
      </c>
      <c r="AD78" s="3494">
        <v>28</v>
      </c>
      <c r="AE78" s="3494"/>
      <c r="AF78" s="3494"/>
      <c r="AG78" s="3647"/>
      <c r="AH78" s="1"/>
    </row>
    <row r="79" spans="1:40" ht="22.35" customHeight="1" thickBot="1">
      <c r="A79" s="308"/>
      <c r="B79" s="508" t="s">
        <v>352</v>
      </c>
      <c r="C79" s="3383">
        <v>21</v>
      </c>
      <c r="D79" s="3383">
        <v>21</v>
      </c>
      <c r="E79" s="3383">
        <v>21</v>
      </c>
      <c r="F79" s="3383">
        <v>21</v>
      </c>
      <c r="G79" s="3383">
        <v>21</v>
      </c>
      <c r="H79" s="3383">
        <v>21</v>
      </c>
      <c r="I79" s="3382" t="s">
        <v>36</v>
      </c>
      <c r="J79" s="3382" t="s">
        <v>36</v>
      </c>
      <c r="K79" s="3382" t="s">
        <v>36</v>
      </c>
      <c r="L79" s="3382" t="s">
        <v>36</v>
      </c>
      <c r="M79" s="3382" t="s">
        <v>36</v>
      </c>
      <c r="N79" s="3382"/>
      <c r="O79" s="3382"/>
      <c r="P79" s="3378">
        <v>22</v>
      </c>
      <c r="Q79" s="3378">
        <v>22</v>
      </c>
      <c r="R79" s="3387">
        <v>22</v>
      </c>
      <c r="S79" s="3387">
        <v>22</v>
      </c>
      <c r="T79" s="3378">
        <v>22</v>
      </c>
      <c r="U79" s="3380">
        <v>22</v>
      </c>
      <c r="V79" s="3380">
        <v>22</v>
      </c>
      <c r="W79" s="3468" t="s">
        <v>36</v>
      </c>
      <c r="X79" s="3378" t="s">
        <v>36</v>
      </c>
      <c r="Y79" s="3378" t="s">
        <v>36</v>
      </c>
      <c r="Z79" s="3468" t="s">
        <v>36</v>
      </c>
      <c r="AA79" s="3378" t="s">
        <v>36</v>
      </c>
      <c r="AB79" s="3714" t="s">
        <v>0</v>
      </c>
      <c r="AC79" s="3714" t="s">
        <v>0</v>
      </c>
      <c r="AD79" s="3378">
        <v>23</v>
      </c>
      <c r="AE79" s="3378"/>
      <c r="AF79" s="3378"/>
      <c r="AG79" s="311"/>
      <c r="AH79" s="1"/>
    </row>
    <row r="80" spans="1:40" ht="22.35" customHeight="1" thickBot="1">
      <c r="A80" s="3624"/>
      <c r="B80" s="3624" t="s">
        <v>454</v>
      </c>
      <c r="C80" s="3378">
        <v>99</v>
      </c>
      <c r="D80" s="3378">
        <v>99</v>
      </c>
      <c r="E80" s="3378">
        <v>99</v>
      </c>
      <c r="F80" s="3378">
        <v>1</v>
      </c>
      <c r="G80" s="3378"/>
      <c r="H80" s="3378"/>
      <c r="I80" s="3646">
        <v>9</v>
      </c>
      <c r="J80" s="3646">
        <v>9</v>
      </c>
      <c r="K80" s="3646">
        <v>9</v>
      </c>
      <c r="L80" s="3646">
        <v>9</v>
      </c>
      <c r="M80" s="3646">
        <v>9</v>
      </c>
      <c r="N80" s="3386" t="s">
        <v>76</v>
      </c>
      <c r="O80" s="3386"/>
      <c r="P80" s="3355">
        <v>4</v>
      </c>
      <c r="Q80" s="3355">
        <v>4</v>
      </c>
      <c r="R80" s="3477">
        <v>4</v>
      </c>
      <c r="S80" s="3428">
        <v>4</v>
      </c>
      <c r="T80" s="3516">
        <v>4</v>
      </c>
      <c r="U80" s="3355">
        <v>89</v>
      </c>
      <c r="V80" s="3125"/>
      <c r="W80" s="3622">
        <v>9</v>
      </c>
      <c r="X80" s="3622">
        <v>9</v>
      </c>
      <c r="Y80" s="3622" t="s">
        <v>335</v>
      </c>
      <c r="Z80" s="3700">
        <v>9</v>
      </c>
      <c r="AA80" s="3700">
        <v>9</v>
      </c>
      <c r="AB80" s="3425" t="s">
        <v>0</v>
      </c>
      <c r="AC80" s="3425" t="s">
        <v>0</v>
      </c>
      <c r="AD80" s="3378" t="s">
        <v>36</v>
      </c>
      <c r="AE80" s="3378"/>
      <c r="AF80" s="3378"/>
      <c r="AG80" s="3383"/>
      <c r="AH80" s="1"/>
    </row>
    <row r="81" spans="1:37" ht="22.35" customHeight="1">
      <c r="A81" s="3715"/>
      <c r="B81" s="3624"/>
      <c r="C81" s="3378"/>
      <c r="D81" s="3378"/>
      <c r="E81" s="3378"/>
      <c r="F81" s="3378"/>
      <c r="G81" s="3378"/>
      <c r="H81" s="3378"/>
      <c r="I81" s="3378"/>
      <c r="J81" s="3378"/>
      <c r="K81" s="3378"/>
      <c r="L81" s="3378"/>
      <c r="M81" s="3378"/>
      <c r="N81" s="3378"/>
      <c r="O81" s="3378"/>
      <c r="P81" s="3378"/>
      <c r="Q81" s="3378"/>
      <c r="R81" s="3378"/>
      <c r="S81" s="3378"/>
      <c r="T81" s="3378"/>
      <c r="U81" s="3378"/>
      <c r="V81" s="3378"/>
      <c r="W81" s="3378"/>
      <c r="X81" s="3378"/>
      <c r="Y81" s="3378"/>
      <c r="Z81" s="3378"/>
      <c r="AA81" s="3378"/>
      <c r="AB81" s="3378"/>
      <c r="AC81" s="3378"/>
      <c r="AD81" s="3378"/>
      <c r="AE81" s="3378"/>
      <c r="AF81" s="3378"/>
      <c r="AG81" s="3567"/>
      <c r="AH81" s="1"/>
      <c r="AK81" s="192"/>
    </row>
    <row r="82" spans="1:37" ht="22.35" customHeight="1" thickBot="1">
      <c r="A82" s="3716"/>
      <c r="B82" s="3652"/>
      <c r="C82" s="3717"/>
      <c r="D82" s="3498"/>
      <c r="E82" s="3498"/>
      <c r="F82" s="3498"/>
      <c r="G82" s="3498"/>
      <c r="H82" s="3498"/>
      <c r="I82" s="3717"/>
      <c r="J82" s="3717"/>
      <c r="K82" s="3498"/>
      <c r="L82" s="3498"/>
      <c r="M82" s="3498"/>
      <c r="N82" s="3498"/>
      <c r="O82" s="3498"/>
      <c r="P82" s="3718"/>
      <c r="Q82" s="3718"/>
      <c r="R82" s="3717"/>
      <c r="S82" s="3718"/>
      <c r="T82" s="3718"/>
      <c r="U82" s="3718"/>
      <c r="V82" s="3718"/>
      <c r="W82" s="3718"/>
      <c r="X82" s="3717"/>
      <c r="Y82" s="3718"/>
      <c r="Z82" s="3718"/>
      <c r="AA82" s="3718"/>
      <c r="AB82" s="3718"/>
      <c r="AC82" s="3717"/>
      <c r="AD82" s="3718"/>
      <c r="AE82" s="3718"/>
      <c r="AF82" s="3717"/>
      <c r="AG82" s="3719"/>
      <c r="AH82" s="1"/>
    </row>
    <row r="83" spans="1:37" ht="22.35" customHeight="1" thickBot="1">
      <c r="A83" s="205"/>
      <c r="B83" s="206" t="s">
        <v>142</v>
      </c>
      <c r="C83" s="203"/>
      <c r="D83" s="207"/>
      <c r="E83" s="207"/>
      <c r="F83" s="207"/>
      <c r="G83" s="207"/>
      <c r="H83" s="207"/>
      <c r="I83" s="203"/>
      <c r="J83" s="203"/>
      <c r="K83" s="207"/>
      <c r="L83" s="207"/>
      <c r="M83" s="207"/>
      <c r="N83" s="207"/>
      <c r="O83" s="207"/>
      <c r="P83" s="203"/>
      <c r="Q83" s="203"/>
      <c r="R83" s="203"/>
      <c r="S83" s="208"/>
      <c r="T83" s="208"/>
      <c r="U83" s="208"/>
      <c r="V83" s="203"/>
      <c r="W83" s="203"/>
      <c r="X83" s="203"/>
      <c r="Y83" s="203"/>
      <c r="Z83" s="203"/>
      <c r="AA83" s="203"/>
      <c r="AB83" s="203"/>
      <c r="AC83" s="203"/>
      <c r="AD83" s="203"/>
      <c r="AE83" s="203"/>
      <c r="AF83" s="203"/>
      <c r="AG83" s="225"/>
      <c r="AH83" s="1"/>
    </row>
    <row r="84" spans="1:37" ht="22.35" customHeight="1" thickBot="1">
      <c r="A84" s="204"/>
      <c r="B84" s="711" t="s">
        <v>450</v>
      </c>
      <c r="C84" s="361">
        <v>6</v>
      </c>
      <c r="D84" s="361">
        <v>6</v>
      </c>
      <c r="E84" s="361">
        <v>6</v>
      </c>
      <c r="F84" s="361">
        <v>6</v>
      </c>
      <c r="G84" s="203"/>
      <c r="H84" s="203"/>
      <c r="I84" s="203"/>
      <c r="J84" s="203"/>
      <c r="K84" s="203"/>
      <c r="L84" s="203"/>
      <c r="M84" s="203"/>
      <c r="N84" s="509"/>
      <c r="O84" s="509"/>
      <c r="P84" s="509"/>
      <c r="Q84" s="510"/>
      <c r="R84" s="509"/>
      <c r="S84" s="203"/>
      <c r="T84" s="203"/>
      <c r="U84" s="509"/>
      <c r="V84" s="509"/>
      <c r="W84" s="509"/>
      <c r="X84" s="203"/>
      <c r="Y84" s="509"/>
      <c r="Z84" s="203"/>
      <c r="AA84" s="203"/>
      <c r="AB84" s="203"/>
      <c r="AC84" s="203"/>
      <c r="AD84" s="203"/>
      <c r="AE84" s="203"/>
      <c r="AF84" s="203"/>
      <c r="AG84" s="225"/>
      <c r="AH84" s="1"/>
    </row>
    <row r="85" spans="1:37" ht="22.35" customHeight="1">
      <c r="A85" s="64"/>
      <c r="AH85" s="1"/>
    </row>
    <row r="86" spans="1:37" ht="22.35" customHeight="1"/>
    <row r="87" spans="1:37" ht="22.35" customHeight="1"/>
    <row r="88" spans="1:37" ht="22.35" customHeight="1" thickBot="1">
      <c r="A88" s="3500"/>
      <c r="B88" s="3414" t="s">
        <v>29</v>
      </c>
      <c r="C88" s="3342">
        <v>1</v>
      </c>
      <c r="D88" s="3342">
        <v>2</v>
      </c>
      <c r="E88" s="3342">
        <v>3</v>
      </c>
      <c r="F88" s="3342">
        <v>4</v>
      </c>
      <c r="G88" s="3343">
        <v>5</v>
      </c>
      <c r="H88" s="3343">
        <v>6</v>
      </c>
      <c r="I88" s="3342">
        <v>7</v>
      </c>
      <c r="J88" s="3342">
        <v>8</v>
      </c>
      <c r="K88" s="3342">
        <v>9</v>
      </c>
      <c r="L88" s="3342">
        <v>10</v>
      </c>
      <c r="M88" s="3342">
        <v>11</v>
      </c>
      <c r="N88" s="3343">
        <v>12</v>
      </c>
      <c r="O88" s="3343">
        <v>13</v>
      </c>
      <c r="P88" s="3342">
        <v>14</v>
      </c>
      <c r="Q88" s="3342">
        <v>15</v>
      </c>
      <c r="R88" s="3342">
        <v>16</v>
      </c>
      <c r="S88" s="3342">
        <v>17</v>
      </c>
      <c r="T88" s="3342">
        <v>18</v>
      </c>
      <c r="U88" s="3343">
        <v>19</v>
      </c>
      <c r="V88" s="3343">
        <v>20</v>
      </c>
      <c r="W88" s="3342">
        <v>21</v>
      </c>
      <c r="X88" s="3342">
        <v>22</v>
      </c>
      <c r="Y88" s="3342">
        <v>23</v>
      </c>
      <c r="Z88" s="3342">
        <v>24</v>
      </c>
      <c r="AA88" s="3342">
        <v>25</v>
      </c>
      <c r="AB88" s="3343">
        <v>26</v>
      </c>
      <c r="AC88" s="3343">
        <v>27</v>
      </c>
      <c r="AD88" s="3342">
        <v>28</v>
      </c>
      <c r="AE88" s="3342"/>
      <c r="AF88" s="3342"/>
      <c r="AG88" s="3432"/>
      <c r="AH88" s="1"/>
    </row>
    <row r="89" spans="1:37" ht="22.35" customHeight="1">
      <c r="A89" s="365"/>
      <c r="B89" s="366" t="s">
        <v>144</v>
      </c>
      <c r="C89" s="349"/>
      <c r="D89" s="364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349"/>
      <c r="AB89" s="349"/>
      <c r="AC89" s="349"/>
      <c r="AD89" s="349"/>
      <c r="AE89" s="349"/>
      <c r="AF89" s="349"/>
      <c r="AG89" s="352"/>
      <c r="AH89" s="1"/>
    </row>
    <row r="90" spans="1:37" ht="22.35" customHeight="1">
      <c r="A90" s="3501">
        <v>2</v>
      </c>
      <c r="B90" s="3359"/>
      <c r="C90" s="3355"/>
      <c r="D90" s="3355"/>
      <c r="E90" s="3355"/>
      <c r="F90" s="3352"/>
      <c r="G90" s="3352"/>
      <c r="H90" s="3352"/>
      <c r="I90" s="3352"/>
      <c r="J90" s="3352"/>
      <c r="K90" s="3352"/>
      <c r="L90" s="3352"/>
      <c r="M90" s="3352"/>
      <c r="N90" s="3352"/>
      <c r="O90" s="3352"/>
      <c r="P90" s="3352"/>
      <c r="Q90" s="3352"/>
      <c r="R90" s="3477"/>
      <c r="S90" s="3477"/>
      <c r="T90" s="3477"/>
      <c r="U90" s="3477"/>
      <c r="V90" s="3477"/>
      <c r="W90" s="3355"/>
      <c r="X90" s="3355"/>
      <c r="Y90" s="3477"/>
      <c r="Z90" s="3477"/>
      <c r="AA90" s="3477"/>
      <c r="AB90" s="3477"/>
      <c r="AC90" s="3477"/>
      <c r="AD90" s="3355"/>
      <c r="AE90" s="3355"/>
      <c r="AF90" s="3477"/>
      <c r="AG90" s="3658"/>
      <c r="AH90" s="1"/>
    </row>
    <row r="91" spans="1:37" ht="22.35" customHeight="1">
      <c r="A91" s="3501">
        <v>3</v>
      </c>
      <c r="B91" s="3359"/>
      <c r="C91" s="3355"/>
      <c r="D91" s="3355"/>
      <c r="E91" s="3355"/>
      <c r="F91" s="3355"/>
      <c r="G91" s="3355"/>
      <c r="H91" s="3355"/>
      <c r="I91" s="3355"/>
      <c r="J91" s="3355"/>
      <c r="K91" s="3355"/>
      <c r="L91" s="3355"/>
      <c r="M91" s="3355"/>
      <c r="N91" s="3355"/>
      <c r="O91" s="3355"/>
      <c r="P91" s="3355"/>
      <c r="Q91" s="3355"/>
      <c r="R91" s="3355"/>
      <c r="S91" s="3355"/>
      <c r="T91" s="3355"/>
      <c r="U91" s="3355"/>
      <c r="V91" s="3355"/>
      <c r="W91" s="3355"/>
      <c r="X91" s="3355"/>
      <c r="Y91" s="3355"/>
      <c r="Z91" s="3355"/>
      <c r="AA91" s="3355"/>
      <c r="AB91" s="3355"/>
      <c r="AC91" s="3355"/>
      <c r="AD91" s="3355"/>
      <c r="AE91" s="3355"/>
      <c r="AF91" s="3355"/>
      <c r="AG91" s="3416"/>
      <c r="AH91" s="1"/>
    </row>
    <row r="92" spans="1:37" ht="22.35" customHeight="1" thickBot="1">
      <c r="A92" s="3464">
        <v>4</v>
      </c>
      <c r="B92" s="3418"/>
      <c r="C92" s="3505"/>
      <c r="D92" s="3505"/>
      <c r="E92" s="3505"/>
      <c r="F92" s="3505"/>
      <c r="G92" s="3505"/>
      <c r="H92" s="3505"/>
      <c r="I92" s="3505"/>
      <c r="J92" s="3505"/>
      <c r="K92" s="3505"/>
      <c r="L92" s="3505"/>
      <c r="M92" s="3505"/>
      <c r="N92" s="3505"/>
      <c r="O92" s="3505"/>
      <c r="P92" s="3505"/>
      <c r="Q92" s="3505"/>
      <c r="R92" s="3505"/>
      <c r="S92" s="3505"/>
      <c r="T92" s="3505"/>
      <c r="U92" s="3505"/>
      <c r="V92" s="3505"/>
      <c r="W92" s="3505"/>
      <c r="X92" s="3505"/>
      <c r="Y92" s="3505"/>
      <c r="Z92" s="3505"/>
      <c r="AA92" s="3505"/>
      <c r="AB92" s="3505"/>
      <c r="AC92" s="3505"/>
      <c r="AD92" s="3505"/>
      <c r="AE92" s="3505"/>
      <c r="AF92" s="3505"/>
      <c r="AG92" s="3432"/>
      <c r="AH92" s="1"/>
    </row>
    <row r="93" spans="1:37" ht="22.35" customHeight="1">
      <c r="A93" s="209"/>
      <c r="B93" s="210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1"/>
    </row>
    <row r="94" spans="1:37" ht="22.35" customHeight="1">
      <c r="A94" s="209"/>
      <c r="B94" s="21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1"/>
    </row>
    <row r="95" spans="1:37" ht="22.35" customHeight="1" thickBot="1">
      <c r="A95" t="s">
        <v>145</v>
      </c>
    </row>
    <row r="96" spans="1:37" ht="22.35" customHeight="1" thickBot="1">
      <c r="A96" s="3500"/>
      <c r="B96" s="323" t="s">
        <v>146</v>
      </c>
      <c r="C96" s="252"/>
      <c r="D96" s="314" t="s">
        <v>94</v>
      </c>
      <c r="E96" s="314"/>
      <c r="F96" s="279"/>
      <c r="G96" s="252"/>
      <c r="H96" s="314" t="s">
        <v>95</v>
      </c>
      <c r="I96" s="314"/>
      <c r="J96" s="279"/>
      <c r="K96" s="252"/>
      <c r="L96" s="314" t="s">
        <v>96</v>
      </c>
      <c r="M96" s="314"/>
      <c r="N96" s="279"/>
      <c r="O96" s="252"/>
      <c r="P96" s="314" t="s">
        <v>97</v>
      </c>
      <c r="Q96" s="314"/>
      <c r="R96" s="279"/>
      <c r="S96" s="252"/>
      <c r="T96" s="314" t="s">
        <v>98</v>
      </c>
      <c r="U96" s="314"/>
      <c r="V96" s="279"/>
      <c r="W96" s="252"/>
      <c r="X96" s="314" t="s">
        <v>99</v>
      </c>
      <c r="Y96" s="314"/>
      <c r="Z96" s="279"/>
      <c r="AA96" s="252"/>
      <c r="AB96" s="314" t="s">
        <v>100</v>
      </c>
      <c r="AC96" s="314"/>
      <c r="AD96" s="314"/>
      <c r="AE96" s="314"/>
      <c r="AF96" s="314"/>
      <c r="AG96" s="314"/>
      <c r="AH96" s="314"/>
      <c r="AI96" s="267"/>
    </row>
    <row r="97" spans="1:35" ht="22.35" customHeight="1">
      <c r="B97" s="441" t="s">
        <v>148</v>
      </c>
      <c r="C97" s="368" t="s">
        <v>149</v>
      </c>
      <c r="D97" s="314"/>
      <c r="E97" s="357"/>
      <c r="F97" s="372"/>
      <c r="G97" s="368" t="s">
        <v>149</v>
      </c>
      <c r="H97" s="357"/>
      <c r="I97" s="357"/>
      <c r="J97" s="372"/>
      <c r="K97" s="252" t="s">
        <v>149</v>
      </c>
      <c r="L97" s="314"/>
      <c r="M97" s="314"/>
      <c r="N97" s="279"/>
      <c r="O97" s="252" t="s">
        <v>150</v>
      </c>
      <c r="P97" s="314"/>
      <c r="Q97" s="357"/>
      <c r="R97" s="372"/>
      <c r="S97" s="368" t="s">
        <v>151</v>
      </c>
      <c r="T97" s="357"/>
      <c r="U97" s="357"/>
      <c r="V97" s="357"/>
      <c r="W97" s="523"/>
      <c r="X97" s="524"/>
      <c r="Y97" s="524"/>
      <c r="Z97" s="525"/>
      <c r="AA97" s="357"/>
      <c r="AB97" s="357"/>
      <c r="AC97" s="357"/>
      <c r="AD97" s="357"/>
      <c r="AE97" s="368"/>
      <c r="AF97" s="314"/>
      <c r="AG97" s="357"/>
      <c r="AH97" s="357"/>
      <c r="AI97" s="358"/>
    </row>
    <row r="98" spans="1:35" ht="22.35" customHeight="1">
      <c r="B98" s="3506" t="s">
        <v>152</v>
      </c>
      <c r="C98" s="3507" t="s">
        <v>451</v>
      </c>
      <c r="D98" s="3324"/>
      <c r="E98" s="3324"/>
      <c r="F98" s="3332"/>
      <c r="G98" s="3507" t="s">
        <v>154</v>
      </c>
      <c r="H98" s="3324"/>
      <c r="I98" s="3324"/>
      <c r="J98" s="3332"/>
      <c r="K98" s="3507" t="s">
        <v>155</v>
      </c>
      <c r="L98" s="3324" t="s">
        <v>156</v>
      </c>
      <c r="M98" s="3324"/>
      <c r="N98" s="3332"/>
      <c r="O98" s="3507" t="s">
        <v>155</v>
      </c>
      <c r="P98" s="3332"/>
      <c r="Q98" s="3507" t="s">
        <v>154</v>
      </c>
      <c r="T98" s="3324" t="s">
        <v>157</v>
      </c>
      <c r="U98" s="3324"/>
      <c r="V98" s="3332"/>
      <c r="W98" s="8" t="s">
        <v>109</v>
      </c>
      <c r="X98" s="14" t="s">
        <v>158</v>
      </c>
      <c r="Y98" s="14"/>
      <c r="Z98" s="14"/>
      <c r="AA98" s="3507" t="s">
        <v>109</v>
      </c>
      <c r="AB98" s="3324" t="s">
        <v>158</v>
      </c>
      <c r="AC98" s="3507"/>
      <c r="AD98" s="3507"/>
      <c r="AE98" s="3507">
        <v>68</v>
      </c>
      <c r="AF98" s="3324"/>
      <c r="AG98" s="3324"/>
      <c r="AH98" s="3324"/>
      <c r="AI98" s="3333"/>
    </row>
    <row r="99" spans="1:35" ht="22.35" customHeight="1">
      <c r="B99" s="3506" t="s">
        <v>159</v>
      </c>
      <c r="C99" s="3508" t="s">
        <v>160</v>
      </c>
      <c r="D99" s="3324"/>
      <c r="E99" s="3324"/>
      <c r="F99" s="3332"/>
      <c r="G99" s="3324" t="s">
        <v>160</v>
      </c>
      <c r="H99" s="3324"/>
      <c r="I99" s="3324"/>
      <c r="J99" s="3332"/>
      <c r="K99" s="3324" t="s">
        <v>160</v>
      </c>
      <c r="L99" s="3324"/>
      <c r="M99" s="3324"/>
      <c r="N99" s="3332"/>
      <c r="O99" s="3324" t="s">
        <v>160</v>
      </c>
      <c r="P99" s="3324"/>
      <c r="Q99" s="3324"/>
      <c r="R99" s="3332"/>
      <c r="S99" s="3324" t="s">
        <v>160</v>
      </c>
      <c r="T99" s="3324"/>
      <c r="U99" s="3324"/>
      <c r="V99" s="3332"/>
      <c r="W99" s="3507"/>
      <c r="X99" s="3324"/>
      <c r="Y99" s="3324"/>
      <c r="Z99" s="3332"/>
      <c r="AA99" s="3507"/>
      <c r="AB99" s="3324"/>
      <c r="AC99" s="3324"/>
      <c r="AD99" s="3324"/>
      <c r="AE99" s="3507"/>
      <c r="AF99" s="3324"/>
      <c r="AG99" s="3324"/>
      <c r="AH99" s="3324"/>
      <c r="AI99" s="3333"/>
    </row>
    <row r="100" spans="1:35" ht="22.35" customHeight="1" thickBot="1">
      <c r="B100" s="3509" t="s">
        <v>161</v>
      </c>
      <c r="C100" s="3510" t="s">
        <v>149</v>
      </c>
      <c r="D100" s="516"/>
      <c r="E100" s="3405"/>
      <c r="F100" s="3407"/>
      <c r="G100" s="3510" t="s">
        <v>149</v>
      </c>
      <c r="H100" s="516"/>
      <c r="I100" s="3405"/>
      <c r="J100" s="3407"/>
      <c r="K100" s="3510" t="s">
        <v>149</v>
      </c>
      <c r="L100" s="516"/>
      <c r="M100" s="3405"/>
      <c r="N100" s="3407"/>
      <c r="O100" s="3510" t="s">
        <v>150</v>
      </c>
      <c r="P100" s="3405"/>
      <c r="Q100" s="3405"/>
      <c r="R100" s="3407"/>
      <c r="S100" s="3510" t="s">
        <v>151</v>
      </c>
      <c r="T100" s="3405"/>
      <c r="U100" s="3405"/>
      <c r="V100" s="3405"/>
      <c r="W100" s="3511"/>
      <c r="X100" s="3405"/>
      <c r="Y100" s="3405"/>
      <c r="Z100" s="3512"/>
      <c r="AA100" s="3405"/>
      <c r="AB100" s="3405"/>
      <c r="AC100" s="3405"/>
      <c r="AD100" s="3405"/>
      <c r="AE100" s="3510"/>
      <c r="AF100" s="3405"/>
      <c r="AG100" s="3405"/>
      <c r="AH100" s="3405"/>
      <c r="AI100" s="3412"/>
    </row>
    <row r="101" spans="1:35" ht="22.35" customHeight="1">
      <c r="D101" s="14"/>
    </row>
    <row r="102" spans="1:35" ht="22.35" customHeight="1" thickBot="1">
      <c r="A102" s="3447"/>
      <c r="B102" s="3447" t="s">
        <v>29</v>
      </c>
      <c r="C102" s="3342">
        <v>1</v>
      </c>
      <c r="D102" s="3342">
        <v>2</v>
      </c>
      <c r="E102" s="3342">
        <v>3</v>
      </c>
      <c r="F102" s="3342">
        <v>4</v>
      </c>
      <c r="G102" s="3343">
        <v>5</v>
      </c>
      <c r="H102" s="3343">
        <v>6</v>
      </c>
      <c r="I102" s="3342">
        <v>7</v>
      </c>
      <c r="J102" s="3342">
        <v>8</v>
      </c>
      <c r="K102" s="3342">
        <v>9</v>
      </c>
      <c r="L102" s="3342">
        <v>10</v>
      </c>
      <c r="M102" s="3342">
        <v>11</v>
      </c>
      <c r="N102" s="3343">
        <v>12</v>
      </c>
      <c r="O102" s="3343">
        <v>13</v>
      </c>
      <c r="P102" s="3342">
        <v>14</v>
      </c>
      <c r="Q102" s="3342">
        <v>15</v>
      </c>
      <c r="R102" s="3342">
        <v>16</v>
      </c>
      <c r="S102" s="3342">
        <v>17</v>
      </c>
      <c r="T102" s="3342">
        <v>18</v>
      </c>
      <c r="U102" s="3343">
        <v>19</v>
      </c>
      <c r="V102" s="3343">
        <v>20</v>
      </c>
      <c r="W102" s="3342">
        <v>21</v>
      </c>
      <c r="X102" s="3342">
        <v>22</v>
      </c>
      <c r="Y102" s="3342">
        <v>23</v>
      </c>
      <c r="Z102" s="3342">
        <v>24</v>
      </c>
      <c r="AA102" s="3342">
        <v>25</v>
      </c>
      <c r="AB102" s="3343">
        <v>26</v>
      </c>
      <c r="AC102" s="3343">
        <v>27</v>
      </c>
      <c r="AD102" s="3342">
        <v>28</v>
      </c>
      <c r="AE102" s="3342"/>
      <c r="AF102" s="3342"/>
      <c r="AG102" s="3432"/>
      <c r="AH102" s="176"/>
      <c r="AI102" s="177"/>
    </row>
    <row r="103" spans="1:35" ht="22.35" customHeight="1">
      <c r="A103" s="367">
        <v>1</v>
      </c>
      <c r="B103" s="526" t="s">
        <v>162</v>
      </c>
      <c r="C103" s="349" t="s">
        <v>108</v>
      </c>
      <c r="D103" s="349" t="s">
        <v>108</v>
      </c>
      <c r="E103" s="349" t="s">
        <v>108</v>
      </c>
      <c r="F103" s="349" t="s">
        <v>108</v>
      </c>
      <c r="G103" s="349" t="s">
        <v>109</v>
      </c>
      <c r="H103" s="349" t="s">
        <v>109</v>
      </c>
      <c r="I103" s="349" t="s">
        <v>36</v>
      </c>
      <c r="J103" s="349" t="s">
        <v>36</v>
      </c>
      <c r="K103" s="349" t="s">
        <v>36</v>
      </c>
      <c r="L103" s="349" t="s">
        <v>36</v>
      </c>
      <c r="M103" s="349" t="s">
        <v>36</v>
      </c>
      <c r="N103" s="349"/>
      <c r="O103" s="349"/>
      <c r="P103" s="511" t="s">
        <v>163</v>
      </c>
      <c r="Q103" s="349" t="s">
        <v>163</v>
      </c>
      <c r="R103" s="349" t="s">
        <v>163</v>
      </c>
      <c r="S103" s="349" t="s">
        <v>163</v>
      </c>
      <c r="T103" s="349" t="s">
        <v>163</v>
      </c>
      <c r="U103" s="349"/>
      <c r="V103" s="349"/>
      <c r="W103" s="349" t="s">
        <v>163</v>
      </c>
      <c r="X103" s="512" t="s">
        <v>163</v>
      </c>
      <c r="Y103" s="512" t="s">
        <v>163</v>
      </c>
      <c r="Z103" s="512" t="s">
        <v>163</v>
      </c>
      <c r="AA103" s="512" t="s">
        <v>163</v>
      </c>
      <c r="AB103" s="349"/>
      <c r="AC103" s="349"/>
      <c r="AD103" s="349" t="s">
        <v>108</v>
      </c>
      <c r="AE103" s="349"/>
      <c r="AF103" s="349"/>
      <c r="AG103" s="352"/>
      <c r="AH103" s="181"/>
      <c r="AI103" s="182"/>
    </row>
    <row r="104" spans="1:35" ht="22.35" customHeight="1">
      <c r="A104" s="3513">
        <v>2</v>
      </c>
      <c r="B104" s="3514" t="s">
        <v>164</v>
      </c>
      <c r="C104" s="3515" t="s">
        <v>126</v>
      </c>
      <c r="D104" s="3515" t="s">
        <v>126</v>
      </c>
      <c r="E104" s="3515" t="s">
        <v>124</v>
      </c>
      <c r="F104" s="3515" t="s">
        <v>113</v>
      </c>
      <c r="G104" s="3515"/>
      <c r="H104" s="3515"/>
      <c r="I104" s="3391" t="s">
        <v>108</v>
      </c>
      <c r="J104" s="3391" t="s">
        <v>108</v>
      </c>
      <c r="K104" s="3391" t="s">
        <v>108</v>
      </c>
      <c r="L104" s="3391" t="s">
        <v>108</v>
      </c>
      <c r="M104" s="3391" t="s">
        <v>108</v>
      </c>
      <c r="N104" s="3367" t="s">
        <v>109</v>
      </c>
      <c r="O104" s="3367" t="s">
        <v>109</v>
      </c>
      <c r="P104" s="3355" t="s">
        <v>36</v>
      </c>
      <c r="Q104" s="3355" t="s">
        <v>36</v>
      </c>
      <c r="R104" s="3355" t="s">
        <v>36</v>
      </c>
      <c r="S104" s="3355" t="s">
        <v>36</v>
      </c>
      <c r="T104" s="3614" t="s">
        <v>36</v>
      </c>
      <c r="U104" s="3614"/>
      <c r="V104" s="3355"/>
      <c r="W104" s="3720">
        <v>79</v>
      </c>
      <c r="X104" s="3477">
        <v>79</v>
      </c>
      <c r="Y104" s="3477">
        <v>79</v>
      </c>
      <c r="Z104" s="3355">
        <v>79</v>
      </c>
      <c r="AA104" s="3355">
        <v>79</v>
      </c>
      <c r="AB104" s="3355"/>
      <c r="AC104" s="3355"/>
      <c r="AD104" s="3355" t="s">
        <v>242</v>
      </c>
      <c r="AE104" s="3355"/>
      <c r="AF104" s="3355"/>
      <c r="AG104" s="3721"/>
      <c r="AH104" s="181"/>
      <c r="AI104" s="182"/>
    </row>
    <row r="105" spans="1:35" ht="22.35" customHeight="1" thickBot="1">
      <c r="A105" s="3513">
        <v>3</v>
      </c>
      <c r="B105" s="3514" t="s">
        <v>165</v>
      </c>
      <c r="C105" s="3355" t="s">
        <v>113</v>
      </c>
      <c r="D105" s="3722" t="s">
        <v>113</v>
      </c>
      <c r="E105" s="3357" t="s">
        <v>113</v>
      </c>
      <c r="F105" s="3720" t="s">
        <v>113</v>
      </c>
      <c r="G105" s="3720" t="s">
        <v>0</v>
      </c>
      <c r="H105" s="3429"/>
      <c r="I105" s="3429" t="s">
        <v>52</v>
      </c>
      <c r="J105" s="3429" t="s">
        <v>52</v>
      </c>
      <c r="K105" s="3429" t="s">
        <v>52</v>
      </c>
      <c r="L105" s="3429" t="s">
        <v>113</v>
      </c>
      <c r="M105" s="3392" t="s">
        <v>124</v>
      </c>
      <c r="N105" s="3355"/>
      <c r="O105" s="557" t="s">
        <v>32</v>
      </c>
      <c r="P105" s="3723" t="s">
        <v>108</v>
      </c>
      <c r="Q105" s="3723" t="s">
        <v>108</v>
      </c>
      <c r="R105" s="3723" t="s">
        <v>108</v>
      </c>
      <c r="S105" s="3723" t="s">
        <v>108</v>
      </c>
      <c r="T105" s="3723" t="s">
        <v>108</v>
      </c>
      <c r="U105" s="3723" t="s">
        <v>109</v>
      </c>
      <c r="V105" s="3723" t="s">
        <v>109</v>
      </c>
      <c r="W105" s="3516" t="s">
        <v>50</v>
      </c>
      <c r="X105" s="3614" t="s">
        <v>141</v>
      </c>
      <c r="Y105" s="3614" t="s">
        <v>141</v>
      </c>
      <c r="Z105" s="3614" t="s">
        <v>141</v>
      </c>
      <c r="AA105" s="3707" t="s">
        <v>141</v>
      </c>
      <c r="AB105" s="3425"/>
      <c r="AC105" s="192" t="s">
        <v>0</v>
      </c>
      <c r="AD105" s="3428">
        <v>1</v>
      </c>
      <c r="AE105" s="3355"/>
      <c r="AF105" s="3355"/>
      <c r="AG105" s="3416"/>
      <c r="AH105" s="181"/>
      <c r="AI105" s="182"/>
    </row>
    <row r="106" spans="1:35" ht="22.35" customHeight="1" thickBot="1">
      <c r="A106" s="3518">
        <v>4</v>
      </c>
      <c r="B106" s="3431" t="s">
        <v>162</v>
      </c>
      <c r="C106" s="3519" t="s">
        <v>36</v>
      </c>
      <c r="D106" s="3519" t="s">
        <v>36</v>
      </c>
      <c r="E106" s="3519" t="s">
        <v>36</v>
      </c>
      <c r="F106" s="3519" t="s">
        <v>36</v>
      </c>
      <c r="G106" s="3519"/>
      <c r="H106" s="3519"/>
      <c r="I106" s="3519" t="s">
        <v>163</v>
      </c>
      <c r="J106" s="3519" t="s">
        <v>163</v>
      </c>
      <c r="K106" s="3519" t="s">
        <v>163</v>
      </c>
      <c r="L106" s="3519" t="s">
        <v>163</v>
      </c>
      <c r="M106" s="3519" t="s">
        <v>163</v>
      </c>
      <c r="N106" s="3519"/>
      <c r="O106" s="3519"/>
      <c r="P106" s="3519" t="s">
        <v>163</v>
      </c>
      <c r="Q106" s="3519" t="s">
        <v>163</v>
      </c>
      <c r="R106" s="3519" t="s">
        <v>163</v>
      </c>
      <c r="S106" s="3519" t="s">
        <v>163</v>
      </c>
      <c r="T106" s="3519" t="s">
        <v>163</v>
      </c>
      <c r="U106" s="3519" t="s">
        <v>0</v>
      </c>
      <c r="V106" s="3519" t="s">
        <v>0</v>
      </c>
      <c r="W106" s="3519" t="s">
        <v>108</v>
      </c>
      <c r="X106" s="3519" t="s">
        <v>108</v>
      </c>
      <c r="Y106" s="3519" t="s">
        <v>108</v>
      </c>
      <c r="Z106" s="3519" t="s">
        <v>108</v>
      </c>
      <c r="AA106" s="3519" t="s">
        <v>108</v>
      </c>
      <c r="AB106" s="3342" t="s">
        <v>109</v>
      </c>
      <c r="AC106" s="3342" t="s">
        <v>109</v>
      </c>
      <c r="AD106" s="3342" t="s">
        <v>36</v>
      </c>
      <c r="AE106" s="3342"/>
      <c r="AF106" s="3519"/>
      <c r="AG106" s="3432"/>
      <c r="AH106" s="181"/>
      <c r="AI106" s="182"/>
    </row>
    <row r="107" spans="1:35" ht="22.35" customHeight="1" thickBot="1">
      <c r="A107" s="212"/>
      <c r="B107" s="200"/>
      <c r="C107" s="213"/>
      <c r="D107" s="213"/>
      <c r="E107" s="213"/>
      <c r="F107" s="213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13"/>
      <c r="AF107" s="213"/>
      <c r="AG107" s="214"/>
      <c r="AH107" s="215"/>
      <c r="AI107" s="182"/>
    </row>
    <row r="108" spans="1:35" ht="22.35" customHeight="1">
      <c r="A108" s="72"/>
      <c r="B108" s="248" t="s">
        <v>167</v>
      </c>
      <c r="C108" s="368"/>
      <c r="D108" s="369" t="s">
        <v>94</v>
      </c>
      <c r="E108" s="370"/>
      <c r="F108" s="368"/>
      <c r="G108" s="371" t="s">
        <v>95</v>
      </c>
      <c r="H108" s="372"/>
      <c r="I108" s="373"/>
      <c r="J108" s="371" t="s">
        <v>96</v>
      </c>
      <c r="K108" s="374"/>
      <c r="L108" s="373"/>
      <c r="M108" s="375" t="s">
        <v>97</v>
      </c>
      <c r="N108" s="374"/>
      <c r="O108" s="373"/>
      <c r="P108" s="371" t="s">
        <v>98</v>
      </c>
      <c r="Q108" s="376"/>
      <c r="R108" s="373"/>
      <c r="S108" s="371" t="s">
        <v>99</v>
      </c>
      <c r="T108" s="377"/>
      <c r="U108" s="373"/>
      <c r="V108" s="371" t="s">
        <v>100</v>
      </c>
      <c r="W108" s="376"/>
      <c r="X108" s="378" t="s">
        <v>147</v>
      </c>
      <c r="Y108" s="379"/>
      <c r="Z108" s="379"/>
      <c r="AA108" s="380"/>
      <c r="AB108" s="235" t="s">
        <v>101</v>
      </c>
      <c r="AC108" s="236"/>
      <c r="AD108" s="236"/>
      <c r="AE108" s="237"/>
      <c r="AF108" s="237"/>
      <c r="AG108" s="238"/>
      <c r="AH108" s="215"/>
      <c r="AI108" s="182"/>
    </row>
    <row r="109" spans="1:35" ht="22.35" customHeight="1">
      <c r="A109" s="72"/>
      <c r="B109" s="3520" t="s">
        <v>169</v>
      </c>
      <c r="C109" s="3521" t="s">
        <v>170</v>
      </c>
      <c r="D109" s="3326"/>
      <c r="E109" s="3327"/>
      <c r="F109" s="3521" t="s">
        <v>170</v>
      </c>
      <c r="G109" s="3326"/>
      <c r="H109" s="3327"/>
      <c r="I109" s="3521" t="s">
        <v>170</v>
      </c>
      <c r="J109" s="3326"/>
      <c r="K109" s="3327"/>
      <c r="L109" s="3521" t="s">
        <v>170</v>
      </c>
      <c r="M109" s="3326"/>
      <c r="N109" s="3327"/>
      <c r="O109" s="3521" t="s">
        <v>171</v>
      </c>
      <c r="P109" s="3326"/>
      <c r="Q109" s="3327"/>
      <c r="R109" s="3521"/>
      <c r="S109" s="3326"/>
      <c r="T109" s="3327"/>
      <c r="U109" s="3521"/>
      <c r="V109" s="3326"/>
      <c r="W109" s="3327"/>
      <c r="X109" s="3521"/>
      <c r="Y109" s="3522"/>
      <c r="Z109" s="3522"/>
      <c r="AA109" s="3522"/>
      <c r="AB109" s="3323"/>
      <c r="AC109" s="3522"/>
      <c r="AD109" s="3522"/>
      <c r="AE109" s="3522"/>
      <c r="AF109" s="3522"/>
      <c r="AG109" s="3523"/>
      <c r="AH109" s="215"/>
      <c r="AI109" s="182"/>
    </row>
    <row r="110" spans="1:35" ht="22.35" customHeight="1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5"/>
      <c r="AI110" s="182"/>
    </row>
    <row r="111" spans="1:35" ht="22.35" customHeight="1" thickBot="1">
      <c r="A111" s="3500" t="s">
        <v>28</v>
      </c>
      <c r="B111" s="3414" t="s">
        <v>29</v>
      </c>
      <c r="C111" s="3342">
        <v>1</v>
      </c>
      <c r="D111" s="3342">
        <v>2</v>
      </c>
      <c r="E111" s="3342">
        <v>3</v>
      </c>
      <c r="F111" s="3342">
        <v>4</v>
      </c>
      <c r="G111" s="3343">
        <v>5</v>
      </c>
      <c r="H111" s="3343">
        <v>6</v>
      </c>
      <c r="I111" s="3342">
        <v>7</v>
      </c>
      <c r="J111" s="3342">
        <v>8</v>
      </c>
      <c r="K111" s="3342">
        <v>9</v>
      </c>
      <c r="L111" s="3342">
        <v>10</v>
      </c>
      <c r="M111" s="3342">
        <v>11</v>
      </c>
      <c r="N111" s="3343">
        <v>12</v>
      </c>
      <c r="O111" s="3343">
        <v>13</v>
      </c>
      <c r="P111" s="3342">
        <v>14</v>
      </c>
      <c r="Q111" s="3342">
        <v>15</v>
      </c>
      <c r="R111" s="3342">
        <v>16</v>
      </c>
      <c r="S111" s="3342">
        <v>17</v>
      </c>
      <c r="T111" s="3342">
        <v>18</v>
      </c>
      <c r="U111" s="3343">
        <v>19</v>
      </c>
      <c r="V111" s="3343">
        <v>20</v>
      </c>
      <c r="W111" s="3342">
        <v>21</v>
      </c>
      <c r="X111" s="3342">
        <v>22</v>
      </c>
      <c r="Y111" s="3342">
        <v>23</v>
      </c>
      <c r="Z111" s="3342">
        <v>24</v>
      </c>
      <c r="AA111" s="3342">
        <v>25</v>
      </c>
      <c r="AB111" s="3343">
        <v>26</v>
      </c>
      <c r="AC111" s="3343">
        <v>27</v>
      </c>
      <c r="AD111" s="3342">
        <v>28</v>
      </c>
      <c r="AE111" s="3342"/>
      <c r="AF111" s="3342"/>
      <c r="AG111" s="3432"/>
      <c r="AH111" s="215"/>
      <c r="AI111" s="182"/>
    </row>
    <row r="112" spans="1:35" ht="22.35" customHeight="1">
      <c r="A112" s="381">
        <v>8520</v>
      </c>
      <c r="B112" s="382" t="s">
        <v>172</v>
      </c>
      <c r="C112" s="349" t="s">
        <v>173</v>
      </c>
      <c r="D112" s="349" t="s">
        <v>173</v>
      </c>
      <c r="E112" s="571" t="s">
        <v>173</v>
      </c>
      <c r="F112" s="349" t="s">
        <v>173</v>
      </c>
      <c r="G112" s="349"/>
      <c r="H112" s="349"/>
      <c r="I112" s="349" t="s">
        <v>173</v>
      </c>
      <c r="J112" s="349" t="s">
        <v>173</v>
      </c>
      <c r="K112" s="349" t="s">
        <v>173</v>
      </c>
      <c r="L112" s="349" t="s">
        <v>173</v>
      </c>
      <c r="M112" s="349" t="s">
        <v>173</v>
      </c>
      <c r="N112" s="349"/>
      <c r="O112" s="349"/>
      <c r="P112" s="349" t="s">
        <v>173</v>
      </c>
      <c r="Q112" s="349" t="s">
        <v>173</v>
      </c>
      <c r="R112" s="349" t="s">
        <v>173</v>
      </c>
      <c r="S112" s="349" t="s">
        <v>173</v>
      </c>
      <c r="T112" s="566" t="s">
        <v>173</v>
      </c>
      <c r="U112" s="349"/>
      <c r="V112" s="349"/>
      <c r="W112" s="684" t="s">
        <v>173</v>
      </c>
      <c r="X112" s="684" t="s">
        <v>173</v>
      </c>
      <c r="Y112" s="720" t="s">
        <v>173</v>
      </c>
      <c r="Z112" s="720" t="s">
        <v>173</v>
      </c>
      <c r="AA112" s="720" t="s">
        <v>173</v>
      </c>
      <c r="AB112" s="720"/>
      <c r="AC112" s="720"/>
      <c r="AD112" s="720" t="s">
        <v>173</v>
      </c>
      <c r="AE112" s="349"/>
      <c r="AF112" s="349"/>
      <c r="AG112" s="352"/>
      <c r="AH112" s="215"/>
      <c r="AI112" s="182"/>
    </row>
    <row r="113" spans="1:35" ht="22.35" customHeight="1">
      <c r="A113" s="221"/>
      <c r="B113" s="220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5"/>
      <c r="AI113" s="182"/>
    </row>
    <row r="114" spans="1:35" ht="22.35" customHeight="1">
      <c r="AH114" s="107"/>
      <c r="AI114" s="107"/>
    </row>
    <row r="115" spans="1:35" ht="22.35" customHeight="1" thickBot="1">
      <c r="A115" s="172" t="s">
        <v>174</v>
      </c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>
      <c r="A116" s="172"/>
      <c r="B116" s="248" t="s">
        <v>175</v>
      </c>
      <c r="C116" s="383"/>
      <c r="D116" s="384" t="s">
        <v>94</v>
      </c>
      <c r="E116" s="385"/>
      <c r="F116" s="386"/>
      <c r="G116" s="383"/>
      <c r="H116" s="384" t="s">
        <v>95</v>
      </c>
      <c r="I116" s="385"/>
      <c r="J116" s="386"/>
      <c r="K116" s="383"/>
      <c r="L116" s="384" t="s">
        <v>96</v>
      </c>
      <c r="M116" s="385"/>
      <c r="N116" s="386"/>
      <c r="O116" s="383"/>
      <c r="P116" s="384" t="s">
        <v>97</v>
      </c>
      <c r="Q116" s="385"/>
      <c r="R116" s="386"/>
      <c r="S116" s="383"/>
      <c r="T116" s="384" t="s">
        <v>98</v>
      </c>
      <c r="U116" s="385"/>
      <c r="V116" s="386"/>
      <c r="W116" s="383"/>
      <c r="X116" s="384" t="s">
        <v>99</v>
      </c>
      <c r="Y116" s="385"/>
      <c r="Z116" s="386"/>
      <c r="AA116" s="383"/>
      <c r="AB116" s="384" t="s">
        <v>100</v>
      </c>
      <c r="AC116" s="385"/>
      <c r="AD116" s="385"/>
      <c r="AE116" s="387"/>
      <c r="AF116" s="385"/>
      <c r="AG116" s="385"/>
      <c r="AH116" s="385"/>
      <c r="AI116" s="388"/>
    </row>
    <row r="117" spans="1:35" ht="22.35" customHeight="1">
      <c r="A117" s="172"/>
      <c r="B117" s="3524" t="s">
        <v>148</v>
      </c>
      <c r="C117" s="3525">
        <v>69</v>
      </c>
      <c r="D117" s="3526" t="s">
        <v>176</v>
      </c>
      <c r="E117" s="3526"/>
      <c r="F117" s="3527"/>
      <c r="G117" s="3525">
        <v>69</v>
      </c>
      <c r="H117" s="3526" t="s">
        <v>176</v>
      </c>
      <c r="I117" s="3526"/>
      <c r="J117" s="3527"/>
      <c r="K117" s="3525">
        <v>69</v>
      </c>
      <c r="L117" s="3526" t="s">
        <v>176</v>
      </c>
      <c r="M117" s="3526"/>
      <c r="N117" s="3527"/>
      <c r="O117" s="3525">
        <v>69</v>
      </c>
      <c r="P117" s="3526" t="s">
        <v>176</v>
      </c>
      <c r="Q117" s="3526"/>
      <c r="R117" s="3527"/>
      <c r="S117" s="3525">
        <v>69</v>
      </c>
      <c r="T117" s="3526" t="s">
        <v>176</v>
      </c>
      <c r="U117" s="3526"/>
      <c r="V117" s="3527"/>
      <c r="W117" s="3525"/>
      <c r="X117" s="3528"/>
      <c r="Y117" s="3528"/>
      <c r="Z117" s="3529"/>
      <c r="AA117" s="3525"/>
      <c r="AB117" s="3526"/>
      <c r="AC117" s="3526"/>
      <c r="AD117" s="3454"/>
      <c r="AE117" s="3530"/>
      <c r="AF117" s="3526"/>
      <c r="AG117" s="3526"/>
      <c r="AH117" s="3454"/>
      <c r="AI117" s="3531"/>
    </row>
    <row r="118" spans="1:35" ht="22.35" customHeight="1">
      <c r="A118" s="172"/>
      <c r="B118" s="3524" t="s">
        <v>152</v>
      </c>
      <c r="C118" s="3525">
        <v>79</v>
      </c>
      <c r="D118" s="3526" t="s">
        <v>177</v>
      </c>
      <c r="E118" s="3526"/>
      <c r="F118" s="3527"/>
      <c r="G118" s="3525">
        <v>79</v>
      </c>
      <c r="H118" s="3526" t="s">
        <v>177</v>
      </c>
      <c r="I118" s="3526"/>
      <c r="J118" s="3527"/>
      <c r="K118" s="3525">
        <v>79</v>
      </c>
      <c r="L118" s="3526" t="s">
        <v>177</v>
      </c>
      <c r="M118" s="3526"/>
      <c r="N118" s="3527"/>
      <c r="O118" s="3525">
        <v>79</v>
      </c>
      <c r="P118" s="3526" t="s">
        <v>177</v>
      </c>
      <c r="Q118" s="3526"/>
      <c r="R118" s="3527"/>
      <c r="S118" s="3525">
        <v>79</v>
      </c>
      <c r="T118" s="3526" t="s">
        <v>177</v>
      </c>
      <c r="U118" s="3526"/>
      <c r="V118" s="3527"/>
      <c r="W118" s="3525"/>
      <c r="X118" s="3526"/>
      <c r="Y118" s="3526"/>
      <c r="Z118" s="3527"/>
      <c r="AA118" s="3526"/>
      <c r="AB118" s="3526"/>
      <c r="AC118" s="3526"/>
      <c r="AD118" s="3454"/>
      <c r="AE118" s="3530"/>
      <c r="AF118" s="3526"/>
      <c r="AG118" s="3526"/>
      <c r="AH118" s="3454"/>
      <c r="AI118" s="3531"/>
    </row>
    <row r="119" spans="1:35" ht="22.35" customHeight="1">
      <c r="A119" s="172"/>
      <c r="B119" s="3524" t="s">
        <v>159</v>
      </c>
      <c r="C119" s="3525">
        <v>89</v>
      </c>
      <c r="D119" s="3526" t="s">
        <v>178</v>
      </c>
      <c r="E119" s="3526"/>
      <c r="F119" s="3527"/>
      <c r="G119" s="3525">
        <v>89</v>
      </c>
      <c r="H119" s="3526" t="s">
        <v>178</v>
      </c>
      <c r="I119" s="3526"/>
      <c r="J119" s="3527"/>
      <c r="K119" s="3525">
        <v>89</v>
      </c>
      <c r="L119" s="3526" t="s">
        <v>178</v>
      </c>
      <c r="M119" s="3526"/>
      <c r="N119" s="3527"/>
      <c r="O119" s="3525">
        <v>89</v>
      </c>
      <c r="P119" s="3526" t="s">
        <v>178</v>
      </c>
      <c r="Q119" s="3526"/>
      <c r="R119" s="3527"/>
      <c r="S119" s="3525">
        <v>89</v>
      </c>
      <c r="T119" s="3526" t="s">
        <v>178</v>
      </c>
      <c r="U119" s="3526"/>
      <c r="V119" s="3527"/>
      <c r="W119" s="3532"/>
      <c r="X119" s="3533" t="s">
        <v>180</v>
      </c>
      <c r="Y119" s="3533"/>
      <c r="Z119" s="3534"/>
      <c r="AA119" s="3532"/>
      <c r="AB119" s="3533"/>
      <c r="AC119" s="3533"/>
      <c r="AD119" s="3456"/>
      <c r="AE119" s="3530"/>
      <c r="AF119" s="3526"/>
      <c r="AG119" s="3526"/>
      <c r="AH119" s="3454"/>
      <c r="AI119" s="3531"/>
    </row>
    <row r="120" spans="1:35" ht="22.35" customHeight="1">
      <c r="A120" s="172"/>
      <c r="B120" s="38" t="s">
        <v>161</v>
      </c>
      <c r="C120" s="3532">
        <v>99</v>
      </c>
      <c r="D120" s="3533" t="s">
        <v>181</v>
      </c>
      <c r="E120" s="3533"/>
      <c r="F120" s="3534"/>
      <c r="G120" s="3532">
        <v>99</v>
      </c>
      <c r="H120" s="3533" t="s">
        <v>181</v>
      </c>
      <c r="I120" s="3533"/>
      <c r="J120" s="3534"/>
      <c r="K120" s="3532">
        <v>99</v>
      </c>
      <c r="L120" s="3533" t="s">
        <v>181</v>
      </c>
      <c r="M120" s="3533"/>
      <c r="N120" s="3534"/>
      <c r="O120" s="3532">
        <v>99</v>
      </c>
      <c r="P120" s="3533" t="s">
        <v>181</v>
      </c>
      <c r="Q120" s="3533"/>
      <c r="R120" s="3534"/>
      <c r="S120" s="3532">
        <v>99</v>
      </c>
      <c r="T120" s="3533" t="s">
        <v>160</v>
      </c>
      <c r="U120" s="3533"/>
      <c r="V120" s="3456"/>
      <c r="W120" s="3455"/>
      <c r="X120" s="3456"/>
      <c r="Y120" s="3533"/>
      <c r="Z120" s="3534"/>
      <c r="AA120" s="3455"/>
      <c r="AB120" s="3456"/>
      <c r="AC120" s="3533"/>
      <c r="AD120" s="3534"/>
      <c r="AE120" s="3535"/>
      <c r="AF120" s="3533"/>
      <c r="AG120" s="3533"/>
      <c r="AH120" s="3456"/>
      <c r="AI120" s="3536"/>
    </row>
    <row r="121" spans="1:35" ht="22.35" customHeight="1" thickBot="1">
      <c r="A121" s="172"/>
      <c r="B121" s="3537" t="s">
        <v>182</v>
      </c>
      <c r="C121" s="3538" t="s">
        <v>183</v>
      </c>
      <c r="D121" s="3539" t="s">
        <v>184</v>
      </c>
      <c r="E121" s="3540"/>
      <c r="F121" s="3407"/>
      <c r="G121" s="3538" t="s">
        <v>183</v>
      </c>
      <c r="H121" s="3539" t="s">
        <v>184</v>
      </c>
      <c r="I121" s="3405"/>
      <c r="J121" s="3540"/>
      <c r="K121" s="3538" t="s">
        <v>183</v>
      </c>
      <c r="L121" s="3539" t="s">
        <v>184</v>
      </c>
      <c r="M121" s="3540"/>
      <c r="N121" s="3541"/>
      <c r="O121" s="3538" t="s">
        <v>183</v>
      </c>
      <c r="P121" s="3539" t="s">
        <v>184</v>
      </c>
      <c r="Q121" s="3540"/>
      <c r="R121" s="3539"/>
      <c r="S121" s="3538" t="s">
        <v>183</v>
      </c>
      <c r="T121" s="3409" t="s">
        <v>185</v>
      </c>
      <c r="U121" s="3539"/>
      <c r="V121" s="3541"/>
      <c r="W121" s="3540"/>
      <c r="X121" s="3539"/>
      <c r="Y121" s="3539"/>
      <c r="Z121" s="3539"/>
      <c r="AA121" s="3542"/>
      <c r="AB121" s="3543"/>
      <c r="AC121" s="3539"/>
      <c r="AD121" s="3544"/>
      <c r="AE121" s="3539"/>
      <c r="AF121" s="3539"/>
      <c r="AG121" s="3539"/>
      <c r="AH121" s="3545"/>
      <c r="AI121" s="3546"/>
    </row>
    <row r="122" spans="1:35" ht="22.35" customHeight="1">
      <c r="A122" s="108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>
      <c r="A123" s="3500"/>
      <c r="B123" s="3414" t="s">
        <v>29</v>
      </c>
      <c r="C123" s="3342">
        <v>1</v>
      </c>
      <c r="D123" s="3342">
        <v>2</v>
      </c>
      <c r="E123" s="3342">
        <v>3</v>
      </c>
      <c r="F123" s="3342">
        <v>4</v>
      </c>
      <c r="G123" s="3343">
        <v>5</v>
      </c>
      <c r="H123" s="3343">
        <v>6</v>
      </c>
      <c r="I123" s="3342">
        <v>7</v>
      </c>
      <c r="J123" s="3342">
        <v>8</v>
      </c>
      <c r="K123" s="3342">
        <v>9</v>
      </c>
      <c r="L123" s="3342">
        <v>10</v>
      </c>
      <c r="M123" s="3342">
        <v>11</v>
      </c>
      <c r="N123" s="3343">
        <v>12</v>
      </c>
      <c r="O123" s="3343">
        <v>13</v>
      </c>
      <c r="P123" s="3342">
        <v>14</v>
      </c>
      <c r="Q123" s="3342">
        <v>15</v>
      </c>
      <c r="R123" s="3342">
        <v>16</v>
      </c>
      <c r="S123" s="3342">
        <v>17</v>
      </c>
      <c r="T123" s="3342">
        <v>18</v>
      </c>
      <c r="U123" s="3343">
        <v>19</v>
      </c>
      <c r="V123" s="3343">
        <v>20</v>
      </c>
      <c r="W123" s="3342">
        <v>21</v>
      </c>
      <c r="X123" s="3342">
        <v>22</v>
      </c>
      <c r="Y123" s="3342">
        <v>23</v>
      </c>
      <c r="Z123" s="3342">
        <v>24</v>
      </c>
      <c r="AA123" s="3342">
        <v>25</v>
      </c>
      <c r="AB123" s="3343">
        <v>26</v>
      </c>
      <c r="AC123" s="3343">
        <v>27</v>
      </c>
      <c r="AD123" s="3342">
        <v>28</v>
      </c>
      <c r="AE123" s="3342"/>
      <c r="AF123" s="3342"/>
      <c r="AG123" s="3432"/>
      <c r="AH123" s="176"/>
      <c r="AI123" s="177"/>
    </row>
    <row r="124" spans="1:35" ht="22.35" customHeight="1" thickBot="1">
      <c r="A124" s="367">
        <v>1</v>
      </c>
      <c r="B124" s="389" t="s">
        <v>186</v>
      </c>
      <c r="C124" s="361">
        <v>79</v>
      </c>
      <c r="D124" s="361">
        <v>79</v>
      </c>
      <c r="E124" s="574">
        <v>79</v>
      </c>
      <c r="F124" s="349">
        <v>79</v>
      </c>
      <c r="G124" s="350"/>
      <c r="H124" s="361"/>
      <c r="I124" s="552">
        <v>89</v>
      </c>
      <c r="J124" s="552">
        <v>89</v>
      </c>
      <c r="K124" s="552">
        <v>89</v>
      </c>
      <c r="L124" s="552">
        <v>89</v>
      </c>
      <c r="M124" s="552">
        <v>89</v>
      </c>
      <c r="N124" s="552">
        <v>89</v>
      </c>
      <c r="O124" s="552"/>
      <c r="P124" s="552">
        <v>99</v>
      </c>
      <c r="Q124" s="552" t="s">
        <v>371</v>
      </c>
      <c r="R124" s="703">
        <v>99</v>
      </c>
      <c r="S124" s="349">
        <v>99</v>
      </c>
      <c r="T124" s="349" t="s">
        <v>36</v>
      </c>
      <c r="U124" s="361"/>
      <c r="V124" s="361"/>
      <c r="W124" s="361" t="s">
        <v>183</v>
      </c>
      <c r="X124" s="361" t="s">
        <v>173</v>
      </c>
      <c r="Y124" s="361" t="s">
        <v>173</v>
      </c>
      <c r="Z124" s="721" t="s">
        <v>173</v>
      </c>
      <c r="AA124" s="350" t="s">
        <v>173</v>
      </c>
      <c r="AB124" s="361"/>
      <c r="AC124" s="361"/>
      <c r="AD124" s="361">
        <v>69</v>
      </c>
      <c r="AE124" s="361"/>
      <c r="AF124" s="350"/>
      <c r="AG124" s="362"/>
      <c r="AH124" s="201"/>
      <c r="AI124" s="107"/>
    </row>
    <row r="125" spans="1:35" ht="22.35" customHeight="1">
      <c r="A125" s="3513">
        <v>2</v>
      </c>
      <c r="B125" s="3547" t="s">
        <v>188</v>
      </c>
      <c r="C125" s="3356">
        <v>89</v>
      </c>
      <c r="D125" s="3426">
        <v>89</v>
      </c>
      <c r="E125" s="706">
        <v>89</v>
      </c>
      <c r="F125" s="3355">
        <v>89</v>
      </c>
      <c r="G125" s="3426">
        <v>89</v>
      </c>
      <c r="H125" s="3426"/>
      <c r="I125" s="3426">
        <v>99</v>
      </c>
      <c r="J125" s="3426">
        <v>99</v>
      </c>
      <c r="K125" s="3426">
        <v>99</v>
      </c>
      <c r="L125" s="3355">
        <v>99</v>
      </c>
      <c r="M125" s="3355" t="s">
        <v>36</v>
      </c>
      <c r="N125" s="3426"/>
      <c r="O125" s="3426"/>
      <c r="P125" s="3426" t="s">
        <v>183</v>
      </c>
      <c r="Q125" s="3426" t="s">
        <v>183</v>
      </c>
      <c r="R125" s="3356" t="s">
        <v>183</v>
      </c>
      <c r="S125" s="3426" t="s">
        <v>183</v>
      </c>
      <c r="T125" s="3355" t="s">
        <v>183</v>
      </c>
      <c r="U125" s="3426"/>
      <c r="V125" s="3426"/>
      <c r="W125" s="3426">
        <v>69</v>
      </c>
      <c r="X125" s="3614">
        <v>69</v>
      </c>
      <c r="Y125" s="3426">
        <v>69</v>
      </c>
      <c r="Z125" s="3355">
        <v>69</v>
      </c>
      <c r="AA125" s="3355">
        <v>69</v>
      </c>
      <c r="AB125" s="3724" t="s">
        <v>0</v>
      </c>
      <c r="AC125" s="3426"/>
      <c r="AD125" s="3356">
        <v>79</v>
      </c>
      <c r="AE125" s="3428"/>
      <c r="AF125" s="3428"/>
      <c r="AG125" s="3665"/>
      <c r="AH125" s="202"/>
      <c r="AI125" s="171"/>
    </row>
    <row r="126" spans="1:35" ht="22.35" customHeight="1" thickBot="1">
      <c r="A126" s="3513">
        <v>3</v>
      </c>
      <c r="B126" s="3547" t="s">
        <v>353</v>
      </c>
      <c r="C126" s="3725">
        <v>99</v>
      </c>
      <c r="D126" s="3725">
        <v>99</v>
      </c>
      <c r="E126" s="3725">
        <v>99</v>
      </c>
      <c r="F126" s="3725" t="s">
        <v>36</v>
      </c>
      <c r="G126" s="3362"/>
      <c r="H126" s="3362" t="s">
        <v>315</v>
      </c>
      <c r="I126" s="3551" t="s">
        <v>183</v>
      </c>
      <c r="J126" s="3551" t="s">
        <v>183</v>
      </c>
      <c r="K126" s="3551" t="s">
        <v>183</v>
      </c>
      <c r="L126" s="3551" t="s">
        <v>183</v>
      </c>
      <c r="M126" s="3551" t="s">
        <v>183</v>
      </c>
      <c r="N126" s="3392" t="s">
        <v>32</v>
      </c>
      <c r="O126" s="3392" t="s">
        <v>32</v>
      </c>
      <c r="P126" s="3551">
        <v>69</v>
      </c>
      <c r="Q126" s="3551">
        <v>69</v>
      </c>
      <c r="R126" s="3551">
        <v>69</v>
      </c>
      <c r="S126" s="3551">
        <v>69</v>
      </c>
      <c r="T126" s="3551">
        <v>69</v>
      </c>
      <c r="U126" s="3392" t="s">
        <v>32</v>
      </c>
      <c r="V126" s="3726" t="s">
        <v>32</v>
      </c>
      <c r="W126" s="3367">
        <v>79</v>
      </c>
      <c r="X126" s="3367">
        <v>79</v>
      </c>
      <c r="Y126" s="3367">
        <v>79</v>
      </c>
      <c r="Z126" s="3367">
        <v>79</v>
      </c>
      <c r="AA126" s="3367">
        <v>79</v>
      </c>
      <c r="AB126" s="3367"/>
      <c r="AC126" s="3367"/>
      <c r="AD126" s="3551">
        <v>89</v>
      </c>
      <c r="AE126" s="3551"/>
      <c r="AF126" s="3551"/>
      <c r="AG126" s="3554"/>
      <c r="AH126" s="201"/>
      <c r="AI126" s="107"/>
    </row>
    <row r="127" spans="1:35" ht="22.35" customHeight="1" thickBot="1">
      <c r="A127" s="3513">
        <v>4</v>
      </c>
      <c r="B127" s="3110" t="s">
        <v>359</v>
      </c>
      <c r="C127" s="3355" t="s">
        <v>183</v>
      </c>
      <c r="D127" s="3355" t="s">
        <v>183</v>
      </c>
      <c r="E127" s="706" t="s">
        <v>183</v>
      </c>
      <c r="F127" s="3355" t="s">
        <v>343</v>
      </c>
      <c r="G127" s="3355"/>
      <c r="H127" s="3355"/>
      <c r="I127" s="3355">
        <v>69</v>
      </c>
      <c r="J127" s="3355">
        <v>69</v>
      </c>
      <c r="K127" s="3355">
        <v>69</v>
      </c>
      <c r="L127" s="3355">
        <v>69</v>
      </c>
      <c r="M127" s="3355">
        <v>69</v>
      </c>
      <c r="N127" s="3355"/>
      <c r="O127" s="3355"/>
      <c r="P127" s="3355">
        <v>79</v>
      </c>
      <c r="Q127" s="3477">
        <v>79</v>
      </c>
      <c r="R127" s="3477">
        <v>79</v>
      </c>
      <c r="S127" s="3355">
        <v>79</v>
      </c>
      <c r="T127" s="3355">
        <v>79</v>
      </c>
      <c r="U127" s="3355"/>
      <c r="V127" s="3516"/>
      <c r="W127" s="3355">
        <v>89</v>
      </c>
      <c r="X127" s="3614">
        <v>89</v>
      </c>
      <c r="Y127" s="3477">
        <v>89</v>
      </c>
      <c r="Z127" s="3428">
        <v>89</v>
      </c>
      <c r="AA127" s="3706">
        <v>89</v>
      </c>
      <c r="AB127" s="3706" t="s">
        <v>187</v>
      </c>
      <c r="AC127" s="3355"/>
      <c r="AD127" s="3355">
        <v>99</v>
      </c>
      <c r="AE127" s="3355"/>
      <c r="AF127" s="3477"/>
      <c r="AG127" s="3555"/>
      <c r="AH127" s="201"/>
      <c r="AI127" s="107"/>
    </row>
    <row r="128" spans="1:35" ht="22.35" customHeight="1" thickBot="1">
      <c r="A128" s="3518">
        <v>5</v>
      </c>
      <c r="B128" s="3556" t="s">
        <v>190</v>
      </c>
      <c r="C128" s="3505">
        <v>69</v>
      </c>
      <c r="D128" s="3505">
        <v>69</v>
      </c>
      <c r="E128" s="706">
        <v>69</v>
      </c>
      <c r="F128" s="3342">
        <v>69</v>
      </c>
      <c r="G128" s="3439"/>
      <c r="H128" s="3439"/>
      <c r="I128" s="3420">
        <v>79</v>
      </c>
      <c r="J128" s="3727">
        <v>79</v>
      </c>
      <c r="K128" s="3420">
        <v>79</v>
      </c>
      <c r="L128" s="3668">
        <v>79</v>
      </c>
      <c r="M128" s="3342">
        <v>79</v>
      </c>
      <c r="N128" s="3667"/>
      <c r="O128" s="3505"/>
      <c r="P128" s="3443">
        <v>89</v>
      </c>
      <c r="Q128" s="3443">
        <v>89</v>
      </c>
      <c r="R128" s="3443">
        <v>89</v>
      </c>
      <c r="S128" s="3443">
        <v>89</v>
      </c>
      <c r="T128" s="3443">
        <v>89</v>
      </c>
      <c r="U128" s="3443">
        <v>89</v>
      </c>
      <c r="V128" s="3443"/>
      <c r="W128" s="3720">
        <v>99</v>
      </c>
      <c r="X128" s="3505">
        <v>99</v>
      </c>
      <c r="Y128" s="3728">
        <v>99</v>
      </c>
      <c r="Z128" s="3729">
        <v>99</v>
      </c>
      <c r="AA128" s="3421" t="s">
        <v>36</v>
      </c>
      <c r="AB128" s="3667"/>
      <c r="AC128" s="3667"/>
      <c r="AD128" s="3505" t="s">
        <v>183</v>
      </c>
      <c r="AE128" s="3505"/>
      <c r="AF128" s="3505"/>
      <c r="AG128" s="3559"/>
      <c r="AH128" s="201"/>
      <c r="AI128" s="107"/>
    </row>
    <row r="129" spans="1:35" ht="22.35" customHeight="1">
      <c r="A129" s="212"/>
      <c r="B129" s="229"/>
      <c r="C129" s="230"/>
      <c r="D129" s="230"/>
      <c r="E129" s="230"/>
      <c r="F129" s="211"/>
      <c r="G129" s="228"/>
      <c r="H129" s="228"/>
      <c r="I129" s="228"/>
      <c r="J129" s="228"/>
      <c r="K129" s="228"/>
      <c r="L129" s="211"/>
      <c r="M129" s="211"/>
      <c r="N129" s="230"/>
      <c r="O129" s="230"/>
      <c r="P129" s="230"/>
      <c r="Q129" s="230"/>
      <c r="R129" s="230"/>
      <c r="S129" s="211"/>
      <c r="T129" s="231"/>
      <c r="U129" s="230"/>
      <c r="V129" s="230"/>
      <c r="W129" s="230"/>
      <c r="X129" s="230"/>
      <c r="Y129" s="230"/>
      <c r="Z129" s="232"/>
      <c r="AA129" s="232"/>
      <c r="AB129" s="230"/>
      <c r="AC129" s="230"/>
      <c r="AD129" s="230"/>
      <c r="AE129" s="230"/>
      <c r="AF129" s="230"/>
      <c r="AG129" s="232"/>
      <c r="AH129" s="201"/>
      <c r="AI129" s="107"/>
    </row>
    <row r="130" spans="1:35" ht="22.35" customHeight="1">
      <c r="A130" s="109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35" ht="22.35" customHeight="1" thickBot="1">
      <c r="A131" s="172" t="s">
        <v>191</v>
      </c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35" ht="22.35" customHeight="1">
      <c r="A132" s="172"/>
      <c r="B132" s="248" t="s">
        <v>175</v>
      </c>
      <c r="C132" s="383"/>
      <c r="D132" s="384" t="s">
        <v>94</v>
      </c>
      <c r="E132" s="385"/>
      <c r="F132" s="386"/>
      <c r="G132" s="383"/>
      <c r="H132" s="384" t="s">
        <v>95</v>
      </c>
      <c r="I132" s="385"/>
      <c r="J132" s="386"/>
      <c r="K132" s="383"/>
      <c r="L132" s="384" t="s">
        <v>96</v>
      </c>
      <c r="M132" s="385"/>
      <c r="N132" s="386"/>
      <c r="O132" s="383"/>
      <c r="P132" s="384" t="s">
        <v>97</v>
      </c>
      <c r="Q132" s="385"/>
      <c r="R132" s="386"/>
      <c r="S132" s="383"/>
      <c r="T132" s="384" t="s">
        <v>98</v>
      </c>
      <c r="U132" s="385"/>
      <c r="V132" s="386"/>
      <c r="W132" s="383"/>
      <c r="X132" s="384" t="s">
        <v>99</v>
      </c>
      <c r="Y132" s="385"/>
      <c r="Z132" s="386"/>
      <c r="AA132" s="383"/>
      <c r="AB132" s="384" t="s">
        <v>100</v>
      </c>
      <c r="AC132" s="385"/>
      <c r="AD132" s="385"/>
      <c r="AE132" s="387" t="s">
        <v>101</v>
      </c>
      <c r="AF132" s="385"/>
      <c r="AG132" s="385"/>
      <c r="AH132" s="385"/>
      <c r="AI132" s="388"/>
    </row>
    <row r="133" spans="1:35" ht="22.35" customHeight="1">
      <c r="A133" s="172"/>
      <c r="B133" s="3524" t="s">
        <v>192</v>
      </c>
      <c r="C133" s="3453" t="s">
        <v>193</v>
      </c>
      <c r="D133" s="3526"/>
      <c r="E133" s="3526"/>
      <c r="F133" s="3527"/>
      <c r="G133" s="3453" t="s">
        <v>193</v>
      </c>
      <c r="H133" s="3526"/>
      <c r="I133" s="3526"/>
      <c r="J133" s="3527"/>
      <c r="K133" s="3453" t="s">
        <v>193</v>
      </c>
      <c r="L133" s="3526"/>
      <c r="M133" s="3526"/>
      <c r="N133" s="3527"/>
      <c r="O133" s="3453" t="s">
        <v>193</v>
      </c>
      <c r="P133" s="3526"/>
      <c r="Q133" s="3526"/>
      <c r="R133" s="3527"/>
      <c r="S133" s="3453" t="s">
        <v>193</v>
      </c>
      <c r="T133" s="3526"/>
      <c r="U133" s="3526"/>
      <c r="V133" s="3527"/>
      <c r="W133" s="3453" t="s">
        <v>194</v>
      </c>
      <c r="X133" s="3528"/>
      <c r="Y133" s="3528"/>
      <c r="Z133" s="3529"/>
      <c r="AA133" s="3453" t="s">
        <v>194</v>
      </c>
      <c r="AB133" s="3526"/>
      <c r="AC133" s="3526"/>
      <c r="AD133" s="3454"/>
      <c r="AE133" s="3530">
        <v>69</v>
      </c>
      <c r="AF133" s="194"/>
      <c r="AG133" s="194"/>
      <c r="AH133" s="194"/>
      <c r="AI133" s="195"/>
    </row>
    <row r="134" spans="1:35" ht="22.35" customHeight="1">
      <c r="A134" s="172"/>
      <c r="B134" s="3524" t="s">
        <v>152</v>
      </c>
      <c r="C134" s="3453" t="s">
        <v>160</v>
      </c>
      <c r="D134" s="3526"/>
      <c r="E134" s="3526"/>
      <c r="F134" s="3527"/>
      <c r="G134" s="3453" t="s">
        <v>160</v>
      </c>
      <c r="H134" s="3526"/>
      <c r="I134" s="3526"/>
      <c r="J134" s="3527"/>
      <c r="K134" s="3453" t="s">
        <v>160</v>
      </c>
      <c r="L134" s="3526"/>
      <c r="M134" s="3526"/>
      <c r="N134" s="3527"/>
      <c r="O134" s="3453" t="s">
        <v>160</v>
      </c>
      <c r="P134" s="3526"/>
      <c r="Q134" s="3526"/>
      <c r="R134" s="3527"/>
      <c r="S134" s="3453" t="s">
        <v>160</v>
      </c>
      <c r="T134" s="3526"/>
      <c r="U134" s="3526"/>
      <c r="V134" s="3527"/>
      <c r="W134" s="3453" t="s">
        <v>160</v>
      </c>
      <c r="X134" s="3526"/>
      <c r="Y134" s="3526"/>
      <c r="Z134" s="3527"/>
      <c r="AA134" s="3526" t="s">
        <v>160</v>
      </c>
      <c r="AB134" s="3526"/>
      <c r="AC134" s="3526"/>
      <c r="AD134" s="3454"/>
      <c r="AE134" s="3530">
        <v>0</v>
      </c>
      <c r="AF134" s="194"/>
      <c r="AG134" s="194"/>
      <c r="AH134" s="194"/>
      <c r="AI134" s="195"/>
    </row>
    <row r="135" spans="1:35" ht="22.35" customHeight="1">
      <c r="A135" s="172"/>
      <c r="B135" s="3524" t="s">
        <v>195</v>
      </c>
      <c r="C135" s="3453" t="s">
        <v>193</v>
      </c>
      <c r="D135" s="3526"/>
      <c r="E135" s="3526"/>
      <c r="F135" s="3527"/>
      <c r="G135" s="3453" t="s">
        <v>193</v>
      </c>
      <c r="H135" s="3526"/>
      <c r="I135" s="3526"/>
      <c r="J135" s="3527"/>
      <c r="K135" s="3453" t="s">
        <v>193</v>
      </c>
      <c r="L135" s="3526"/>
      <c r="M135" s="3526"/>
      <c r="N135" s="3527"/>
      <c r="O135" s="3453" t="s">
        <v>193</v>
      </c>
      <c r="P135" s="3526"/>
      <c r="Q135" s="3526"/>
      <c r="R135" s="3527"/>
      <c r="S135" s="3453" t="s">
        <v>193</v>
      </c>
      <c r="T135" s="3526"/>
      <c r="U135" s="3526"/>
      <c r="V135" s="3527"/>
      <c r="W135" s="3453" t="s">
        <v>194</v>
      </c>
      <c r="X135" s="3528"/>
      <c r="Y135" s="3528"/>
      <c r="Z135" s="3529"/>
      <c r="AA135" s="3453" t="s">
        <v>194</v>
      </c>
      <c r="AB135" s="3526"/>
      <c r="AC135" s="3526"/>
      <c r="AD135" s="3454"/>
      <c r="AE135" s="3530">
        <v>69</v>
      </c>
      <c r="AF135" s="3526"/>
      <c r="AG135" s="3526" t="s">
        <v>0</v>
      </c>
      <c r="AH135" s="3454"/>
      <c r="AI135" s="3531"/>
    </row>
    <row r="136" spans="1:35" ht="22.35" customHeight="1">
      <c r="A136" s="172"/>
      <c r="B136" s="3524" t="s">
        <v>161</v>
      </c>
      <c r="C136" s="3453" t="s">
        <v>160</v>
      </c>
      <c r="D136" s="3526"/>
      <c r="E136" s="3526"/>
      <c r="F136" s="3527"/>
      <c r="G136" s="3453" t="s">
        <v>160</v>
      </c>
      <c r="H136" s="3526"/>
      <c r="I136" s="3526"/>
      <c r="J136" s="3527"/>
      <c r="K136" s="3453" t="s">
        <v>160</v>
      </c>
      <c r="L136" s="3526"/>
      <c r="M136" s="3526"/>
      <c r="N136" s="3527"/>
      <c r="O136" s="3453" t="s">
        <v>160</v>
      </c>
      <c r="P136" s="3526"/>
      <c r="Q136" s="3526"/>
      <c r="R136" s="3527"/>
      <c r="S136" s="3453" t="s">
        <v>160</v>
      </c>
      <c r="T136" s="3526"/>
      <c r="U136" s="3526"/>
      <c r="V136" s="3527"/>
      <c r="W136" s="3453" t="s">
        <v>160</v>
      </c>
      <c r="X136" s="3526"/>
      <c r="Y136" s="3526"/>
      <c r="Z136" s="3527"/>
      <c r="AA136" s="3526" t="s">
        <v>160</v>
      </c>
      <c r="AB136" s="3526"/>
      <c r="AC136" s="3526"/>
      <c r="AD136" s="3454"/>
      <c r="AE136" s="3530">
        <v>0</v>
      </c>
      <c r="AF136" s="3526"/>
      <c r="AG136" s="3526"/>
      <c r="AH136" s="3454"/>
      <c r="AI136" s="3531"/>
    </row>
    <row r="137" spans="1:35" ht="22.35" customHeight="1">
      <c r="A137" s="172"/>
      <c r="B137" s="3524" t="s">
        <v>196</v>
      </c>
      <c r="C137" s="3453" t="s">
        <v>193</v>
      </c>
      <c r="D137" s="3526"/>
      <c r="E137" s="3526"/>
      <c r="F137" s="3527"/>
      <c r="G137" s="3453" t="s">
        <v>193</v>
      </c>
      <c r="H137" s="3526"/>
      <c r="I137" s="3526"/>
      <c r="J137" s="3527"/>
      <c r="K137" s="3453" t="s">
        <v>193</v>
      </c>
      <c r="L137" s="3526"/>
      <c r="M137" s="3526"/>
      <c r="N137" s="3527"/>
      <c r="O137" s="3453" t="s">
        <v>193</v>
      </c>
      <c r="P137" s="3526"/>
      <c r="Q137" s="3526"/>
      <c r="R137" s="3527"/>
      <c r="S137" s="3453" t="s">
        <v>193</v>
      </c>
      <c r="T137" s="3526"/>
      <c r="U137" s="3526"/>
      <c r="V137" s="3527"/>
      <c r="W137" s="3453" t="s">
        <v>197</v>
      </c>
      <c r="X137" s="3533"/>
      <c r="Y137" s="3533"/>
      <c r="Z137" s="3534"/>
      <c r="AA137" s="3453" t="s">
        <v>197</v>
      </c>
      <c r="AB137" s="3533"/>
      <c r="AC137" s="3533"/>
      <c r="AD137" s="3456"/>
      <c r="AE137" s="3530">
        <v>66</v>
      </c>
      <c r="AF137" s="3526"/>
      <c r="AG137" s="3526"/>
      <c r="AH137" s="3454"/>
      <c r="AI137" s="3531"/>
    </row>
    <row r="138" spans="1:35" ht="22.35" customHeight="1" thickBot="1">
      <c r="A138" s="172"/>
      <c r="B138" s="3524" t="s">
        <v>198</v>
      </c>
      <c r="C138" s="3560" t="s">
        <v>160</v>
      </c>
      <c r="D138" s="3561"/>
      <c r="E138" s="3561"/>
      <c r="F138" s="3562"/>
      <c r="G138" s="3560" t="s">
        <v>160</v>
      </c>
      <c r="H138" s="3561"/>
      <c r="I138" s="3561"/>
      <c r="J138" s="3562"/>
      <c r="K138" s="3560" t="s">
        <v>160</v>
      </c>
      <c r="L138" s="3561"/>
      <c r="M138" s="3561"/>
      <c r="N138" s="3562"/>
      <c r="O138" s="3560" t="s">
        <v>160</v>
      </c>
      <c r="P138" s="3561"/>
      <c r="Q138" s="3561"/>
      <c r="R138" s="3562"/>
      <c r="S138" s="3560" t="s">
        <v>160</v>
      </c>
      <c r="T138" s="3561"/>
      <c r="U138" s="3561"/>
      <c r="V138" s="3545"/>
      <c r="W138" s="3560" t="s">
        <v>160</v>
      </c>
      <c r="X138" s="3545"/>
      <c r="Y138" s="3561"/>
      <c r="Z138" s="3562"/>
      <c r="AA138" s="3560" t="s">
        <v>160</v>
      </c>
      <c r="AB138" s="3545"/>
      <c r="AC138" s="3561"/>
      <c r="AD138" s="3562"/>
      <c r="AE138" s="3563" t="s">
        <v>168</v>
      </c>
      <c r="AF138" s="3561"/>
      <c r="AG138" s="3561"/>
      <c r="AH138" s="3545"/>
      <c r="AI138" s="3546"/>
    </row>
    <row r="139" spans="1:35" ht="22.35" customHeight="1">
      <c r="A139" s="108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35" ht="22.35" customHeight="1" thickBot="1">
      <c r="A140" s="3500"/>
      <c r="B140" s="3341" t="s">
        <v>29</v>
      </c>
      <c r="C140" s="3342">
        <v>1</v>
      </c>
      <c r="D140" s="3342">
        <v>2</v>
      </c>
      <c r="E140" s="3342">
        <v>3</v>
      </c>
      <c r="F140" s="3342">
        <v>4</v>
      </c>
      <c r="G140" s="3343">
        <v>5</v>
      </c>
      <c r="H140" s="3343">
        <v>6</v>
      </c>
      <c r="I140" s="3342">
        <v>7</v>
      </c>
      <c r="J140" s="3342">
        <v>8</v>
      </c>
      <c r="K140" s="3342">
        <v>9</v>
      </c>
      <c r="L140" s="3342">
        <v>10</v>
      </c>
      <c r="M140" s="3342">
        <v>11</v>
      </c>
      <c r="N140" s="3343">
        <v>12</v>
      </c>
      <c r="O140" s="3343">
        <v>13</v>
      </c>
      <c r="P140" s="3342">
        <v>14</v>
      </c>
      <c r="Q140" s="3342">
        <v>15</v>
      </c>
      <c r="R140" s="3342">
        <v>16</v>
      </c>
      <c r="S140" s="3342">
        <v>17</v>
      </c>
      <c r="T140" s="3342">
        <v>18</v>
      </c>
      <c r="U140" s="3343">
        <v>19</v>
      </c>
      <c r="V140" s="3343">
        <v>20</v>
      </c>
      <c r="W140" s="3342">
        <v>21</v>
      </c>
      <c r="X140" s="3342">
        <v>22</v>
      </c>
      <c r="Y140" s="3342">
        <v>23</v>
      </c>
      <c r="Z140" s="3342">
        <v>24</v>
      </c>
      <c r="AA140" s="3342">
        <v>25</v>
      </c>
      <c r="AB140" s="3343">
        <v>26</v>
      </c>
      <c r="AC140" s="3343">
        <v>27</v>
      </c>
      <c r="AD140" s="3342">
        <v>28</v>
      </c>
      <c r="AE140" s="3342"/>
      <c r="AF140" s="3342"/>
      <c r="AG140" s="3432"/>
      <c r="AH140" s="176"/>
      <c r="AI140" s="177"/>
    </row>
    <row r="141" spans="1:35" ht="22.35" customHeight="1">
      <c r="A141" s="317">
        <v>1</v>
      </c>
      <c r="B141" s="227" t="s">
        <v>199</v>
      </c>
      <c r="C141" s="710">
        <v>22</v>
      </c>
      <c r="D141" s="710">
        <v>22</v>
      </c>
      <c r="E141" s="710">
        <v>22</v>
      </c>
      <c r="F141" s="710">
        <v>22</v>
      </c>
      <c r="G141" s="710">
        <v>22</v>
      </c>
      <c r="H141" s="710">
        <v>22</v>
      </c>
      <c r="I141" s="717" t="s">
        <v>36</v>
      </c>
      <c r="J141" s="718" t="s">
        <v>363</v>
      </c>
      <c r="K141" s="309" t="s">
        <v>36</v>
      </c>
      <c r="L141" s="310" t="s">
        <v>36</v>
      </c>
      <c r="M141" s="312" t="s">
        <v>36</v>
      </c>
      <c r="N141" s="312"/>
      <c r="O141" s="309"/>
      <c r="P141" s="309">
        <v>23</v>
      </c>
      <c r="Q141" s="309">
        <v>23</v>
      </c>
      <c r="R141" s="309">
        <v>23</v>
      </c>
      <c r="S141" s="309">
        <v>23</v>
      </c>
      <c r="T141" s="309">
        <v>23</v>
      </c>
      <c r="U141" s="309">
        <v>23</v>
      </c>
      <c r="V141" s="309">
        <v>23</v>
      </c>
      <c r="W141" s="310" t="s">
        <v>36</v>
      </c>
      <c r="X141" s="309" t="s">
        <v>36</v>
      </c>
      <c r="Y141" s="309" t="s">
        <v>36</v>
      </c>
      <c r="Z141" s="310" t="s">
        <v>36</v>
      </c>
      <c r="AA141" s="309" t="s">
        <v>36</v>
      </c>
      <c r="AB141" s="309"/>
      <c r="AC141" s="309"/>
      <c r="AD141" s="309">
        <v>21</v>
      </c>
      <c r="AE141" s="309"/>
      <c r="AF141" s="309"/>
      <c r="AG141" s="311"/>
      <c r="AH141" s="107"/>
      <c r="AI141" s="107"/>
    </row>
    <row r="142" spans="1:35" ht="22.35" customHeight="1">
      <c r="A142" s="3186">
        <v>2</v>
      </c>
      <c r="B142" s="3376" t="s">
        <v>200</v>
      </c>
      <c r="C142" s="3378">
        <v>23</v>
      </c>
      <c r="D142" s="3378">
        <v>23</v>
      </c>
      <c r="E142" s="3378">
        <v>23</v>
      </c>
      <c r="F142" s="3378">
        <v>23</v>
      </c>
      <c r="G142" s="3378">
        <v>23</v>
      </c>
      <c r="H142" s="3378">
        <v>23</v>
      </c>
      <c r="I142" s="3468" t="s">
        <v>36</v>
      </c>
      <c r="J142" s="3378" t="s">
        <v>36</v>
      </c>
      <c r="K142" s="3378" t="s">
        <v>36</v>
      </c>
      <c r="L142" s="3468" t="s">
        <v>36</v>
      </c>
      <c r="M142" s="3380" t="s">
        <v>36</v>
      </c>
      <c r="N142" s="3380"/>
      <c r="O142" s="3380"/>
      <c r="P142" s="3380">
        <v>21</v>
      </c>
      <c r="Q142" s="3380">
        <v>21</v>
      </c>
      <c r="R142" s="3380">
        <v>21</v>
      </c>
      <c r="S142" s="3380">
        <v>21</v>
      </c>
      <c r="T142" s="3380">
        <v>21</v>
      </c>
      <c r="U142" s="3380">
        <v>21</v>
      </c>
      <c r="V142" s="3380">
        <v>21</v>
      </c>
      <c r="W142" s="3468" t="s">
        <v>36</v>
      </c>
      <c r="X142" s="3378" t="s">
        <v>36</v>
      </c>
      <c r="Y142" s="3378" t="s">
        <v>36</v>
      </c>
      <c r="Z142" s="3468" t="s">
        <v>36</v>
      </c>
      <c r="AA142" s="3380" t="s">
        <v>36</v>
      </c>
      <c r="AB142" s="3380"/>
      <c r="AC142" s="3380"/>
      <c r="AD142" s="3380">
        <v>22</v>
      </c>
      <c r="AE142" s="3380"/>
      <c r="AF142" s="3380"/>
      <c r="AG142" s="3383"/>
      <c r="AH142" s="107"/>
      <c r="AI142" s="107"/>
    </row>
    <row r="143" spans="1:35" ht="22.35" customHeight="1">
      <c r="A143" s="3186">
        <v>3</v>
      </c>
      <c r="B143" s="3376" t="s">
        <v>0</v>
      </c>
      <c r="C143" s="3378">
        <v>21</v>
      </c>
      <c r="D143" s="3378">
        <v>21</v>
      </c>
      <c r="E143" s="3378">
        <v>21</v>
      </c>
      <c r="F143" s="3378">
        <v>21</v>
      </c>
      <c r="G143" s="3380">
        <v>21</v>
      </c>
      <c r="H143" s="3380">
        <v>21</v>
      </c>
      <c r="I143" s="3382" t="s">
        <v>36</v>
      </c>
      <c r="J143" s="3382" t="s">
        <v>36</v>
      </c>
      <c r="K143" s="3382" t="s">
        <v>36</v>
      </c>
      <c r="L143" s="3382" t="s">
        <v>36</v>
      </c>
      <c r="M143" s="3382" t="s">
        <v>36</v>
      </c>
      <c r="N143" s="3382"/>
      <c r="O143" s="3382"/>
      <c r="P143" s="3378">
        <v>22</v>
      </c>
      <c r="Q143" s="3378">
        <v>22</v>
      </c>
      <c r="R143" s="3387">
        <v>22</v>
      </c>
      <c r="S143" s="3387">
        <v>22</v>
      </c>
      <c r="T143" s="3378">
        <v>22</v>
      </c>
      <c r="U143" s="3380">
        <v>22</v>
      </c>
      <c r="V143" s="3380">
        <v>22</v>
      </c>
      <c r="W143" s="3468" t="s">
        <v>36</v>
      </c>
      <c r="X143" s="3378" t="s">
        <v>36</v>
      </c>
      <c r="Y143" s="3378" t="s">
        <v>36</v>
      </c>
      <c r="Z143" s="3468" t="s">
        <v>36</v>
      </c>
      <c r="AA143" s="3378" t="s">
        <v>36</v>
      </c>
      <c r="AB143" s="3378"/>
      <c r="AC143" s="3378"/>
      <c r="AD143" s="3378">
        <v>23</v>
      </c>
      <c r="AE143" s="3378"/>
      <c r="AF143" s="3378"/>
      <c r="AG143" s="3383"/>
      <c r="AH143" s="107"/>
      <c r="AI143" s="107"/>
    </row>
    <row r="144" spans="1:35" ht="22.35" customHeight="1">
      <c r="A144" s="3186">
        <v>4</v>
      </c>
      <c r="B144" s="3376" t="s">
        <v>202</v>
      </c>
      <c r="C144" s="3378" t="s">
        <v>36</v>
      </c>
      <c r="D144" s="3378" t="s">
        <v>36</v>
      </c>
      <c r="E144" s="3468" t="s">
        <v>36</v>
      </c>
      <c r="F144" s="3378" t="s">
        <v>36</v>
      </c>
      <c r="G144" s="3378"/>
      <c r="H144" s="3378"/>
      <c r="I144" s="3378">
        <v>22</v>
      </c>
      <c r="J144" s="3378">
        <v>22</v>
      </c>
      <c r="K144" s="3378">
        <v>22</v>
      </c>
      <c r="L144" s="3378">
        <v>22</v>
      </c>
      <c r="M144" s="3378">
        <v>22</v>
      </c>
      <c r="N144" s="3378">
        <v>22</v>
      </c>
      <c r="O144" s="3730">
        <v>22</v>
      </c>
      <c r="P144" s="3382" t="s">
        <v>36</v>
      </c>
      <c r="Q144" s="3382" t="s">
        <v>36</v>
      </c>
      <c r="R144" s="3382" t="s">
        <v>36</v>
      </c>
      <c r="S144" s="3382" t="s">
        <v>36</v>
      </c>
      <c r="T144" s="3382" t="s">
        <v>36</v>
      </c>
      <c r="U144" s="3382"/>
      <c r="V144" s="3382"/>
      <c r="W144" s="3391">
        <v>23</v>
      </c>
      <c r="X144" s="3391">
        <v>23</v>
      </c>
      <c r="Y144" s="3483">
        <v>23</v>
      </c>
      <c r="Z144" s="3378">
        <v>23</v>
      </c>
      <c r="AA144" s="3378">
        <v>23</v>
      </c>
      <c r="AB144" s="3378">
        <v>23</v>
      </c>
      <c r="AC144" s="3378">
        <v>23</v>
      </c>
      <c r="AD144" s="3468" t="s">
        <v>36</v>
      </c>
      <c r="AE144" s="3378"/>
      <c r="AF144" s="3378"/>
      <c r="AG144" s="3567"/>
      <c r="AH144" s="107"/>
      <c r="AI144" s="107"/>
    </row>
    <row r="145" spans="1:35" ht="22.35" customHeight="1">
      <c r="A145" s="3186">
        <v>5</v>
      </c>
      <c r="B145" s="3376" t="s">
        <v>203</v>
      </c>
      <c r="C145" s="3378" t="s">
        <v>36</v>
      </c>
      <c r="D145" s="3378" t="s">
        <v>36</v>
      </c>
      <c r="E145" s="3468" t="s">
        <v>36</v>
      </c>
      <c r="F145" s="3380" t="s">
        <v>36</v>
      </c>
      <c r="G145" s="3378"/>
      <c r="H145" s="3378"/>
      <c r="I145" s="3378">
        <v>23</v>
      </c>
      <c r="J145" s="3378">
        <v>23</v>
      </c>
      <c r="K145" s="3378">
        <v>23</v>
      </c>
      <c r="L145" s="3378">
        <v>23</v>
      </c>
      <c r="M145" s="3378">
        <v>23</v>
      </c>
      <c r="N145" s="3378">
        <v>23</v>
      </c>
      <c r="O145" s="3378">
        <v>23</v>
      </c>
      <c r="P145" s="3468" t="s">
        <v>36</v>
      </c>
      <c r="Q145" s="3378" t="s">
        <v>36</v>
      </c>
      <c r="R145" s="3378" t="s">
        <v>36</v>
      </c>
      <c r="S145" s="3468" t="s">
        <v>36</v>
      </c>
      <c r="T145" s="3378" t="s">
        <v>36</v>
      </c>
      <c r="U145" s="3378"/>
      <c r="V145" s="3378"/>
      <c r="W145" s="3378">
        <v>21</v>
      </c>
      <c r="X145" s="3378">
        <v>21</v>
      </c>
      <c r="Y145" s="3731">
        <v>21</v>
      </c>
      <c r="Z145" s="3731">
        <v>21</v>
      </c>
      <c r="AA145" s="3731">
        <v>21</v>
      </c>
      <c r="AB145" s="3731">
        <v>21</v>
      </c>
      <c r="AC145" s="3732">
        <v>21</v>
      </c>
      <c r="AD145" s="3380" t="s">
        <v>36</v>
      </c>
      <c r="AE145" s="3380"/>
      <c r="AF145" s="3378"/>
      <c r="AG145" s="3567"/>
      <c r="AH145" s="107"/>
      <c r="AI145" s="107"/>
    </row>
    <row r="146" spans="1:35" ht="22.35" customHeight="1" thickBot="1">
      <c r="A146" s="1068">
        <v>6</v>
      </c>
      <c r="B146" s="1069" t="s">
        <v>204</v>
      </c>
      <c r="C146" s="3717" t="s">
        <v>36</v>
      </c>
      <c r="D146" s="3717" t="s">
        <v>36</v>
      </c>
      <c r="E146" s="3718" t="s">
        <v>36</v>
      </c>
      <c r="F146" s="3717" t="s">
        <v>36</v>
      </c>
      <c r="G146" s="3717"/>
      <c r="H146" s="1070"/>
      <c r="I146" s="1070">
        <v>21</v>
      </c>
      <c r="J146" s="1070">
        <v>21</v>
      </c>
      <c r="K146" s="1070">
        <v>21</v>
      </c>
      <c r="L146" s="1070">
        <v>21</v>
      </c>
      <c r="M146" s="1070">
        <v>21</v>
      </c>
      <c r="N146" s="1072">
        <v>21</v>
      </c>
      <c r="O146" s="1072">
        <v>21</v>
      </c>
      <c r="P146" s="3718" t="s">
        <v>36</v>
      </c>
      <c r="Q146" s="3717" t="s">
        <v>36</v>
      </c>
      <c r="R146" s="3717" t="s">
        <v>36</v>
      </c>
      <c r="S146" s="3718" t="s">
        <v>36</v>
      </c>
      <c r="T146" s="3717" t="s">
        <v>36</v>
      </c>
      <c r="U146" s="3717"/>
      <c r="V146" s="3717"/>
      <c r="W146" s="3717">
        <v>22</v>
      </c>
      <c r="X146" s="3717">
        <v>22</v>
      </c>
      <c r="Y146" s="3717">
        <v>22</v>
      </c>
      <c r="Z146" s="3717">
        <v>22</v>
      </c>
      <c r="AA146" s="3717">
        <v>22</v>
      </c>
      <c r="AB146" s="1072">
        <v>22</v>
      </c>
      <c r="AC146" s="1072">
        <v>22</v>
      </c>
      <c r="AD146" s="3718" t="s">
        <v>36</v>
      </c>
      <c r="AE146" s="3717"/>
      <c r="AF146" s="3717"/>
      <c r="AG146" s="1074"/>
      <c r="AH146" s="107"/>
      <c r="AI146" s="107"/>
    </row>
    <row r="147" spans="1:35" ht="22.35" customHeight="1">
      <c r="A147" s="212"/>
      <c r="B147" s="210"/>
      <c r="C147" s="211"/>
      <c r="D147" s="211"/>
      <c r="E147" s="228"/>
      <c r="F147" s="211"/>
      <c r="G147" s="211"/>
      <c r="H147" s="233"/>
      <c r="I147" s="233"/>
      <c r="J147" s="233"/>
      <c r="K147" s="233"/>
      <c r="L147" s="233"/>
      <c r="M147" s="233"/>
      <c r="N147" s="202"/>
      <c r="O147" s="202"/>
      <c r="P147" s="228"/>
      <c r="Q147" s="211"/>
      <c r="R147" s="211"/>
      <c r="S147" s="228"/>
      <c r="T147" s="211"/>
      <c r="U147" s="211"/>
      <c r="V147" s="211"/>
      <c r="W147" s="211"/>
      <c r="X147" s="211"/>
      <c r="Y147" s="211"/>
      <c r="Z147" s="211"/>
      <c r="AA147" s="211"/>
      <c r="AB147" s="202"/>
      <c r="AC147" s="202"/>
      <c r="AD147" s="228"/>
      <c r="AE147" s="211"/>
      <c r="AF147" s="211"/>
      <c r="AG147" s="228"/>
      <c r="AH147" s="107"/>
      <c r="AI147" s="107"/>
    </row>
    <row r="148" spans="1:35" ht="22.35" customHeight="1">
      <c r="A148" s="109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>
      <c r="A149" s="161" t="s">
        <v>205</v>
      </c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>
      <c r="A150" s="1"/>
      <c r="B150" s="248" t="s">
        <v>175</v>
      </c>
      <c r="C150" s="368"/>
      <c r="D150" s="384" t="s">
        <v>94</v>
      </c>
      <c r="E150" s="357"/>
      <c r="F150" s="372"/>
      <c r="G150" s="368"/>
      <c r="H150" s="384" t="s">
        <v>95</v>
      </c>
      <c r="I150" s="357"/>
      <c r="J150" s="372"/>
      <c r="K150" s="368"/>
      <c r="L150" s="384" t="s">
        <v>96</v>
      </c>
      <c r="M150" s="357"/>
      <c r="N150" s="372"/>
      <c r="O150" s="368"/>
      <c r="P150" s="384" t="s">
        <v>97</v>
      </c>
      <c r="Q150" s="357"/>
      <c r="R150" s="372"/>
      <c r="S150" s="368"/>
      <c r="T150" s="384" t="s">
        <v>98</v>
      </c>
      <c r="U150" s="357"/>
      <c r="V150" s="372"/>
      <c r="W150" s="368"/>
      <c r="X150" s="384" t="s">
        <v>99</v>
      </c>
      <c r="Y150" s="357"/>
      <c r="Z150" s="372"/>
      <c r="AA150" s="368"/>
      <c r="AB150" s="384" t="s">
        <v>100</v>
      </c>
      <c r="AC150" s="357"/>
      <c r="AD150" s="357"/>
      <c r="AE150" s="387"/>
      <c r="AF150" s="357"/>
      <c r="AG150" s="357"/>
      <c r="AH150" s="357"/>
      <c r="AI150" s="358"/>
    </row>
    <row r="151" spans="1:35" ht="22.35" customHeight="1">
      <c r="A151" s="1"/>
      <c r="B151" s="3524" t="s">
        <v>148</v>
      </c>
      <c r="C151" s="3453" t="s">
        <v>176</v>
      </c>
      <c r="D151" s="3324"/>
      <c r="E151" s="3324"/>
      <c r="F151" s="3527"/>
      <c r="G151" s="3453" t="s">
        <v>176</v>
      </c>
      <c r="H151" s="3324"/>
      <c r="I151" s="3324"/>
      <c r="J151" s="3527"/>
      <c r="K151" s="3453" t="s">
        <v>176</v>
      </c>
      <c r="L151" s="3324"/>
      <c r="M151" s="3324"/>
      <c r="N151" s="3527"/>
      <c r="O151" s="3453" t="s">
        <v>206</v>
      </c>
      <c r="P151" s="3324"/>
      <c r="Q151" s="3324"/>
      <c r="R151" s="3527"/>
      <c r="S151" s="3453" t="s">
        <v>160</v>
      </c>
      <c r="T151" s="3324"/>
      <c r="U151" s="3324"/>
      <c r="V151" s="3527"/>
      <c r="W151" s="3571"/>
      <c r="X151" s="3572"/>
      <c r="Y151" s="3572"/>
      <c r="Z151" s="3529"/>
      <c r="AA151" s="3525"/>
      <c r="AB151" s="3324"/>
      <c r="AC151" s="3324"/>
      <c r="AD151" s="3454"/>
      <c r="AE151" s="3530"/>
      <c r="AF151" s="3324"/>
      <c r="AG151" s="3324"/>
      <c r="AH151" s="3454"/>
      <c r="AI151" s="3333"/>
    </row>
    <row r="152" spans="1:35" ht="22.35" customHeight="1">
      <c r="A152" s="1"/>
      <c r="B152" s="3524" t="s">
        <v>152</v>
      </c>
      <c r="C152" s="3453" t="s">
        <v>207</v>
      </c>
      <c r="D152" s="3324"/>
      <c r="E152" s="3324"/>
      <c r="F152" s="3527"/>
      <c r="G152" s="3453" t="s">
        <v>207</v>
      </c>
      <c r="H152" s="3324"/>
      <c r="I152" s="3324"/>
      <c r="J152" s="3527"/>
      <c r="K152" s="3453" t="s">
        <v>207</v>
      </c>
      <c r="L152" s="3324"/>
      <c r="M152" s="3324"/>
      <c r="N152" s="3527"/>
      <c r="O152" s="3453" t="s">
        <v>207</v>
      </c>
      <c r="P152" s="3324"/>
      <c r="Q152" s="3324"/>
      <c r="R152" s="3527"/>
      <c r="S152" s="3453" t="s">
        <v>176</v>
      </c>
      <c r="T152" s="3324"/>
      <c r="U152" s="3324"/>
      <c r="V152" s="3527"/>
      <c r="W152" s="3453"/>
      <c r="X152" s="3324"/>
      <c r="Y152" s="3324"/>
      <c r="Z152" s="3527"/>
      <c r="AA152" s="3324"/>
      <c r="AB152" s="3324"/>
      <c r="AC152" s="3324"/>
      <c r="AD152" s="3454"/>
      <c r="AE152" s="3530"/>
      <c r="AF152" s="3324"/>
      <c r="AG152" s="3324"/>
      <c r="AH152" s="3454"/>
      <c r="AI152" s="3333"/>
    </row>
    <row r="153" spans="1:35" ht="22.35" customHeight="1">
      <c r="A153" s="1"/>
      <c r="B153" s="3524" t="s">
        <v>159</v>
      </c>
      <c r="C153" s="3453" t="s">
        <v>207</v>
      </c>
      <c r="D153" s="3324"/>
      <c r="E153" s="3324"/>
      <c r="F153" s="3527"/>
      <c r="G153" s="3453" t="s">
        <v>207</v>
      </c>
      <c r="H153" s="3324"/>
      <c r="I153" s="3324"/>
      <c r="J153" s="3527"/>
      <c r="K153" s="3453" t="s">
        <v>207</v>
      </c>
      <c r="L153" s="3324"/>
      <c r="M153" s="3324"/>
      <c r="N153" s="3527"/>
      <c r="O153" s="3453" t="s">
        <v>207</v>
      </c>
      <c r="P153" s="3324"/>
      <c r="Q153" s="3324"/>
      <c r="R153" s="3527"/>
      <c r="S153" s="3453" t="s">
        <v>207</v>
      </c>
      <c r="T153" s="3324"/>
      <c r="U153" s="3324"/>
      <c r="V153" s="3527"/>
      <c r="W153" s="3455" t="s">
        <v>208</v>
      </c>
      <c r="X153" s="3337"/>
      <c r="Y153" s="3337"/>
      <c r="Z153" s="3534"/>
      <c r="AA153" s="3532"/>
      <c r="AB153" s="3337"/>
      <c r="AC153" s="3337"/>
      <c r="AD153" s="3456"/>
      <c r="AE153" s="3530"/>
      <c r="AF153" s="3324"/>
      <c r="AG153" s="3324"/>
      <c r="AH153" s="3454"/>
      <c r="AI153" s="3333"/>
    </row>
    <row r="154" spans="1:35" ht="22.35" customHeight="1" thickBot="1">
      <c r="A154" s="1"/>
      <c r="B154" s="454" t="s">
        <v>161</v>
      </c>
      <c r="C154" s="3560"/>
      <c r="D154" s="3405"/>
      <c r="E154" s="3405"/>
      <c r="F154" s="3562"/>
      <c r="G154" s="3560"/>
      <c r="H154" s="3405"/>
      <c r="I154" s="3405"/>
      <c r="J154" s="3562"/>
      <c r="K154" s="3560"/>
      <c r="L154" s="3405"/>
      <c r="M154" s="3405"/>
      <c r="N154" s="3562"/>
      <c r="O154" s="3560"/>
      <c r="P154" s="3405"/>
      <c r="Q154" s="3405"/>
      <c r="R154" s="3562"/>
      <c r="S154" s="3560"/>
      <c r="T154" s="3405"/>
      <c r="U154" s="3405"/>
      <c r="V154" s="3545"/>
      <c r="W154" s="3560"/>
      <c r="X154" s="3545"/>
      <c r="Y154" s="3405"/>
      <c r="Z154" s="3562"/>
      <c r="AA154" s="3560"/>
      <c r="AB154" s="3545"/>
      <c r="AC154" s="3405"/>
      <c r="AD154" s="3562"/>
      <c r="AE154" s="3573"/>
      <c r="AF154" s="3405"/>
      <c r="AG154" s="3405"/>
      <c r="AH154" s="3545"/>
      <c r="AI154" s="3412"/>
    </row>
    <row r="155" spans="1:35" ht="22.35" customHeight="1">
      <c r="A155" s="108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>
      <c r="A156" s="3500"/>
      <c r="B156" s="3414" t="s">
        <v>29</v>
      </c>
      <c r="C156" s="3342">
        <v>1</v>
      </c>
      <c r="D156" s="3342">
        <v>2</v>
      </c>
      <c r="E156" s="3342">
        <v>3</v>
      </c>
      <c r="F156" s="3342">
        <v>4</v>
      </c>
      <c r="G156" s="3343">
        <v>5</v>
      </c>
      <c r="H156" s="3343">
        <v>6</v>
      </c>
      <c r="I156" s="3342">
        <v>7</v>
      </c>
      <c r="J156" s="3342">
        <v>8</v>
      </c>
      <c r="K156" s="3342">
        <v>9</v>
      </c>
      <c r="L156" s="3342">
        <v>10</v>
      </c>
      <c r="M156" s="3342">
        <v>11</v>
      </c>
      <c r="N156" s="3343">
        <v>12</v>
      </c>
      <c r="O156" s="3343">
        <v>13</v>
      </c>
      <c r="P156" s="3342">
        <v>14</v>
      </c>
      <c r="Q156" s="3342">
        <v>15</v>
      </c>
      <c r="R156" s="3342">
        <v>16</v>
      </c>
      <c r="S156" s="3342">
        <v>17</v>
      </c>
      <c r="T156" s="3342">
        <v>18</v>
      </c>
      <c r="U156" s="3343">
        <v>19</v>
      </c>
      <c r="V156" s="3343">
        <v>20</v>
      </c>
      <c r="W156" s="3342">
        <v>21</v>
      </c>
      <c r="X156" s="3342">
        <v>22</v>
      </c>
      <c r="Y156" s="3342">
        <v>23</v>
      </c>
      <c r="Z156" s="3342">
        <v>24</v>
      </c>
      <c r="AA156" s="3342">
        <v>25</v>
      </c>
      <c r="AB156" s="3343">
        <v>26</v>
      </c>
      <c r="AC156" s="3343">
        <v>27</v>
      </c>
      <c r="AD156" s="3342">
        <v>28</v>
      </c>
      <c r="AE156" s="3342"/>
      <c r="AF156" s="3342"/>
      <c r="AG156" s="3432"/>
      <c r="AH156" s="176"/>
      <c r="AI156" s="177"/>
    </row>
    <row r="157" spans="1:35" ht="22.35" customHeight="1">
      <c r="A157" s="367">
        <v>1</v>
      </c>
      <c r="B157" s="390" t="s">
        <v>209</v>
      </c>
      <c r="C157" s="350" t="s">
        <v>32</v>
      </c>
      <c r="D157" s="349" t="s">
        <v>32</v>
      </c>
      <c r="E157" s="571" t="s">
        <v>32</v>
      </c>
      <c r="F157" s="539" t="s">
        <v>32</v>
      </c>
      <c r="G157" s="349"/>
      <c r="H157" s="349"/>
      <c r="I157" s="349" t="s">
        <v>32</v>
      </c>
      <c r="J157" s="349" t="s">
        <v>32</v>
      </c>
      <c r="K157" s="349" t="s">
        <v>32</v>
      </c>
      <c r="L157" s="349" t="s">
        <v>32</v>
      </c>
      <c r="M157" s="3355" t="s">
        <v>32</v>
      </c>
      <c r="N157" s="349"/>
      <c r="O157" s="349"/>
      <c r="P157" s="349" t="s">
        <v>32</v>
      </c>
      <c r="Q157" s="349" t="s">
        <v>32</v>
      </c>
      <c r="R157" s="349" t="s">
        <v>32</v>
      </c>
      <c r="S157" s="349" t="s">
        <v>32</v>
      </c>
      <c r="T157" s="539" t="s">
        <v>32</v>
      </c>
      <c r="U157" s="349"/>
      <c r="V157" s="349"/>
      <c r="W157" s="350" t="s">
        <v>32</v>
      </c>
      <c r="X157" s="350" t="s">
        <v>32</v>
      </c>
      <c r="Y157" s="350" t="s">
        <v>32</v>
      </c>
      <c r="Z157" s="349" t="s">
        <v>32</v>
      </c>
      <c r="AA157" s="349" t="s">
        <v>32</v>
      </c>
      <c r="AB157" s="350"/>
      <c r="AC157" s="349"/>
      <c r="AD157" s="351" t="s">
        <v>32</v>
      </c>
      <c r="AE157" s="351"/>
      <c r="AF157" s="351"/>
      <c r="AG157" s="352"/>
      <c r="AH157" s="215"/>
      <c r="AI157" s="182"/>
    </row>
    <row r="158" spans="1:35" ht="22.35" customHeight="1">
      <c r="A158" s="3513">
        <v>2</v>
      </c>
      <c r="B158" s="3574" t="s">
        <v>210</v>
      </c>
      <c r="C158" s="3355" t="s">
        <v>213</v>
      </c>
      <c r="D158" s="3355" t="s">
        <v>213</v>
      </c>
      <c r="E158" s="3355" t="s">
        <v>213</v>
      </c>
      <c r="F158" s="3355" t="s">
        <v>36</v>
      </c>
      <c r="G158" s="3355"/>
      <c r="H158" s="3355"/>
      <c r="I158" s="3355" t="s">
        <v>211</v>
      </c>
      <c r="J158" s="3355" t="s">
        <v>211</v>
      </c>
      <c r="K158" s="3355" t="s">
        <v>211</v>
      </c>
      <c r="L158" s="3355" t="s">
        <v>211</v>
      </c>
      <c r="M158" s="3355" t="s">
        <v>211</v>
      </c>
      <c r="N158" s="3355"/>
      <c r="O158" s="3355"/>
      <c r="P158" s="3367" t="s">
        <v>212</v>
      </c>
      <c r="Q158" s="3367" t="s">
        <v>212</v>
      </c>
      <c r="R158" s="3427" t="s">
        <v>212</v>
      </c>
      <c r="S158" s="3367" t="s">
        <v>212</v>
      </c>
      <c r="T158" s="3367" t="s">
        <v>212</v>
      </c>
      <c r="U158" s="3614" t="s">
        <v>212</v>
      </c>
      <c r="V158" s="3427"/>
      <c r="W158" s="3367" t="s">
        <v>213</v>
      </c>
      <c r="X158" s="3720" t="s">
        <v>213</v>
      </c>
      <c r="Y158" s="3355" t="s">
        <v>213</v>
      </c>
      <c r="Z158" s="3362" t="s">
        <v>455</v>
      </c>
      <c r="AA158" s="3706" t="s">
        <v>36</v>
      </c>
      <c r="AB158" s="3706"/>
      <c r="AC158" s="3706" t="s">
        <v>315</v>
      </c>
      <c r="AD158" s="3355" t="s">
        <v>211</v>
      </c>
      <c r="AE158" s="3355"/>
      <c r="AF158" s="3355"/>
      <c r="AG158" s="3416"/>
      <c r="AH158" s="215"/>
      <c r="AI158" s="182"/>
    </row>
    <row r="159" spans="1:35" ht="22.35" customHeight="1">
      <c r="A159" s="3513">
        <v>3</v>
      </c>
      <c r="B159" s="3575" t="s">
        <v>404</v>
      </c>
      <c r="C159" s="3355" t="s">
        <v>211</v>
      </c>
      <c r="D159" s="3355" t="s">
        <v>211</v>
      </c>
      <c r="E159" s="3355" t="s">
        <v>211</v>
      </c>
      <c r="F159" s="3355" t="s">
        <v>211</v>
      </c>
      <c r="G159" s="3355"/>
      <c r="H159" s="3355"/>
      <c r="I159" s="3355" t="s">
        <v>212</v>
      </c>
      <c r="J159" s="3355" t="s">
        <v>212</v>
      </c>
      <c r="K159" s="3355" t="s">
        <v>212</v>
      </c>
      <c r="L159" s="3355" t="s">
        <v>212</v>
      </c>
      <c r="M159" s="3355" t="s">
        <v>212</v>
      </c>
      <c r="N159" s="3428" t="s">
        <v>212</v>
      </c>
      <c r="O159" s="3355"/>
      <c r="P159" s="3355" t="s">
        <v>213</v>
      </c>
      <c r="Q159" s="3355" t="s">
        <v>213</v>
      </c>
      <c r="R159" s="3355" t="s">
        <v>213</v>
      </c>
      <c r="S159" s="3355" t="s">
        <v>213</v>
      </c>
      <c r="T159" s="3355" t="s">
        <v>36</v>
      </c>
      <c r="U159" s="3355"/>
      <c r="V159" s="3355"/>
      <c r="W159" s="3355" t="s">
        <v>211</v>
      </c>
      <c r="X159" s="3355" t="s">
        <v>211</v>
      </c>
      <c r="Y159" s="3355" t="s">
        <v>211</v>
      </c>
      <c r="Z159" s="3355" t="s">
        <v>211</v>
      </c>
      <c r="AA159" s="3355" t="s">
        <v>211</v>
      </c>
      <c r="AB159" s="3428"/>
      <c r="AC159" s="3428"/>
      <c r="AD159" s="3428" t="s">
        <v>212</v>
      </c>
      <c r="AE159" s="3428"/>
      <c r="AF159" s="3428"/>
      <c r="AG159" s="3416"/>
      <c r="AH159" s="215"/>
      <c r="AI159" s="182"/>
    </row>
    <row r="160" spans="1:35" ht="22.35" customHeight="1">
      <c r="A160" s="3513">
        <v>4</v>
      </c>
      <c r="B160" s="3575" t="s">
        <v>215</v>
      </c>
      <c r="C160" s="3366" t="s">
        <v>125</v>
      </c>
      <c r="D160" s="3366"/>
      <c r="E160" s="3366" t="s">
        <v>315</v>
      </c>
      <c r="F160" s="3427" t="s">
        <v>32</v>
      </c>
      <c r="G160" s="3427" t="s">
        <v>212</v>
      </c>
      <c r="H160" s="3355"/>
      <c r="I160" s="3355"/>
      <c r="J160" s="3355" t="s">
        <v>125</v>
      </c>
      <c r="K160" s="3355" t="s">
        <v>32</v>
      </c>
      <c r="L160" s="3355"/>
      <c r="M160" s="3427" t="s">
        <v>32</v>
      </c>
      <c r="N160" s="3427"/>
      <c r="O160" s="3427"/>
      <c r="P160" s="3427"/>
      <c r="Q160" s="3427" t="s">
        <v>125</v>
      </c>
      <c r="R160" s="3427" t="s">
        <v>32</v>
      </c>
      <c r="S160" s="3427"/>
      <c r="T160" s="3427" t="s">
        <v>32</v>
      </c>
      <c r="U160" s="3352"/>
      <c r="V160" s="3355"/>
      <c r="W160" s="3355"/>
      <c r="X160" s="3362" t="s">
        <v>125</v>
      </c>
      <c r="Y160" s="3362"/>
      <c r="Z160" s="3362"/>
      <c r="AA160" s="3362" t="s">
        <v>278</v>
      </c>
      <c r="AB160" s="3733" t="s">
        <v>212</v>
      </c>
      <c r="AC160" s="3355"/>
      <c r="AD160" s="3355"/>
      <c r="AE160" s="3355"/>
      <c r="AF160" s="3355"/>
      <c r="AG160" s="3416"/>
      <c r="AH160" s="215"/>
      <c r="AI160" s="182"/>
    </row>
    <row r="161" spans="1:35" ht="22.35" customHeight="1" thickBot="1">
      <c r="A161" s="3513">
        <v>5</v>
      </c>
      <c r="B161" s="3575" t="s">
        <v>216</v>
      </c>
      <c r="C161" s="3355"/>
      <c r="D161" s="3355"/>
      <c r="E161" s="3355" t="s">
        <v>32</v>
      </c>
      <c r="F161" s="3355"/>
      <c r="G161" s="3355"/>
      <c r="H161" s="3355"/>
      <c r="I161" s="3355" t="s">
        <v>125</v>
      </c>
      <c r="J161" s="3355"/>
      <c r="K161" s="3355"/>
      <c r="L161" s="3355" t="s">
        <v>32</v>
      </c>
      <c r="M161" s="3355"/>
      <c r="N161" s="3355"/>
      <c r="O161" s="3355"/>
      <c r="P161" s="3355" t="s">
        <v>125</v>
      </c>
      <c r="Q161" s="3355"/>
      <c r="R161" s="3355"/>
      <c r="S161" s="3355" t="s">
        <v>32</v>
      </c>
      <c r="T161" s="3355"/>
      <c r="U161" s="3355"/>
      <c r="V161" s="3355"/>
      <c r="W161" s="3355" t="s">
        <v>125</v>
      </c>
      <c r="X161" s="3355"/>
      <c r="Y161" s="3355"/>
      <c r="Z161" s="3355" t="s">
        <v>32</v>
      </c>
      <c r="AA161" s="3355"/>
      <c r="AB161" s="3355"/>
      <c r="AC161" s="3355"/>
      <c r="AD161" s="3355" t="s">
        <v>125</v>
      </c>
      <c r="AE161" s="3355"/>
      <c r="AF161" s="3355"/>
      <c r="AG161" s="3416"/>
      <c r="AH161" s="215"/>
      <c r="AI161" s="182"/>
    </row>
    <row r="162" spans="1:35" ht="22.35" customHeight="1">
      <c r="A162" s="3513">
        <v>6</v>
      </c>
      <c r="B162" s="3359" t="s">
        <v>217</v>
      </c>
      <c r="C162" s="3355" t="s">
        <v>32</v>
      </c>
      <c r="D162" s="3355" t="s">
        <v>32</v>
      </c>
      <c r="E162" s="571" t="s">
        <v>32</v>
      </c>
      <c r="F162" s="3355" t="s">
        <v>32</v>
      </c>
      <c r="G162" s="3355"/>
      <c r="H162" s="3355"/>
      <c r="I162" s="3355" t="s">
        <v>32</v>
      </c>
      <c r="J162" s="3356" t="s">
        <v>32</v>
      </c>
      <c r="K162" s="3355" t="s">
        <v>32</v>
      </c>
      <c r="L162" s="3355" t="s">
        <v>32</v>
      </c>
      <c r="M162" s="3355" t="s">
        <v>32</v>
      </c>
      <c r="N162" s="3355"/>
      <c r="O162" s="3355"/>
      <c r="P162" s="3355" t="s">
        <v>32</v>
      </c>
      <c r="Q162" s="3355" t="s">
        <v>32</v>
      </c>
      <c r="R162" s="3355" t="s">
        <v>32</v>
      </c>
      <c r="S162" s="3355" t="s">
        <v>32</v>
      </c>
      <c r="T162" s="3352" t="s">
        <v>32</v>
      </c>
      <c r="U162" s="3352"/>
      <c r="V162" s="3352"/>
      <c r="W162" s="3352" t="s">
        <v>32</v>
      </c>
      <c r="X162" s="3352" t="s">
        <v>32</v>
      </c>
      <c r="Y162" s="3355" t="s">
        <v>32</v>
      </c>
      <c r="Z162" s="3355" t="s">
        <v>32</v>
      </c>
      <c r="AA162" s="3355" t="s">
        <v>32</v>
      </c>
      <c r="AB162" s="3355"/>
      <c r="AC162" s="3355"/>
      <c r="AD162" s="3355" t="s">
        <v>32</v>
      </c>
      <c r="AE162" s="3355"/>
      <c r="AF162" s="3355"/>
      <c r="AG162" s="3416"/>
      <c r="AH162" s="201"/>
      <c r="AI162" s="107"/>
    </row>
    <row r="163" spans="1:35" ht="22.35" customHeight="1" thickBot="1">
      <c r="A163" s="3518"/>
      <c r="B163" s="3418"/>
      <c r="C163" s="3342"/>
      <c r="D163" s="3342"/>
      <c r="E163" s="3342"/>
      <c r="F163" s="3342"/>
      <c r="G163" s="3342"/>
      <c r="H163" s="3342"/>
      <c r="I163" s="3342"/>
      <c r="J163" s="3342"/>
      <c r="K163" s="3342"/>
      <c r="L163" s="3342"/>
      <c r="M163" s="3342"/>
      <c r="N163" s="3342"/>
      <c r="O163" s="3342"/>
      <c r="P163" s="3342"/>
      <c r="Q163" s="3342"/>
      <c r="R163" s="3342"/>
      <c r="S163" s="3342"/>
      <c r="T163" s="3342"/>
      <c r="U163" s="3342"/>
      <c r="V163" s="3342"/>
      <c r="W163" s="3342"/>
      <c r="X163" s="3342"/>
      <c r="Y163" s="3342"/>
      <c r="Z163" s="3342"/>
      <c r="AA163" s="3342"/>
      <c r="AB163" s="3342"/>
      <c r="AC163" s="3342"/>
      <c r="AD163" s="3342"/>
      <c r="AE163" s="3342"/>
      <c r="AF163" s="3342"/>
      <c r="AG163" s="3432"/>
      <c r="AH163" s="107"/>
      <c r="AI163" s="107"/>
    </row>
    <row r="164" spans="1:35" ht="22.35" customHeight="1">
      <c r="A164" s="212"/>
      <c r="B164" s="210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107"/>
      <c r="AI164" s="107"/>
    </row>
    <row r="165" spans="1:35" ht="22.35" customHeight="1">
      <c r="A165" s="212"/>
      <c r="B165" s="210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107"/>
      <c r="AI165" s="107"/>
    </row>
    <row r="166" spans="1:35" ht="22.35" customHeight="1" thickBot="1">
      <c r="A166" s="150" t="s">
        <v>218</v>
      </c>
      <c r="B166" s="72"/>
      <c r="C166" s="106" t="s">
        <v>219</v>
      </c>
      <c r="D166" s="72"/>
      <c r="E166" s="72"/>
      <c r="F166" s="106" t="s">
        <v>219</v>
      </c>
      <c r="G166" s="72"/>
      <c r="H166" s="72"/>
      <c r="I166" s="106" t="s">
        <v>219</v>
      </c>
      <c r="J166" s="106"/>
      <c r="K166" s="72"/>
      <c r="L166" s="106" t="s">
        <v>219</v>
      </c>
      <c r="M166" s="72"/>
      <c r="N166" s="72"/>
      <c r="O166" s="106" t="s">
        <v>219</v>
      </c>
      <c r="P166" s="72"/>
      <c r="Q166" s="106"/>
      <c r="R166" s="106" t="s">
        <v>219</v>
      </c>
      <c r="S166" s="72"/>
      <c r="T166" s="72"/>
      <c r="U166" s="106" t="s">
        <v>219</v>
      </c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>
      <c r="A167" s="109"/>
      <c r="B167" s="239" t="s">
        <v>220</v>
      </c>
      <c r="C167" s="240"/>
      <c r="D167" s="241" t="s">
        <v>94</v>
      </c>
      <c r="E167" s="242"/>
      <c r="F167" s="243"/>
      <c r="G167" s="244"/>
      <c r="H167" s="241" t="s">
        <v>95</v>
      </c>
      <c r="I167" s="242"/>
      <c r="J167" s="243"/>
      <c r="K167" s="244"/>
      <c r="L167" s="241" t="s">
        <v>96</v>
      </c>
      <c r="M167" s="242"/>
      <c r="N167" s="243"/>
      <c r="O167" s="244"/>
      <c r="P167" s="241" t="s">
        <v>97</v>
      </c>
      <c r="Q167" s="242"/>
      <c r="R167" s="243"/>
      <c r="S167" s="244"/>
      <c r="T167" s="241" t="s">
        <v>98</v>
      </c>
      <c r="U167" s="242"/>
      <c r="V167" s="243"/>
      <c r="W167" s="244"/>
      <c r="X167" s="241" t="s">
        <v>99</v>
      </c>
      <c r="Y167" s="242"/>
      <c r="Z167" s="243"/>
      <c r="AA167" s="244"/>
      <c r="AB167" s="241" t="s">
        <v>100</v>
      </c>
      <c r="AC167" s="242"/>
      <c r="AD167" s="242"/>
      <c r="AE167" s="245"/>
      <c r="AF167" s="242"/>
      <c r="AG167" s="242"/>
      <c r="AH167" s="242"/>
      <c r="AI167" s="246"/>
    </row>
    <row r="168" spans="1:35" ht="22.35" customHeight="1">
      <c r="A168" s="109"/>
      <c r="B168" s="3196" t="s">
        <v>221</v>
      </c>
      <c r="C168" s="3197" t="s">
        <v>113</v>
      </c>
      <c r="D168" s="3578" t="s">
        <v>222</v>
      </c>
      <c r="E168" s="3579"/>
      <c r="F168" s="3580"/>
      <c r="G168" s="3201"/>
      <c r="H168" s="3578" t="s">
        <v>222</v>
      </c>
      <c r="I168" s="3579"/>
      <c r="J168" s="3580"/>
      <c r="K168" s="3201"/>
      <c r="L168" s="3578" t="s">
        <v>222</v>
      </c>
      <c r="M168" s="3579"/>
      <c r="N168" s="3580"/>
      <c r="O168" s="3201"/>
      <c r="P168" s="3578" t="s">
        <v>223</v>
      </c>
      <c r="Q168" s="3579"/>
      <c r="R168" s="3580"/>
      <c r="S168" s="3201"/>
      <c r="T168" s="3578" t="s">
        <v>224</v>
      </c>
      <c r="U168" s="3580"/>
      <c r="V168" s="3580"/>
      <c r="W168" s="3202"/>
      <c r="X168" s="3581"/>
      <c r="Y168" s="3581"/>
      <c r="Z168" s="3582"/>
      <c r="AA168" s="3202"/>
      <c r="AB168" s="3581"/>
      <c r="AC168" s="3581"/>
      <c r="AD168" s="3581"/>
      <c r="AE168" s="3202"/>
      <c r="AF168" s="3581"/>
      <c r="AG168" s="3581"/>
      <c r="AH168" s="3583"/>
      <c r="AI168" s="3206"/>
    </row>
    <row r="169" spans="1:35" ht="22.35" customHeight="1">
      <c r="A169" s="109"/>
      <c r="B169" s="3196" t="s">
        <v>221</v>
      </c>
      <c r="C169" s="3197" t="s">
        <v>118</v>
      </c>
      <c r="D169" s="3578" t="s">
        <v>222</v>
      </c>
      <c r="E169" s="3579"/>
      <c r="F169" s="3580"/>
      <c r="G169" s="3201"/>
      <c r="H169" s="3578" t="s">
        <v>222</v>
      </c>
      <c r="I169" s="3579"/>
      <c r="J169" s="3580"/>
      <c r="K169" s="3201"/>
      <c r="L169" s="3578" t="s">
        <v>222</v>
      </c>
      <c r="M169" s="3579"/>
      <c r="N169" s="3580"/>
      <c r="O169" s="3201"/>
      <c r="P169" s="3578" t="s">
        <v>223</v>
      </c>
      <c r="Q169" s="3579"/>
      <c r="R169" s="3580"/>
      <c r="S169" s="3201"/>
      <c r="T169" s="3578" t="s">
        <v>224</v>
      </c>
      <c r="U169" s="3580"/>
      <c r="V169" s="3580"/>
      <c r="W169" s="3202"/>
      <c r="X169" s="3581"/>
      <c r="Y169" s="3581"/>
      <c r="Z169" s="3582"/>
      <c r="AA169" s="3202"/>
      <c r="AB169" s="3581"/>
      <c r="AC169" s="3581"/>
      <c r="AD169" s="3581"/>
      <c r="AE169" s="3202"/>
      <c r="AF169" s="3581"/>
      <c r="AG169" s="3581"/>
      <c r="AH169" s="3583"/>
      <c r="AI169" s="3206"/>
    </row>
    <row r="170" spans="1:35" ht="22.35" customHeight="1">
      <c r="A170" s="109"/>
      <c r="B170" s="3196" t="s">
        <v>225</v>
      </c>
      <c r="C170" s="3197" t="s">
        <v>126</v>
      </c>
      <c r="D170" s="3578" t="s">
        <v>222</v>
      </c>
      <c r="E170" s="3579"/>
      <c r="F170" s="3580"/>
      <c r="G170" s="3201"/>
      <c r="H170" s="3578" t="s">
        <v>222</v>
      </c>
      <c r="I170" s="3579"/>
      <c r="J170" s="3580"/>
      <c r="K170" s="3201"/>
      <c r="L170" s="3578" t="s">
        <v>222</v>
      </c>
      <c r="M170" s="3579"/>
      <c r="N170" s="3580"/>
      <c r="O170" s="3201"/>
      <c r="P170" s="3578" t="s">
        <v>223</v>
      </c>
      <c r="Q170" s="3579"/>
      <c r="R170" s="3580"/>
      <c r="S170" s="3201"/>
      <c r="T170" s="3578" t="s">
        <v>224</v>
      </c>
      <c r="U170" s="3580"/>
      <c r="V170" s="3580"/>
      <c r="W170" s="3202"/>
      <c r="X170" s="3581"/>
      <c r="Y170" s="3581"/>
      <c r="Z170" s="3582"/>
      <c r="AA170" s="3202"/>
      <c r="AB170" s="3581"/>
      <c r="AC170" s="3581"/>
      <c r="AD170" s="3581"/>
      <c r="AE170" s="3202"/>
      <c r="AF170" s="3581"/>
      <c r="AG170" s="3581"/>
      <c r="AH170" s="3583"/>
      <c r="AI170" s="3206"/>
    </row>
    <row r="171" spans="1:35" ht="22.35" customHeight="1">
      <c r="A171" s="109"/>
      <c r="B171" s="3196" t="s">
        <v>226</v>
      </c>
      <c r="C171" s="3197" t="s">
        <v>50</v>
      </c>
      <c r="D171" s="3578" t="s">
        <v>222</v>
      </c>
      <c r="E171" s="3579"/>
      <c r="F171" s="3580"/>
      <c r="G171" s="3201"/>
      <c r="H171" s="3578" t="s">
        <v>222</v>
      </c>
      <c r="I171" s="3579"/>
      <c r="J171" s="3580"/>
      <c r="K171" s="3201"/>
      <c r="L171" s="3578" t="s">
        <v>222</v>
      </c>
      <c r="M171" s="3579"/>
      <c r="N171" s="3580"/>
      <c r="O171" s="3201"/>
      <c r="P171" s="3578" t="s">
        <v>223</v>
      </c>
      <c r="Q171" s="3579"/>
      <c r="R171" s="3580"/>
      <c r="S171" s="3201"/>
      <c r="T171" s="3578" t="s">
        <v>224</v>
      </c>
      <c r="U171" s="3580"/>
      <c r="V171" s="3580"/>
      <c r="W171" s="3202"/>
      <c r="X171" s="3581"/>
      <c r="Y171" s="3581"/>
      <c r="Z171" s="3582"/>
      <c r="AA171" s="3202"/>
      <c r="AB171" s="3581"/>
      <c r="AC171" s="3581"/>
      <c r="AD171" s="3581"/>
      <c r="AE171" s="3202"/>
      <c r="AF171" s="3581"/>
      <c r="AG171" s="3581"/>
      <c r="AH171" s="3583"/>
      <c r="AI171" s="3206"/>
    </row>
    <row r="172" spans="1:35" ht="22.35" customHeight="1">
      <c r="A172" s="109"/>
      <c r="B172" s="3196" t="s">
        <v>231</v>
      </c>
      <c r="C172" s="3197" t="s">
        <v>115</v>
      </c>
      <c r="D172" s="3578" t="s">
        <v>232</v>
      </c>
      <c r="E172" s="3579"/>
      <c r="F172" s="3580"/>
      <c r="G172" s="3201"/>
      <c r="H172" s="3578" t="s">
        <v>232</v>
      </c>
      <c r="I172" s="3579"/>
      <c r="J172" s="3580"/>
      <c r="K172" s="3201"/>
      <c r="L172" s="3578" t="s">
        <v>233</v>
      </c>
      <c r="M172" s="3579"/>
      <c r="N172" s="3580"/>
      <c r="O172" s="3201"/>
      <c r="P172" s="3578" t="s">
        <v>234</v>
      </c>
      <c r="Q172" s="3579"/>
      <c r="R172" s="3580"/>
      <c r="S172" s="3201"/>
      <c r="T172" s="3578" t="s">
        <v>235</v>
      </c>
      <c r="U172" s="3580"/>
      <c r="V172" s="3580"/>
      <c r="W172" s="3202"/>
      <c r="X172" s="3581"/>
      <c r="Y172" s="3581"/>
      <c r="Z172" s="3582"/>
      <c r="AA172" s="3202"/>
      <c r="AB172" s="3581"/>
      <c r="AC172" s="3581"/>
      <c r="AD172" s="3581"/>
      <c r="AE172" s="3202"/>
      <c r="AF172" s="3581"/>
      <c r="AG172" s="3581"/>
      <c r="AH172" s="3583"/>
      <c r="AI172" s="3206"/>
    </row>
    <row r="173" spans="1:35" ht="22.35" customHeight="1">
      <c r="A173" s="109"/>
      <c r="B173" s="3196" t="s">
        <v>236</v>
      </c>
      <c r="C173" s="3197" t="s">
        <v>132</v>
      </c>
      <c r="D173" s="3578" t="s">
        <v>222</v>
      </c>
      <c r="E173" s="3579"/>
      <c r="F173" s="3580"/>
      <c r="G173" s="3201"/>
      <c r="H173" s="3578" t="s">
        <v>222</v>
      </c>
      <c r="I173" s="3579"/>
      <c r="J173" s="3580"/>
      <c r="K173" s="3201"/>
      <c r="L173" s="3578" t="s">
        <v>222</v>
      </c>
      <c r="M173" s="3579"/>
      <c r="N173" s="3580"/>
      <c r="O173" s="3201"/>
      <c r="P173" s="3578" t="s">
        <v>222</v>
      </c>
      <c r="Q173" s="3579"/>
      <c r="R173" s="3580"/>
      <c r="S173" s="3201"/>
      <c r="T173" s="3578" t="s">
        <v>232</v>
      </c>
      <c r="U173" s="3580"/>
      <c r="V173" s="3580"/>
      <c r="W173" s="3202"/>
      <c r="X173" s="3581"/>
      <c r="Y173" s="3581"/>
      <c r="Z173" s="3582"/>
      <c r="AA173" s="3202"/>
      <c r="AB173" s="3581"/>
      <c r="AC173" s="3581"/>
      <c r="AD173" s="3581"/>
      <c r="AE173" s="3202"/>
      <c r="AF173" s="3581"/>
      <c r="AG173" s="3581"/>
      <c r="AH173" s="3583"/>
      <c r="AI173" s="3206"/>
    </row>
    <row r="174" spans="1:35" ht="22.35" customHeight="1">
      <c r="A174" s="109"/>
      <c r="B174" s="3196" t="s">
        <v>237</v>
      </c>
      <c r="C174" s="3197" t="s">
        <v>135</v>
      </c>
      <c r="D174" s="3578" t="s">
        <v>222</v>
      </c>
      <c r="E174" s="3579"/>
      <c r="F174" s="3580"/>
      <c r="G174" s="3201"/>
      <c r="H174" s="3578" t="s">
        <v>222</v>
      </c>
      <c r="I174" s="3579"/>
      <c r="J174" s="3580"/>
      <c r="K174" s="3201"/>
      <c r="L174" s="3578" t="s">
        <v>222</v>
      </c>
      <c r="M174" s="3579"/>
      <c r="N174" s="3580"/>
      <c r="O174" s="3201"/>
      <c r="P174" s="3578" t="s">
        <v>223</v>
      </c>
      <c r="Q174" s="3579"/>
      <c r="R174" s="3580"/>
      <c r="S174" s="3201"/>
      <c r="T174" s="3578" t="s">
        <v>224</v>
      </c>
      <c r="U174" s="3580"/>
      <c r="V174" s="3580"/>
      <c r="W174" s="3202"/>
      <c r="X174" s="3581"/>
      <c r="Y174" s="3581"/>
      <c r="Z174" s="3582"/>
      <c r="AA174" s="3202"/>
      <c r="AB174" s="3581"/>
      <c r="AC174" s="3581"/>
      <c r="AD174" s="3581"/>
      <c r="AE174" s="3202"/>
      <c r="AF174" s="3581"/>
      <c r="AG174" s="3581"/>
      <c r="AH174" s="3583"/>
      <c r="AI174" s="3206"/>
    </row>
    <row r="175" spans="1:35" ht="22.35" customHeight="1">
      <c r="A175" s="109"/>
      <c r="B175" s="3196" t="s">
        <v>237</v>
      </c>
      <c r="C175" s="3197" t="s">
        <v>52</v>
      </c>
      <c r="D175" s="3578" t="s">
        <v>222</v>
      </c>
      <c r="E175" s="3579"/>
      <c r="F175" s="3580"/>
      <c r="G175" s="3201"/>
      <c r="H175" s="3578" t="s">
        <v>222</v>
      </c>
      <c r="I175" s="3579"/>
      <c r="J175" s="3580"/>
      <c r="K175" s="3201"/>
      <c r="L175" s="3578" t="s">
        <v>222</v>
      </c>
      <c r="M175" s="3579"/>
      <c r="N175" s="3580"/>
      <c r="O175" s="3201"/>
      <c r="P175" s="3578" t="s">
        <v>223</v>
      </c>
      <c r="Q175" s="3579"/>
      <c r="R175" s="3580"/>
      <c r="S175" s="3201"/>
      <c r="T175" s="3578" t="s">
        <v>224</v>
      </c>
      <c r="U175" s="3580"/>
      <c r="V175" s="3580"/>
      <c r="W175" s="3202"/>
      <c r="X175" s="3581"/>
      <c r="Y175" s="3581"/>
      <c r="Z175" s="3582"/>
      <c r="AA175" s="3202"/>
      <c r="AB175" s="3581"/>
      <c r="AC175" s="3581"/>
      <c r="AD175" s="3581"/>
      <c r="AE175" s="3202"/>
      <c r="AF175" s="3581"/>
      <c r="AG175" s="3581"/>
      <c r="AH175" s="3583"/>
      <c r="AI175" s="3206"/>
    </row>
    <row r="176" spans="1:35" ht="22.35" customHeight="1">
      <c r="A176" s="109"/>
      <c r="B176" s="3196" t="s">
        <v>238</v>
      </c>
      <c r="C176" s="3197" t="s">
        <v>141</v>
      </c>
      <c r="D176" s="3578" t="s">
        <v>222</v>
      </c>
      <c r="E176" s="3579"/>
      <c r="F176" s="3580"/>
      <c r="G176" s="3201"/>
      <c r="H176" s="3578" t="s">
        <v>222</v>
      </c>
      <c r="I176" s="3579"/>
      <c r="J176" s="3580"/>
      <c r="K176" s="3201"/>
      <c r="L176" s="3578" t="s">
        <v>222</v>
      </c>
      <c r="M176" s="3579"/>
      <c r="N176" s="3580"/>
      <c r="O176" s="3201"/>
      <c r="P176" s="3578" t="s">
        <v>239</v>
      </c>
      <c r="Q176" s="3579"/>
      <c r="R176" s="3580"/>
      <c r="S176" s="3201"/>
      <c r="T176" s="3578" t="s">
        <v>235</v>
      </c>
      <c r="U176" s="3580"/>
      <c r="V176" s="3580"/>
      <c r="W176" s="3202"/>
      <c r="X176" s="3581"/>
      <c r="Y176" s="3581"/>
      <c r="Z176" s="3582"/>
      <c r="AA176" s="3202"/>
      <c r="AB176" s="3581"/>
      <c r="AC176" s="3581"/>
      <c r="AD176" s="3581"/>
      <c r="AE176" s="3202"/>
      <c r="AF176" s="3581"/>
      <c r="AG176" s="3581"/>
      <c r="AH176" s="3583"/>
      <c r="AI176" s="3206"/>
    </row>
    <row r="177" spans="1:36" ht="22.35" customHeight="1">
      <c r="A177" s="109"/>
      <c r="B177" s="3584" t="s">
        <v>240</v>
      </c>
      <c r="C177" s="3208" t="s">
        <v>124</v>
      </c>
      <c r="D177" s="3209" t="s">
        <v>222</v>
      </c>
      <c r="E177" s="3210"/>
      <c r="F177" s="3211"/>
      <c r="G177" s="3212"/>
      <c r="H177" s="3209" t="s">
        <v>222</v>
      </c>
      <c r="I177" s="3210"/>
      <c r="J177" s="3211"/>
      <c r="K177" s="3212"/>
      <c r="L177" s="3209" t="s">
        <v>222</v>
      </c>
      <c r="M177" s="3210"/>
      <c r="N177" s="3211"/>
      <c r="O177" s="3212"/>
      <c r="P177" s="3209" t="s">
        <v>223</v>
      </c>
      <c r="Q177" s="3210"/>
      <c r="R177" s="3211"/>
      <c r="S177" s="3212"/>
      <c r="T177" s="3209" t="s">
        <v>224</v>
      </c>
      <c r="U177" s="3211"/>
      <c r="V177" s="3213"/>
      <c r="W177" s="3585"/>
      <c r="X177" s="3215"/>
      <c r="Y177" s="3215"/>
      <c r="Z177" s="3213"/>
      <c r="AA177" s="3585"/>
      <c r="AB177" s="3215"/>
      <c r="AC177" s="3215"/>
      <c r="AD177" s="3215"/>
      <c r="AE177" s="3585"/>
      <c r="AF177" s="3215"/>
      <c r="AG177" s="3215"/>
      <c r="AH177" s="3216"/>
      <c r="AI177" s="3217"/>
      <c r="AJ177" s="200"/>
    </row>
    <row r="178" spans="1:36" ht="22.35" customHeight="1">
      <c r="A178" s="109"/>
      <c r="B178" s="3196" t="s">
        <v>241</v>
      </c>
      <c r="C178" s="3197" t="s">
        <v>242</v>
      </c>
      <c r="D178" s="3578" t="s">
        <v>222</v>
      </c>
      <c r="E178" s="3579"/>
      <c r="F178" s="3580"/>
      <c r="G178" s="3201"/>
      <c r="H178" s="3578" t="s">
        <v>222</v>
      </c>
      <c r="I178" s="3579"/>
      <c r="J178" s="3580"/>
      <c r="K178" s="3201"/>
      <c r="L178" s="3578" t="s">
        <v>222</v>
      </c>
      <c r="M178" s="3579"/>
      <c r="N178" s="3580"/>
      <c r="O178" s="3201"/>
      <c r="P178" s="3578" t="s">
        <v>223</v>
      </c>
      <c r="Q178" s="3579"/>
      <c r="R178" s="3580"/>
      <c r="S178" s="3201"/>
      <c r="T178" s="3578" t="s">
        <v>224</v>
      </c>
      <c r="U178" s="3580"/>
      <c r="V178" s="3579"/>
      <c r="W178" s="3202"/>
      <c r="X178" s="3581"/>
      <c r="Y178" s="3581"/>
      <c r="Z178" s="3581"/>
      <c r="AA178" s="3202"/>
      <c r="AB178" s="3581"/>
      <c r="AC178" s="3581"/>
      <c r="AD178" s="3581"/>
      <c r="AE178" s="3202"/>
      <c r="AF178" s="3581"/>
      <c r="AG178" s="3581"/>
      <c r="AH178" s="3583"/>
      <c r="AI178" s="3206"/>
      <c r="AJ178" s="200"/>
    </row>
    <row r="179" spans="1:36" ht="22.35" customHeight="1">
      <c r="A179" s="109"/>
      <c r="B179" s="3196" t="s">
        <v>243</v>
      </c>
      <c r="C179" s="3197" t="s">
        <v>122</v>
      </c>
      <c r="D179" s="3578" t="s">
        <v>244</v>
      </c>
      <c r="E179" s="3579"/>
      <c r="F179" s="3580"/>
      <c r="G179" s="3201"/>
      <c r="H179" s="3578" t="s">
        <v>244</v>
      </c>
      <c r="I179" s="3579"/>
      <c r="J179" s="3580"/>
      <c r="K179" s="3201"/>
      <c r="L179" s="3578" t="s">
        <v>244</v>
      </c>
      <c r="M179" s="3579"/>
      <c r="N179" s="3579"/>
      <c r="O179" s="3201"/>
      <c r="P179" s="3578" t="s">
        <v>244</v>
      </c>
      <c r="Q179" s="3579"/>
      <c r="R179" s="3579"/>
      <c r="S179" s="3201"/>
      <c r="T179" s="3578" t="s">
        <v>235</v>
      </c>
      <c r="U179" s="3580"/>
      <c r="V179" s="3579"/>
      <c r="W179" s="3218"/>
      <c r="X179" s="3581"/>
      <c r="Y179" s="3581"/>
      <c r="Z179" s="3581"/>
      <c r="AA179" s="3202"/>
      <c r="AB179" s="3581"/>
      <c r="AC179" s="3581"/>
      <c r="AD179" s="3581"/>
      <c r="AE179" s="3202"/>
      <c r="AF179" s="3581"/>
      <c r="AG179" s="3581"/>
      <c r="AH179" s="3583"/>
      <c r="AI179" s="3206"/>
      <c r="AJ179" s="200"/>
    </row>
    <row r="180" spans="1:36" ht="22.35" customHeight="1">
      <c r="A180" s="109"/>
      <c r="B180" s="3196" t="s">
        <v>245</v>
      </c>
      <c r="C180" s="3197" t="s">
        <v>246</v>
      </c>
      <c r="D180" s="3578" t="s">
        <v>244</v>
      </c>
      <c r="E180" s="3579"/>
      <c r="F180" s="3580"/>
      <c r="G180" s="3201"/>
      <c r="H180" s="3578" t="s">
        <v>244</v>
      </c>
      <c r="I180" s="3579"/>
      <c r="J180" s="3580"/>
      <c r="K180" s="3201"/>
      <c r="L180" s="3578" t="s">
        <v>244</v>
      </c>
      <c r="M180" s="3579"/>
      <c r="N180" s="3579"/>
      <c r="O180" s="3201"/>
      <c r="P180" s="3578" t="s">
        <v>244</v>
      </c>
      <c r="Q180" s="3579"/>
      <c r="R180" s="3579"/>
      <c r="S180" s="3201"/>
      <c r="T180" s="3578" t="s">
        <v>235</v>
      </c>
      <c r="U180" s="3580"/>
      <c r="V180" s="3579"/>
      <c r="W180" s="3218"/>
      <c r="X180" s="3581"/>
      <c r="Y180" s="3581"/>
      <c r="Z180" s="3582"/>
      <c r="AA180" s="3219"/>
      <c r="AB180" s="3581"/>
      <c r="AC180" s="3581"/>
      <c r="AD180" s="3581"/>
      <c r="AE180" s="3202"/>
      <c r="AF180" s="3581"/>
      <c r="AG180" s="3581"/>
      <c r="AH180" s="3583"/>
      <c r="AI180" s="3206"/>
      <c r="AJ180" s="200"/>
    </row>
    <row r="181" spans="1:36" ht="22.35" customHeight="1" thickBot="1">
      <c r="A181" s="109"/>
      <c r="B181" s="1100" t="s">
        <v>247</v>
      </c>
      <c r="C181" s="1101" t="s">
        <v>127</v>
      </c>
      <c r="D181" s="3220" t="s">
        <v>244</v>
      </c>
      <c r="E181" s="3221"/>
      <c r="F181" s="1104"/>
      <c r="G181" s="1105"/>
      <c r="H181" s="3220" t="s">
        <v>244</v>
      </c>
      <c r="I181" s="3221"/>
      <c r="J181" s="1104"/>
      <c r="K181" s="1105"/>
      <c r="L181" s="3220" t="s">
        <v>244</v>
      </c>
      <c r="M181" s="3221"/>
      <c r="N181" s="3221"/>
      <c r="O181" s="1105"/>
      <c r="P181" s="3220" t="s">
        <v>244</v>
      </c>
      <c r="Q181" s="3221"/>
      <c r="R181" s="3221"/>
      <c r="S181" s="1105"/>
      <c r="T181" s="3220" t="s">
        <v>235</v>
      </c>
      <c r="U181" s="1104"/>
      <c r="V181" s="3221"/>
      <c r="W181" s="1106"/>
      <c r="X181" s="3222"/>
      <c r="Y181" s="3222"/>
      <c r="Z181" s="1108"/>
      <c r="AA181" s="3223"/>
      <c r="AB181" s="3222"/>
      <c r="AC181" s="3222"/>
      <c r="AD181" s="3222"/>
      <c r="AE181" s="1110"/>
      <c r="AF181" s="3222"/>
      <c r="AG181" s="3222"/>
      <c r="AH181" s="3224"/>
      <c r="AI181" s="1112"/>
      <c r="AJ181" s="200"/>
    </row>
    <row r="182" spans="1:36" ht="22.35" customHeight="1">
      <c r="A182" s="109"/>
      <c r="B182" s="218"/>
      <c r="C182" s="219"/>
      <c r="D182" s="220"/>
      <c r="E182" s="221"/>
      <c r="F182" s="221"/>
      <c r="G182" s="222"/>
      <c r="H182" s="220"/>
      <c r="I182" s="221"/>
      <c r="J182" s="221"/>
      <c r="K182" s="222"/>
      <c r="L182" s="220"/>
      <c r="M182" s="221"/>
      <c r="N182" s="221"/>
      <c r="O182" s="222"/>
      <c r="P182" s="210"/>
      <c r="Q182" s="221"/>
      <c r="R182" s="221"/>
      <c r="S182" s="222"/>
      <c r="T182" s="210"/>
      <c r="U182" s="221"/>
      <c r="V182" s="221"/>
      <c r="W182" s="221"/>
      <c r="X182" s="221"/>
      <c r="Y182" s="221"/>
      <c r="Z182" s="221"/>
      <c r="AA182" s="222"/>
      <c r="AB182" s="221"/>
      <c r="AC182" s="221"/>
      <c r="AD182" s="221"/>
      <c r="AE182" s="222"/>
      <c r="AF182" s="221"/>
      <c r="AG182" s="221"/>
      <c r="AH182" s="201"/>
      <c r="AI182" s="201"/>
      <c r="AJ182" s="200"/>
    </row>
    <row r="183" spans="1:36" ht="22.35" customHeight="1" thickBot="1">
      <c r="A183" s="148"/>
      <c r="B183" s="3225" t="s">
        <v>29</v>
      </c>
      <c r="C183" s="3342">
        <v>1</v>
      </c>
      <c r="D183" s="3342">
        <v>2</v>
      </c>
      <c r="E183" s="3342">
        <v>3</v>
      </c>
      <c r="F183" s="3342">
        <v>4</v>
      </c>
      <c r="G183" s="3343">
        <v>5</v>
      </c>
      <c r="H183" s="3343">
        <v>6</v>
      </c>
      <c r="I183" s="3342">
        <v>7</v>
      </c>
      <c r="J183" s="3342">
        <v>8</v>
      </c>
      <c r="K183" s="3342">
        <v>9</v>
      </c>
      <c r="L183" s="3342">
        <v>10</v>
      </c>
      <c r="M183" s="3342">
        <v>11</v>
      </c>
      <c r="N183" s="3343">
        <v>12</v>
      </c>
      <c r="O183" s="3343">
        <v>13</v>
      </c>
      <c r="P183" s="3342">
        <v>14</v>
      </c>
      <c r="Q183" s="3342">
        <v>15</v>
      </c>
      <c r="R183" s="3342">
        <v>16</v>
      </c>
      <c r="S183" s="3342">
        <v>17</v>
      </c>
      <c r="T183" s="3342">
        <v>18</v>
      </c>
      <c r="U183" s="3343">
        <v>19</v>
      </c>
      <c r="V183" s="3343">
        <v>20</v>
      </c>
      <c r="W183" s="3342">
        <v>21</v>
      </c>
      <c r="X183" s="3342">
        <v>22</v>
      </c>
      <c r="Y183" s="3342">
        <v>23</v>
      </c>
      <c r="Z183" s="3342">
        <v>24</v>
      </c>
      <c r="AA183" s="3342">
        <v>25</v>
      </c>
      <c r="AB183" s="3343">
        <v>26</v>
      </c>
      <c r="AC183" s="3343">
        <v>27</v>
      </c>
      <c r="AD183" s="3342">
        <v>28</v>
      </c>
      <c r="AE183" s="3342"/>
      <c r="AF183" s="3342"/>
      <c r="AG183" s="3432"/>
      <c r="AH183" s="183"/>
      <c r="AI183" s="177"/>
    </row>
    <row r="184" spans="1:36" ht="22.35" customHeight="1">
      <c r="A184" s="109"/>
      <c r="B184" s="318" t="s">
        <v>248</v>
      </c>
      <c r="C184" s="561" t="s">
        <v>113</v>
      </c>
      <c r="D184" s="561" t="s">
        <v>113</v>
      </c>
      <c r="E184" s="514" t="s">
        <v>113</v>
      </c>
      <c r="F184" s="514" t="s">
        <v>113</v>
      </c>
      <c r="G184" s="514"/>
      <c r="H184" s="514"/>
      <c r="I184" s="514" t="s">
        <v>113</v>
      </c>
      <c r="J184" s="514" t="s">
        <v>113</v>
      </c>
      <c r="K184" s="719" t="s">
        <v>113</v>
      </c>
      <c r="L184" s="719" t="s">
        <v>113</v>
      </c>
      <c r="M184" s="719" t="s">
        <v>113</v>
      </c>
      <c r="N184" s="719"/>
      <c r="O184" s="719"/>
      <c r="P184" s="719" t="s">
        <v>113</v>
      </c>
      <c r="Q184" s="719" t="s">
        <v>113</v>
      </c>
      <c r="R184" s="719" t="s">
        <v>113</v>
      </c>
      <c r="S184" s="719" t="s">
        <v>113</v>
      </c>
      <c r="T184" s="719" t="s">
        <v>362</v>
      </c>
      <c r="U184" s="514"/>
      <c r="V184" s="514"/>
      <c r="W184" s="514" t="s">
        <v>113</v>
      </c>
      <c r="X184" s="514" t="s">
        <v>113</v>
      </c>
      <c r="Y184" s="514" t="s">
        <v>113</v>
      </c>
      <c r="Z184" s="514" t="s">
        <v>113</v>
      </c>
      <c r="AA184" s="514" t="s">
        <v>113</v>
      </c>
      <c r="AB184" s="514"/>
      <c r="AC184" s="514"/>
      <c r="AD184" s="514" t="s">
        <v>113</v>
      </c>
      <c r="AE184" s="514"/>
      <c r="AF184" s="514"/>
      <c r="AG184" s="515"/>
      <c r="AH184" s="182"/>
      <c r="AI184" s="182"/>
    </row>
    <row r="185" spans="1:36" ht="22.35" customHeight="1">
      <c r="A185" s="109"/>
      <c r="B185" s="3226" t="s">
        <v>249</v>
      </c>
      <c r="C185" s="3671" t="s">
        <v>113</v>
      </c>
      <c r="D185" s="3671" t="s">
        <v>362</v>
      </c>
      <c r="E185" s="3586" t="s">
        <v>113</v>
      </c>
      <c r="F185" s="3586" t="s">
        <v>113</v>
      </c>
      <c r="G185" s="3392"/>
      <c r="H185" s="3392"/>
      <c r="I185" s="3392" t="s">
        <v>113</v>
      </c>
      <c r="J185" s="3392" t="s">
        <v>113</v>
      </c>
      <c r="K185" s="3392" t="s">
        <v>113</v>
      </c>
      <c r="L185" s="3392" t="s">
        <v>113</v>
      </c>
      <c r="M185" s="3392" t="s">
        <v>113</v>
      </c>
      <c r="N185" s="3634"/>
      <c r="O185" s="3634"/>
      <c r="P185" s="3392" t="s">
        <v>113</v>
      </c>
      <c r="Q185" s="3392" t="s">
        <v>113</v>
      </c>
      <c r="R185" s="3392" t="s">
        <v>113</v>
      </c>
      <c r="S185" s="3392" t="s">
        <v>113</v>
      </c>
      <c r="T185" s="3392" t="s">
        <v>113</v>
      </c>
      <c r="U185" s="3392"/>
      <c r="V185" s="3392"/>
      <c r="W185" s="3392" t="s">
        <v>113</v>
      </c>
      <c r="X185" s="3392" t="s">
        <v>113</v>
      </c>
      <c r="Y185" s="3392" t="s">
        <v>113</v>
      </c>
      <c r="Z185" s="3392" t="s">
        <v>113</v>
      </c>
      <c r="AA185" s="3392" t="s">
        <v>113</v>
      </c>
      <c r="AB185" s="3392"/>
      <c r="AC185" s="3392"/>
      <c r="AD185" s="3392" t="s">
        <v>113</v>
      </c>
      <c r="AE185" s="3392"/>
      <c r="AF185" s="3392"/>
      <c r="AG185" s="3229"/>
      <c r="AH185" s="182"/>
      <c r="AI185" s="182"/>
    </row>
    <row r="186" spans="1:36" ht="22.35" customHeight="1">
      <c r="A186" s="109"/>
      <c r="B186" s="3226" t="s">
        <v>250</v>
      </c>
      <c r="C186" s="3589" t="s">
        <v>118</v>
      </c>
      <c r="D186" s="3589" t="s">
        <v>118</v>
      </c>
      <c r="E186" s="3589" t="s">
        <v>118</v>
      </c>
      <c r="F186" s="3589" t="s">
        <v>129</v>
      </c>
      <c r="G186" s="3392"/>
      <c r="H186" s="3392"/>
      <c r="I186" s="3392" t="s">
        <v>118</v>
      </c>
      <c r="J186" s="3392" t="s">
        <v>118</v>
      </c>
      <c r="K186" s="3392" t="s">
        <v>118</v>
      </c>
      <c r="L186" s="3392" t="s">
        <v>118</v>
      </c>
      <c r="M186" s="3392" t="s">
        <v>118</v>
      </c>
      <c r="N186" s="3392"/>
      <c r="O186" s="3392"/>
      <c r="P186" s="3392" t="s">
        <v>118</v>
      </c>
      <c r="Q186" s="3392" t="s">
        <v>118</v>
      </c>
      <c r="R186" s="3392" t="s">
        <v>118</v>
      </c>
      <c r="S186" s="3392" t="s">
        <v>118</v>
      </c>
      <c r="T186" s="3392" t="s">
        <v>118</v>
      </c>
      <c r="U186" s="3392"/>
      <c r="V186" s="3392"/>
      <c r="W186" s="3392" t="s">
        <v>118</v>
      </c>
      <c r="X186" s="3392" t="s">
        <v>118</v>
      </c>
      <c r="Y186" s="3392" t="s">
        <v>118</v>
      </c>
      <c r="Z186" s="3392" t="s">
        <v>118</v>
      </c>
      <c r="AA186" s="3392" t="s">
        <v>118</v>
      </c>
      <c r="AB186" s="3392"/>
      <c r="AC186" s="3392"/>
      <c r="AD186" s="3392" t="s">
        <v>113</v>
      </c>
      <c r="AE186" s="3392"/>
      <c r="AF186" s="3392"/>
      <c r="AG186" s="3229"/>
      <c r="AH186" s="182"/>
      <c r="AI186" s="182"/>
    </row>
    <row r="187" spans="1:36" ht="22.35" customHeight="1">
      <c r="A187" s="109"/>
      <c r="B187" s="3226" t="s">
        <v>251</v>
      </c>
      <c r="C187" s="3671" t="s">
        <v>126</v>
      </c>
      <c r="D187" s="3671" t="s">
        <v>427</v>
      </c>
      <c r="E187" s="3392" t="s">
        <v>126</v>
      </c>
      <c r="F187" s="3392" t="s">
        <v>126</v>
      </c>
      <c r="G187" s="3392"/>
      <c r="H187" s="3392"/>
      <c r="I187" s="3392" t="s">
        <v>126</v>
      </c>
      <c r="J187" s="3392" t="s">
        <v>126</v>
      </c>
      <c r="K187" s="3392" t="s">
        <v>126</v>
      </c>
      <c r="L187" s="3392" t="s">
        <v>126</v>
      </c>
      <c r="M187" s="3392" t="s">
        <v>126</v>
      </c>
      <c r="N187" s="3392"/>
      <c r="O187" s="3392"/>
      <c r="P187" s="3392" t="s">
        <v>126</v>
      </c>
      <c r="Q187" s="3392" t="s">
        <v>126</v>
      </c>
      <c r="R187" s="3392" t="s">
        <v>126</v>
      </c>
      <c r="S187" s="3392" t="s">
        <v>126</v>
      </c>
      <c r="T187" s="3392" t="s">
        <v>126</v>
      </c>
      <c r="U187" s="3392"/>
      <c r="V187" s="3392"/>
      <c r="W187" s="3392" t="s">
        <v>126</v>
      </c>
      <c r="X187" s="3392" t="s">
        <v>126</v>
      </c>
      <c r="Y187" s="3392" t="s">
        <v>126</v>
      </c>
      <c r="Z187" s="3392" t="s">
        <v>126</v>
      </c>
      <c r="AA187" s="3392" t="s">
        <v>126</v>
      </c>
      <c r="AB187" s="3392"/>
      <c r="AC187" s="3392"/>
      <c r="AD187" s="3392" t="s">
        <v>126</v>
      </c>
      <c r="AE187" s="3392"/>
      <c r="AF187" s="3392"/>
      <c r="AG187" s="3229"/>
      <c r="AH187" s="182"/>
      <c r="AI187" s="182"/>
    </row>
    <row r="188" spans="1:36" ht="22.35" customHeight="1">
      <c r="A188" s="109"/>
      <c r="B188" s="3388" t="s">
        <v>133</v>
      </c>
      <c r="C188" s="3392" t="s">
        <v>50</v>
      </c>
      <c r="D188" s="3392" t="s">
        <v>50</v>
      </c>
      <c r="E188" s="3392" t="s">
        <v>50</v>
      </c>
      <c r="F188" s="3392" t="s">
        <v>50</v>
      </c>
      <c r="G188" s="3392"/>
      <c r="H188" s="3392"/>
      <c r="I188" s="3392" t="s">
        <v>50</v>
      </c>
      <c r="J188" s="3392" t="s">
        <v>50</v>
      </c>
      <c r="K188" s="3392" t="s">
        <v>50</v>
      </c>
      <c r="L188" s="3392" t="s">
        <v>50</v>
      </c>
      <c r="M188" s="3392" t="s">
        <v>50</v>
      </c>
      <c r="N188" s="3392"/>
      <c r="O188" s="3392"/>
      <c r="P188" s="3674" t="s">
        <v>50</v>
      </c>
      <c r="Q188" s="3674" t="s">
        <v>50</v>
      </c>
      <c r="R188" s="3674" t="s">
        <v>50</v>
      </c>
      <c r="S188" s="3674" t="s">
        <v>50</v>
      </c>
      <c r="T188" s="3674" t="s">
        <v>50</v>
      </c>
      <c r="U188" s="3674"/>
      <c r="V188" s="3674"/>
      <c r="W188" s="3230" t="s">
        <v>50</v>
      </c>
      <c r="X188" s="3392" t="s">
        <v>50</v>
      </c>
      <c r="Y188" s="3392" t="s">
        <v>50</v>
      </c>
      <c r="Z188" s="3392" t="s">
        <v>50</v>
      </c>
      <c r="AA188" s="3392" t="s">
        <v>50</v>
      </c>
      <c r="AB188" s="3392"/>
      <c r="AC188" s="3392"/>
      <c r="AD188" s="3392" t="s">
        <v>50</v>
      </c>
      <c r="AE188" s="3392"/>
      <c r="AF188" s="3392"/>
      <c r="AG188" s="3229"/>
      <c r="AH188" s="182"/>
      <c r="AI188" s="182"/>
    </row>
    <row r="189" spans="1:36" ht="22.35" customHeight="1">
      <c r="A189" s="109"/>
      <c r="B189" s="3226" t="s">
        <v>253</v>
      </c>
      <c r="C189" s="3232" t="s">
        <v>132</v>
      </c>
      <c r="D189" s="3232" t="s">
        <v>132</v>
      </c>
      <c r="E189" s="3232" t="s">
        <v>132</v>
      </c>
      <c r="F189" s="3232" t="s">
        <v>132</v>
      </c>
      <c r="G189" s="3232"/>
      <c r="H189" s="3232"/>
      <c r="I189" s="3232" t="s">
        <v>132</v>
      </c>
      <c r="J189" s="3232" t="s">
        <v>132</v>
      </c>
      <c r="K189" s="3232" t="s">
        <v>132</v>
      </c>
      <c r="L189" s="3232" t="s">
        <v>132</v>
      </c>
      <c r="M189" s="3232" t="s">
        <v>132</v>
      </c>
      <c r="N189" s="3232"/>
      <c r="O189" s="3232"/>
      <c r="P189" s="3232" t="s">
        <v>132</v>
      </c>
      <c r="Q189" s="3232" t="s">
        <v>132</v>
      </c>
      <c r="R189" s="3232" t="s">
        <v>132</v>
      </c>
      <c r="S189" s="3232" t="s">
        <v>132</v>
      </c>
      <c r="T189" s="3232" t="s">
        <v>132</v>
      </c>
      <c r="U189" s="3232"/>
      <c r="V189" s="3232"/>
      <c r="W189" s="3232" t="s">
        <v>132</v>
      </c>
      <c r="X189" s="3232" t="s">
        <v>132</v>
      </c>
      <c r="Y189" s="3232" t="s">
        <v>132</v>
      </c>
      <c r="Z189" s="3232" t="s">
        <v>132</v>
      </c>
      <c r="AA189" s="3232" t="s">
        <v>132</v>
      </c>
      <c r="AB189" s="3232"/>
      <c r="AC189" s="3232"/>
      <c r="AD189" s="3232" t="s">
        <v>132</v>
      </c>
      <c r="AE189" s="3232"/>
      <c r="AF189" s="3232"/>
      <c r="AG189" s="3229"/>
      <c r="AH189" s="182"/>
      <c r="AI189" s="182"/>
    </row>
    <row r="190" spans="1:36" ht="22.35" customHeight="1">
      <c r="A190" s="109"/>
      <c r="B190" s="3624" t="s">
        <v>0</v>
      </c>
      <c r="C190" s="3392" t="s">
        <v>135</v>
      </c>
      <c r="D190" s="3392" t="s">
        <v>135</v>
      </c>
      <c r="E190" s="3392" t="s">
        <v>135</v>
      </c>
      <c r="F190" s="3392" t="s">
        <v>135</v>
      </c>
      <c r="G190" s="3392"/>
      <c r="H190" s="3392"/>
      <c r="I190" s="3392" t="s">
        <v>135</v>
      </c>
      <c r="J190" s="3392" t="s">
        <v>135</v>
      </c>
      <c r="K190" s="3392" t="s">
        <v>135</v>
      </c>
      <c r="L190" s="3392" t="s">
        <v>135</v>
      </c>
      <c r="M190" s="3392" t="s">
        <v>135</v>
      </c>
      <c r="N190" s="3392"/>
      <c r="O190" s="3392"/>
      <c r="P190" s="3734" t="s">
        <v>135</v>
      </c>
      <c r="Q190" s="3734" t="s">
        <v>135</v>
      </c>
      <c r="R190" s="3734" t="s">
        <v>135</v>
      </c>
      <c r="S190" s="3734" t="s">
        <v>135</v>
      </c>
      <c r="T190" s="3734" t="s">
        <v>135</v>
      </c>
      <c r="U190" s="3734"/>
      <c r="V190" s="3734"/>
      <c r="W190" s="3392" t="s">
        <v>135</v>
      </c>
      <c r="X190" s="3392" t="s">
        <v>135</v>
      </c>
      <c r="Y190" s="3392" t="s">
        <v>135</v>
      </c>
      <c r="Z190" s="3392" t="s">
        <v>135</v>
      </c>
      <c r="AA190" s="3392" t="s">
        <v>135</v>
      </c>
      <c r="AB190" s="3392"/>
      <c r="AC190" s="3392"/>
      <c r="AD190" s="3392" t="s">
        <v>135</v>
      </c>
      <c r="AE190" s="3392"/>
      <c r="AF190" s="3392"/>
      <c r="AG190" s="3229"/>
      <c r="AH190" s="182"/>
      <c r="AI190" s="182"/>
    </row>
    <row r="191" spans="1:36" ht="22.35" customHeight="1">
      <c r="A191" s="109"/>
      <c r="B191" s="3226" t="s">
        <v>255</v>
      </c>
      <c r="C191" s="522" t="s">
        <v>52</v>
      </c>
      <c r="D191" s="522" t="s">
        <v>52</v>
      </c>
      <c r="E191" s="522" t="s">
        <v>52</v>
      </c>
      <c r="F191" s="522" t="s">
        <v>52</v>
      </c>
      <c r="G191" s="522"/>
      <c r="H191" s="522"/>
      <c r="I191" s="618" t="s">
        <v>52</v>
      </c>
      <c r="J191" s="618" t="s">
        <v>52</v>
      </c>
      <c r="K191" s="618" t="s">
        <v>256</v>
      </c>
      <c r="L191" s="522" t="s">
        <v>52</v>
      </c>
      <c r="M191" s="522" t="s">
        <v>52</v>
      </c>
      <c r="N191" s="522"/>
      <c r="O191" s="522"/>
      <c r="P191" s="522" t="s">
        <v>52</v>
      </c>
      <c r="Q191" s="522" t="s">
        <v>52</v>
      </c>
      <c r="R191" s="522" t="s">
        <v>52</v>
      </c>
      <c r="S191" s="522" t="s">
        <v>52</v>
      </c>
      <c r="T191" s="522" t="s">
        <v>52</v>
      </c>
      <c r="U191" s="522"/>
      <c r="V191" s="522"/>
      <c r="W191" s="522" t="s">
        <v>52</v>
      </c>
      <c r="X191" s="522" t="s">
        <v>52</v>
      </c>
      <c r="Y191" s="522" t="s">
        <v>52</v>
      </c>
      <c r="Z191" s="522" t="s">
        <v>52</v>
      </c>
      <c r="AA191" s="522" t="s">
        <v>52</v>
      </c>
      <c r="AB191" s="522"/>
      <c r="AC191" s="522"/>
      <c r="AD191" s="522" t="s">
        <v>52</v>
      </c>
      <c r="AE191" s="522"/>
      <c r="AF191" s="522"/>
      <c r="AG191" s="513"/>
      <c r="AH191" s="182"/>
      <c r="AI191" s="182"/>
    </row>
    <row r="192" spans="1:36" ht="22.35" customHeight="1">
      <c r="A192" s="109"/>
      <c r="B192" s="3226" t="s">
        <v>257</v>
      </c>
      <c r="C192" s="3468" t="s">
        <v>141</v>
      </c>
      <c r="D192" s="3468" t="s">
        <v>141</v>
      </c>
      <c r="E192" s="3468" t="s">
        <v>141</v>
      </c>
      <c r="F192" s="3468" t="s">
        <v>141</v>
      </c>
      <c r="G192" s="3468"/>
      <c r="H192" s="3468"/>
      <c r="I192" s="3468" t="s">
        <v>141</v>
      </c>
      <c r="J192" s="3468" t="s">
        <v>141</v>
      </c>
      <c r="K192" s="3468" t="s">
        <v>141</v>
      </c>
      <c r="L192" s="3468" t="s">
        <v>141</v>
      </c>
      <c r="M192" s="3468" t="s">
        <v>141</v>
      </c>
      <c r="N192" s="3468"/>
      <c r="O192" s="3468"/>
      <c r="P192" s="3468" t="s">
        <v>141</v>
      </c>
      <c r="Q192" s="3468" t="s">
        <v>141</v>
      </c>
      <c r="R192" s="3468" t="s">
        <v>141</v>
      </c>
      <c r="S192" s="3468" t="s">
        <v>141</v>
      </c>
      <c r="T192" s="3468" t="s">
        <v>141</v>
      </c>
      <c r="U192" s="3468"/>
      <c r="V192" s="3468"/>
      <c r="W192" s="3484" t="s">
        <v>141</v>
      </c>
      <c r="X192" s="3484" t="s">
        <v>141</v>
      </c>
      <c r="Y192" s="3484" t="s">
        <v>141</v>
      </c>
      <c r="Z192" s="3484" t="s">
        <v>141</v>
      </c>
      <c r="AA192" s="3484" t="s">
        <v>141</v>
      </c>
      <c r="AB192" s="3468"/>
      <c r="AC192" s="3468"/>
      <c r="AD192" s="3468" t="s">
        <v>141</v>
      </c>
      <c r="AE192" s="3468"/>
      <c r="AF192" s="3468"/>
      <c r="AG192" s="3567"/>
      <c r="AH192" s="182"/>
      <c r="AI192" s="182"/>
    </row>
    <row r="193" spans="1:35" ht="22.35" customHeight="1">
      <c r="A193" s="109"/>
      <c r="B193" s="3624" t="s">
        <v>259</v>
      </c>
      <c r="C193" s="3468" t="s">
        <v>124</v>
      </c>
      <c r="D193" s="3468" t="s">
        <v>124</v>
      </c>
      <c r="E193" s="3466" t="s">
        <v>124</v>
      </c>
      <c r="F193" s="3466" t="s">
        <v>260</v>
      </c>
      <c r="G193" s="3476"/>
      <c r="H193" s="3476"/>
      <c r="I193" s="3468" t="s">
        <v>124</v>
      </c>
      <c r="J193" s="3468" t="s">
        <v>124</v>
      </c>
      <c r="K193" s="3468" t="s">
        <v>124</v>
      </c>
      <c r="L193" s="3468" t="s">
        <v>124</v>
      </c>
      <c r="M193" s="3468" t="s">
        <v>124</v>
      </c>
      <c r="N193" s="3468"/>
      <c r="O193" s="3468"/>
      <c r="P193" s="3468" t="s">
        <v>124</v>
      </c>
      <c r="Q193" s="3468" t="s">
        <v>124</v>
      </c>
      <c r="R193" s="3468" t="s">
        <v>124</v>
      </c>
      <c r="S193" s="3468" t="s">
        <v>124</v>
      </c>
      <c r="T193" s="3468" t="s">
        <v>124</v>
      </c>
      <c r="U193" s="3468"/>
      <c r="V193" s="3468"/>
      <c r="W193" s="3468" t="s">
        <v>124</v>
      </c>
      <c r="X193" s="3468" t="s">
        <v>124</v>
      </c>
      <c r="Y193" s="3468" t="s">
        <v>124</v>
      </c>
      <c r="Z193" s="3468" t="s">
        <v>124</v>
      </c>
      <c r="AA193" s="3468" t="s">
        <v>124</v>
      </c>
      <c r="AB193" s="3468"/>
      <c r="AC193" s="3468"/>
      <c r="AD193" s="3468" t="s">
        <v>124</v>
      </c>
      <c r="AE193" s="3468"/>
      <c r="AF193" s="3468"/>
      <c r="AG193" s="3567"/>
      <c r="AH193" s="182"/>
      <c r="AI193" s="182"/>
    </row>
    <row r="194" spans="1:35" ht="22.35" customHeight="1">
      <c r="A194" s="109"/>
      <c r="B194" s="3226" t="s">
        <v>261</v>
      </c>
      <c r="C194" s="3468" t="s">
        <v>242</v>
      </c>
      <c r="D194" s="3468" t="s">
        <v>242</v>
      </c>
      <c r="E194" s="3468" t="s">
        <v>242</v>
      </c>
      <c r="F194" s="3468" t="s">
        <v>242</v>
      </c>
      <c r="G194" s="3468"/>
      <c r="H194" s="3468"/>
      <c r="I194" s="3468" t="s">
        <v>242</v>
      </c>
      <c r="J194" s="3468" t="s">
        <v>242</v>
      </c>
      <c r="K194" s="3468" t="s">
        <v>242</v>
      </c>
      <c r="L194" s="3468" t="s">
        <v>242</v>
      </c>
      <c r="M194" s="3468" t="s">
        <v>242</v>
      </c>
      <c r="N194" s="3468"/>
      <c r="O194" s="3468"/>
      <c r="P194" s="3468" t="s">
        <v>242</v>
      </c>
      <c r="Q194" s="3468" t="s">
        <v>242</v>
      </c>
      <c r="R194" s="3468" t="s">
        <v>242</v>
      </c>
      <c r="S194" s="3468" t="s">
        <v>242</v>
      </c>
      <c r="T194" s="3468" t="s">
        <v>242</v>
      </c>
      <c r="U194" s="3468"/>
      <c r="V194" s="3468"/>
      <c r="W194" s="3468" t="s">
        <v>242</v>
      </c>
      <c r="X194" s="3468" t="s">
        <v>242</v>
      </c>
      <c r="Y194" s="3468" t="s">
        <v>242</v>
      </c>
      <c r="Z194" s="3468" t="s">
        <v>242</v>
      </c>
      <c r="AA194" s="3468" t="s">
        <v>242</v>
      </c>
      <c r="AB194" s="3468"/>
      <c r="AC194" s="3468"/>
      <c r="AD194" s="3391" t="s">
        <v>242</v>
      </c>
      <c r="AE194" s="3468"/>
      <c r="AF194" s="3468"/>
      <c r="AG194" s="3567"/>
      <c r="AH194" s="182"/>
      <c r="AI194" s="182"/>
    </row>
    <row r="195" spans="1:35" ht="21" customHeight="1">
      <c r="A195" s="109"/>
      <c r="B195" s="3624"/>
      <c r="C195" s="3468" t="s">
        <v>122</v>
      </c>
      <c r="D195" s="3468" t="s">
        <v>122</v>
      </c>
      <c r="E195" s="3468" t="s">
        <v>122</v>
      </c>
      <c r="F195" s="3468" t="s">
        <v>122</v>
      </c>
      <c r="G195" s="3468"/>
      <c r="H195" s="3468"/>
      <c r="I195" s="3468" t="s">
        <v>122</v>
      </c>
      <c r="J195" s="3468" t="s">
        <v>122</v>
      </c>
      <c r="K195" s="3468" t="s">
        <v>122</v>
      </c>
      <c r="L195" s="3468" t="s">
        <v>122</v>
      </c>
      <c r="M195" s="3468" t="s">
        <v>122</v>
      </c>
      <c r="N195" s="3468"/>
      <c r="O195" s="3468"/>
      <c r="P195" s="3468" t="s">
        <v>122</v>
      </c>
      <c r="Q195" s="3468" t="s">
        <v>122</v>
      </c>
      <c r="R195" s="3468" t="s">
        <v>122</v>
      </c>
      <c r="S195" s="3468" t="s">
        <v>122</v>
      </c>
      <c r="T195" s="3468" t="s">
        <v>122</v>
      </c>
      <c r="U195" s="3382"/>
      <c r="V195" s="3382"/>
      <c r="W195" s="3468" t="s">
        <v>122</v>
      </c>
      <c r="X195" s="3468" t="s">
        <v>122</v>
      </c>
      <c r="Y195" s="3468" t="s">
        <v>122</v>
      </c>
      <c r="Z195" s="3468" t="s">
        <v>122</v>
      </c>
      <c r="AA195" s="3468" t="s">
        <v>122</v>
      </c>
      <c r="AB195" s="3468"/>
      <c r="AC195" s="3468"/>
      <c r="AD195" s="3468" t="s">
        <v>122</v>
      </c>
      <c r="AE195" s="3468"/>
      <c r="AF195" s="3468"/>
      <c r="AG195" s="3567"/>
      <c r="AH195" s="182"/>
      <c r="AI195" s="182"/>
    </row>
    <row r="196" spans="1:35" ht="21" customHeight="1">
      <c r="A196" s="109"/>
      <c r="B196" s="3624" t="s">
        <v>262</v>
      </c>
      <c r="C196" s="3735" t="s">
        <v>406</v>
      </c>
      <c r="D196" s="3633" t="s">
        <v>246</v>
      </c>
      <c r="E196" s="3633" t="s">
        <v>246</v>
      </c>
      <c r="F196" s="3633" t="s">
        <v>246</v>
      </c>
      <c r="G196" s="3468"/>
      <c r="H196" s="3468"/>
      <c r="I196" s="3468" t="s">
        <v>246</v>
      </c>
      <c r="J196" s="3468" t="s">
        <v>246</v>
      </c>
      <c r="K196" s="3468" t="s">
        <v>246</v>
      </c>
      <c r="L196" s="3468" t="s">
        <v>246</v>
      </c>
      <c r="M196" s="3468" t="s">
        <v>246</v>
      </c>
      <c r="N196" s="3468"/>
      <c r="O196" s="3468"/>
      <c r="P196" s="3468" t="s">
        <v>246</v>
      </c>
      <c r="Q196" s="3468" t="s">
        <v>246</v>
      </c>
      <c r="R196" s="3468" t="s">
        <v>246</v>
      </c>
      <c r="S196" s="3468" t="s">
        <v>246</v>
      </c>
      <c r="T196" s="3468" t="s">
        <v>246</v>
      </c>
      <c r="U196" s="3468"/>
      <c r="V196" s="3468"/>
      <c r="W196" s="3468" t="s">
        <v>246</v>
      </c>
      <c r="X196" s="3468" t="s">
        <v>246</v>
      </c>
      <c r="Y196" s="3468" t="s">
        <v>246</v>
      </c>
      <c r="Z196" s="3468" t="s">
        <v>246</v>
      </c>
      <c r="AA196" s="3468" t="s">
        <v>246</v>
      </c>
      <c r="AB196" s="3468"/>
      <c r="AC196" s="3468"/>
      <c r="AD196" s="3468" t="s">
        <v>246</v>
      </c>
      <c r="AE196" s="3468"/>
      <c r="AF196" s="3468"/>
      <c r="AG196" s="3567"/>
      <c r="AH196" s="107"/>
      <c r="AI196" s="107"/>
    </row>
    <row r="197" spans="1:35" ht="22.35" customHeight="1" thickBot="1">
      <c r="A197" s="148"/>
      <c r="B197" s="3652" t="s">
        <v>263</v>
      </c>
      <c r="C197" s="3736" t="s">
        <v>127</v>
      </c>
      <c r="D197" s="3718" t="s">
        <v>127</v>
      </c>
      <c r="E197" s="3718" t="s">
        <v>127</v>
      </c>
      <c r="F197" s="3718" t="s">
        <v>127</v>
      </c>
      <c r="G197" s="3718"/>
      <c r="H197" s="3718"/>
      <c r="I197" s="3718" t="s">
        <v>127</v>
      </c>
      <c r="J197" s="3718" t="s">
        <v>127</v>
      </c>
      <c r="K197" s="3718" t="s">
        <v>127</v>
      </c>
      <c r="L197" s="3718" t="s">
        <v>127</v>
      </c>
      <c r="M197" s="3718" t="s">
        <v>127</v>
      </c>
      <c r="N197" s="3718"/>
      <c r="O197" s="3718"/>
      <c r="P197" s="3737" t="s">
        <v>127</v>
      </c>
      <c r="Q197" s="3737" t="s">
        <v>127</v>
      </c>
      <c r="R197" s="3737" t="s">
        <v>127</v>
      </c>
      <c r="S197" s="3737" t="s">
        <v>127</v>
      </c>
      <c r="T197" s="3737" t="s">
        <v>127</v>
      </c>
      <c r="U197" s="3737"/>
      <c r="V197" s="3737"/>
      <c r="W197" s="1072" t="s">
        <v>127</v>
      </c>
      <c r="X197" s="1072" t="s">
        <v>127</v>
      </c>
      <c r="Y197" s="1072" t="s">
        <v>127</v>
      </c>
      <c r="Z197" s="3738" t="s">
        <v>127</v>
      </c>
      <c r="AA197" s="1072" t="s">
        <v>127</v>
      </c>
      <c r="AB197" s="3718"/>
      <c r="AC197" s="3718"/>
      <c r="AD197" s="1072" t="s">
        <v>127</v>
      </c>
      <c r="AE197" s="1072"/>
      <c r="AF197" s="1072"/>
      <c r="AG197" s="1074"/>
      <c r="AH197" s="115"/>
    </row>
    <row r="198" spans="1:35" ht="22.35" customHeight="1">
      <c r="A198" s="148"/>
      <c r="B198" s="229"/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  <c r="M198" s="228"/>
      <c r="N198" s="228"/>
      <c r="O198" s="228"/>
      <c r="P198" s="228"/>
      <c r="Q198" s="228"/>
      <c r="R198" s="228"/>
      <c r="S198" s="228"/>
      <c r="T198" s="228"/>
      <c r="U198" s="228"/>
      <c r="V198" s="228"/>
      <c r="W198" s="228"/>
      <c r="X198" s="228"/>
      <c r="Y198" s="228"/>
      <c r="Z198" s="228"/>
      <c r="AA198" s="228"/>
      <c r="AB198" s="228"/>
      <c r="AC198" s="228"/>
      <c r="AD198" s="228"/>
      <c r="AE198" s="228"/>
      <c r="AF198" s="228"/>
      <c r="AG198" s="228"/>
      <c r="AH198" s="115"/>
    </row>
    <row r="199" spans="1:35" ht="22.35" customHeight="1"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</row>
    <row r="200" spans="1:35" ht="22.35" customHeight="1" thickBot="1">
      <c r="A200" s="1" t="s">
        <v>265</v>
      </c>
      <c r="B200" s="59"/>
    </row>
    <row r="201" spans="1:35" ht="22.35" customHeight="1">
      <c r="A201" s="1"/>
      <c r="B201" s="3681" t="s">
        <v>266</v>
      </c>
      <c r="C201" s="391" t="s">
        <v>94</v>
      </c>
      <c r="D201" s="391"/>
      <c r="E201" s="391"/>
      <c r="F201" s="391"/>
      <c r="G201" s="392" t="s">
        <v>95</v>
      </c>
      <c r="H201" s="391"/>
      <c r="I201" s="391"/>
      <c r="J201" s="391"/>
      <c r="K201" s="392" t="s">
        <v>96</v>
      </c>
      <c r="L201" s="391"/>
      <c r="M201" s="391"/>
      <c r="N201" s="391"/>
      <c r="O201" s="392" t="s">
        <v>97</v>
      </c>
      <c r="P201" s="391"/>
      <c r="Q201" s="391"/>
      <c r="R201" s="391"/>
      <c r="S201" s="392" t="s">
        <v>98</v>
      </c>
      <c r="T201" s="391"/>
      <c r="U201" s="391"/>
      <c r="V201" s="391"/>
      <c r="W201" s="393" t="s">
        <v>99</v>
      </c>
      <c r="X201" s="357"/>
      <c r="Y201" s="391"/>
      <c r="Z201" s="394"/>
      <c r="AA201" s="393" t="s">
        <v>100</v>
      </c>
      <c r="AB201" s="357"/>
      <c r="AC201" s="391"/>
      <c r="AD201" s="394"/>
      <c r="AE201" s="395"/>
      <c r="AF201" s="391"/>
      <c r="AG201" s="391"/>
      <c r="AH201" s="391"/>
      <c r="AI201" s="358"/>
    </row>
    <row r="202" spans="1:35" ht="22.35" customHeight="1">
      <c r="A202" s="1"/>
      <c r="B202" s="3242">
        <v>3701</v>
      </c>
      <c r="C202" s="110" t="s">
        <v>267</v>
      </c>
      <c r="D202" s="110"/>
      <c r="E202" s="110"/>
      <c r="F202" s="110"/>
      <c r="G202" s="675" t="s">
        <v>268</v>
      </c>
      <c r="H202" s="110"/>
      <c r="I202" s="110"/>
      <c r="J202" s="110"/>
      <c r="K202" s="675" t="s">
        <v>268</v>
      </c>
      <c r="L202" s="110"/>
      <c r="M202" s="110"/>
      <c r="N202" s="110"/>
      <c r="O202" s="675" t="s">
        <v>268</v>
      </c>
      <c r="P202" s="110"/>
      <c r="Q202" s="110"/>
      <c r="R202" s="110"/>
      <c r="S202" s="675" t="s">
        <v>269</v>
      </c>
      <c r="T202" s="110"/>
      <c r="U202" s="110"/>
      <c r="V202" s="110"/>
      <c r="W202" s="3243"/>
      <c r="X202" s="3244"/>
      <c r="Y202" s="3402"/>
      <c r="Z202" s="3245"/>
      <c r="AA202" s="3243"/>
      <c r="AB202" s="3244"/>
      <c r="AC202" s="3402"/>
      <c r="AD202" s="3245"/>
      <c r="AE202" s="3525"/>
      <c r="AF202" s="3402"/>
      <c r="AG202" s="3402"/>
      <c r="AH202" s="3402"/>
      <c r="AI202" s="3333"/>
    </row>
    <row r="203" spans="1:35" ht="22.35" customHeight="1">
      <c r="B203" s="3681">
        <v>3700</v>
      </c>
      <c r="C203" s="3402" t="s">
        <v>170</v>
      </c>
      <c r="D203" s="3402"/>
      <c r="E203" s="3402"/>
      <c r="F203" s="3402"/>
      <c r="G203" s="3246" t="s">
        <v>170</v>
      </c>
      <c r="H203" s="3402"/>
      <c r="I203" s="3402"/>
      <c r="J203" s="3402"/>
      <c r="K203" s="3246" t="s">
        <v>170</v>
      </c>
      <c r="L203" s="3402"/>
      <c r="M203" s="3402"/>
      <c r="N203" s="3402"/>
      <c r="O203" s="3246" t="s">
        <v>170</v>
      </c>
      <c r="P203" s="3402"/>
      <c r="Q203" s="3402"/>
      <c r="R203" s="3402"/>
      <c r="S203" s="3246" t="s">
        <v>171</v>
      </c>
      <c r="T203" s="3402"/>
      <c r="U203" s="3402"/>
      <c r="V203" s="3402"/>
      <c r="W203" s="3402"/>
      <c r="X203" s="3246"/>
      <c r="Y203" s="3402"/>
      <c r="Z203" s="3527"/>
      <c r="AA203" s="3525"/>
      <c r="AB203" s="3402"/>
      <c r="AC203" s="3402"/>
      <c r="AD203" s="3454"/>
      <c r="AE203" s="3247"/>
      <c r="AF203" s="3402"/>
      <c r="AG203" s="3402"/>
      <c r="AH203" s="3454"/>
      <c r="AI203" s="3333"/>
    </row>
    <row r="204" spans="1:35" ht="22.35" customHeight="1">
      <c r="A204" s="1"/>
      <c r="B204" s="3681">
        <v>8514</v>
      </c>
      <c r="C204" s="3402" t="s">
        <v>268</v>
      </c>
      <c r="D204" s="3402"/>
      <c r="E204" s="3402"/>
      <c r="F204" s="3402"/>
      <c r="G204" s="3246" t="s">
        <v>268</v>
      </c>
      <c r="H204" s="3402"/>
      <c r="I204" s="3402"/>
      <c r="J204" s="3402"/>
      <c r="K204" s="3246" t="s">
        <v>268</v>
      </c>
      <c r="L204" s="3402"/>
      <c r="M204" s="3402"/>
      <c r="N204" s="3402"/>
      <c r="O204" s="3246" t="s">
        <v>268</v>
      </c>
      <c r="P204" s="3402"/>
      <c r="Q204" s="3402"/>
      <c r="R204" s="3402"/>
      <c r="S204" s="3246" t="s">
        <v>270</v>
      </c>
      <c r="T204" s="3402"/>
      <c r="U204" s="3402"/>
      <c r="V204" s="3402"/>
      <c r="W204" s="3402"/>
      <c r="X204" s="3246"/>
      <c r="Y204" s="3402"/>
      <c r="Z204" s="3527"/>
      <c r="AA204" s="3453"/>
      <c r="AB204" s="3402"/>
      <c r="AC204" s="3402"/>
      <c r="AD204" s="3454"/>
      <c r="AE204" s="3453"/>
      <c r="AF204" s="3402"/>
      <c r="AG204" s="3402"/>
      <c r="AH204" s="3454"/>
      <c r="AI204" s="3333"/>
    </row>
    <row r="205" spans="1:35" ht="22.35" customHeight="1">
      <c r="A205" s="1"/>
      <c r="B205" s="3681">
        <v>8500</v>
      </c>
      <c r="C205" s="165" t="s">
        <v>271</v>
      </c>
      <c r="D205" s="165"/>
      <c r="E205" s="165"/>
      <c r="F205" s="165"/>
      <c r="G205" s="166" t="s">
        <v>271</v>
      </c>
      <c r="H205" s="165"/>
      <c r="I205" s="165"/>
      <c r="J205" s="165"/>
      <c r="K205" s="166" t="s">
        <v>271</v>
      </c>
      <c r="L205" s="165"/>
      <c r="M205" s="165"/>
      <c r="N205" s="165"/>
      <c r="O205" s="166" t="s">
        <v>271</v>
      </c>
      <c r="P205" s="165"/>
      <c r="Q205" s="165"/>
      <c r="R205" s="165"/>
      <c r="S205" s="166" t="s">
        <v>272</v>
      </c>
      <c r="T205" s="165"/>
      <c r="U205" s="165"/>
      <c r="V205" s="165"/>
      <c r="W205" s="165"/>
      <c r="X205" s="166"/>
      <c r="Y205" s="165"/>
      <c r="Z205" s="121"/>
      <c r="AA205" s="120"/>
      <c r="AB205" s="165"/>
      <c r="AC205" s="165"/>
      <c r="AD205" s="121"/>
      <c r="AE205" s="120"/>
      <c r="AF205" s="165"/>
      <c r="AG205" s="165"/>
      <c r="AH205" s="113"/>
      <c r="AI205" s="119"/>
    </row>
    <row r="206" spans="1:35" ht="22.35" customHeight="1">
      <c r="A206" s="1"/>
      <c r="B206" s="3681">
        <v>8514</v>
      </c>
      <c r="C206" s="168" t="s">
        <v>268</v>
      </c>
      <c r="D206" s="168"/>
      <c r="E206" s="168"/>
      <c r="F206" s="168"/>
      <c r="G206" s="169" t="s">
        <v>268</v>
      </c>
      <c r="H206" s="168"/>
      <c r="I206" s="168"/>
      <c r="J206" s="168"/>
      <c r="K206" s="169" t="s">
        <v>268</v>
      </c>
      <c r="L206" s="168"/>
      <c r="M206" s="168"/>
      <c r="N206" s="168"/>
      <c r="O206" s="169" t="s">
        <v>268</v>
      </c>
      <c r="P206" s="168"/>
      <c r="Q206" s="168"/>
      <c r="R206" s="168"/>
      <c r="S206" s="169" t="s">
        <v>270</v>
      </c>
      <c r="T206" s="168"/>
      <c r="U206" s="168"/>
      <c r="V206" s="168"/>
      <c r="W206" s="168"/>
      <c r="X206" s="149"/>
      <c r="Y206" s="165"/>
      <c r="Z206" s="167"/>
      <c r="AA206" s="156"/>
      <c r="AB206" s="117"/>
      <c r="AC206" s="165"/>
      <c r="AD206" s="165"/>
      <c r="AE206" s="118"/>
      <c r="AF206" s="165"/>
      <c r="AG206" s="165"/>
      <c r="AH206" s="165"/>
      <c r="AI206" s="119"/>
    </row>
    <row r="207" spans="1:35" ht="22.35" customHeight="1" thickBot="1">
      <c r="A207" s="1"/>
      <c r="B207" s="3248" t="s">
        <v>273</v>
      </c>
      <c r="C207" s="3409" t="s">
        <v>274</v>
      </c>
      <c r="D207" s="3409"/>
      <c r="E207" s="3409"/>
      <c r="F207" s="3409"/>
      <c r="G207" s="3249" t="s">
        <v>274</v>
      </c>
      <c r="H207" s="3409"/>
      <c r="I207" s="3409"/>
      <c r="J207" s="3409"/>
      <c r="K207" s="3250" t="s">
        <v>274</v>
      </c>
      <c r="L207" s="3409"/>
      <c r="M207" s="3409"/>
      <c r="N207" s="3409"/>
      <c r="O207" s="3249" t="s">
        <v>274</v>
      </c>
      <c r="P207" s="3409"/>
      <c r="Q207" s="3409"/>
      <c r="R207" s="3409"/>
      <c r="S207" s="3249" t="s">
        <v>275</v>
      </c>
      <c r="T207" s="3409"/>
      <c r="U207" s="3409"/>
      <c r="V207" s="3409"/>
      <c r="W207" s="3409"/>
      <c r="X207" s="3249"/>
      <c r="Y207" s="3409"/>
      <c r="Z207" s="3562"/>
      <c r="AA207" s="3538"/>
      <c r="AB207" s="3409"/>
      <c r="AC207" s="3409"/>
      <c r="AD207" s="3545"/>
      <c r="AE207" s="3251"/>
      <c r="AF207" s="3409"/>
      <c r="AG207" s="3409"/>
      <c r="AH207" s="3545"/>
      <c r="AI207" s="3412"/>
    </row>
    <row r="208" spans="1:35" ht="22.35" customHeight="1">
      <c r="A208" s="1"/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>
      <c r="A209" s="1" t="s">
        <v>276</v>
      </c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thickBot="1">
      <c r="A210" s="3500"/>
      <c r="B210" s="3414" t="s">
        <v>29</v>
      </c>
      <c r="C210" s="3342">
        <v>1</v>
      </c>
      <c r="D210" s="3342">
        <v>2</v>
      </c>
      <c r="E210" s="3342">
        <v>3</v>
      </c>
      <c r="F210" s="3342">
        <v>4</v>
      </c>
      <c r="G210" s="3343">
        <v>5</v>
      </c>
      <c r="H210" s="3343">
        <v>6</v>
      </c>
      <c r="I210" s="3342">
        <v>7</v>
      </c>
      <c r="J210" s="3342">
        <v>8</v>
      </c>
      <c r="K210" s="3342">
        <v>9</v>
      </c>
      <c r="L210" s="3342">
        <v>10</v>
      </c>
      <c r="M210" s="3342">
        <v>11</v>
      </c>
      <c r="N210" s="3343">
        <v>12</v>
      </c>
      <c r="O210" s="3343">
        <v>13</v>
      </c>
      <c r="P210" s="3342">
        <v>14</v>
      </c>
      <c r="Q210" s="3342">
        <v>15</v>
      </c>
      <c r="R210" s="3342">
        <v>16</v>
      </c>
      <c r="S210" s="3342">
        <v>17</v>
      </c>
      <c r="T210" s="3342">
        <v>18</v>
      </c>
      <c r="U210" s="3343">
        <v>19</v>
      </c>
      <c r="V210" s="3343">
        <v>20</v>
      </c>
      <c r="W210" s="3342">
        <v>21</v>
      </c>
      <c r="X210" s="3342">
        <v>22</v>
      </c>
      <c r="Y210" s="3342">
        <v>23</v>
      </c>
      <c r="Z210" s="3342">
        <v>24</v>
      </c>
      <c r="AA210" s="3342">
        <v>25</v>
      </c>
      <c r="AB210" s="3343">
        <v>26</v>
      </c>
      <c r="AC210" s="3343">
        <v>27</v>
      </c>
      <c r="AD210" s="3342">
        <v>28</v>
      </c>
      <c r="AE210" s="3342"/>
      <c r="AF210" s="3342"/>
      <c r="AG210" s="3432"/>
      <c r="AH210" s="176"/>
      <c r="AI210" s="177"/>
    </row>
    <row r="211" spans="1:35" ht="22.35" customHeight="1">
      <c r="A211" s="249"/>
      <c r="B211" s="540" t="s">
        <v>277</v>
      </c>
      <c r="C211" s="3378" t="s">
        <v>32</v>
      </c>
      <c r="D211" s="3378" t="s">
        <v>32</v>
      </c>
      <c r="E211" s="3378" t="s">
        <v>32</v>
      </c>
      <c r="F211" s="3378" t="s">
        <v>32</v>
      </c>
      <c r="G211" s="3378"/>
      <c r="H211" s="3378"/>
      <c r="I211" s="3378" t="s">
        <v>32</v>
      </c>
      <c r="J211" s="3378" t="s">
        <v>32</v>
      </c>
      <c r="K211" s="3378" t="s">
        <v>32</v>
      </c>
      <c r="L211" s="3378" t="s">
        <v>32</v>
      </c>
      <c r="M211" s="3378" t="s">
        <v>32</v>
      </c>
      <c r="N211" s="3382"/>
      <c r="O211" s="3382"/>
      <c r="P211" s="3382" t="s">
        <v>32</v>
      </c>
      <c r="Q211" s="3380" t="s">
        <v>32</v>
      </c>
      <c r="R211" s="3382" t="s">
        <v>32</v>
      </c>
      <c r="S211" s="3382" t="s">
        <v>32</v>
      </c>
      <c r="T211" s="3378" t="s">
        <v>32</v>
      </c>
      <c r="U211" s="3382"/>
      <c r="V211" s="3382"/>
      <c r="W211" s="3382" t="s">
        <v>32</v>
      </c>
      <c r="X211" s="3378" t="s">
        <v>32</v>
      </c>
      <c r="Y211" s="3382" t="s">
        <v>32</v>
      </c>
      <c r="Z211" s="3378" t="s">
        <v>32</v>
      </c>
      <c r="AA211" s="3378" t="s">
        <v>32</v>
      </c>
      <c r="AB211" s="3378"/>
      <c r="AC211" s="3378"/>
      <c r="AD211" s="3378" t="s">
        <v>32</v>
      </c>
      <c r="AE211" s="3378"/>
      <c r="AF211" s="3378"/>
      <c r="AG211" s="234"/>
      <c r="AH211" s="176"/>
      <c r="AI211" s="177"/>
    </row>
    <row r="212" spans="1:35" ht="21" customHeight="1">
      <c r="A212" s="3598"/>
      <c r="B212" s="3599" t="s">
        <v>279</v>
      </c>
      <c r="C212" s="3378" t="s">
        <v>32</v>
      </c>
      <c r="D212" s="3378" t="s">
        <v>32</v>
      </c>
      <c r="E212" s="3378" t="s">
        <v>32</v>
      </c>
      <c r="F212" s="3378" t="s">
        <v>32</v>
      </c>
      <c r="G212" s="3378"/>
      <c r="H212" s="3378"/>
      <c r="I212" s="3378" t="s">
        <v>32</v>
      </c>
      <c r="J212" s="3378" t="s">
        <v>32</v>
      </c>
      <c r="K212" s="3378" t="s">
        <v>32</v>
      </c>
      <c r="L212" s="3378" t="s">
        <v>32</v>
      </c>
      <c r="M212" s="3378" t="s">
        <v>32</v>
      </c>
      <c r="N212" s="3382"/>
      <c r="O212" s="3382"/>
      <c r="P212" s="3382" t="s">
        <v>32</v>
      </c>
      <c r="Q212" s="3380" t="s">
        <v>32</v>
      </c>
      <c r="R212" s="3382" t="s">
        <v>32</v>
      </c>
      <c r="S212" s="3382" t="s">
        <v>32</v>
      </c>
      <c r="T212" s="3378" t="s">
        <v>32</v>
      </c>
      <c r="U212" s="3382"/>
      <c r="V212" s="3382"/>
      <c r="W212" s="3382" t="s">
        <v>32</v>
      </c>
      <c r="X212" s="3378" t="s">
        <v>32</v>
      </c>
      <c r="Y212" s="3382" t="s">
        <v>32</v>
      </c>
      <c r="Z212" s="3378" t="s">
        <v>32</v>
      </c>
      <c r="AA212" s="3378" t="s">
        <v>32</v>
      </c>
      <c r="AB212" s="3378"/>
      <c r="AC212" s="3378"/>
      <c r="AD212" s="3378" t="s">
        <v>32</v>
      </c>
      <c r="AE212" s="3380"/>
      <c r="AF212" s="3380"/>
      <c r="AG212" s="3255"/>
      <c r="AH212" s="176"/>
      <c r="AI212" s="177"/>
    </row>
    <row r="213" spans="1:35" ht="21" customHeight="1">
      <c r="A213" s="3600">
        <v>8514</v>
      </c>
      <c r="B213" s="3601" t="s">
        <v>280</v>
      </c>
      <c r="C213" s="3378" t="s">
        <v>32</v>
      </c>
      <c r="D213" s="3378" t="s">
        <v>32</v>
      </c>
      <c r="E213" s="3603" t="s">
        <v>32</v>
      </c>
      <c r="F213" s="3378" t="s">
        <v>32</v>
      </c>
      <c r="G213" s="3378"/>
      <c r="H213" s="3378"/>
      <c r="I213" s="3378" t="s">
        <v>32</v>
      </c>
      <c r="J213" s="3378" t="s">
        <v>32</v>
      </c>
      <c r="K213" s="3378" t="s">
        <v>32</v>
      </c>
      <c r="L213" s="3378" t="s">
        <v>32</v>
      </c>
      <c r="M213" s="3378" t="s">
        <v>32</v>
      </c>
      <c r="N213" s="3382"/>
      <c r="O213" s="3382"/>
      <c r="P213" s="3382" t="s">
        <v>32</v>
      </c>
      <c r="Q213" s="3380" t="s">
        <v>32</v>
      </c>
      <c r="R213" s="3382" t="s">
        <v>32</v>
      </c>
      <c r="S213" s="3382" t="s">
        <v>32</v>
      </c>
      <c r="T213" s="3564" t="s">
        <v>32</v>
      </c>
      <c r="U213" s="3382"/>
      <c r="V213" s="3382"/>
      <c r="W213" s="3382" t="s">
        <v>32</v>
      </c>
      <c r="X213" s="3378" t="s">
        <v>32</v>
      </c>
      <c r="Y213" s="3382" t="s">
        <v>32</v>
      </c>
      <c r="Z213" s="3378" t="s">
        <v>32</v>
      </c>
      <c r="AA213" s="3378" t="s">
        <v>32</v>
      </c>
      <c r="AB213" s="3378"/>
      <c r="AC213" s="3378"/>
      <c r="AD213" s="3378" t="s">
        <v>32</v>
      </c>
      <c r="AE213" s="3380"/>
      <c r="AF213" s="3380"/>
      <c r="AG213" s="3255"/>
      <c r="AH213" s="181"/>
      <c r="AI213" s="182"/>
    </row>
    <row r="214" spans="1:35" ht="21" customHeight="1">
      <c r="A214" s="3600">
        <v>3701</v>
      </c>
      <c r="B214" s="3602" t="s">
        <v>281</v>
      </c>
      <c r="C214" s="3378" t="s">
        <v>32</v>
      </c>
      <c r="D214" s="3378" t="s">
        <v>32</v>
      </c>
      <c r="E214" s="3378" t="s">
        <v>32</v>
      </c>
      <c r="F214" s="3378" t="s">
        <v>32</v>
      </c>
      <c r="G214" s="3378"/>
      <c r="H214" s="3378"/>
      <c r="I214" s="3378" t="s">
        <v>32</v>
      </c>
      <c r="J214" s="3378" t="s">
        <v>32</v>
      </c>
      <c r="K214" s="3378" t="s">
        <v>32</v>
      </c>
      <c r="L214" s="3378" t="s">
        <v>32</v>
      </c>
      <c r="M214" s="3378" t="s">
        <v>32</v>
      </c>
      <c r="N214" s="3382"/>
      <c r="O214" s="3382"/>
      <c r="P214" s="3382" t="s">
        <v>32</v>
      </c>
      <c r="Q214" s="3380" t="s">
        <v>32</v>
      </c>
      <c r="R214" s="3382" t="s">
        <v>32</v>
      </c>
      <c r="S214" s="3382" t="s">
        <v>32</v>
      </c>
      <c r="T214" s="3378" t="s">
        <v>32</v>
      </c>
      <c r="U214" s="3382"/>
      <c r="V214" s="3382"/>
      <c r="W214" s="3382" t="s">
        <v>32</v>
      </c>
      <c r="X214" s="3378" t="s">
        <v>32</v>
      </c>
      <c r="Y214" s="3382" t="s">
        <v>32</v>
      </c>
      <c r="Z214" s="3378" t="s">
        <v>32</v>
      </c>
      <c r="AA214" s="3378" t="s">
        <v>32</v>
      </c>
      <c r="AB214" s="3378"/>
      <c r="AC214" s="3378"/>
      <c r="AD214" s="3378" t="s">
        <v>32</v>
      </c>
      <c r="AE214" s="3382"/>
      <c r="AF214" s="3382"/>
      <c r="AG214" s="3255"/>
      <c r="AH214" s="181"/>
      <c r="AI214" s="182"/>
    </row>
    <row r="215" spans="1:35" ht="21" customHeight="1">
      <c r="A215" s="3600">
        <v>3701</v>
      </c>
      <c r="B215" s="3388" t="s">
        <v>282</v>
      </c>
      <c r="C215" s="3378" t="s">
        <v>32</v>
      </c>
      <c r="D215" s="3378" t="s">
        <v>32</v>
      </c>
      <c r="E215" s="3378" t="s">
        <v>32</v>
      </c>
      <c r="F215" s="3378" t="s">
        <v>32</v>
      </c>
      <c r="G215" s="3378"/>
      <c r="H215" s="3378"/>
      <c r="I215" s="3378" t="s">
        <v>32</v>
      </c>
      <c r="J215" s="3378" t="s">
        <v>32</v>
      </c>
      <c r="K215" s="3378" t="s">
        <v>32</v>
      </c>
      <c r="L215" s="3378" t="s">
        <v>32</v>
      </c>
      <c r="M215" s="3378" t="s">
        <v>32</v>
      </c>
      <c r="N215" s="3382"/>
      <c r="O215" s="3382"/>
      <c r="P215" s="3382" t="s">
        <v>32</v>
      </c>
      <c r="Q215" s="3380" t="s">
        <v>32</v>
      </c>
      <c r="R215" s="3382" t="s">
        <v>32</v>
      </c>
      <c r="S215" s="3382" t="s">
        <v>32</v>
      </c>
      <c r="T215" s="3603" t="s">
        <v>32</v>
      </c>
      <c r="U215" s="3382"/>
      <c r="V215" s="3382"/>
      <c r="W215" s="3382" t="s">
        <v>32</v>
      </c>
      <c r="X215" s="3378" t="s">
        <v>32</v>
      </c>
      <c r="Y215" s="3382" t="s">
        <v>32</v>
      </c>
      <c r="Z215" s="3378" t="s">
        <v>32</v>
      </c>
      <c r="AA215" s="3378" t="s">
        <v>32</v>
      </c>
      <c r="AB215" s="3378"/>
      <c r="AC215" s="3378"/>
      <c r="AD215" s="3378" t="s">
        <v>32</v>
      </c>
      <c r="AE215" s="3382"/>
      <c r="AF215" s="3382"/>
      <c r="AG215" s="3255"/>
      <c r="AH215" s="181"/>
      <c r="AI215" s="182"/>
    </row>
    <row r="216" spans="1:35" ht="22.35" customHeight="1">
      <c r="A216" s="3600">
        <v>3701</v>
      </c>
      <c r="B216" s="3388" t="s">
        <v>407</v>
      </c>
      <c r="C216" s="3378" t="s">
        <v>32</v>
      </c>
      <c r="D216" s="3378" t="s">
        <v>32</v>
      </c>
      <c r="E216" s="3378" t="s">
        <v>32</v>
      </c>
      <c r="F216" s="3378" t="s">
        <v>32</v>
      </c>
      <c r="G216" s="3378"/>
      <c r="H216" s="3378"/>
      <c r="I216" s="3683" t="s">
        <v>32</v>
      </c>
      <c r="J216" s="3683" t="s">
        <v>32</v>
      </c>
      <c r="K216" s="3683" t="s">
        <v>32</v>
      </c>
      <c r="L216" s="3378" t="s">
        <v>32</v>
      </c>
      <c r="M216" s="3378" t="s">
        <v>32</v>
      </c>
      <c r="N216" s="3382"/>
      <c r="O216" s="3382"/>
      <c r="P216" s="3382" t="s">
        <v>32</v>
      </c>
      <c r="Q216" s="3380" t="s">
        <v>32</v>
      </c>
      <c r="R216" s="3382" t="s">
        <v>32</v>
      </c>
      <c r="S216" s="3382" t="s">
        <v>32</v>
      </c>
      <c r="T216" s="3378" t="s">
        <v>32</v>
      </c>
      <c r="U216" s="3382"/>
      <c r="V216" s="3382"/>
      <c r="W216" s="3382" t="s">
        <v>32</v>
      </c>
      <c r="X216" s="3378" t="s">
        <v>32</v>
      </c>
      <c r="Y216" s="3382" t="s">
        <v>32</v>
      </c>
      <c r="Z216" s="3378" t="s">
        <v>32</v>
      </c>
      <c r="AA216" s="3378" t="s">
        <v>32</v>
      </c>
      <c r="AB216" s="3378"/>
      <c r="AC216" s="3378"/>
      <c r="AD216" s="3378" t="s">
        <v>32</v>
      </c>
      <c r="AE216" s="3380"/>
      <c r="AF216" s="3380"/>
      <c r="AG216" s="3255"/>
      <c r="AH216" s="181"/>
      <c r="AI216" s="182"/>
    </row>
    <row r="217" spans="1:35" ht="22.35" customHeight="1">
      <c r="A217" s="3600">
        <v>3701</v>
      </c>
      <c r="B217" s="3388" t="s">
        <v>283</v>
      </c>
      <c r="C217" s="3378" t="s">
        <v>32</v>
      </c>
      <c r="D217" s="3378" t="s">
        <v>32</v>
      </c>
      <c r="E217" s="3378" t="s">
        <v>32</v>
      </c>
      <c r="F217" s="3378" t="s">
        <v>32</v>
      </c>
      <c r="G217" s="3378"/>
      <c r="H217" s="3378"/>
      <c r="I217" s="3683" t="s">
        <v>32</v>
      </c>
      <c r="J217" s="3683" t="s">
        <v>32</v>
      </c>
      <c r="K217" s="3683" t="s">
        <v>32</v>
      </c>
      <c r="L217" s="3378" t="s">
        <v>32</v>
      </c>
      <c r="M217" s="3739" t="s">
        <v>32</v>
      </c>
      <c r="N217" s="3382"/>
      <c r="O217" s="3382"/>
      <c r="P217" s="3739" t="s">
        <v>32</v>
      </c>
      <c r="Q217" s="3739" t="s">
        <v>32</v>
      </c>
      <c r="R217" s="3739" t="s">
        <v>32</v>
      </c>
      <c r="S217" s="3603" t="s">
        <v>32</v>
      </c>
      <c r="T217" s="3391" t="s">
        <v>32</v>
      </c>
      <c r="U217" s="3382"/>
      <c r="V217" s="3382"/>
      <c r="W217" s="3382" t="s">
        <v>32</v>
      </c>
      <c r="X217" s="3378" t="s">
        <v>32</v>
      </c>
      <c r="Y217" s="3382" t="s">
        <v>32</v>
      </c>
      <c r="Z217" s="3378" t="s">
        <v>32</v>
      </c>
      <c r="AA217" s="3378" t="s">
        <v>32</v>
      </c>
      <c r="AB217" s="3378"/>
      <c r="AC217" s="3378"/>
      <c r="AD217" s="3378" t="s">
        <v>32</v>
      </c>
      <c r="AE217" s="3380"/>
      <c r="AF217" s="3380"/>
      <c r="AG217" s="3255"/>
      <c r="AH217" s="181"/>
      <c r="AI217" s="182"/>
    </row>
    <row r="218" spans="1:35" ht="22.35" customHeight="1">
      <c r="A218" s="3600">
        <v>3701</v>
      </c>
      <c r="B218" s="3602" t="s">
        <v>284</v>
      </c>
      <c r="C218" s="3378" t="s">
        <v>32</v>
      </c>
      <c r="D218" s="3378" t="s">
        <v>32</v>
      </c>
      <c r="E218" s="3378" t="s">
        <v>32</v>
      </c>
      <c r="F218" s="3378" t="s">
        <v>32</v>
      </c>
      <c r="G218" s="3378"/>
      <c r="H218" s="3378"/>
      <c r="I218" s="3378" t="s">
        <v>32</v>
      </c>
      <c r="J218" s="3378" t="s">
        <v>32</v>
      </c>
      <c r="K218" s="3378" t="s">
        <v>32</v>
      </c>
      <c r="L218" s="3378" t="s">
        <v>32</v>
      </c>
      <c r="M218" s="3378" t="s">
        <v>32</v>
      </c>
      <c r="N218" s="3382"/>
      <c r="O218" s="3382"/>
      <c r="P218" s="3382" t="s">
        <v>32</v>
      </c>
      <c r="Q218" s="3380" t="s">
        <v>32</v>
      </c>
      <c r="R218" s="3382" t="s">
        <v>32</v>
      </c>
      <c r="S218" s="3382" t="s">
        <v>32</v>
      </c>
      <c r="T218" s="3378" t="s">
        <v>32</v>
      </c>
      <c r="U218" s="3382"/>
      <c r="V218" s="3382"/>
      <c r="W218" s="3382" t="s">
        <v>32</v>
      </c>
      <c r="X218" s="3378" t="s">
        <v>32</v>
      </c>
      <c r="Y218" s="3382" t="s">
        <v>32</v>
      </c>
      <c r="Z218" s="3378" t="s">
        <v>32</v>
      </c>
      <c r="AA218" s="3378" t="s">
        <v>32</v>
      </c>
      <c r="AB218" s="3378"/>
      <c r="AC218" s="3378"/>
      <c r="AD218" s="3378" t="s">
        <v>32</v>
      </c>
      <c r="AE218" s="3382"/>
      <c r="AF218" s="3382"/>
      <c r="AG218" s="3255"/>
      <c r="AH218" s="181"/>
      <c r="AI218" s="182"/>
    </row>
    <row r="219" spans="1:35" ht="22.35" customHeight="1" thickBot="1">
      <c r="A219" s="3600">
        <v>3701</v>
      </c>
      <c r="B219" s="3388" t="s">
        <v>285</v>
      </c>
      <c r="C219" s="3378" t="s">
        <v>32</v>
      </c>
      <c r="D219" s="3378" t="s">
        <v>32</v>
      </c>
      <c r="E219" s="3378" t="s">
        <v>32</v>
      </c>
      <c r="F219" s="3378" t="s">
        <v>32</v>
      </c>
      <c r="G219" s="3378"/>
      <c r="H219" s="3378"/>
      <c r="I219" s="3378" t="s">
        <v>32</v>
      </c>
      <c r="J219" s="3378" t="s">
        <v>32</v>
      </c>
      <c r="K219" s="3378" t="s">
        <v>32</v>
      </c>
      <c r="L219" s="3378" t="s">
        <v>32</v>
      </c>
      <c r="M219" s="3378" t="s">
        <v>32</v>
      </c>
      <c r="N219" s="3382"/>
      <c r="O219" s="3382"/>
      <c r="P219" s="3382" t="s">
        <v>32</v>
      </c>
      <c r="Q219" s="3380" t="s">
        <v>32</v>
      </c>
      <c r="R219" s="3382" t="s">
        <v>32</v>
      </c>
      <c r="S219" s="3382" t="s">
        <v>32</v>
      </c>
      <c r="T219" s="3603" t="s">
        <v>32</v>
      </c>
      <c r="U219" s="3382"/>
      <c r="V219" s="3382"/>
      <c r="W219" s="3382" t="s">
        <v>32</v>
      </c>
      <c r="X219" s="3378" t="s">
        <v>32</v>
      </c>
      <c r="Y219" s="3382" t="s">
        <v>32</v>
      </c>
      <c r="Z219" s="3603" t="s">
        <v>32</v>
      </c>
      <c r="AA219" s="3378" t="s">
        <v>32</v>
      </c>
      <c r="AB219" s="3378"/>
      <c r="AC219" s="3378"/>
      <c r="AD219" s="3564" t="s">
        <v>32</v>
      </c>
      <c r="AE219" s="3382"/>
      <c r="AF219" s="3382"/>
      <c r="AG219" s="3255"/>
      <c r="AH219" s="181"/>
      <c r="AI219" s="182"/>
    </row>
    <row r="220" spans="1:35" ht="22.35" customHeight="1">
      <c r="A220" s="3600">
        <v>3701</v>
      </c>
      <c r="B220" s="3388" t="s">
        <v>286</v>
      </c>
      <c r="C220" s="3378" t="s">
        <v>32</v>
      </c>
      <c r="D220" s="3378" t="s">
        <v>32</v>
      </c>
      <c r="E220" s="3378" t="s">
        <v>32</v>
      </c>
      <c r="F220" s="3378" t="s">
        <v>32</v>
      </c>
      <c r="G220" s="3378"/>
      <c r="H220" s="3378"/>
      <c r="I220" s="3378" t="s">
        <v>32</v>
      </c>
      <c r="J220" s="3378" t="s">
        <v>32</v>
      </c>
      <c r="K220" s="3378" t="s">
        <v>32</v>
      </c>
      <c r="L220" s="3378" t="s">
        <v>32</v>
      </c>
      <c r="M220" s="3378" t="s">
        <v>32</v>
      </c>
      <c r="N220" s="3382"/>
      <c r="O220" s="3382"/>
      <c r="P220" s="3382" t="s">
        <v>32</v>
      </c>
      <c r="Q220" s="3380" t="s">
        <v>32</v>
      </c>
      <c r="R220" s="3382" t="s">
        <v>32</v>
      </c>
      <c r="S220" s="3603" t="s">
        <v>32</v>
      </c>
      <c r="T220" s="3603" t="s">
        <v>32</v>
      </c>
      <c r="U220" s="3382"/>
      <c r="V220" s="3382"/>
      <c r="W220" s="3382" t="s">
        <v>32</v>
      </c>
      <c r="X220" s="3378" t="s">
        <v>32</v>
      </c>
      <c r="Y220" s="3382" t="s">
        <v>32</v>
      </c>
      <c r="Z220" s="3378" t="s">
        <v>32</v>
      </c>
      <c r="AA220" s="3378" t="s">
        <v>32</v>
      </c>
      <c r="AB220" s="3378"/>
      <c r="AC220" s="3378"/>
      <c r="AD220" s="3378" t="s">
        <v>32</v>
      </c>
      <c r="AE220" s="3378"/>
      <c r="AF220" s="3378"/>
      <c r="AG220" s="234"/>
      <c r="AH220" s="181"/>
      <c r="AI220" s="182"/>
    </row>
    <row r="221" spans="1:35" ht="22.35" customHeight="1">
      <c r="A221" s="3604">
        <v>3701</v>
      </c>
      <c r="B221" s="3388" t="s">
        <v>287</v>
      </c>
      <c r="C221" s="3378" t="s">
        <v>32</v>
      </c>
      <c r="D221" s="3378" t="s">
        <v>32</v>
      </c>
      <c r="E221" s="3378" t="s">
        <v>32</v>
      </c>
      <c r="F221" s="3378" t="s">
        <v>32</v>
      </c>
      <c r="G221" s="3378"/>
      <c r="H221" s="3378"/>
      <c r="I221" s="3378" t="s">
        <v>32</v>
      </c>
      <c r="J221" s="3378" t="s">
        <v>32</v>
      </c>
      <c r="K221" s="3378" t="s">
        <v>32</v>
      </c>
      <c r="L221" s="3378" t="s">
        <v>32</v>
      </c>
      <c r="M221" s="3378" t="s">
        <v>32</v>
      </c>
      <c r="N221" s="3382"/>
      <c r="O221" s="3382"/>
      <c r="P221" s="3382" t="s">
        <v>32</v>
      </c>
      <c r="Q221" s="3380" t="s">
        <v>32</v>
      </c>
      <c r="R221" s="3382" t="s">
        <v>32</v>
      </c>
      <c r="S221" s="3382" t="s">
        <v>32</v>
      </c>
      <c r="T221" s="3603" t="s">
        <v>32</v>
      </c>
      <c r="U221" s="3382"/>
      <c r="V221" s="3605"/>
      <c r="W221" s="3605" t="s">
        <v>32</v>
      </c>
      <c r="X221" s="3605" t="s">
        <v>32</v>
      </c>
      <c r="Y221" s="3605" t="s">
        <v>32</v>
      </c>
      <c r="Z221" s="3605" t="s">
        <v>32</v>
      </c>
      <c r="AA221" s="3605" t="s">
        <v>32</v>
      </c>
      <c r="AB221" s="3605"/>
      <c r="AC221" s="3605"/>
      <c r="AD221" s="3378" t="s">
        <v>32</v>
      </c>
      <c r="AE221" s="3382"/>
      <c r="AF221" s="3382"/>
      <c r="AG221" s="3255"/>
      <c r="AH221" s="181"/>
      <c r="AI221" s="182"/>
    </row>
    <row r="222" spans="1:35" ht="22.35" customHeight="1">
      <c r="A222" s="3600">
        <v>3701</v>
      </c>
      <c r="B222" s="3388" t="s">
        <v>288</v>
      </c>
      <c r="C222" s="3378" t="s">
        <v>32</v>
      </c>
      <c r="D222" s="3378" t="s">
        <v>32</v>
      </c>
      <c r="E222" s="3378" t="s">
        <v>32</v>
      </c>
      <c r="F222" s="3378" t="s">
        <v>32</v>
      </c>
      <c r="G222" s="3378"/>
      <c r="H222" s="3378"/>
      <c r="I222" s="3378" t="s">
        <v>32</v>
      </c>
      <c r="J222" s="3378" t="s">
        <v>32</v>
      </c>
      <c r="K222" s="3378" t="s">
        <v>32</v>
      </c>
      <c r="L222" s="3378" t="s">
        <v>32</v>
      </c>
      <c r="M222" s="3378" t="s">
        <v>32</v>
      </c>
      <c r="N222" s="3382"/>
      <c r="O222" s="3382"/>
      <c r="P222" s="3603" t="s">
        <v>32</v>
      </c>
      <c r="Q222" s="3603" t="s">
        <v>32</v>
      </c>
      <c r="R222" s="3603" t="s">
        <v>32</v>
      </c>
      <c r="S222" s="3603" t="s">
        <v>32</v>
      </c>
      <c r="T222" s="3378" t="s">
        <v>32</v>
      </c>
      <c r="U222" s="3382"/>
      <c r="V222" s="3382"/>
      <c r="W222" s="3382" t="s">
        <v>32</v>
      </c>
      <c r="X222" s="3378" t="s">
        <v>32</v>
      </c>
      <c r="Y222" s="3382" t="s">
        <v>32</v>
      </c>
      <c r="Z222" s="3378" t="s">
        <v>32</v>
      </c>
      <c r="AA222" s="3378" t="s">
        <v>32</v>
      </c>
      <c r="AB222" s="3378"/>
      <c r="AC222" s="3378"/>
      <c r="AD222" s="3378" t="s">
        <v>32</v>
      </c>
      <c r="AE222" s="3382"/>
      <c r="AF222" s="3382"/>
      <c r="AG222" s="3262"/>
      <c r="AH222" s="181"/>
      <c r="AI222" s="182"/>
    </row>
    <row r="223" spans="1:35" ht="22.35" customHeight="1" thickBot="1">
      <c r="A223" s="3600">
        <v>3701</v>
      </c>
      <c r="B223" s="3388" t="s">
        <v>289</v>
      </c>
      <c r="C223" s="3378" t="s">
        <v>32</v>
      </c>
      <c r="D223" s="3378" t="s">
        <v>32</v>
      </c>
      <c r="E223" s="3378" t="s">
        <v>32</v>
      </c>
      <c r="F223" s="3378" t="s">
        <v>32</v>
      </c>
      <c r="G223" s="3378"/>
      <c r="H223" s="3378"/>
      <c r="I223" s="3639" t="s">
        <v>278</v>
      </c>
      <c r="J223" s="3125" t="s">
        <v>32</v>
      </c>
      <c r="K223" s="3125" t="s">
        <v>32</v>
      </c>
      <c r="L223" s="3125" t="s">
        <v>32</v>
      </c>
      <c r="M223" s="3125" t="s">
        <v>32</v>
      </c>
      <c r="N223" s="3382"/>
      <c r="O223" s="3382"/>
      <c r="P223" s="3740" t="s">
        <v>32</v>
      </c>
      <c r="Q223" s="3740" t="s">
        <v>32</v>
      </c>
      <c r="R223" s="3740" t="s">
        <v>32</v>
      </c>
      <c r="S223" s="3740" t="s">
        <v>32</v>
      </c>
      <c r="T223" s="3740" t="s">
        <v>32</v>
      </c>
      <c r="U223" s="3382"/>
      <c r="V223" s="3382"/>
      <c r="W223" s="3382" t="s">
        <v>32</v>
      </c>
      <c r="X223" s="3378" t="s">
        <v>32</v>
      </c>
      <c r="Y223" s="3382" t="s">
        <v>32</v>
      </c>
      <c r="Z223" s="3378" t="s">
        <v>32</v>
      </c>
      <c r="AA223" s="3378" t="s">
        <v>32</v>
      </c>
      <c r="AB223" s="3378"/>
      <c r="AC223" s="3378"/>
      <c r="AD223" s="3378" t="s">
        <v>32</v>
      </c>
      <c r="AE223" s="3382"/>
      <c r="AF223" s="3382"/>
      <c r="AG223" s="3263"/>
      <c r="AH223" s="181"/>
      <c r="AI223" s="182"/>
    </row>
    <row r="224" spans="1:35" ht="22.35" customHeight="1">
      <c r="A224" s="3600"/>
      <c r="B224" s="3388"/>
      <c r="C224" s="3378" t="s">
        <v>32</v>
      </c>
      <c r="D224" s="3378" t="s">
        <v>32</v>
      </c>
      <c r="E224" s="3378" t="s">
        <v>32</v>
      </c>
      <c r="F224" s="3378" t="s">
        <v>32</v>
      </c>
      <c r="G224" s="3378"/>
      <c r="H224" s="3378"/>
      <c r="I224" s="3378" t="s">
        <v>32</v>
      </c>
      <c r="J224" s="3378" t="s">
        <v>32</v>
      </c>
      <c r="K224" s="3378" t="s">
        <v>32</v>
      </c>
      <c r="L224" s="3378" t="s">
        <v>32</v>
      </c>
      <c r="M224" s="3378" t="s">
        <v>32</v>
      </c>
      <c r="N224" s="3382"/>
      <c r="O224" s="3382"/>
      <c r="P224" s="3382" t="s">
        <v>32</v>
      </c>
      <c r="Q224" s="3380" t="s">
        <v>32</v>
      </c>
      <c r="R224" s="3382" t="s">
        <v>32</v>
      </c>
      <c r="S224" s="3382" t="s">
        <v>32</v>
      </c>
      <c r="T224" s="3378" t="s">
        <v>32</v>
      </c>
      <c r="U224" s="3382"/>
      <c r="V224" s="3382"/>
      <c r="W224" s="3382" t="s">
        <v>32</v>
      </c>
      <c r="X224" s="3378" t="s">
        <v>32</v>
      </c>
      <c r="Y224" s="3382" t="s">
        <v>32</v>
      </c>
      <c r="Z224" s="3378" t="s">
        <v>32</v>
      </c>
      <c r="AA224" s="3378" t="s">
        <v>32</v>
      </c>
      <c r="AB224" s="3378"/>
      <c r="AC224" s="3378"/>
      <c r="AD224" s="3378" t="s">
        <v>32</v>
      </c>
      <c r="AE224" s="3378"/>
      <c r="AF224" s="3378"/>
      <c r="AG224" s="234"/>
      <c r="AH224" s="181"/>
      <c r="AI224" s="182"/>
    </row>
    <row r="225" spans="1:35" ht="22.35" customHeight="1">
      <c r="A225" s="3600"/>
      <c r="B225" s="3388" t="s">
        <v>291</v>
      </c>
      <c r="C225" s="3378" t="s">
        <v>32</v>
      </c>
      <c r="D225" s="3378" t="s">
        <v>32</v>
      </c>
      <c r="E225" s="3378" t="s">
        <v>32</v>
      </c>
      <c r="F225" s="3378" t="s">
        <v>32</v>
      </c>
      <c r="G225" s="3378"/>
      <c r="H225" s="3378"/>
      <c r="I225" s="3378" t="s">
        <v>32</v>
      </c>
      <c r="J225" s="3378" t="s">
        <v>32</v>
      </c>
      <c r="K225" s="3378" t="s">
        <v>32</v>
      </c>
      <c r="L225" s="3378" t="s">
        <v>32</v>
      </c>
      <c r="M225" s="3378" t="s">
        <v>32</v>
      </c>
      <c r="N225" s="3382"/>
      <c r="O225" s="3382"/>
      <c r="P225" s="3382" t="s">
        <v>32</v>
      </c>
      <c r="Q225" s="3380" t="s">
        <v>32</v>
      </c>
      <c r="R225" s="3382" t="s">
        <v>32</v>
      </c>
      <c r="S225" s="3382" t="s">
        <v>32</v>
      </c>
      <c r="T225" s="3378" t="s">
        <v>32</v>
      </c>
      <c r="U225" s="3382"/>
      <c r="V225" s="3382"/>
      <c r="W225" s="3382" t="s">
        <v>32</v>
      </c>
      <c r="X225" s="3378" t="s">
        <v>32</v>
      </c>
      <c r="Y225" s="3382" t="s">
        <v>32</v>
      </c>
      <c r="Z225" s="3378" t="s">
        <v>32</v>
      </c>
      <c r="AA225" s="3378" t="s">
        <v>32</v>
      </c>
      <c r="AB225" s="3378"/>
      <c r="AC225" s="3378"/>
      <c r="AD225" s="3378" t="s">
        <v>32</v>
      </c>
      <c r="AE225" s="3387"/>
      <c r="AF225" s="3378"/>
      <c r="AG225" s="3255"/>
      <c r="AH225" s="181"/>
      <c r="AI225" s="182"/>
    </row>
    <row r="226" spans="1:35" ht="22.35" customHeight="1">
      <c r="A226" s="3600"/>
      <c r="B226" s="3602" t="s">
        <v>293</v>
      </c>
      <c r="C226" s="3378" t="s">
        <v>32</v>
      </c>
      <c r="D226" s="3378" t="s">
        <v>32</v>
      </c>
      <c r="E226" s="3378" t="s">
        <v>32</v>
      </c>
      <c r="F226" s="3378" t="s">
        <v>32</v>
      </c>
      <c r="G226" s="3378"/>
      <c r="H226" s="3378"/>
      <c r="I226" s="3378" t="s">
        <v>32</v>
      </c>
      <c r="J226" s="3378" t="s">
        <v>32</v>
      </c>
      <c r="K226" s="3378" t="s">
        <v>32</v>
      </c>
      <c r="L226" s="3378" t="s">
        <v>32</v>
      </c>
      <c r="M226" s="3378" t="s">
        <v>32</v>
      </c>
      <c r="N226" s="3382"/>
      <c r="O226" s="3382"/>
      <c r="P226" s="3382" t="s">
        <v>32</v>
      </c>
      <c r="Q226" s="3380" t="s">
        <v>32</v>
      </c>
      <c r="R226" s="3382" t="s">
        <v>32</v>
      </c>
      <c r="S226" s="3382" t="s">
        <v>32</v>
      </c>
      <c r="T226" s="3378" t="s">
        <v>32</v>
      </c>
      <c r="U226" s="3382"/>
      <c r="V226" s="3382"/>
      <c r="W226" s="3382" t="s">
        <v>32</v>
      </c>
      <c r="X226" s="3378" t="s">
        <v>32</v>
      </c>
      <c r="Y226" s="3382" t="s">
        <v>32</v>
      </c>
      <c r="Z226" s="3378" t="s">
        <v>32</v>
      </c>
      <c r="AA226" s="3378" t="s">
        <v>32</v>
      </c>
      <c r="AB226" s="3378"/>
      <c r="AC226" s="3378"/>
      <c r="AD226" s="3378" t="s">
        <v>32</v>
      </c>
      <c r="AE226" s="3378"/>
      <c r="AF226" s="3378"/>
      <c r="AG226" s="3255"/>
      <c r="AH226" s="181"/>
      <c r="AI226" s="182"/>
    </row>
    <row r="227" spans="1:35" ht="22.35" customHeight="1">
      <c r="A227" s="3600"/>
      <c r="B227" s="3388" t="s">
        <v>294</v>
      </c>
      <c r="C227" s="3378" t="s">
        <v>32</v>
      </c>
      <c r="D227" s="3378" t="s">
        <v>32</v>
      </c>
      <c r="E227" s="3378" t="s">
        <v>32</v>
      </c>
      <c r="F227" s="3378" t="s">
        <v>32</v>
      </c>
      <c r="G227" s="3378"/>
      <c r="H227" s="3378"/>
      <c r="I227" s="3378" t="s">
        <v>32</v>
      </c>
      <c r="J227" s="3378" t="s">
        <v>32</v>
      </c>
      <c r="K227" s="3378" t="s">
        <v>32</v>
      </c>
      <c r="L227" s="3378" t="s">
        <v>32</v>
      </c>
      <c r="M227" s="3378" t="s">
        <v>32</v>
      </c>
      <c r="N227" s="3382"/>
      <c r="O227" s="3382"/>
      <c r="P227" s="3382" t="s">
        <v>32</v>
      </c>
      <c r="Q227" s="3380" t="s">
        <v>32</v>
      </c>
      <c r="R227" s="3382" t="s">
        <v>32</v>
      </c>
      <c r="S227" s="3382" t="s">
        <v>32</v>
      </c>
      <c r="T227" s="3378" t="s">
        <v>32</v>
      </c>
      <c r="U227" s="3382"/>
      <c r="V227" s="3382"/>
      <c r="W227" s="3382" t="s">
        <v>32</v>
      </c>
      <c r="X227" s="3378" t="s">
        <v>32</v>
      </c>
      <c r="Y227" s="3382" t="s">
        <v>32</v>
      </c>
      <c r="Z227" s="3378" t="s">
        <v>32</v>
      </c>
      <c r="AA227" s="3378" t="s">
        <v>32</v>
      </c>
      <c r="AB227" s="3378"/>
      <c r="AC227" s="3378"/>
      <c r="AD227" s="3378" t="s">
        <v>32</v>
      </c>
      <c r="AE227" s="3378"/>
      <c r="AF227" s="3378"/>
      <c r="AG227" s="3255"/>
      <c r="AH227" s="181"/>
      <c r="AI227" s="182"/>
    </row>
    <row r="228" spans="1:35" ht="22.35" customHeight="1" thickBot="1">
      <c r="A228" s="3600"/>
      <c r="B228" s="3388" t="s">
        <v>295</v>
      </c>
      <c r="C228" s="3378" t="s">
        <v>32</v>
      </c>
      <c r="D228" s="3378" t="s">
        <v>32</v>
      </c>
      <c r="E228" s="3378" t="s">
        <v>32</v>
      </c>
      <c r="F228" s="3378" t="s">
        <v>32</v>
      </c>
      <c r="G228" s="3378"/>
      <c r="H228" s="3378"/>
      <c r="I228" s="3378" t="s">
        <v>32</v>
      </c>
      <c r="J228" s="3378" t="s">
        <v>32</v>
      </c>
      <c r="K228" s="3568" t="s">
        <v>278</v>
      </c>
      <c r="L228" s="3125" t="s">
        <v>32</v>
      </c>
      <c r="M228" s="3125" t="s">
        <v>32</v>
      </c>
      <c r="N228" s="3125"/>
      <c r="O228" s="3125"/>
      <c r="P228" s="3125" t="s">
        <v>32</v>
      </c>
      <c r="Q228" s="3380" t="s">
        <v>32</v>
      </c>
      <c r="R228" s="3382" t="s">
        <v>32</v>
      </c>
      <c r="S228" s="3382" t="s">
        <v>32</v>
      </c>
      <c r="T228" s="3378" t="s">
        <v>32</v>
      </c>
      <c r="U228" s="3382"/>
      <c r="V228" s="3382"/>
      <c r="W228" s="3382" t="s">
        <v>32</v>
      </c>
      <c r="X228" s="3378" t="s">
        <v>32</v>
      </c>
      <c r="Y228" s="3382" t="s">
        <v>32</v>
      </c>
      <c r="Z228" s="3378" t="s">
        <v>32</v>
      </c>
      <c r="AA228" s="3378" t="s">
        <v>32</v>
      </c>
      <c r="AB228" s="3378"/>
      <c r="AC228" s="3378"/>
      <c r="AD228" s="3378" t="s">
        <v>32</v>
      </c>
      <c r="AE228" s="3378"/>
      <c r="AF228" s="3382"/>
      <c r="AG228" s="3262"/>
      <c r="AH228" s="181"/>
      <c r="AI228" s="182"/>
    </row>
    <row r="229" spans="1:35" ht="22.35" customHeight="1" thickBot="1">
      <c r="A229" s="3600"/>
      <c r="B229" s="3388" t="s">
        <v>296</v>
      </c>
      <c r="C229" s="3378" t="s">
        <v>32</v>
      </c>
      <c r="D229" s="3378" t="s">
        <v>32</v>
      </c>
      <c r="E229" s="3378" t="s">
        <v>32</v>
      </c>
      <c r="F229" s="3378" t="s">
        <v>32</v>
      </c>
      <c r="G229" s="3378"/>
      <c r="H229" s="3378"/>
      <c r="I229" s="3378" t="s">
        <v>32</v>
      </c>
      <c r="J229" s="3378" t="s">
        <v>32</v>
      </c>
      <c r="K229" s="3378" t="s">
        <v>32</v>
      </c>
      <c r="L229" s="3378" t="s">
        <v>32</v>
      </c>
      <c r="M229" s="3378" t="s">
        <v>32</v>
      </c>
      <c r="N229" s="3382"/>
      <c r="O229" s="3382"/>
      <c r="P229" s="3382" t="s">
        <v>32</v>
      </c>
      <c r="Q229" s="3380" t="s">
        <v>32</v>
      </c>
      <c r="R229" s="3382" t="s">
        <v>32</v>
      </c>
      <c r="S229" s="3382" t="s">
        <v>32</v>
      </c>
      <c r="T229" s="3378" t="s">
        <v>32</v>
      </c>
      <c r="U229" s="3382"/>
      <c r="V229" s="3382"/>
      <c r="W229" s="3382" t="s">
        <v>32</v>
      </c>
      <c r="X229" s="3568" t="s">
        <v>32</v>
      </c>
      <c r="Y229" s="3568" t="s">
        <v>278</v>
      </c>
      <c r="Z229" s="3125" t="s">
        <v>32</v>
      </c>
      <c r="AA229" s="3125" t="s">
        <v>32</v>
      </c>
      <c r="AB229" s="3378"/>
      <c r="AC229" s="3378"/>
      <c r="AD229" s="3378" t="s">
        <v>32</v>
      </c>
      <c r="AE229" s="3378"/>
      <c r="AF229" s="3378"/>
      <c r="AG229" s="234"/>
      <c r="AH229" s="178"/>
      <c r="AI229" s="107"/>
    </row>
    <row r="230" spans="1:35" ht="22.35" customHeight="1">
      <c r="A230" s="3600"/>
      <c r="B230" s="3388" t="s">
        <v>297</v>
      </c>
      <c r="C230" s="3378" t="s">
        <v>32</v>
      </c>
      <c r="D230" s="3378" t="s">
        <v>32</v>
      </c>
      <c r="E230" s="3378" t="s">
        <v>32</v>
      </c>
      <c r="F230" s="3378" t="s">
        <v>32</v>
      </c>
      <c r="G230" s="3378"/>
      <c r="H230" s="3378"/>
      <c r="I230" s="3378" t="s">
        <v>32</v>
      </c>
      <c r="J230" s="3378" t="s">
        <v>32</v>
      </c>
      <c r="K230" s="3378" t="s">
        <v>32</v>
      </c>
      <c r="L230" s="3378" t="s">
        <v>32</v>
      </c>
      <c r="M230" s="3378" t="s">
        <v>32</v>
      </c>
      <c r="N230" s="3382"/>
      <c r="O230" s="3382"/>
      <c r="P230" s="3564" t="s">
        <v>32</v>
      </c>
      <c r="Q230" s="3564" t="s">
        <v>32</v>
      </c>
      <c r="R230" s="3564" t="s">
        <v>32</v>
      </c>
      <c r="S230" s="3391" t="s">
        <v>32</v>
      </c>
      <c r="T230" s="3391" t="s">
        <v>32</v>
      </c>
      <c r="U230" s="3382"/>
      <c r="V230" s="3382"/>
      <c r="W230" s="3382" t="s">
        <v>32</v>
      </c>
      <c r="X230" s="3378" t="s">
        <v>32</v>
      </c>
      <c r="Y230" s="3382" t="s">
        <v>32</v>
      </c>
      <c r="Z230" s="3378" t="s">
        <v>32</v>
      </c>
      <c r="AA230" s="3378" t="s">
        <v>32</v>
      </c>
      <c r="AB230" s="3378"/>
      <c r="AC230" s="3378"/>
      <c r="AD230" s="3378" t="s">
        <v>32</v>
      </c>
      <c r="AE230" s="3378"/>
      <c r="AF230" s="3378"/>
      <c r="AG230" s="234"/>
      <c r="AH230" s="178"/>
      <c r="AI230" s="107"/>
    </row>
    <row r="231" spans="1:35" ht="22.35" customHeight="1">
      <c r="A231" s="3125"/>
      <c r="B231" s="3265"/>
      <c r="C231" s="3378"/>
      <c r="D231" s="3378"/>
      <c r="E231" s="3378"/>
      <c r="F231" s="3378"/>
      <c r="G231" s="3378"/>
      <c r="H231" s="3378"/>
      <c r="I231" s="3378"/>
      <c r="J231" s="3378"/>
      <c r="K231" s="3378"/>
      <c r="L231" s="3378"/>
      <c r="M231" s="3378"/>
      <c r="N231" s="3378"/>
      <c r="O231" s="3378"/>
      <c r="P231" s="3378"/>
      <c r="Q231" s="3378"/>
      <c r="R231" s="3378"/>
      <c r="S231" s="3378"/>
      <c r="T231" s="3378"/>
      <c r="U231" s="3378"/>
      <c r="V231" s="3378"/>
      <c r="W231" s="3378"/>
      <c r="X231" s="3378"/>
      <c r="Y231" s="3378"/>
      <c r="Z231" s="3378"/>
      <c r="AA231" s="3378"/>
      <c r="AB231" s="3378"/>
      <c r="AC231" s="3378"/>
      <c r="AD231" s="3378"/>
      <c r="AE231" s="3378"/>
      <c r="AF231" s="3378"/>
      <c r="AG231" s="3255"/>
      <c r="AH231" s="178"/>
      <c r="AI231" s="107"/>
    </row>
    <row r="232" spans="1:35" ht="22.35" customHeight="1">
      <c r="A232" s="3125"/>
      <c r="B232" s="3388"/>
      <c r="C232" s="3378"/>
      <c r="D232" s="3378"/>
      <c r="E232" s="3378"/>
      <c r="F232" s="3378"/>
      <c r="G232" s="3378"/>
      <c r="H232" s="3378"/>
      <c r="I232" s="3378"/>
      <c r="J232" s="3378"/>
      <c r="K232" s="3378"/>
      <c r="L232" s="3378"/>
      <c r="M232" s="3378"/>
      <c r="N232" s="3382"/>
      <c r="O232" s="3382"/>
      <c r="P232" s="3382"/>
      <c r="Q232" s="3380"/>
      <c r="R232" s="3382"/>
      <c r="S232" s="3382"/>
      <c r="T232" s="3378"/>
      <c r="U232" s="3382"/>
      <c r="V232" s="3382"/>
      <c r="W232" s="3382"/>
      <c r="X232" s="3378"/>
      <c r="Y232" s="3382"/>
      <c r="Z232" s="3378"/>
      <c r="AA232" s="3378"/>
      <c r="AB232" s="3378"/>
      <c r="AC232" s="3378"/>
      <c r="AD232" s="3378"/>
      <c r="AE232" s="3378"/>
      <c r="AF232" s="3378"/>
      <c r="AG232" s="3266"/>
      <c r="AH232" s="178"/>
      <c r="AI232" s="107"/>
    </row>
    <row r="233" spans="1:35" ht="22.35" customHeight="1">
      <c r="A233" s="3125"/>
      <c r="B233" s="3125"/>
      <c r="C233" s="3378"/>
      <c r="D233" s="3378"/>
      <c r="E233" s="3378"/>
      <c r="F233" s="3378"/>
      <c r="G233" s="3378"/>
      <c r="H233" s="3378"/>
      <c r="I233" s="3378"/>
      <c r="J233" s="3378"/>
      <c r="K233" s="3378"/>
      <c r="L233" s="3378"/>
      <c r="M233" s="3378"/>
      <c r="N233" s="3378"/>
      <c r="O233" s="3378"/>
      <c r="P233" s="3378"/>
      <c r="Q233" s="3378"/>
      <c r="R233" s="3378"/>
      <c r="S233" s="3378"/>
      <c r="T233" s="3378"/>
      <c r="U233" s="3378"/>
      <c r="V233" s="3378"/>
      <c r="W233" s="3378"/>
      <c r="X233" s="3378"/>
      <c r="Y233" s="3378"/>
      <c r="Z233" s="3378"/>
      <c r="AA233" s="3378"/>
      <c r="AB233" s="3378"/>
      <c r="AC233" s="3378"/>
      <c r="AD233" s="3378"/>
      <c r="AE233" s="3378"/>
      <c r="AF233" s="3378"/>
      <c r="AG233" s="3255"/>
      <c r="AH233" s="178"/>
      <c r="AI233" s="107"/>
    </row>
    <row r="234" spans="1:35" ht="22.35" customHeight="1">
      <c r="A234" s="3125"/>
      <c r="B234" s="3125"/>
      <c r="C234" s="3378"/>
      <c r="D234" s="3378"/>
      <c r="E234" s="3378"/>
      <c r="F234" s="3378"/>
      <c r="G234" s="3378"/>
      <c r="H234" s="3609"/>
      <c r="I234" s="3378"/>
      <c r="J234" s="3378"/>
      <c r="K234" s="3378"/>
      <c r="L234" s="3378"/>
      <c r="M234" s="3378"/>
      <c r="N234" s="3378"/>
      <c r="O234" s="3378"/>
      <c r="P234" s="3378"/>
      <c r="Q234" s="3378"/>
      <c r="R234" s="3378"/>
      <c r="S234" s="3378"/>
      <c r="T234" s="3378"/>
      <c r="U234" s="3378"/>
      <c r="V234" s="3378"/>
      <c r="W234" s="3378"/>
      <c r="X234" s="3378"/>
      <c r="Y234" s="3378"/>
      <c r="Z234" s="3378"/>
      <c r="AA234" s="3378"/>
      <c r="AB234" s="3378"/>
      <c r="AC234" s="3378"/>
      <c r="AD234" s="3378"/>
      <c r="AE234" s="3378"/>
      <c r="AF234" s="3378"/>
      <c r="AG234" s="3266"/>
      <c r="AH234" s="178"/>
      <c r="AI234" s="107"/>
    </row>
    <row r="235" spans="1:35" ht="22.35" customHeight="1">
      <c r="A235" s="3600"/>
      <c r="B235" s="3267"/>
      <c r="C235" s="3378"/>
      <c r="D235" s="3378"/>
      <c r="E235" s="3378"/>
      <c r="F235" s="3378"/>
      <c r="G235" s="3378"/>
      <c r="H235" s="3378"/>
      <c r="I235" s="3378"/>
      <c r="J235" s="3378"/>
      <c r="K235" s="3378"/>
      <c r="L235" s="3378"/>
      <c r="M235" s="3378"/>
      <c r="N235" s="3378"/>
      <c r="O235" s="3378"/>
      <c r="P235" s="3378"/>
      <c r="Q235" s="3378"/>
      <c r="R235" s="3378"/>
      <c r="S235" s="3378"/>
      <c r="T235" s="3378"/>
      <c r="U235" s="3378"/>
      <c r="V235" s="3378"/>
      <c r="W235" s="3378"/>
      <c r="X235" s="3378"/>
      <c r="Y235" s="3378"/>
      <c r="Z235" s="3378"/>
      <c r="AA235" s="3378"/>
      <c r="AB235" s="3378"/>
      <c r="AC235" s="3378"/>
      <c r="AD235" s="3378"/>
      <c r="AE235" s="3378"/>
      <c r="AF235" s="3378"/>
      <c r="AG235" s="3266"/>
      <c r="AH235" s="178"/>
      <c r="AI235" s="107"/>
    </row>
    <row r="236" spans="1:35">
      <c r="A236" s="3600"/>
      <c r="B236" s="3268"/>
      <c r="C236" s="3378"/>
      <c r="D236" s="3378"/>
      <c r="E236" s="3378"/>
      <c r="F236" s="3378"/>
      <c r="G236" s="3378"/>
      <c r="H236" s="3378"/>
      <c r="I236" s="3378"/>
      <c r="J236" s="3378"/>
      <c r="K236" s="3378"/>
      <c r="L236" s="3378"/>
      <c r="M236" s="3378"/>
      <c r="N236" s="3378"/>
      <c r="O236" s="3378"/>
      <c r="P236" s="3378"/>
      <c r="Q236" s="3378"/>
      <c r="R236" s="3378"/>
      <c r="S236" s="3378"/>
      <c r="T236" s="3378"/>
      <c r="U236" s="3378"/>
      <c r="V236" s="3378"/>
      <c r="W236" s="3378"/>
      <c r="X236" s="3378"/>
      <c r="Y236" s="3378"/>
      <c r="Z236" s="3378"/>
      <c r="AA236" s="3378"/>
      <c r="AB236" s="3378"/>
      <c r="AC236" s="3378"/>
      <c r="AD236" s="3378"/>
      <c r="AE236" s="3378"/>
      <c r="AF236" s="3378"/>
      <c r="AG236" s="3266"/>
      <c r="AH236" s="178"/>
      <c r="AI236" s="107"/>
    </row>
    <row r="237" spans="1:35" ht="12.75">
      <c r="A237" s="108"/>
      <c r="B237" s="122"/>
      <c r="C237" s="106"/>
      <c r="D237" s="106"/>
      <c r="E237" s="106"/>
      <c r="F237" s="106"/>
      <c r="G237" s="106"/>
      <c r="H237" s="106"/>
      <c r="I237" s="106"/>
      <c r="J237" s="106"/>
      <c r="L237" s="106"/>
      <c r="M237" s="106"/>
      <c r="N237" s="106"/>
      <c r="O237" s="106"/>
      <c r="P237" s="72"/>
      <c r="Q237" s="72"/>
      <c r="R237" s="72"/>
      <c r="S237" s="106"/>
      <c r="T237" s="106"/>
      <c r="U237" s="106"/>
      <c r="V237" s="106"/>
      <c r="W237" s="106"/>
      <c r="X237" s="106"/>
      <c r="Y237" s="106"/>
      <c r="Z237" s="106"/>
      <c r="AA237" s="106"/>
      <c r="AB237" s="106"/>
      <c r="AC237" s="106"/>
      <c r="AD237" s="106"/>
      <c r="AE237" s="106"/>
      <c r="AF237" s="106"/>
      <c r="AG237" s="106"/>
      <c r="AH237" s="107"/>
      <c r="AI237" s="107"/>
    </row>
    <row r="239" spans="1:35" ht="21" customHeight="1"/>
    <row r="240" spans="1:35" ht="21" customHeight="1"/>
    <row r="241" spans="1:35" ht="21" customHeight="1" thickBot="1">
      <c r="A241" s="161" t="s">
        <v>298</v>
      </c>
    </row>
    <row r="242" spans="1:35" ht="21" customHeight="1">
      <c r="B242" s="396" t="s">
        <v>266</v>
      </c>
      <c r="C242" s="368"/>
      <c r="D242" s="384" t="s">
        <v>94</v>
      </c>
      <c r="E242" s="357"/>
      <c r="F242" s="372"/>
      <c r="G242" s="368"/>
      <c r="H242" s="384" t="s">
        <v>95</v>
      </c>
      <c r="I242" s="357"/>
      <c r="J242" s="372"/>
      <c r="K242" s="368"/>
      <c r="L242" s="384" t="s">
        <v>96</v>
      </c>
      <c r="M242" s="357"/>
      <c r="N242" s="372"/>
      <c r="O242" s="368"/>
      <c r="P242" s="384" t="s">
        <v>97</v>
      </c>
      <c r="Q242" s="357"/>
      <c r="R242" s="372"/>
      <c r="S242" s="368"/>
      <c r="T242" s="384" t="s">
        <v>98</v>
      </c>
      <c r="U242" s="357"/>
      <c r="V242" s="372"/>
      <c r="W242" s="368"/>
      <c r="X242" s="384" t="s">
        <v>99</v>
      </c>
      <c r="Y242" s="357"/>
      <c r="Z242" s="372"/>
      <c r="AA242" s="368"/>
      <c r="AB242" s="384" t="s">
        <v>100</v>
      </c>
      <c r="AC242" s="357"/>
      <c r="AD242" s="357"/>
      <c r="AE242" s="387"/>
      <c r="AF242" s="357"/>
      <c r="AG242" s="357"/>
      <c r="AH242" s="357"/>
      <c r="AI242" s="358"/>
    </row>
    <row r="243" spans="1:35" ht="21" customHeight="1">
      <c r="B243" s="3"/>
      <c r="C243" s="537" t="s">
        <v>299</v>
      </c>
      <c r="D243" s="117"/>
      <c r="E243" s="533"/>
      <c r="F243" s="534"/>
      <c r="G243" s="537" t="s">
        <v>299</v>
      </c>
      <c r="H243" s="117"/>
      <c r="I243" s="533"/>
      <c r="J243" s="534"/>
      <c r="K243" s="537" t="s">
        <v>299</v>
      </c>
      <c r="L243" s="117"/>
      <c r="M243" s="533"/>
      <c r="N243" s="534"/>
      <c r="O243" s="537" t="s">
        <v>299</v>
      </c>
      <c r="P243" s="532"/>
      <c r="Q243" s="533"/>
      <c r="R243" s="534"/>
      <c r="S243" s="538" t="s">
        <v>300</v>
      </c>
      <c r="T243" s="117"/>
      <c r="U243" s="533"/>
      <c r="V243" s="534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>
      <c r="A244" s="110"/>
      <c r="B244" s="3269"/>
      <c r="C244" s="3571" t="s">
        <v>178</v>
      </c>
      <c r="D244" s="3270"/>
      <c r="E244" s="533"/>
      <c r="F244" s="534"/>
      <c r="G244" s="3571" t="s">
        <v>178</v>
      </c>
      <c r="H244" s="117"/>
      <c r="I244" s="533"/>
      <c r="J244" s="534"/>
      <c r="K244" s="3571" t="s">
        <v>178</v>
      </c>
      <c r="L244" s="117"/>
      <c r="M244" s="533"/>
      <c r="N244" s="534"/>
      <c r="O244" s="3571" t="s">
        <v>178</v>
      </c>
      <c r="P244" s="117"/>
      <c r="Q244" s="533"/>
      <c r="R244" s="534"/>
      <c r="S244" s="537" t="s">
        <v>301</v>
      </c>
      <c r="T244" s="117"/>
      <c r="U244" s="533"/>
      <c r="V244" s="534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>
      <c r="B245" s="3269"/>
      <c r="C245" s="3571" t="s">
        <v>181</v>
      </c>
      <c r="D245" s="3270"/>
      <c r="E245" s="533"/>
      <c r="F245" s="534"/>
      <c r="G245" s="3571" t="s">
        <v>181</v>
      </c>
      <c r="H245" s="117"/>
      <c r="I245" s="533"/>
      <c r="J245" s="534"/>
      <c r="K245" s="3571" t="s">
        <v>181</v>
      </c>
      <c r="L245" s="117"/>
      <c r="M245" s="533"/>
      <c r="N245" s="534"/>
      <c r="O245" s="3571" t="s">
        <v>181</v>
      </c>
      <c r="P245" s="117"/>
      <c r="Q245" s="533"/>
      <c r="R245" s="534"/>
      <c r="S245" s="3571" t="s">
        <v>176</v>
      </c>
      <c r="T245" s="117"/>
      <c r="U245" s="533"/>
      <c r="V245" s="534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>
      <c r="B246" s="3269"/>
      <c r="C246" s="3453"/>
      <c r="D246" s="3454"/>
      <c r="E246" s="165"/>
      <c r="F246" s="167"/>
      <c r="G246" s="3453"/>
      <c r="H246" s="3454"/>
      <c r="I246" s="165"/>
      <c r="J246" s="167"/>
      <c r="K246" s="3453"/>
      <c r="L246" s="3454"/>
      <c r="M246" s="165"/>
      <c r="N246" s="167"/>
      <c r="O246" s="3453"/>
      <c r="P246" s="3454"/>
      <c r="Q246" s="165"/>
      <c r="R246" s="167"/>
      <c r="S246" s="3453"/>
      <c r="T246" s="3454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>
      <c r="B247" s="3269"/>
      <c r="C247" s="3525"/>
      <c r="D247" s="3454"/>
      <c r="E247" s="165"/>
      <c r="F247" s="167"/>
      <c r="G247" s="117"/>
      <c r="H247" s="117"/>
      <c r="I247" s="165"/>
      <c r="J247" s="167"/>
      <c r="K247" s="117"/>
      <c r="L247" s="117"/>
      <c r="M247" s="165"/>
      <c r="N247" s="167"/>
      <c r="O247" s="117"/>
      <c r="P247" s="117"/>
      <c r="Q247" s="165"/>
      <c r="R247" s="167"/>
      <c r="S247" s="117"/>
      <c r="T247" s="117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>
      <c r="B248" s="3269" t="s">
        <v>148</v>
      </c>
      <c r="C248" s="3525" t="s">
        <v>302</v>
      </c>
      <c r="D248" s="3270"/>
      <c r="E248" s="533"/>
      <c r="F248" s="534"/>
      <c r="G248" s="3525" t="s">
        <v>302</v>
      </c>
      <c r="H248" s="3270"/>
      <c r="I248" s="533"/>
      <c r="J248" s="534"/>
      <c r="K248" s="3525" t="s">
        <v>302</v>
      </c>
      <c r="L248" s="3270"/>
      <c r="M248" s="533"/>
      <c r="N248" s="534"/>
      <c r="O248" s="3525" t="s">
        <v>302</v>
      </c>
      <c r="P248" s="3270"/>
      <c r="Q248" s="533"/>
      <c r="R248" s="534"/>
      <c r="S248" s="117" t="s">
        <v>303</v>
      </c>
      <c r="T248" s="117"/>
      <c r="U248" s="533"/>
      <c r="V248" s="534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>
      <c r="B249" s="3269" t="s">
        <v>152</v>
      </c>
      <c r="C249" s="3525" t="s">
        <v>304</v>
      </c>
      <c r="D249" s="3270"/>
      <c r="E249" s="533"/>
      <c r="F249" s="534"/>
      <c r="G249" s="3525" t="s">
        <v>304</v>
      </c>
      <c r="H249" s="3270"/>
      <c r="I249" s="533"/>
      <c r="J249" s="534"/>
      <c r="K249" s="3525" t="s">
        <v>304</v>
      </c>
      <c r="L249" s="3270"/>
      <c r="M249" s="533"/>
      <c r="N249" s="534"/>
      <c r="O249" s="3525" t="s">
        <v>304</v>
      </c>
      <c r="P249" s="3270"/>
      <c r="Q249" s="533"/>
      <c r="R249" s="534"/>
      <c r="S249" s="117" t="s">
        <v>305</v>
      </c>
      <c r="T249" s="117"/>
      <c r="U249" s="533"/>
      <c r="V249" s="534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thickBot="1">
      <c r="B250" s="3271" t="s">
        <v>159</v>
      </c>
      <c r="C250" s="3538" t="s">
        <v>306</v>
      </c>
      <c r="D250" s="3272"/>
      <c r="E250" s="535"/>
      <c r="F250" s="536"/>
      <c r="G250" s="3538" t="s">
        <v>306</v>
      </c>
      <c r="H250" s="3272"/>
      <c r="I250" s="535"/>
      <c r="J250" s="536"/>
      <c r="K250" s="3538" t="s">
        <v>306</v>
      </c>
      <c r="L250" s="3272"/>
      <c r="M250" s="535"/>
      <c r="N250" s="536"/>
      <c r="O250" s="3538" t="s">
        <v>306</v>
      </c>
      <c r="P250" s="3272"/>
      <c r="Q250" s="535"/>
      <c r="R250" s="536"/>
      <c r="S250" s="456" t="s">
        <v>307</v>
      </c>
      <c r="T250" s="456"/>
      <c r="U250" s="535"/>
      <c r="V250" s="536"/>
      <c r="W250" s="517"/>
      <c r="X250" s="456"/>
      <c r="Y250" s="518"/>
      <c r="Z250" s="519"/>
      <c r="AA250" s="520"/>
      <c r="AB250" s="456"/>
      <c r="AC250" s="518"/>
      <c r="AD250" s="518"/>
      <c r="AE250" s="521"/>
      <c r="AF250" s="518"/>
      <c r="AG250" s="516"/>
      <c r="AH250" s="516"/>
      <c r="AI250" s="453"/>
    </row>
    <row r="251" spans="1:35" ht="21" customHeight="1">
      <c r="B251" s="59"/>
      <c r="C251" s="64"/>
      <c r="D251" s="18"/>
      <c r="G251" s="64"/>
      <c r="H251" s="18"/>
      <c r="K251" s="64"/>
      <c r="L251" s="18"/>
      <c r="O251" s="64"/>
      <c r="P251" s="18"/>
      <c r="S251" s="64"/>
      <c r="T251" s="64"/>
      <c r="X251" s="64"/>
      <c r="AB251" s="64"/>
      <c r="AE251" s="64"/>
    </row>
    <row r="252" spans="1:35" ht="21" customHeight="1">
      <c r="A252" s="123" t="s">
        <v>308</v>
      </c>
    </row>
    <row r="253" spans="1:35" ht="21" customHeight="1" thickBot="1">
      <c r="A253" s="3500"/>
      <c r="B253" s="3341" t="s">
        <v>29</v>
      </c>
      <c r="C253" s="3342">
        <v>1</v>
      </c>
      <c r="D253" s="3342">
        <v>2</v>
      </c>
      <c r="E253" s="3342">
        <v>3</v>
      </c>
      <c r="F253" s="3342">
        <v>4</v>
      </c>
      <c r="G253" s="3343">
        <v>5</v>
      </c>
      <c r="H253" s="3343">
        <v>6</v>
      </c>
      <c r="I253" s="3342">
        <v>7</v>
      </c>
      <c r="J253" s="3342">
        <v>8</v>
      </c>
      <c r="K253" s="3342">
        <v>9</v>
      </c>
      <c r="L253" s="3342">
        <v>10</v>
      </c>
      <c r="M253" s="3342">
        <v>11</v>
      </c>
      <c r="N253" s="3343">
        <v>12</v>
      </c>
      <c r="O253" s="3343">
        <v>13</v>
      </c>
      <c r="P253" s="3342">
        <v>14</v>
      </c>
      <c r="Q253" s="3342">
        <v>15</v>
      </c>
      <c r="R253" s="3342">
        <v>16</v>
      </c>
      <c r="S253" s="3342">
        <v>17</v>
      </c>
      <c r="T253" s="3342">
        <v>18</v>
      </c>
      <c r="U253" s="3343">
        <v>19</v>
      </c>
      <c r="V253" s="3343">
        <v>20</v>
      </c>
      <c r="W253" s="3342">
        <v>21</v>
      </c>
      <c r="X253" s="3342">
        <v>22</v>
      </c>
      <c r="Y253" s="3342">
        <v>23</v>
      </c>
      <c r="Z253" s="3342">
        <v>24</v>
      </c>
      <c r="AA253" s="3342">
        <v>25</v>
      </c>
      <c r="AB253" s="3343">
        <v>26</v>
      </c>
      <c r="AC253" s="3343">
        <v>27</v>
      </c>
      <c r="AD253" s="3342">
        <v>28</v>
      </c>
      <c r="AE253" s="3342"/>
      <c r="AF253" s="3342"/>
      <c r="AG253" s="3432"/>
      <c r="AH253" s="176"/>
      <c r="AI253" s="177"/>
    </row>
    <row r="254" spans="1:35" ht="21" customHeight="1">
      <c r="A254" s="3273">
        <v>3702</v>
      </c>
      <c r="B254" s="175" t="s">
        <v>309</v>
      </c>
      <c r="C254" s="3378" t="s">
        <v>32</v>
      </c>
      <c r="D254" s="3378" t="s">
        <v>32</v>
      </c>
      <c r="E254" s="3378" t="s">
        <v>32</v>
      </c>
      <c r="F254" s="3378" t="s">
        <v>32</v>
      </c>
      <c r="G254" s="3378"/>
      <c r="H254" s="3378"/>
      <c r="I254" s="3378" t="s">
        <v>32</v>
      </c>
      <c r="J254" s="3378" t="s">
        <v>32</v>
      </c>
      <c r="K254" s="3378" t="s">
        <v>32</v>
      </c>
      <c r="L254" s="3378" t="s">
        <v>32</v>
      </c>
      <c r="M254" s="3378" t="s">
        <v>32</v>
      </c>
      <c r="N254" s="3382"/>
      <c r="O254" s="3382"/>
      <c r="P254" s="3382" t="s">
        <v>32</v>
      </c>
      <c r="Q254" s="3380" t="s">
        <v>32</v>
      </c>
      <c r="R254" s="3382" t="s">
        <v>32</v>
      </c>
      <c r="S254" s="3382" t="s">
        <v>32</v>
      </c>
      <c r="T254" s="3378" t="s">
        <v>32</v>
      </c>
      <c r="U254" s="3382"/>
      <c r="V254" s="3382"/>
      <c r="W254" s="3382" t="s">
        <v>32</v>
      </c>
      <c r="X254" s="3378" t="s">
        <v>32</v>
      </c>
      <c r="Y254" s="3382" t="s">
        <v>32</v>
      </c>
      <c r="Z254" s="3378" t="s">
        <v>32</v>
      </c>
      <c r="AA254" s="3378" t="s">
        <v>32</v>
      </c>
      <c r="AB254" s="3378"/>
      <c r="AC254" s="3378"/>
      <c r="AD254" s="3378" t="s">
        <v>32</v>
      </c>
      <c r="AE254" s="3378"/>
      <c r="AF254" s="3378"/>
      <c r="AG254" s="362"/>
      <c r="AH254" s="181"/>
      <c r="AI254" s="182"/>
    </row>
    <row r="255" spans="1:35" ht="21" customHeight="1">
      <c r="A255" s="3350"/>
      <c r="B255" s="3514" t="s">
        <v>310</v>
      </c>
      <c r="C255" s="3378" t="s">
        <v>32</v>
      </c>
      <c r="D255" s="3378" t="s">
        <v>32</v>
      </c>
      <c r="E255" s="3378" t="s">
        <v>32</v>
      </c>
      <c r="F255" s="3378" t="s">
        <v>32</v>
      </c>
      <c r="G255" s="3378"/>
      <c r="H255" s="3378"/>
      <c r="I255" s="3378" t="s">
        <v>32</v>
      </c>
      <c r="J255" s="3378" t="s">
        <v>32</v>
      </c>
      <c r="K255" s="3378" t="s">
        <v>32</v>
      </c>
      <c r="L255" s="3378" t="s">
        <v>32</v>
      </c>
      <c r="M255" s="3378" t="s">
        <v>32</v>
      </c>
      <c r="N255" s="3382"/>
      <c r="O255" s="3382"/>
      <c r="P255" s="3382" t="s">
        <v>32</v>
      </c>
      <c r="Q255" s="3380" t="s">
        <v>32</v>
      </c>
      <c r="R255" s="3382" t="s">
        <v>32</v>
      </c>
      <c r="S255" s="3382" t="s">
        <v>32</v>
      </c>
      <c r="T255" s="3378" t="s">
        <v>32</v>
      </c>
      <c r="U255" s="3382"/>
      <c r="V255" s="3382"/>
      <c r="W255" s="3382" t="s">
        <v>32</v>
      </c>
      <c r="X255" s="3378" t="s">
        <v>32</v>
      </c>
      <c r="Y255" s="3382" t="s">
        <v>32</v>
      </c>
      <c r="Z255" s="3378" t="s">
        <v>32</v>
      </c>
      <c r="AA255" s="3378" t="s">
        <v>32</v>
      </c>
      <c r="AB255" s="3378"/>
      <c r="AC255" s="3378"/>
      <c r="AD255" s="3378" t="s">
        <v>32</v>
      </c>
      <c r="AE255" s="3378"/>
      <c r="AF255" s="3378"/>
      <c r="AG255" s="3430"/>
      <c r="AH255" s="181"/>
      <c r="AI255" s="182"/>
    </row>
    <row r="256" spans="1:35" ht="21" customHeight="1">
      <c r="A256" s="3274"/>
      <c r="B256" s="3514" t="s">
        <v>311</v>
      </c>
      <c r="C256" s="3378" t="s">
        <v>32</v>
      </c>
      <c r="D256" s="3378" t="s">
        <v>32</v>
      </c>
      <c r="E256" s="3378" t="s">
        <v>32</v>
      </c>
      <c r="F256" s="3378" t="s">
        <v>32</v>
      </c>
      <c r="G256" s="3378"/>
      <c r="H256" s="3378"/>
      <c r="I256" s="3568" t="s">
        <v>32</v>
      </c>
      <c r="J256" s="3568" t="s">
        <v>32</v>
      </c>
      <c r="K256" s="3568" t="s">
        <v>32</v>
      </c>
      <c r="L256" s="3568" t="s">
        <v>32</v>
      </c>
      <c r="M256" s="3568" t="s">
        <v>32</v>
      </c>
      <c r="N256" s="3568"/>
      <c r="O256" s="3568"/>
      <c r="P256" s="3568" t="s">
        <v>278</v>
      </c>
      <c r="Q256" s="3237" t="s">
        <v>32</v>
      </c>
      <c r="R256" s="3237" t="s">
        <v>32</v>
      </c>
      <c r="S256" s="3237" t="s">
        <v>32</v>
      </c>
      <c r="T256" s="3237" t="s">
        <v>32</v>
      </c>
      <c r="U256" s="3382"/>
      <c r="V256" s="3382"/>
      <c r="W256" s="3382" t="s">
        <v>32</v>
      </c>
      <c r="X256" s="3378" t="s">
        <v>32</v>
      </c>
      <c r="Y256" s="3382" t="s">
        <v>32</v>
      </c>
      <c r="Z256" s="3378" t="s">
        <v>32</v>
      </c>
      <c r="AA256" s="3378" t="s">
        <v>32</v>
      </c>
      <c r="AB256" s="3378"/>
      <c r="AC256" s="3378"/>
      <c r="AD256" s="3378" t="s">
        <v>278</v>
      </c>
      <c r="AE256" s="3380"/>
      <c r="AF256" s="3382"/>
      <c r="AG256" s="3430"/>
      <c r="AH256" s="181"/>
      <c r="AI256" s="182"/>
    </row>
    <row r="257" spans="1:35" ht="21" customHeight="1" thickBot="1">
      <c r="A257" s="3275"/>
      <c r="B257" s="3276"/>
      <c r="C257" s="3342"/>
      <c r="D257" s="3342"/>
      <c r="E257" s="3342"/>
      <c r="F257" s="3342"/>
      <c r="G257" s="3342"/>
      <c r="H257" s="3342"/>
      <c r="I257" s="3342"/>
      <c r="J257" s="3342"/>
      <c r="K257" s="3342"/>
      <c r="L257" s="3342"/>
      <c r="M257" s="3342"/>
      <c r="N257" s="3342"/>
      <c r="O257" s="3342"/>
      <c r="P257" s="3342"/>
      <c r="Q257" s="3342"/>
      <c r="R257" s="3342"/>
      <c r="S257" s="3342"/>
      <c r="T257" s="3342"/>
      <c r="U257" s="3342"/>
      <c r="V257" s="3342"/>
      <c r="W257" s="3342"/>
      <c r="X257" s="3342"/>
      <c r="Y257" s="3342"/>
      <c r="Z257" s="3342"/>
      <c r="AA257" s="3342"/>
      <c r="AB257" s="3342"/>
      <c r="AC257" s="3342"/>
      <c r="AD257" s="3342"/>
      <c r="AE257" s="3342"/>
      <c r="AF257" s="3342"/>
      <c r="AG257" s="3432"/>
      <c r="AH257" s="181"/>
      <c r="AI257" s="182"/>
    </row>
    <row r="258" spans="1:35" ht="21" customHeight="1">
      <c r="A258" s="226"/>
      <c r="B258" s="743" t="s">
        <v>312</v>
      </c>
      <c r="C258" s="744"/>
      <c r="D258" s="744"/>
      <c r="E258" s="744"/>
      <c r="F258" s="744"/>
      <c r="G258" s="744"/>
      <c r="H258" s="744"/>
      <c r="I258" s="744"/>
      <c r="J258" s="744"/>
      <c r="K258" s="744"/>
      <c r="L258" s="744"/>
      <c r="M258" s="744"/>
      <c r="N258" s="744"/>
      <c r="O258" s="744"/>
      <c r="P258" s="744"/>
      <c r="Q258" s="744"/>
      <c r="R258" s="744"/>
      <c r="S258" s="744"/>
      <c r="T258" s="744"/>
      <c r="U258" s="744"/>
      <c r="V258" s="744"/>
      <c r="W258" s="744"/>
      <c r="X258" s="744"/>
      <c r="Y258" s="744"/>
      <c r="Z258" s="744"/>
      <c r="AA258" s="744"/>
      <c r="AB258" s="744"/>
      <c r="AC258" s="744"/>
      <c r="AD258" s="744"/>
      <c r="AE258" s="744"/>
      <c r="AF258" s="744"/>
      <c r="AG258" s="745"/>
      <c r="AH258" s="179"/>
      <c r="AI258" s="180"/>
    </row>
    <row r="259" spans="1:35" ht="21" customHeight="1">
      <c r="A259" s="3273">
        <v>3702</v>
      </c>
      <c r="B259" s="3277" t="s">
        <v>313</v>
      </c>
      <c r="C259" s="3426" t="s">
        <v>314</v>
      </c>
      <c r="D259" s="3426" t="s">
        <v>314</v>
      </c>
      <c r="E259" s="3426" t="s">
        <v>314</v>
      </c>
      <c r="F259" s="3426" t="s">
        <v>314</v>
      </c>
      <c r="G259" s="3426"/>
      <c r="H259" s="3426"/>
      <c r="I259" s="3426" t="s">
        <v>314</v>
      </c>
      <c r="J259" s="3426" t="s">
        <v>314</v>
      </c>
      <c r="K259" s="3426" t="s">
        <v>314</v>
      </c>
      <c r="L259" s="3426" t="s">
        <v>314</v>
      </c>
      <c r="M259" s="3426" t="s">
        <v>314</v>
      </c>
      <c r="N259" s="3426"/>
      <c r="O259" s="3426"/>
      <c r="P259" s="3426" t="s">
        <v>314</v>
      </c>
      <c r="Q259" s="3426" t="s">
        <v>314</v>
      </c>
      <c r="R259" s="3426" t="s">
        <v>314</v>
      </c>
      <c r="S259" s="3426" t="s">
        <v>314</v>
      </c>
      <c r="T259" s="3426" t="s">
        <v>314</v>
      </c>
      <c r="U259" s="3426"/>
      <c r="V259" s="3426"/>
      <c r="W259" s="3426" t="s">
        <v>314</v>
      </c>
      <c r="X259" s="3426" t="s">
        <v>314</v>
      </c>
      <c r="Y259" s="3426" t="s">
        <v>314</v>
      </c>
      <c r="Z259" s="3426" t="s">
        <v>314</v>
      </c>
      <c r="AA259" s="3426" t="s">
        <v>314</v>
      </c>
      <c r="AB259" s="3426"/>
      <c r="AC259" s="3426"/>
      <c r="AD259" s="3426" t="s">
        <v>314</v>
      </c>
      <c r="AE259" s="3426"/>
      <c r="AF259" s="3426"/>
      <c r="AG259" s="3278"/>
      <c r="AH259" s="181"/>
      <c r="AI259" s="182"/>
    </row>
    <row r="260" spans="1:35" ht="21" customHeight="1">
      <c r="A260" s="3273"/>
      <c r="B260" s="3243" t="s">
        <v>316</v>
      </c>
      <c r="C260" s="3426" t="s">
        <v>317</v>
      </c>
      <c r="D260" s="3426" t="s">
        <v>317</v>
      </c>
      <c r="E260" s="3426" t="s">
        <v>317</v>
      </c>
      <c r="F260" s="3426" t="s">
        <v>317</v>
      </c>
      <c r="G260" s="3426"/>
      <c r="H260" s="3426"/>
      <c r="I260" s="3426" t="s">
        <v>317</v>
      </c>
      <c r="J260" s="3426" t="s">
        <v>317</v>
      </c>
      <c r="K260" s="3426" t="s">
        <v>317</v>
      </c>
      <c r="L260" s="3426" t="s">
        <v>317</v>
      </c>
      <c r="M260" s="3426" t="s">
        <v>317</v>
      </c>
      <c r="N260" s="3426"/>
      <c r="O260" s="3426"/>
      <c r="P260" s="3435" t="s">
        <v>317</v>
      </c>
      <c r="Q260" s="3435" t="s">
        <v>317</v>
      </c>
      <c r="R260" s="3435" t="s">
        <v>317</v>
      </c>
      <c r="S260" s="3435" t="s">
        <v>317</v>
      </c>
      <c r="T260" s="3435" t="s">
        <v>317</v>
      </c>
      <c r="U260" s="3367"/>
      <c r="V260" s="3367"/>
      <c r="W260" s="3367" t="s">
        <v>317</v>
      </c>
      <c r="X260" s="3367" t="s">
        <v>317</v>
      </c>
      <c r="Y260" s="3367" t="s">
        <v>317</v>
      </c>
      <c r="Z260" s="3367" t="s">
        <v>317</v>
      </c>
      <c r="AA260" s="3367" t="s">
        <v>317</v>
      </c>
      <c r="AB260" s="3367"/>
      <c r="AC260" s="3367"/>
      <c r="AD260" s="3367" t="s">
        <v>317</v>
      </c>
      <c r="AE260" s="3356"/>
      <c r="AF260" s="3356"/>
      <c r="AG260" s="3278"/>
      <c r="AH260" s="181"/>
      <c r="AI260" s="182"/>
    </row>
    <row r="261" spans="1:35" ht="24" customHeight="1" thickBot="1">
      <c r="A261" s="3279"/>
      <c r="B261" s="3280" t="s">
        <v>318</v>
      </c>
      <c r="C261" s="3420" t="s">
        <v>319</v>
      </c>
      <c r="D261" s="3420" t="s">
        <v>319</v>
      </c>
      <c r="E261" s="3420" t="s">
        <v>319</v>
      </c>
      <c r="F261" s="3420" t="s">
        <v>319</v>
      </c>
      <c r="G261" s="3420"/>
      <c r="H261" s="3420"/>
      <c r="I261" s="3420" t="s">
        <v>319</v>
      </c>
      <c r="J261" s="3420" t="s">
        <v>319</v>
      </c>
      <c r="K261" s="3420" t="s">
        <v>319</v>
      </c>
      <c r="L261" s="3420" t="s">
        <v>319</v>
      </c>
      <c r="M261" s="3420" t="s">
        <v>319</v>
      </c>
      <c r="N261" s="3420"/>
      <c r="O261" s="3420"/>
      <c r="P261" s="3420" t="s">
        <v>319</v>
      </c>
      <c r="Q261" s="3420" t="s">
        <v>319</v>
      </c>
      <c r="R261" s="3420" t="s">
        <v>319</v>
      </c>
      <c r="S261" s="3443" t="s">
        <v>319</v>
      </c>
      <c r="T261" s="3443" t="s">
        <v>319</v>
      </c>
      <c r="U261" s="3420"/>
      <c r="V261" s="3420"/>
      <c r="W261" s="3420" t="s">
        <v>319</v>
      </c>
      <c r="X261" s="3720" t="s">
        <v>456</v>
      </c>
      <c r="Y261" s="3420" t="s">
        <v>319</v>
      </c>
      <c r="Z261" s="3420" t="s">
        <v>319</v>
      </c>
      <c r="AA261" s="3420" t="s">
        <v>319</v>
      </c>
      <c r="AB261" s="3420"/>
      <c r="AC261" s="3420"/>
      <c r="AD261" s="3425" t="s">
        <v>319</v>
      </c>
      <c r="AE261" s="3425"/>
      <c r="AF261" s="3425"/>
      <c r="AG261" s="3281"/>
      <c r="AH261" s="181"/>
      <c r="AI261" s="182"/>
    </row>
    <row r="262" spans="1:35" ht="25.5" customHeight="1"/>
    <row r="263" spans="1:35" ht="21" customHeight="1"/>
    <row r="264" spans="1:35" ht="21" customHeight="1" thickBot="1">
      <c r="A264" s="161" t="s">
        <v>320</v>
      </c>
    </row>
    <row r="265" spans="1:35" ht="21" customHeight="1">
      <c r="A265" s="1"/>
      <c r="B265" s="396" t="s">
        <v>266</v>
      </c>
      <c r="C265" s="368"/>
      <c r="D265" s="384" t="s">
        <v>94</v>
      </c>
      <c r="E265" s="357"/>
      <c r="F265" s="372"/>
      <c r="G265" s="368"/>
      <c r="H265" s="384" t="s">
        <v>95</v>
      </c>
      <c r="I265" s="357"/>
      <c r="J265" s="372"/>
      <c r="K265" s="368"/>
      <c r="L265" s="384" t="s">
        <v>96</v>
      </c>
      <c r="M265" s="357"/>
      <c r="N265" s="372"/>
      <c r="O265" s="368"/>
      <c r="P265" s="384" t="s">
        <v>97</v>
      </c>
      <c r="Q265" s="357"/>
      <c r="R265" s="372"/>
      <c r="S265" s="368"/>
      <c r="T265" s="384" t="s">
        <v>98</v>
      </c>
      <c r="U265" s="357"/>
      <c r="V265" s="372"/>
      <c r="W265" s="368"/>
      <c r="X265" s="384" t="s">
        <v>99</v>
      </c>
      <c r="Y265" s="357"/>
      <c r="Z265" s="372"/>
      <c r="AA265" s="368"/>
      <c r="AB265" s="384" t="s">
        <v>100</v>
      </c>
      <c r="AC265" s="357"/>
      <c r="AD265" s="357"/>
      <c r="AE265" s="387"/>
      <c r="AF265" s="357"/>
      <c r="AG265" s="357"/>
      <c r="AH265" s="357"/>
      <c r="AI265" s="358"/>
    </row>
    <row r="266" spans="1:35" ht="21" customHeight="1">
      <c r="A266" s="1"/>
      <c r="B266" s="3"/>
      <c r="C266" s="8"/>
      <c r="D266" s="117"/>
      <c r="E266" s="14"/>
      <c r="F266" s="116"/>
      <c r="G266" s="8"/>
      <c r="H266" s="117"/>
      <c r="I266" s="14"/>
      <c r="J266" s="116"/>
      <c r="K266" s="8"/>
      <c r="L266" s="117"/>
      <c r="M266" s="14"/>
      <c r="N266" s="116"/>
      <c r="O266" s="8"/>
      <c r="P266" s="117"/>
      <c r="Q266" s="14"/>
      <c r="R266" s="116"/>
      <c r="S266" s="8"/>
      <c r="T266" s="117"/>
      <c r="U266" s="14"/>
      <c r="V266" s="116"/>
      <c r="W266" s="8"/>
      <c r="X266" s="117"/>
      <c r="Y266" s="14"/>
      <c r="Z266" s="116"/>
      <c r="AA266" s="8"/>
      <c r="AB266" s="117"/>
      <c r="AC266" s="14"/>
      <c r="AD266" s="14"/>
      <c r="AE266" s="118"/>
      <c r="AF266" s="14"/>
      <c r="AG266" s="14"/>
      <c r="AH266" s="14"/>
      <c r="AI266" s="119"/>
    </row>
    <row r="267" spans="1:35" ht="21" customHeight="1">
      <c r="A267" s="110"/>
      <c r="B267" s="3269"/>
      <c r="C267" s="3453"/>
      <c r="D267" s="3324"/>
      <c r="E267" s="3324"/>
      <c r="F267" s="3527"/>
      <c r="G267" s="3453"/>
      <c r="H267" s="3324"/>
      <c r="I267" s="3324"/>
      <c r="J267" s="3527"/>
      <c r="K267" s="3453"/>
      <c r="L267" s="3324"/>
      <c r="M267" s="3324"/>
      <c r="N267" s="3527"/>
      <c r="O267" s="3453"/>
      <c r="P267" s="3324"/>
      <c r="Q267" s="3324"/>
      <c r="R267" s="3527"/>
      <c r="S267" s="3453"/>
      <c r="T267" s="3324"/>
      <c r="U267" s="3324"/>
      <c r="V267" s="3527"/>
      <c r="W267" s="3453"/>
      <c r="X267" s="3324"/>
      <c r="Y267" s="3324"/>
      <c r="Z267" s="3527"/>
      <c r="AA267" s="3525"/>
      <c r="AB267" s="3324"/>
      <c r="AC267" s="3324"/>
      <c r="AD267" s="3454"/>
      <c r="AE267" s="3282"/>
      <c r="AF267" s="3324"/>
      <c r="AG267" s="3324"/>
      <c r="AH267" s="3454"/>
      <c r="AI267" s="3333"/>
    </row>
    <row r="268" spans="1:35" ht="33" customHeight="1" thickBot="1">
      <c r="A268" s="1"/>
      <c r="B268" s="3537"/>
      <c r="C268" s="3538"/>
      <c r="D268" s="3405"/>
      <c r="E268" s="3405"/>
      <c r="F268" s="3562"/>
      <c r="G268" s="3538"/>
      <c r="H268" s="3405"/>
      <c r="I268" s="3405"/>
      <c r="J268" s="3562"/>
      <c r="K268" s="3538"/>
      <c r="L268" s="3405"/>
      <c r="M268" s="3405"/>
      <c r="N268" s="3562"/>
      <c r="O268" s="3538"/>
      <c r="P268" s="3405"/>
      <c r="Q268" s="3405"/>
      <c r="R268" s="3562"/>
      <c r="S268" s="3538"/>
      <c r="T268" s="3405"/>
      <c r="U268" s="3405"/>
      <c r="V268" s="3562"/>
      <c r="W268" s="3560"/>
      <c r="X268" s="3405"/>
      <c r="Y268" s="3405"/>
      <c r="Z268" s="3562"/>
      <c r="AA268" s="3560"/>
      <c r="AB268" s="3405"/>
      <c r="AC268" s="3405"/>
      <c r="AD268" s="3545"/>
      <c r="AE268" s="3560"/>
      <c r="AF268" s="3405"/>
      <c r="AG268" s="3405"/>
      <c r="AH268" s="3545"/>
      <c r="AI268" s="3412"/>
    </row>
    <row r="269" spans="1:35" ht="21" customHeight="1">
      <c r="A269" s="1"/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>
      <c r="A270" s="161" t="s">
        <v>321</v>
      </c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 thickBot="1">
      <c r="A271" s="3283" t="s">
        <v>28</v>
      </c>
      <c r="B271" s="3284" t="s">
        <v>29</v>
      </c>
      <c r="C271" s="3342">
        <v>1</v>
      </c>
      <c r="D271" s="3342">
        <v>2</v>
      </c>
      <c r="E271" s="3342">
        <v>3</v>
      </c>
      <c r="F271" s="3342">
        <v>4</v>
      </c>
      <c r="G271" s="3343">
        <v>5</v>
      </c>
      <c r="H271" s="3343">
        <v>6</v>
      </c>
      <c r="I271" s="3342">
        <v>7</v>
      </c>
      <c r="J271" s="3342">
        <v>8</v>
      </c>
      <c r="K271" s="3342">
        <v>9</v>
      </c>
      <c r="L271" s="3342">
        <v>10</v>
      </c>
      <c r="M271" s="3342">
        <v>11</v>
      </c>
      <c r="N271" s="3343">
        <v>12</v>
      </c>
      <c r="O271" s="3343">
        <v>13</v>
      </c>
      <c r="P271" s="3342">
        <v>14</v>
      </c>
      <c r="Q271" s="3342">
        <v>15</v>
      </c>
      <c r="R271" s="3342">
        <v>16</v>
      </c>
      <c r="S271" s="3342">
        <v>17</v>
      </c>
      <c r="T271" s="3342">
        <v>18</v>
      </c>
      <c r="U271" s="3343">
        <v>19</v>
      </c>
      <c r="V271" s="3343">
        <v>20</v>
      </c>
      <c r="W271" s="3342">
        <v>21</v>
      </c>
      <c r="X271" s="3342">
        <v>22</v>
      </c>
      <c r="Y271" s="3342">
        <v>23</v>
      </c>
      <c r="Z271" s="3342">
        <v>24</v>
      </c>
      <c r="AA271" s="3342">
        <v>25</v>
      </c>
      <c r="AB271" s="3343">
        <v>26</v>
      </c>
      <c r="AC271" s="3343">
        <v>27</v>
      </c>
      <c r="AD271" s="3342">
        <v>28</v>
      </c>
      <c r="AE271" s="3342"/>
      <c r="AF271" s="3342"/>
      <c r="AG271" s="3432"/>
      <c r="AH271" s="186"/>
      <c r="AI271" s="177"/>
    </row>
    <row r="272" spans="1:35" ht="21" customHeight="1">
      <c r="A272" s="88"/>
      <c r="B272" s="157" t="s">
        <v>322</v>
      </c>
      <c r="C272" s="3386" t="s">
        <v>32</v>
      </c>
      <c r="D272" s="3386" t="s">
        <v>32</v>
      </c>
      <c r="E272" s="3386" t="s">
        <v>32</v>
      </c>
      <c r="F272" s="3386" t="s">
        <v>32</v>
      </c>
      <c r="G272" s="3378"/>
      <c r="H272" s="3378"/>
      <c r="I272" s="3378" t="s">
        <v>32</v>
      </c>
      <c r="J272" s="3378" t="s">
        <v>32</v>
      </c>
      <c r="K272" s="3378" t="s">
        <v>32</v>
      </c>
      <c r="L272" s="3378" t="s">
        <v>32</v>
      </c>
      <c r="M272" s="3378" t="s">
        <v>32</v>
      </c>
      <c r="N272" s="3382"/>
      <c r="O272" s="3382"/>
      <c r="P272" s="3382" t="s">
        <v>32</v>
      </c>
      <c r="Q272" s="3380" t="s">
        <v>32</v>
      </c>
      <c r="R272" s="3382" t="s">
        <v>32</v>
      </c>
      <c r="S272" s="3378" t="s">
        <v>32</v>
      </c>
      <c r="T272" s="3378" t="s">
        <v>32</v>
      </c>
      <c r="U272" s="3382"/>
      <c r="V272" s="3382"/>
      <c r="W272" s="3382" t="s">
        <v>32</v>
      </c>
      <c r="X272" s="3378" t="s">
        <v>32</v>
      </c>
      <c r="Y272" s="3382" t="s">
        <v>32</v>
      </c>
      <c r="Z272" s="3382" t="s">
        <v>32</v>
      </c>
      <c r="AA272" s="3382" t="s">
        <v>32</v>
      </c>
      <c r="AB272" s="3378"/>
      <c r="AC272" s="3378"/>
      <c r="AD272" s="3378" t="s">
        <v>32</v>
      </c>
      <c r="AE272" s="3378"/>
      <c r="AF272" s="3378"/>
      <c r="AG272" s="3378"/>
      <c r="AH272" s="187"/>
      <c r="AI272" s="184"/>
    </row>
    <row r="273" spans="1:35" ht="21" customHeight="1">
      <c r="A273" s="3285"/>
      <c r="B273" s="3286" t="s">
        <v>323</v>
      </c>
      <c r="C273" s="3378" t="s">
        <v>32</v>
      </c>
      <c r="D273" s="3378" t="s">
        <v>32</v>
      </c>
      <c r="E273" s="3378" t="s">
        <v>32</v>
      </c>
      <c r="F273" s="3378" t="s">
        <v>32</v>
      </c>
      <c r="G273" s="3378"/>
      <c r="H273" s="3378"/>
      <c r="I273" s="3378" t="s">
        <v>32</v>
      </c>
      <c r="J273" s="3378" t="s">
        <v>32</v>
      </c>
      <c r="K273" s="3378" t="s">
        <v>32</v>
      </c>
      <c r="L273" s="3378" t="s">
        <v>32</v>
      </c>
      <c r="M273" s="3378" t="s">
        <v>32</v>
      </c>
      <c r="N273" s="3382"/>
      <c r="O273" s="3382"/>
      <c r="P273" s="3382" t="s">
        <v>32</v>
      </c>
      <c r="Q273" s="3380" t="s">
        <v>32</v>
      </c>
      <c r="R273" s="3382" t="s">
        <v>32</v>
      </c>
      <c r="S273" s="3378" t="s">
        <v>32</v>
      </c>
      <c r="T273" s="3378" t="s">
        <v>32</v>
      </c>
      <c r="U273" s="3382"/>
      <c r="V273" s="3382"/>
      <c r="W273" s="3382" t="s">
        <v>32</v>
      </c>
      <c r="X273" s="3378" t="s">
        <v>32</v>
      </c>
      <c r="Y273" s="3382" t="s">
        <v>32</v>
      </c>
      <c r="Z273" s="3382" t="s">
        <v>32</v>
      </c>
      <c r="AA273" s="3382" t="s">
        <v>32</v>
      </c>
      <c r="AB273" s="3378"/>
      <c r="AC273" s="3378"/>
      <c r="AD273" s="3564" t="s">
        <v>32</v>
      </c>
      <c r="AE273" s="3380"/>
      <c r="AF273" s="3380"/>
      <c r="AG273" s="3378"/>
      <c r="AH273" s="187"/>
      <c r="AI273" s="184"/>
    </row>
    <row r="274" spans="1:35" ht="21" customHeight="1">
      <c r="A274" s="3273"/>
      <c r="B274" s="3286" t="s">
        <v>324</v>
      </c>
      <c r="C274" s="3378" t="s">
        <v>32</v>
      </c>
      <c r="D274" s="3378" t="s">
        <v>32</v>
      </c>
      <c r="E274" s="3378" t="s">
        <v>32</v>
      </c>
      <c r="F274" s="3378" t="s">
        <v>32</v>
      </c>
      <c r="G274" s="3378"/>
      <c r="H274" s="3378"/>
      <c r="I274" s="3378" t="s">
        <v>32</v>
      </c>
      <c r="J274" s="3378" t="s">
        <v>32</v>
      </c>
      <c r="K274" s="3378" t="s">
        <v>32</v>
      </c>
      <c r="L274" s="3378" t="s">
        <v>32</v>
      </c>
      <c r="M274" s="3378" t="s">
        <v>32</v>
      </c>
      <c r="N274" s="3382"/>
      <c r="O274" s="3382"/>
      <c r="P274" s="3391" t="s">
        <v>32</v>
      </c>
      <c r="Q274" s="3380" t="s">
        <v>32</v>
      </c>
      <c r="R274" s="3382" t="s">
        <v>32</v>
      </c>
      <c r="S274" s="3378" t="s">
        <v>32</v>
      </c>
      <c r="T274" s="3378" t="s">
        <v>32</v>
      </c>
      <c r="U274" s="3382"/>
      <c r="V274" s="3382"/>
      <c r="W274" s="3382" t="s">
        <v>32</v>
      </c>
      <c r="X274" s="3378" t="s">
        <v>32</v>
      </c>
      <c r="Y274" s="3382" t="s">
        <v>32</v>
      </c>
      <c r="Z274" s="3382" t="s">
        <v>32</v>
      </c>
      <c r="AA274" s="3382" t="s">
        <v>32</v>
      </c>
      <c r="AB274" s="3378"/>
      <c r="AC274" s="3378"/>
      <c r="AD274" s="3378" t="s">
        <v>32</v>
      </c>
      <c r="AE274" s="3378"/>
      <c r="AF274" s="3378"/>
      <c r="AG274" s="3378"/>
      <c r="AH274" s="187"/>
      <c r="AI274" s="184"/>
    </row>
    <row r="275" spans="1:35" ht="21" customHeight="1">
      <c r="A275" s="3273"/>
      <c r="B275" s="3286" t="s">
        <v>325</v>
      </c>
      <c r="C275" s="3378" t="s">
        <v>32</v>
      </c>
      <c r="D275" s="3378" t="s">
        <v>32</v>
      </c>
      <c r="E275" s="3378" t="s">
        <v>32</v>
      </c>
      <c r="F275" s="3236" t="s">
        <v>32</v>
      </c>
      <c r="G275" s="3378"/>
      <c r="H275" s="3378"/>
      <c r="I275" s="3378" t="s">
        <v>32</v>
      </c>
      <c r="J275" s="3378" t="s">
        <v>32</v>
      </c>
      <c r="K275" s="3378" t="s">
        <v>32</v>
      </c>
      <c r="L275" s="3378" t="s">
        <v>32</v>
      </c>
      <c r="M275" s="3378" t="s">
        <v>32</v>
      </c>
      <c r="N275" s="3382"/>
      <c r="O275" s="3382"/>
      <c r="P275" s="3382" t="s">
        <v>32</v>
      </c>
      <c r="Q275" s="3380" t="s">
        <v>32</v>
      </c>
      <c r="R275" s="3382" t="s">
        <v>32</v>
      </c>
      <c r="S275" s="3378" t="s">
        <v>32</v>
      </c>
      <c r="T275" s="3568" t="s">
        <v>32</v>
      </c>
      <c r="U275" s="3568"/>
      <c r="V275" s="3568"/>
      <c r="W275" s="3568" t="s">
        <v>32</v>
      </c>
      <c r="X275" s="3568" t="s">
        <v>32</v>
      </c>
      <c r="Y275" s="3568" t="s">
        <v>278</v>
      </c>
      <c r="Z275" s="3382" t="s">
        <v>32</v>
      </c>
      <c r="AA275" s="3382" t="s">
        <v>32</v>
      </c>
      <c r="AB275" s="3378"/>
      <c r="AC275" s="3378"/>
      <c r="AD275" s="3378" t="s">
        <v>32</v>
      </c>
      <c r="AE275" s="3378"/>
      <c r="AF275" s="3378"/>
      <c r="AG275" s="3378"/>
      <c r="AH275" s="187"/>
      <c r="AI275" s="184"/>
    </row>
    <row r="276" spans="1:35" ht="21" customHeight="1">
      <c r="A276" s="3273"/>
      <c r="B276" s="3286" t="s">
        <v>326</v>
      </c>
      <c r="C276" s="3378" t="s">
        <v>32</v>
      </c>
      <c r="D276" s="3378" t="s">
        <v>32</v>
      </c>
      <c r="E276" s="3378" t="s">
        <v>32</v>
      </c>
      <c r="F276" s="3603" t="s">
        <v>32</v>
      </c>
      <c r="G276" s="3378"/>
      <c r="H276" s="3378"/>
      <c r="I276" s="3603" t="s">
        <v>32</v>
      </c>
      <c r="J276" s="3378" t="s">
        <v>32</v>
      </c>
      <c r="K276" s="3378" t="s">
        <v>32</v>
      </c>
      <c r="L276" s="3378" t="s">
        <v>32</v>
      </c>
      <c r="M276" s="3378" t="s">
        <v>32</v>
      </c>
      <c r="N276" s="3382"/>
      <c r="O276" s="3382"/>
      <c r="P276" s="3603" t="s">
        <v>32</v>
      </c>
      <c r="Q276" s="3380" t="s">
        <v>32</v>
      </c>
      <c r="R276" s="3382" t="s">
        <v>32</v>
      </c>
      <c r="S276" s="3603" t="s">
        <v>32</v>
      </c>
      <c r="T276" s="3603" t="s">
        <v>32</v>
      </c>
      <c r="U276" s="3382"/>
      <c r="V276" s="3382"/>
      <c r="W276" s="3382" t="s">
        <v>32</v>
      </c>
      <c r="X276" s="3378" t="s">
        <v>32</v>
      </c>
      <c r="Y276" s="3382" t="s">
        <v>32</v>
      </c>
      <c r="Z276" s="3382" t="s">
        <v>32</v>
      </c>
      <c r="AA276" s="3603" t="s">
        <v>32</v>
      </c>
      <c r="AB276" s="3378"/>
      <c r="AC276" s="3378"/>
      <c r="AD276" s="3378" t="s">
        <v>32</v>
      </c>
      <c r="AE276" s="3378"/>
      <c r="AF276" s="3378"/>
      <c r="AG276" s="3426"/>
      <c r="AH276" s="187"/>
      <c r="AI276" s="184"/>
    </row>
    <row r="277" spans="1:35" ht="21" customHeight="1">
      <c r="A277" s="3273"/>
      <c r="B277" s="3286" t="s">
        <v>327</v>
      </c>
      <c r="C277" s="3378" t="s">
        <v>32</v>
      </c>
      <c r="D277" s="3378" t="s">
        <v>32</v>
      </c>
      <c r="E277" s="3378" t="s">
        <v>32</v>
      </c>
      <c r="F277" s="3378" t="s">
        <v>32</v>
      </c>
      <c r="G277" s="3378"/>
      <c r="H277" s="3378"/>
      <c r="I277" s="3603" t="s">
        <v>32</v>
      </c>
      <c r="J277" s="3378" t="s">
        <v>32</v>
      </c>
      <c r="K277" s="3378" t="s">
        <v>32</v>
      </c>
      <c r="L277" s="3378" t="s">
        <v>32</v>
      </c>
      <c r="M277" s="3378" t="s">
        <v>32</v>
      </c>
      <c r="N277" s="3382"/>
      <c r="O277" s="3382"/>
      <c r="P277" s="3382" t="s">
        <v>32</v>
      </c>
      <c r="Q277" s="3380" t="s">
        <v>32</v>
      </c>
      <c r="R277" s="3382" t="s">
        <v>32</v>
      </c>
      <c r="S277" s="3378" t="s">
        <v>32</v>
      </c>
      <c r="T277" s="3378" t="s">
        <v>32</v>
      </c>
      <c r="U277" s="3382"/>
      <c r="V277" s="3382"/>
      <c r="W277" s="3382" t="s">
        <v>32</v>
      </c>
      <c r="X277" s="3378" t="s">
        <v>32</v>
      </c>
      <c r="Y277" s="3382" t="s">
        <v>32</v>
      </c>
      <c r="Z277" s="3382" t="s">
        <v>32</v>
      </c>
      <c r="AA277" s="3382" t="s">
        <v>32</v>
      </c>
      <c r="AB277" s="3378"/>
      <c r="AC277" s="3378"/>
      <c r="AD277" s="3378" t="s">
        <v>32</v>
      </c>
      <c r="AE277" s="3378"/>
      <c r="AF277" s="3378"/>
      <c r="AG277" s="3426"/>
      <c r="AH277" s="187"/>
      <c r="AI277" s="184"/>
    </row>
    <row r="278" spans="1:35" ht="21" customHeight="1">
      <c r="A278" s="3273"/>
      <c r="B278" s="3286" t="s">
        <v>328</v>
      </c>
      <c r="C278" s="3378" t="s">
        <v>32</v>
      </c>
      <c r="D278" s="3378" t="s">
        <v>32</v>
      </c>
      <c r="E278" s="3378" t="s">
        <v>32</v>
      </c>
      <c r="F278" s="3378" t="s">
        <v>32</v>
      </c>
      <c r="G278" s="3378"/>
      <c r="H278" s="3378"/>
      <c r="I278" s="3378" t="s">
        <v>32</v>
      </c>
      <c r="J278" s="3378" t="s">
        <v>32</v>
      </c>
      <c r="K278" s="3378" t="s">
        <v>32</v>
      </c>
      <c r="L278" s="3378" t="s">
        <v>32</v>
      </c>
      <c r="M278" s="3378" t="s">
        <v>32</v>
      </c>
      <c r="N278" s="3382"/>
      <c r="O278" s="3382"/>
      <c r="P278" s="3382" t="s">
        <v>32</v>
      </c>
      <c r="Q278" s="3380" t="s">
        <v>32</v>
      </c>
      <c r="R278" s="3382" t="s">
        <v>32</v>
      </c>
      <c r="S278" s="3378" t="s">
        <v>32</v>
      </c>
      <c r="T278" s="3378" t="s">
        <v>32</v>
      </c>
      <c r="U278" s="3382"/>
      <c r="V278" s="3382"/>
      <c r="W278" s="3382" t="s">
        <v>32</v>
      </c>
      <c r="X278" s="3378" t="s">
        <v>32</v>
      </c>
      <c r="Y278" s="3382" t="s">
        <v>32</v>
      </c>
      <c r="Z278" s="3382" t="s">
        <v>32</v>
      </c>
      <c r="AA278" s="3382" t="s">
        <v>32</v>
      </c>
      <c r="AB278" s="3378"/>
      <c r="AC278" s="3378"/>
      <c r="AD278" s="3378" t="s">
        <v>32</v>
      </c>
      <c r="AE278" s="3378"/>
      <c r="AF278" s="3378"/>
      <c r="AG278" s="3426"/>
      <c r="AH278" s="187"/>
      <c r="AI278" s="184"/>
    </row>
    <row r="279" spans="1:35" ht="21" customHeight="1">
      <c r="A279" s="3273"/>
      <c r="B279" s="3286" t="s">
        <v>329</v>
      </c>
      <c r="C279" s="3378" t="s">
        <v>32</v>
      </c>
      <c r="D279" s="3378" t="s">
        <v>32</v>
      </c>
      <c r="E279" s="3378" t="s">
        <v>32</v>
      </c>
      <c r="F279" s="3378" t="s">
        <v>32</v>
      </c>
      <c r="G279" s="3378"/>
      <c r="H279" s="3378"/>
      <c r="I279" s="3378" t="s">
        <v>32</v>
      </c>
      <c r="J279" s="3378" t="s">
        <v>32</v>
      </c>
      <c r="K279" s="3378" t="s">
        <v>32</v>
      </c>
      <c r="L279" s="3378" t="s">
        <v>32</v>
      </c>
      <c r="M279" s="3378" t="s">
        <v>32</v>
      </c>
      <c r="N279" s="3382"/>
      <c r="O279" s="3382"/>
      <c r="P279" s="3382" t="s">
        <v>32</v>
      </c>
      <c r="Q279" s="3380" t="s">
        <v>32</v>
      </c>
      <c r="R279" s="3382" t="s">
        <v>32</v>
      </c>
      <c r="S279" s="3378" t="s">
        <v>32</v>
      </c>
      <c r="T279" s="3378" t="s">
        <v>32</v>
      </c>
      <c r="U279" s="3382"/>
      <c r="V279" s="3382"/>
      <c r="W279" s="3382" t="s">
        <v>32</v>
      </c>
      <c r="X279" s="3378" t="s">
        <v>32</v>
      </c>
      <c r="Y279" s="3382" t="s">
        <v>32</v>
      </c>
      <c r="Z279" s="3382" t="s">
        <v>32</v>
      </c>
      <c r="AA279" s="3382" t="s">
        <v>32</v>
      </c>
      <c r="AB279" s="3378"/>
      <c r="AC279" s="3378"/>
      <c r="AD279" s="3378" t="s">
        <v>32</v>
      </c>
      <c r="AE279" s="3378"/>
      <c r="AF279" s="3378"/>
      <c r="AG279" s="3426"/>
      <c r="AH279" s="187"/>
      <c r="AI279" s="184"/>
    </row>
    <row r="280" spans="1:35" ht="21" customHeight="1">
      <c r="A280" s="3273"/>
      <c r="B280" s="3287" t="s">
        <v>330</v>
      </c>
      <c r="C280" s="3378" t="s">
        <v>32</v>
      </c>
      <c r="D280" s="3378" t="s">
        <v>32</v>
      </c>
      <c r="E280" s="3378" t="s">
        <v>32</v>
      </c>
      <c r="F280" s="3378" t="s">
        <v>32</v>
      </c>
      <c r="G280" s="3378"/>
      <c r="H280" s="3378"/>
      <c r="I280" s="3378" t="s">
        <v>32</v>
      </c>
      <c r="J280" s="3378" t="s">
        <v>32</v>
      </c>
      <c r="K280" s="3378" t="s">
        <v>32</v>
      </c>
      <c r="L280" s="3378" t="s">
        <v>32</v>
      </c>
      <c r="M280" s="3378" t="s">
        <v>32</v>
      </c>
      <c r="N280" s="3382"/>
      <c r="O280" s="3382"/>
      <c r="P280" s="3382" t="s">
        <v>32</v>
      </c>
      <c r="Q280" s="3380" t="s">
        <v>32</v>
      </c>
      <c r="R280" s="3382" t="s">
        <v>32</v>
      </c>
      <c r="S280" s="3378" t="s">
        <v>32</v>
      </c>
      <c r="T280" s="3378" t="s">
        <v>32</v>
      </c>
      <c r="U280" s="3382"/>
      <c r="V280" s="3382"/>
      <c r="W280" s="3382" t="s">
        <v>32</v>
      </c>
      <c r="X280" s="3378" t="s">
        <v>32</v>
      </c>
      <c r="Y280" s="3382" t="s">
        <v>32</v>
      </c>
      <c r="Z280" s="3382" t="s">
        <v>32</v>
      </c>
      <c r="AA280" s="3382" t="s">
        <v>32</v>
      </c>
      <c r="AB280" s="3378"/>
      <c r="AC280" s="3378"/>
      <c r="AD280" s="3378" t="s">
        <v>32</v>
      </c>
      <c r="AE280" s="3378"/>
      <c r="AF280" s="3378"/>
      <c r="AG280" s="3426"/>
      <c r="AH280" s="187"/>
      <c r="AI280" s="184"/>
    </row>
    <row r="281" spans="1:35" ht="21" customHeight="1">
      <c r="A281" s="3273"/>
      <c r="B281" s="3288" t="s">
        <v>331</v>
      </c>
      <c r="C281" s="3378" t="s">
        <v>32</v>
      </c>
      <c r="D281" s="3378" t="s">
        <v>32</v>
      </c>
      <c r="E281" s="3378" t="s">
        <v>32</v>
      </c>
      <c r="F281" s="3378" t="s">
        <v>32</v>
      </c>
      <c r="G281" s="3378"/>
      <c r="H281" s="3378"/>
      <c r="I281" s="3378" t="s">
        <v>32</v>
      </c>
      <c r="J281" s="3378" t="s">
        <v>32</v>
      </c>
      <c r="K281" s="3378" t="s">
        <v>32</v>
      </c>
      <c r="L281" s="3378" t="s">
        <v>32</v>
      </c>
      <c r="M281" s="3378" t="s">
        <v>32</v>
      </c>
      <c r="N281" s="3382"/>
      <c r="O281" s="3382"/>
      <c r="P281" s="3382" t="s">
        <v>32</v>
      </c>
      <c r="Q281" s="3380" t="s">
        <v>32</v>
      </c>
      <c r="R281" s="3382" t="s">
        <v>32</v>
      </c>
      <c r="S281" s="3378" t="s">
        <v>32</v>
      </c>
      <c r="T281" s="3378" t="s">
        <v>32</v>
      </c>
      <c r="U281" s="3382"/>
      <c r="V281" s="3382"/>
      <c r="W281" s="3382" t="s">
        <v>32</v>
      </c>
      <c r="X281" s="3378" t="s">
        <v>32</v>
      </c>
      <c r="Y281" s="3289" t="s">
        <v>32</v>
      </c>
      <c r="Z281" s="3289" t="s">
        <v>32</v>
      </c>
      <c r="AA281" s="3289" t="s">
        <v>32</v>
      </c>
      <c r="AB281" s="3378"/>
      <c r="AC281" s="3378"/>
      <c r="AD281" s="3378" t="s">
        <v>32</v>
      </c>
      <c r="AE281" s="3382"/>
      <c r="AF281" s="3382"/>
      <c r="AG281" s="3426"/>
      <c r="AH281" s="187"/>
      <c r="AI281" s="184"/>
    </row>
    <row r="282" spans="1:35" ht="21" customHeight="1">
      <c r="A282" s="3273"/>
      <c r="B282" s="3388" t="s">
        <v>332</v>
      </c>
      <c r="C282" s="3378" t="s">
        <v>32</v>
      </c>
      <c r="D282" s="3378" t="s">
        <v>32</v>
      </c>
      <c r="E282" s="3568" t="s">
        <v>32</v>
      </c>
      <c r="F282" s="3568" t="s">
        <v>32</v>
      </c>
      <c r="G282" s="3568"/>
      <c r="H282" s="3568"/>
      <c r="I282" s="3568" t="s">
        <v>278</v>
      </c>
      <c r="J282" s="3378" t="s">
        <v>32</v>
      </c>
      <c r="K282" s="3378" t="s">
        <v>32</v>
      </c>
      <c r="L282" s="3378" t="s">
        <v>32</v>
      </c>
      <c r="M282" s="3378" t="s">
        <v>32</v>
      </c>
      <c r="N282" s="3382"/>
      <c r="O282" s="3382"/>
      <c r="P282" s="3382" t="s">
        <v>32</v>
      </c>
      <c r="Q282" s="3380" t="s">
        <v>32</v>
      </c>
      <c r="R282" s="3382" t="s">
        <v>32</v>
      </c>
      <c r="S282" s="3378" t="s">
        <v>32</v>
      </c>
      <c r="T282" s="3378" t="s">
        <v>32</v>
      </c>
      <c r="U282" s="3382"/>
      <c r="V282" s="3382"/>
      <c r="W282" s="3382" t="s">
        <v>32</v>
      </c>
      <c r="X282" s="3378" t="s">
        <v>32</v>
      </c>
      <c r="Y282" s="3382" t="s">
        <v>32</v>
      </c>
      <c r="Z282" s="3382" t="s">
        <v>32</v>
      </c>
      <c r="AA282" s="3382" t="s">
        <v>32</v>
      </c>
      <c r="AB282" s="3378"/>
      <c r="AC282" s="3378"/>
      <c r="AD282" s="3378" t="s">
        <v>32</v>
      </c>
      <c r="AE282" s="3378"/>
      <c r="AF282" s="3378"/>
      <c r="AG282" s="3426"/>
      <c r="AH282" s="187"/>
      <c r="AI282" s="184"/>
    </row>
    <row r="283" spans="1:35" ht="21" customHeight="1">
      <c r="A283" s="3273"/>
      <c r="B283" s="3288"/>
      <c r="C283" s="3378"/>
      <c r="D283" s="3290"/>
      <c r="E283" s="3378"/>
      <c r="F283" s="3378"/>
      <c r="G283" s="3378"/>
      <c r="H283" s="3378"/>
      <c r="I283" s="3378"/>
      <c r="J283" s="3378"/>
      <c r="K283" s="3378"/>
      <c r="L283" s="3378"/>
      <c r="M283" s="3378"/>
      <c r="N283" s="3378"/>
      <c r="O283" s="3378"/>
      <c r="P283" s="3378"/>
      <c r="Q283" s="3378"/>
      <c r="R283" s="3378"/>
      <c r="S283" s="3378"/>
      <c r="T283" s="3378"/>
      <c r="U283" s="3378"/>
      <c r="V283" s="3378"/>
      <c r="W283" s="3378"/>
      <c r="X283" s="3378"/>
      <c r="Y283" s="3378"/>
      <c r="Z283" s="3378"/>
      <c r="AA283" s="3378"/>
      <c r="AB283" s="3378"/>
      <c r="AC283" s="3378"/>
      <c r="AD283" s="3378"/>
      <c r="AE283" s="3378"/>
      <c r="AF283" s="3378"/>
      <c r="AG283" s="3426"/>
      <c r="AH283" s="187"/>
      <c r="AI283" s="184"/>
    </row>
    <row r="284" spans="1:35">
      <c r="A284" s="3447"/>
      <c r="B284" s="3288"/>
      <c r="C284" s="3426"/>
      <c r="D284" s="3426"/>
      <c r="E284" s="3426"/>
      <c r="F284" s="3426"/>
      <c r="G284" s="3426"/>
      <c r="H284" s="3426"/>
      <c r="I284" s="3426"/>
      <c r="J284" s="3426"/>
      <c r="K284" s="3426"/>
      <c r="L284" s="3426"/>
      <c r="M284" s="3426"/>
      <c r="N284" s="3355"/>
      <c r="O284" s="3355"/>
      <c r="P284" s="3426"/>
      <c r="Q284" s="3426"/>
      <c r="R284" s="3426"/>
      <c r="S284" s="3426"/>
      <c r="T284" s="3426"/>
      <c r="U284" s="3426"/>
      <c r="V284" s="3426"/>
      <c r="W284" s="3426"/>
      <c r="X284" s="3426"/>
      <c r="Y284" s="3426"/>
      <c r="Z284" s="3426"/>
      <c r="AA284" s="3426"/>
      <c r="AB284" s="3355"/>
      <c r="AC284" s="3355"/>
      <c r="AD284" s="3426"/>
      <c r="AE284" s="3426"/>
      <c r="AF284" s="3426"/>
      <c r="AG284" s="3426"/>
      <c r="AH284" s="187"/>
      <c r="AI284" s="185"/>
    </row>
    <row r="285" spans="1:35" ht="12.75" thickBot="1">
      <c r="A285" s="1126"/>
      <c r="B285" s="1188"/>
      <c r="C285" s="3291"/>
      <c r="D285" s="3292"/>
      <c r="E285" s="3292"/>
      <c r="F285" s="3292"/>
      <c r="G285" s="3292"/>
      <c r="H285" s="3292"/>
      <c r="I285" s="3292"/>
      <c r="J285" s="3292"/>
      <c r="K285" s="3292"/>
      <c r="L285" s="3292"/>
      <c r="M285" s="3292"/>
      <c r="N285" s="3293"/>
      <c r="O285" s="3293"/>
      <c r="P285" s="3292"/>
      <c r="Q285" s="3292"/>
      <c r="R285" s="3292"/>
      <c r="S285" s="3292"/>
      <c r="T285" s="3292"/>
      <c r="U285" s="3292"/>
      <c r="V285" s="3292"/>
      <c r="W285" s="3292"/>
      <c r="X285" s="3292"/>
      <c r="Y285" s="3292"/>
      <c r="Z285" s="3292"/>
      <c r="AA285" s="3292"/>
      <c r="AB285" s="3293"/>
      <c r="AC285" s="3293"/>
      <c r="AD285" s="3292"/>
      <c r="AE285" s="3292"/>
      <c r="AF285" s="3292"/>
      <c r="AG285" s="3292"/>
      <c r="AH285" s="187"/>
      <c r="AI285" s="185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 B128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6"/>
  <dimension ref="A1:D24"/>
  <sheetViews>
    <sheetView topLeftCell="A19" zoomScale="67" zoomScaleNormal="67" workbookViewId="0">
      <selection activeCell="B7" sqref="B7"/>
    </sheetView>
  </sheetViews>
  <sheetFormatPr defaultRowHeight="12"/>
  <cols>
    <col min="1" max="1" width="92.140625" customWidth="1"/>
    <col min="2" max="2" width="17.140625" customWidth="1"/>
    <col min="3" max="3" width="17" customWidth="1"/>
    <col min="4" max="4" width="15.7109375" customWidth="1"/>
  </cols>
  <sheetData>
    <row r="1" spans="1:4" ht="38.25">
      <c r="A1" s="3741" t="s">
        <v>457</v>
      </c>
      <c r="B1" s="3742" t="s">
        <v>458</v>
      </c>
      <c r="C1" s="3743" t="s">
        <v>459</v>
      </c>
      <c r="D1" s="3744" t="s">
        <v>460</v>
      </c>
    </row>
    <row r="2" spans="1:4" ht="32.25" customHeight="1">
      <c r="A2" s="124" t="s">
        <v>461</v>
      </c>
      <c r="B2" s="3745">
        <v>375</v>
      </c>
      <c r="C2" s="3745">
        <v>375</v>
      </c>
      <c r="D2" s="3745">
        <v>375</v>
      </c>
    </row>
    <row r="3" spans="1:4" ht="48" customHeight="1">
      <c r="A3" s="3746" t="s">
        <v>462</v>
      </c>
      <c r="B3" s="3745">
        <v>450</v>
      </c>
      <c r="C3" s="3747">
        <v>450</v>
      </c>
      <c r="D3" s="3748">
        <v>450</v>
      </c>
    </row>
    <row r="4" spans="1:4" ht="45" customHeight="1">
      <c r="A4" s="3746" t="s">
        <v>463</v>
      </c>
      <c r="B4" s="3745">
        <v>600</v>
      </c>
      <c r="C4" s="3749">
        <v>600</v>
      </c>
      <c r="D4" s="3747">
        <v>600</v>
      </c>
    </row>
    <row r="5" spans="1:4" ht="45" customHeight="1">
      <c r="A5" s="3746" t="s">
        <v>464</v>
      </c>
      <c r="B5" s="3745" t="s">
        <v>465</v>
      </c>
      <c r="C5" s="3750"/>
      <c r="D5" s="153"/>
    </row>
    <row r="6" spans="1:4" ht="45" customHeight="1">
      <c r="A6" s="3746" t="s">
        <v>466</v>
      </c>
      <c r="B6" s="3745" t="s">
        <v>467</v>
      </c>
      <c r="C6" s="188"/>
    </row>
    <row r="7" spans="1:4" ht="48.75" customHeight="1">
      <c r="A7" s="3751" t="s">
        <v>468</v>
      </c>
      <c r="B7" s="3752">
        <v>372</v>
      </c>
      <c r="C7" s="189"/>
    </row>
    <row r="8" spans="1:4" ht="58.5" customHeight="1">
      <c r="A8" s="3753" t="s">
        <v>469</v>
      </c>
      <c r="B8" s="3752">
        <v>558618</v>
      </c>
      <c r="C8" s="189"/>
    </row>
    <row r="9" spans="1:4" ht="45" customHeight="1">
      <c r="A9" s="3751" t="s">
        <v>470</v>
      </c>
      <c r="B9" s="3752" t="s">
        <v>467</v>
      </c>
    </row>
    <row r="10" spans="1:4" ht="45" customHeight="1">
      <c r="A10" s="3746" t="s">
        <v>471</v>
      </c>
      <c r="B10" s="3745" t="s">
        <v>472</v>
      </c>
    </row>
    <row r="11" spans="1:4" ht="45" customHeight="1">
      <c r="A11" s="3754" t="s">
        <v>473</v>
      </c>
      <c r="B11" s="3755" t="s">
        <v>474</v>
      </c>
    </row>
    <row r="12" spans="1:4" ht="45" customHeight="1">
      <c r="A12" s="3756"/>
      <c r="B12" s="3745"/>
    </row>
    <row r="13" spans="1:4" ht="45" customHeight="1">
      <c r="A13" s="3757" t="s">
        <v>475</v>
      </c>
      <c r="B13" s="3758" t="s">
        <v>476</v>
      </c>
    </row>
    <row r="14" spans="1:4" ht="45" customHeight="1">
      <c r="A14" s="3759" t="s">
        <v>477</v>
      </c>
      <c r="B14" s="3760" t="s">
        <v>478</v>
      </c>
    </row>
    <row r="15" spans="1:4" ht="45" customHeight="1">
      <c r="A15" s="3759" t="s">
        <v>479</v>
      </c>
      <c r="B15" s="3760">
        <v>0.6</v>
      </c>
    </row>
    <row r="16" spans="1:4" ht="45" customHeight="1">
      <c r="A16" s="3759" t="s">
        <v>480</v>
      </c>
      <c r="B16" s="3758">
        <v>255</v>
      </c>
      <c r="C16" s="3761" t="s">
        <v>481</v>
      </c>
      <c r="D16" s="665" t="s">
        <v>482</v>
      </c>
    </row>
    <row r="17" spans="1:4" ht="45" customHeight="1">
      <c r="A17" s="3762" t="s">
        <v>483</v>
      </c>
      <c r="B17" s="3763">
        <v>127.5</v>
      </c>
      <c r="C17" s="3761" t="s">
        <v>484</v>
      </c>
      <c r="D17" s="665" t="s">
        <v>482</v>
      </c>
    </row>
    <row r="18" spans="1:4" ht="45" customHeight="1">
      <c r="A18" s="3764" t="s">
        <v>485</v>
      </c>
      <c r="B18" s="3765">
        <v>63.75</v>
      </c>
      <c r="C18" s="3766" t="s">
        <v>486</v>
      </c>
      <c r="D18" s="665" t="s">
        <v>482</v>
      </c>
    </row>
    <row r="19" spans="1:4" ht="45" customHeight="1">
      <c r="A19" s="3767" t="s">
        <v>487</v>
      </c>
      <c r="B19" s="3768" t="s">
        <v>488</v>
      </c>
    </row>
    <row r="20" spans="1:4" ht="45" customHeight="1">
      <c r="A20" s="3769"/>
      <c r="B20" s="190"/>
    </row>
    <row r="21" spans="1:4" ht="45" customHeight="1">
      <c r="A21" s="3770" t="s">
        <v>489</v>
      </c>
      <c r="B21" s="3771">
        <v>320</v>
      </c>
    </row>
    <row r="22" spans="1:4" ht="25.35" customHeight="1">
      <c r="A22" s="3772" t="s">
        <v>490</v>
      </c>
      <c r="B22" s="3773">
        <v>110</v>
      </c>
    </row>
    <row r="23" spans="1:4" ht="30.6" customHeight="1">
      <c r="A23" s="3772" t="s">
        <v>491</v>
      </c>
      <c r="B23" s="191">
        <v>30</v>
      </c>
    </row>
    <row r="24" spans="1:4" ht="47.1" customHeight="1">
      <c r="A24" s="3772" t="s">
        <v>492</v>
      </c>
      <c r="B24" s="3774">
        <v>30</v>
      </c>
    </row>
  </sheetData>
  <phoneticPr fontId="8" type="noConversion"/>
  <pageMargins left="0" right="0" top="0.39374999999999999" bottom="0.19652777777777777" header="0.51180555555555551" footer="0.51180555555555551"/>
  <pageSetup paperSize="9" firstPageNumber="0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777F-FD97-409F-BF34-7DF431F52683}">
  <sheetPr codeName="Ark18">
    <pageSetUpPr fitToPage="1"/>
  </sheetPr>
  <dimension ref="A1:F23"/>
  <sheetViews>
    <sheetView zoomScale="67" zoomScaleNormal="67" workbookViewId="0">
      <selection activeCell="D17" sqref="D17"/>
    </sheetView>
  </sheetViews>
  <sheetFormatPr defaultRowHeight="12"/>
  <cols>
    <col min="1" max="1" width="92.140625" customWidth="1"/>
    <col min="2" max="2" width="17.140625" customWidth="1"/>
    <col min="3" max="3" width="20.42578125" customWidth="1"/>
    <col min="4" max="4" width="15.7109375" customWidth="1"/>
    <col min="5" max="5" width="14.7109375" customWidth="1"/>
    <col min="6" max="6" width="19.85546875" customWidth="1"/>
  </cols>
  <sheetData>
    <row r="1" spans="1:6" ht="38.25">
      <c r="A1" s="3775" t="s">
        <v>457</v>
      </c>
      <c r="B1" s="3742" t="s">
        <v>458</v>
      </c>
      <c r="C1" s="3743" t="s">
        <v>493</v>
      </c>
      <c r="D1" s="3776" t="s">
        <v>460</v>
      </c>
      <c r="E1" s="3776" t="s">
        <v>494</v>
      </c>
      <c r="F1" s="3777" t="s">
        <v>495</v>
      </c>
    </row>
    <row r="2" spans="1:6" ht="32.25" customHeight="1">
      <c r="A2" s="124" t="s">
        <v>461</v>
      </c>
      <c r="B2" s="3778"/>
      <c r="C2" s="3779">
        <v>375</v>
      </c>
      <c r="D2" s="3779">
        <v>375</v>
      </c>
      <c r="E2" s="3779">
        <v>372</v>
      </c>
      <c r="F2" s="3779">
        <v>375</v>
      </c>
    </row>
    <row r="3" spans="1:6" ht="48" customHeight="1">
      <c r="A3" s="3780" t="s">
        <v>462</v>
      </c>
      <c r="B3" s="3779">
        <v>450</v>
      </c>
      <c r="C3" s="3781">
        <v>450</v>
      </c>
      <c r="D3" s="3779">
        <v>450</v>
      </c>
      <c r="E3" s="3779">
        <v>450</v>
      </c>
      <c r="F3" s="3779">
        <v>450</v>
      </c>
    </row>
    <row r="4" spans="1:6" ht="45" customHeight="1">
      <c r="A4" s="3780" t="s">
        <v>463</v>
      </c>
      <c r="B4" s="3779">
        <v>600</v>
      </c>
      <c r="C4" s="3782">
        <v>600</v>
      </c>
      <c r="D4" s="3781">
        <v>600</v>
      </c>
      <c r="E4" s="3781">
        <v>600</v>
      </c>
      <c r="F4" s="3781">
        <v>600</v>
      </c>
    </row>
    <row r="5" spans="1:6" ht="45" customHeight="1">
      <c r="A5" s="3780" t="s">
        <v>464</v>
      </c>
      <c r="B5" s="3779">
        <v>375</v>
      </c>
      <c r="C5" s="3783"/>
      <c r="D5" s="153"/>
    </row>
    <row r="6" spans="1:6" ht="45" customHeight="1">
      <c r="A6" s="3784" t="s">
        <v>466</v>
      </c>
      <c r="B6" s="3785">
        <v>450</v>
      </c>
      <c r="C6" s="188"/>
    </row>
    <row r="7" spans="1:6" ht="48.75" customHeight="1">
      <c r="A7" s="3786" t="s">
        <v>468</v>
      </c>
      <c r="B7" s="3787">
        <v>372</v>
      </c>
      <c r="C7" s="189"/>
    </row>
    <row r="8" spans="1:6" ht="58.5" customHeight="1">
      <c r="A8" s="3788" t="s">
        <v>469</v>
      </c>
      <c r="B8" s="3787">
        <v>558618</v>
      </c>
      <c r="C8" s="189"/>
    </row>
    <row r="9" spans="1:6" ht="45" customHeight="1">
      <c r="A9" s="3786" t="s">
        <v>470</v>
      </c>
      <c r="B9" s="3787">
        <v>450</v>
      </c>
    </row>
    <row r="10" spans="1:6" ht="45" customHeight="1">
      <c r="A10" s="3780" t="s">
        <v>471</v>
      </c>
      <c r="B10" s="3779">
        <v>700</v>
      </c>
    </row>
    <row r="11" spans="1:6" ht="45" customHeight="1">
      <c r="A11" s="3789"/>
      <c r="B11" s="3779"/>
    </row>
    <row r="12" spans="1:6" ht="45" customHeight="1">
      <c r="A12" s="3790" t="s">
        <v>475</v>
      </c>
      <c r="B12" s="3791">
        <v>255</v>
      </c>
    </row>
    <row r="13" spans="1:6" ht="45" customHeight="1">
      <c r="A13" s="3792" t="s">
        <v>477</v>
      </c>
      <c r="B13" s="3793">
        <v>350</v>
      </c>
    </row>
    <row r="14" spans="1:6" ht="45" customHeight="1">
      <c r="A14" s="3792" t="s">
        <v>479</v>
      </c>
      <c r="B14" s="3793">
        <v>0.6</v>
      </c>
      <c r="C14" s="665"/>
    </row>
    <row r="15" spans="1:6" ht="45" customHeight="1">
      <c r="A15" s="3792" t="s">
        <v>480</v>
      </c>
      <c r="B15" s="3791">
        <v>255</v>
      </c>
      <c r="C15" s="3794" t="s">
        <v>481</v>
      </c>
      <c r="D15" s="665"/>
    </row>
    <row r="16" spans="1:6" ht="45" customHeight="1">
      <c r="A16" s="3795" t="s">
        <v>483</v>
      </c>
      <c r="B16" s="3796">
        <v>127.5</v>
      </c>
      <c r="C16" s="3794" t="s">
        <v>484</v>
      </c>
      <c r="D16" s="665"/>
    </row>
    <row r="17" spans="1:4" ht="45" customHeight="1">
      <c r="A17" s="3797" t="s">
        <v>485</v>
      </c>
      <c r="B17" s="3798">
        <v>63.75</v>
      </c>
      <c r="C17" s="3799" t="s">
        <v>486</v>
      </c>
      <c r="D17" s="665"/>
    </row>
    <row r="18" spans="1:4" ht="45" customHeight="1">
      <c r="A18" s="3800" t="s">
        <v>487</v>
      </c>
      <c r="B18" s="3801" t="s">
        <v>488</v>
      </c>
    </row>
    <row r="19" spans="1:4" ht="45" customHeight="1">
      <c r="A19" s="3802"/>
      <c r="B19" s="666"/>
    </row>
    <row r="20" spans="1:4" ht="45" customHeight="1">
      <c r="A20" s="3803" t="s">
        <v>489</v>
      </c>
      <c r="B20" s="3804">
        <v>320</v>
      </c>
    </row>
    <row r="21" spans="1:4" ht="25.35" customHeight="1">
      <c r="A21" s="3805" t="s">
        <v>490</v>
      </c>
      <c r="B21" s="3806">
        <v>110</v>
      </c>
    </row>
    <row r="22" spans="1:4" ht="30.6" customHeight="1">
      <c r="A22" s="3805" t="s">
        <v>491</v>
      </c>
      <c r="B22" s="667">
        <v>30</v>
      </c>
    </row>
    <row r="23" spans="1:4" ht="47.1" customHeight="1">
      <c r="A23" s="3805" t="s">
        <v>492</v>
      </c>
      <c r="B23" s="3807">
        <v>30</v>
      </c>
    </row>
  </sheetData>
  <pageMargins left="0" right="0" top="0.39374999999999999" bottom="0.19652777777777777" header="0.51180555555555551" footer="0.51180555555555551"/>
  <pageSetup paperSize="9" scale="62" firstPageNumber="0" orientation="portrait" horizontalDpi="300" vertic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/>
  <dimension ref="A1:O80"/>
  <sheetViews>
    <sheetView zoomScale="67" zoomScaleNormal="67" workbookViewId="0">
      <selection activeCell="J62" sqref="J62"/>
    </sheetView>
  </sheetViews>
  <sheetFormatPr defaultRowHeight="12"/>
  <cols>
    <col min="1" max="1" width="46.5703125" bestFit="1" customWidth="1"/>
    <col min="2" max="2" width="35.85546875" bestFit="1" customWidth="1"/>
    <col min="3" max="3" width="13.5703125" customWidth="1"/>
    <col min="4" max="4" width="8.140625" customWidth="1"/>
    <col min="5" max="5" width="38.85546875" bestFit="1" customWidth="1"/>
    <col min="6" max="6" width="42.42578125" customWidth="1"/>
    <col min="7" max="7" width="12.85546875" style="125" customWidth="1"/>
    <col min="8" max="8" width="2.7109375" customWidth="1"/>
    <col min="9" max="9" width="22.85546875" customWidth="1"/>
    <col min="10" max="10" width="27" customWidth="1"/>
    <col min="11" max="11" width="11.42578125" customWidth="1"/>
    <col min="14" max="15" width="38.85546875" bestFit="1" customWidth="1"/>
  </cols>
  <sheetData>
    <row r="1" spans="1:15" ht="20.25">
      <c r="F1" s="126" t="s">
        <v>496</v>
      </c>
    </row>
    <row r="2" spans="1:15" ht="16.350000000000001" customHeight="1">
      <c r="A2" s="114" t="s">
        <v>497</v>
      </c>
      <c r="B2" s="142"/>
      <c r="C2" s="142"/>
      <c r="D2" s="142"/>
      <c r="E2" s="114" t="s">
        <v>498</v>
      </c>
      <c r="F2" s="142"/>
      <c r="G2" s="143"/>
      <c r="H2" s="142"/>
      <c r="I2" s="114" t="s">
        <v>499</v>
      </c>
      <c r="J2" s="142"/>
    </row>
    <row r="3" spans="1:15" ht="15" customHeight="1" thickBot="1">
      <c r="A3" s="3808" t="s">
        <v>500</v>
      </c>
      <c r="B3" s="3808" t="s">
        <v>501</v>
      </c>
      <c r="C3" s="3808" t="s">
        <v>502</v>
      </c>
      <c r="D3" s="142"/>
      <c r="E3" s="3809" t="s">
        <v>500</v>
      </c>
      <c r="F3" s="3809" t="s">
        <v>501</v>
      </c>
      <c r="G3" s="3810" t="s">
        <v>502</v>
      </c>
      <c r="H3" s="142"/>
      <c r="I3" s="3809" t="s">
        <v>500</v>
      </c>
      <c r="J3" s="3809" t="s">
        <v>501</v>
      </c>
      <c r="K3" s="3811" t="s">
        <v>502</v>
      </c>
      <c r="N3" s="3812"/>
      <c r="O3" s="3813"/>
    </row>
    <row r="4" spans="1:15" ht="15" customHeight="1">
      <c r="A4" s="3812" t="s">
        <v>503</v>
      </c>
      <c r="B4" s="3814" t="s">
        <v>75</v>
      </c>
      <c r="C4" s="3815"/>
      <c r="D4" s="142"/>
      <c r="E4" s="3816" t="s">
        <v>504</v>
      </c>
      <c r="F4" s="401" t="s">
        <v>81</v>
      </c>
      <c r="G4" s="3815"/>
      <c r="H4" s="142"/>
      <c r="I4" s="223"/>
      <c r="J4" s="3813"/>
      <c r="K4" s="399"/>
      <c r="N4" s="3817"/>
      <c r="O4" s="3818"/>
    </row>
    <row r="5" spans="1:15" ht="15" customHeight="1">
      <c r="A5" s="3817"/>
      <c r="B5" s="3816" t="s">
        <v>505</v>
      </c>
      <c r="C5" s="3815"/>
      <c r="D5" s="142"/>
      <c r="E5" s="3819"/>
      <c r="F5" s="3820" t="s">
        <v>82</v>
      </c>
      <c r="G5" s="3815"/>
      <c r="H5" s="142"/>
      <c r="I5" s="3819"/>
      <c r="J5" s="3813"/>
      <c r="K5" s="3821"/>
      <c r="N5" s="3817"/>
      <c r="O5" s="3818"/>
    </row>
    <row r="6" spans="1:15" ht="15" customHeight="1" thickBot="1">
      <c r="A6" s="3817"/>
      <c r="B6" s="3816" t="s">
        <v>506</v>
      </c>
      <c r="C6" s="3815"/>
      <c r="D6" s="142"/>
      <c r="E6" s="3822"/>
      <c r="F6" s="3814" t="s">
        <v>110</v>
      </c>
      <c r="G6" s="147"/>
      <c r="H6" s="142"/>
      <c r="I6" s="3822"/>
      <c r="J6" s="158"/>
      <c r="K6" s="3823"/>
      <c r="N6" s="3817"/>
      <c r="O6" s="3818"/>
    </row>
    <row r="7" spans="1:15" ht="15" customHeight="1">
      <c r="A7" s="3817"/>
      <c r="B7" s="3816" t="s">
        <v>507</v>
      </c>
      <c r="C7" s="3815"/>
      <c r="D7" s="142"/>
      <c r="E7" s="3819"/>
      <c r="F7" s="3814" t="s">
        <v>508</v>
      </c>
      <c r="G7" s="3824"/>
      <c r="H7" s="142"/>
      <c r="I7" s="223"/>
      <c r="J7" s="250"/>
      <c r="K7" s="399"/>
      <c r="N7" s="3812"/>
      <c r="O7" s="3825"/>
    </row>
    <row r="8" spans="1:15" ht="15" customHeight="1">
      <c r="A8" s="3817"/>
      <c r="B8" s="3816" t="s">
        <v>509</v>
      </c>
      <c r="C8" s="3815"/>
      <c r="D8" s="142"/>
      <c r="E8" s="3822"/>
      <c r="F8" s="3826"/>
      <c r="G8" s="3827"/>
      <c r="H8" s="142"/>
      <c r="I8" s="145"/>
      <c r="J8" s="3828"/>
      <c r="K8" s="15"/>
      <c r="N8" s="3812"/>
      <c r="O8" s="3829"/>
    </row>
    <row r="9" spans="1:15" ht="15" customHeight="1">
      <c r="A9" s="3817"/>
      <c r="B9" s="3816" t="s">
        <v>510</v>
      </c>
      <c r="C9" s="3815"/>
      <c r="D9" s="142"/>
      <c r="E9" s="3817"/>
      <c r="F9" s="3830"/>
      <c r="G9" s="3831"/>
      <c r="H9" s="142"/>
      <c r="I9" s="145"/>
      <c r="J9" s="3828"/>
      <c r="K9" s="15"/>
      <c r="N9" s="3817"/>
      <c r="O9" s="3818"/>
    </row>
    <row r="10" spans="1:15" ht="15" customHeight="1" thickBot="1">
      <c r="A10" s="3817"/>
      <c r="B10" s="3816" t="s">
        <v>511</v>
      </c>
      <c r="C10" s="3815"/>
      <c r="D10" s="142"/>
      <c r="E10" s="154" t="s">
        <v>509</v>
      </c>
      <c r="F10" s="217" t="s">
        <v>72</v>
      </c>
      <c r="G10" s="3815"/>
      <c r="H10" s="142"/>
      <c r="I10" s="3819"/>
      <c r="J10" s="3832"/>
      <c r="K10" s="3821"/>
      <c r="N10" s="3817"/>
      <c r="O10" s="3818"/>
    </row>
    <row r="11" spans="1:15" ht="15" customHeight="1">
      <c r="A11" s="3817"/>
      <c r="B11" s="3816" t="s">
        <v>512</v>
      </c>
      <c r="C11" s="3815"/>
      <c r="D11" s="142"/>
      <c r="E11" s="3819"/>
      <c r="F11" s="700" t="s">
        <v>513</v>
      </c>
      <c r="G11" s="3815"/>
      <c r="H11" s="142"/>
      <c r="I11" s="3822"/>
      <c r="J11" s="3813"/>
      <c r="K11" s="3823"/>
      <c r="N11" s="3812"/>
      <c r="O11" s="3818"/>
    </row>
    <row r="12" spans="1:15" ht="15" customHeight="1" thickBot="1">
      <c r="A12" s="3817"/>
      <c r="B12" s="3816" t="s">
        <v>209</v>
      </c>
      <c r="C12" s="3815"/>
      <c r="D12" s="142"/>
      <c r="E12" s="3822"/>
      <c r="F12" s="3826" t="s">
        <v>79</v>
      </c>
      <c r="G12" s="147"/>
      <c r="H12" s="142"/>
      <c r="I12" s="144"/>
      <c r="J12" s="3833"/>
      <c r="K12" s="3834"/>
      <c r="N12" s="3817"/>
      <c r="O12" s="3816"/>
    </row>
    <row r="13" spans="1:15" ht="15" customHeight="1">
      <c r="A13" s="3817"/>
      <c r="B13" s="3816" t="s">
        <v>514</v>
      </c>
      <c r="C13" s="3835"/>
      <c r="D13" s="142"/>
      <c r="E13" s="3819"/>
      <c r="F13" s="3830" t="s">
        <v>398</v>
      </c>
      <c r="G13" s="3824"/>
      <c r="H13" s="142"/>
      <c r="I13" s="224"/>
      <c r="J13" s="159"/>
      <c r="K13" s="399"/>
      <c r="N13" s="3817"/>
      <c r="O13" s="3836"/>
    </row>
    <row r="14" spans="1:15" ht="15" customHeight="1">
      <c r="A14" s="142"/>
      <c r="B14" s="3816" t="s">
        <v>515</v>
      </c>
      <c r="C14" s="142"/>
      <c r="D14" s="142"/>
      <c r="E14" s="3822"/>
      <c r="F14" s="3837" t="s">
        <v>516</v>
      </c>
      <c r="G14" s="3827"/>
      <c r="H14" s="142"/>
      <c r="I14" s="3819"/>
      <c r="J14" s="3813"/>
      <c r="K14" s="3821"/>
      <c r="N14" s="3812"/>
      <c r="O14" s="3816"/>
    </row>
    <row r="15" spans="1:15" ht="15" customHeight="1">
      <c r="A15" s="142"/>
      <c r="B15" s="142"/>
      <c r="C15" s="142"/>
      <c r="D15" s="142"/>
      <c r="E15" s="3817"/>
      <c r="F15" s="3830"/>
      <c r="G15" s="3831"/>
      <c r="H15" s="142"/>
      <c r="I15" s="3819"/>
      <c r="J15" s="158"/>
      <c r="K15" s="3821"/>
      <c r="N15" s="3812"/>
      <c r="O15" s="3813"/>
    </row>
    <row r="16" spans="1:15" ht="15" customHeight="1">
      <c r="A16" s="114" t="s">
        <v>517</v>
      </c>
      <c r="B16" s="142"/>
      <c r="C16" s="142"/>
      <c r="D16" s="142"/>
      <c r="E16" s="3812"/>
      <c r="F16" s="3813"/>
      <c r="G16" s="3815"/>
      <c r="H16" s="142"/>
      <c r="I16" s="3819"/>
      <c r="J16" s="160"/>
      <c r="K16" s="3821"/>
      <c r="N16" s="3812"/>
      <c r="O16" s="3816"/>
    </row>
    <row r="17" spans="1:15" ht="15" customHeight="1" thickBot="1">
      <c r="A17" s="3808" t="s">
        <v>500</v>
      </c>
      <c r="B17" s="3808" t="s">
        <v>501</v>
      </c>
      <c r="C17" s="3808" t="s">
        <v>502</v>
      </c>
      <c r="D17" s="142"/>
      <c r="E17" s="3812" t="s">
        <v>507</v>
      </c>
      <c r="F17" s="3838" t="s">
        <v>84</v>
      </c>
      <c r="G17" s="3839"/>
      <c r="H17" s="142"/>
      <c r="I17" s="144"/>
      <c r="J17" s="3840"/>
      <c r="K17" s="3834"/>
      <c r="N17" s="3812"/>
      <c r="O17" s="3818"/>
    </row>
    <row r="18" spans="1:15" ht="15" customHeight="1">
      <c r="A18" s="3812" t="s">
        <v>280</v>
      </c>
      <c r="B18" s="3816" t="s">
        <v>282</v>
      </c>
      <c r="C18" s="3815"/>
      <c r="D18" s="142"/>
      <c r="E18" s="3817"/>
      <c r="F18" s="3816" t="s">
        <v>518</v>
      </c>
      <c r="G18" s="3815"/>
      <c r="H18" s="142"/>
      <c r="I18" s="142"/>
      <c r="J18" s="142"/>
      <c r="N18" s="3812"/>
      <c r="O18" s="3818"/>
    </row>
    <row r="19" spans="1:15" ht="15" customHeight="1">
      <c r="A19" s="3817"/>
      <c r="B19" s="3816" t="s">
        <v>283</v>
      </c>
      <c r="C19" s="3815"/>
      <c r="D19" s="142"/>
      <c r="E19" s="3817"/>
      <c r="F19" s="3818" t="s">
        <v>86</v>
      </c>
      <c r="G19" s="3815"/>
      <c r="H19" s="142"/>
      <c r="I19" s="114"/>
      <c r="J19" s="142"/>
      <c r="N19" s="3817"/>
      <c r="O19" s="3814"/>
    </row>
    <row r="20" spans="1:15" ht="15" customHeight="1">
      <c r="A20" s="3817"/>
      <c r="B20" s="3816"/>
      <c r="C20" s="3815"/>
      <c r="D20" s="142"/>
      <c r="E20" s="3812"/>
      <c r="F20" s="3830" t="s">
        <v>398</v>
      </c>
      <c r="G20" s="3815"/>
      <c r="H20" s="142"/>
      <c r="I20" s="114"/>
      <c r="J20" s="142"/>
      <c r="N20" s="3817"/>
      <c r="O20" s="3818"/>
    </row>
    <row r="21" spans="1:15" ht="15" customHeight="1">
      <c r="A21" s="3817"/>
      <c r="B21" s="3836" t="s">
        <v>286</v>
      </c>
      <c r="C21" s="3815"/>
      <c r="D21" s="142"/>
      <c r="E21" s="3841"/>
      <c r="F21" s="3842" t="s">
        <v>519</v>
      </c>
      <c r="G21" s="3815"/>
      <c r="H21" s="142"/>
      <c r="I21" s="3809" t="s">
        <v>500</v>
      </c>
      <c r="J21" s="3809" t="s">
        <v>501</v>
      </c>
      <c r="K21" s="3811" t="s">
        <v>502</v>
      </c>
      <c r="N21" s="3815"/>
      <c r="O21" s="3814"/>
    </row>
    <row r="22" spans="1:15" ht="15" customHeight="1">
      <c r="A22" s="3817"/>
      <c r="B22" s="3836" t="s">
        <v>287</v>
      </c>
      <c r="C22" s="3815"/>
      <c r="D22" s="142"/>
      <c r="E22" s="3812"/>
      <c r="F22" s="3816"/>
      <c r="G22" s="3815"/>
      <c r="H22" s="142"/>
      <c r="I22" s="3812" t="s">
        <v>520</v>
      </c>
      <c r="J22" s="3813" t="s">
        <v>503</v>
      </c>
      <c r="K22" s="3843"/>
      <c r="N22" s="3816"/>
      <c r="O22" s="3818"/>
    </row>
    <row r="23" spans="1:15" ht="15" customHeight="1">
      <c r="A23" s="3817"/>
      <c r="B23" s="3836" t="s">
        <v>288</v>
      </c>
      <c r="C23" s="3815"/>
      <c r="D23" s="142"/>
      <c r="E23" s="154" t="s">
        <v>506</v>
      </c>
      <c r="F23" s="3816" t="s">
        <v>90</v>
      </c>
      <c r="G23" s="3815"/>
      <c r="H23" s="142"/>
      <c r="I23" s="3817"/>
      <c r="J23" s="3813" t="s">
        <v>280</v>
      </c>
      <c r="K23" s="3843"/>
      <c r="N23" s="3817"/>
      <c r="O23" s="3816"/>
    </row>
    <row r="24" spans="1:15" ht="15" customHeight="1">
      <c r="A24" s="3817"/>
      <c r="B24" s="3836" t="s">
        <v>521</v>
      </c>
      <c r="C24" s="3815"/>
      <c r="D24" s="142"/>
      <c r="E24" s="3817"/>
      <c r="F24" s="3836" t="s">
        <v>522</v>
      </c>
      <c r="G24" s="3815"/>
      <c r="H24" s="142"/>
      <c r="I24" s="3817"/>
      <c r="J24" s="3813"/>
      <c r="K24" s="3843"/>
      <c r="N24" s="3817"/>
      <c r="O24" s="3844"/>
    </row>
    <row r="25" spans="1:15" ht="15" customHeight="1">
      <c r="A25" s="3817"/>
      <c r="B25" s="3836" t="s">
        <v>523</v>
      </c>
      <c r="C25" s="3815"/>
      <c r="D25" s="142"/>
      <c r="E25" s="3812"/>
      <c r="F25" s="3816" t="s">
        <v>92</v>
      </c>
      <c r="G25" s="3815"/>
      <c r="H25" s="142"/>
      <c r="I25" s="3817"/>
      <c r="J25" s="3832"/>
      <c r="K25" s="3843"/>
      <c r="N25" s="3817"/>
      <c r="O25" s="3816"/>
    </row>
    <row r="26" spans="1:15" ht="15" customHeight="1">
      <c r="A26" s="3817"/>
      <c r="B26" s="3836" t="s">
        <v>296</v>
      </c>
      <c r="C26" s="3815"/>
      <c r="D26" s="142"/>
      <c r="E26" s="3817"/>
      <c r="F26" s="3845" t="s">
        <v>139</v>
      </c>
      <c r="G26" s="3815"/>
      <c r="H26" s="142"/>
      <c r="I26" s="3817"/>
      <c r="J26" s="3813"/>
      <c r="K26" s="3843"/>
      <c r="N26" s="3817"/>
      <c r="O26" s="3816"/>
    </row>
    <row r="27" spans="1:15" ht="15" customHeight="1">
      <c r="A27" s="3817"/>
      <c r="B27" s="3846" t="s">
        <v>294</v>
      </c>
      <c r="C27" s="3815"/>
      <c r="D27" s="142"/>
      <c r="E27" s="3817"/>
      <c r="F27" s="3836"/>
      <c r="G27" s="3815"/>
      <c r="H27" s="142"/>
      <c r="I27" s="3817"/>
      <c r="J27" s="3813"/>
      <c r="K27" s="3843"/>
      <c r="N27" s="3817"/>
      <c r="O27" s="3816"/>
    </row>
    <row r="28" spans="1:15" ht="15" customHeight="1" thickBot="1">
      <c r="A28" s="3817"/>
      <c r="B28" s="3847" t="s">
        <v>524</v>
      </c>
      <c r="C28" s="3815"/>
      <c r="D28" s="142"/>
      <c r="E28" s="3848" t="s">
        <v>505</v>
      </c>
      <c r="F28" s="3816" t="s">
        <v>134</v>
      </c>
      <c r="G28" s="3815"/>
      <c r="H28" s="142"/>
      <c r="I28" s="3817"/>
      <c r="J28" s="3813"/>
      <c r="K28" s="3843"/>
      <c r="N28" s="3843"/>
      <c r="O28" s="3816"/>
    </row>
    <row r="29" spans="1:15" ht="15" customHeight="1">
      <c r="A29" s="3817"/>
      <c r="B29" s="3830" t="s">
        <v>525</v>
      </c>
      <c r="C29" s="3815"/>
      <c r="D29" s="142"/>
      <c r="E29" s="3812"/>
      <c r="F29" s="3818" t="s">
        <v>88</v>
      </c>
      <c r="G29" s="3815"/>
      <c r="H29" s="142"/>
      <c r="I29" s="3817"/>
      <c r="J29" s="3849"/>
      <c r="K29" s="3843"/>
      <c r="N29" s="3843"/>
      <c r="O29" s="3850"/>
    </row>
    <row r="30" spans="1:15" ht="15" customHeight="1">
      <c r="A30" s="3817"/>
      <c r="B30" s="3851"/>
      <c r="C30" s="3815"/>
      <c r="D30" s="142"/>
      <c r="E30" s="3812"/>
      <c r="F30" s="3818" t="s">
        <v>89</v>
      </c>
      <c r="G30" s="3815"/>
      <c r="H30" s="142"/>
      <c r="I30" s="3817"/>
      <c r="J30" s="3852"/>
      <c r="K30" s="3843"/>
      <c r="N30" s="3812"/>
      <c r="O30" s="3843"/>
    </row>
    <row r="31" spans="1:15" ht="15" customHeight="1" thickBot="1">
      <c r="A31" s="3817"/>
      <c r="B31" s="3830" t="s">
        <v>526</v>
      </c>
      <c r="C31" s="3815"/>
      <c r="D31" s="142"/>
      <c r="E31" s="3812"/>
      <c r="F31" s="3816" t="s">
        <v>340</v>
      </c>
      <c r="G31" s="3815"/>
      <c r="H31" s="142"/>
      <c r="I31" s="3817"/>
      <c r="J31" s="3852"/>
      <c r="K31" s="3843"/>
      <c r="N31" s="3817"/>
      <c r="O31" s="3850"/>
    </row>
    <row r="32" spans="1:15" ht="15" customHeight="1">
      <c r="A32" s="3817"/>
      <c r="B32" s="3830"/>
      <c r="C32" s="3815"/>
      <c r="D32" s="142"/>
      <c r="E32" s="3812"/>
      <c r="F32" s="3845" t="s">
        <v>140</v>
      </c>
      <c r="G32" s="3815"/>
      <c r="H32" s="142"/>
      <c r="I32" s="3817"/>
      <c r="J32" s="308"/>
      <c r="K32" s="3843"/>
      <c r="N32" s="3817"/>
      <c r="O32" s="3816"/>
    </row>
    <row r="33" spans="1:15" ht="15" customHeight="1">
      <c r="A33" s="3812"/>
      <c r="B33" s="3830"/>
      <c r="C33" s="3824"/>
      <c r="D33" s="142"/>
      <c r="E33" s="3848"/>
      <c r="F33" s="3814"/>
      <c r="G33" s="3815"/>
      <c r="H33" s="142"/>
      <c r="I33" s="3817"/>
      <c r="J33" s="3849"/>
      <c r="K33" s="3843"/>
      <c r="N33" s="3817"/>
      <c r="O33" s="3814"/>
    </row>
    <row r="34" spans="1:15" ht="15" customHeight="1">
      <c r="A34" s="3853"/>
      <c r="B34" s="3854"/>
      <c r="C34" s="3827"/>
      <c r="D34" s="142"/>
      <c r="E34" s="3817"/>
      <c r="F34" s="3818"/>
      <c r="G34" s="3815"/>
      <c r="H34" s="142"/>
      <c r="I34" s="3817"/>
      <c r="J34" s="3855"/>
      <c r="K34" s="3843"/>
      <c r="N34" s="3817"/>
      <c r="O34" s="3814"/>
    </row>
    <row r="35" spans="1:15" ht="15" customHeight="1">
      <c r="A35" s="114"/>
      <c r="B35" s="3813"/>
      <c r="C35" s="142"/>
      <c r="D35" s="142"/>
      <c r="E35" s="3848" t="s">
        <v>510</v>
      </c>
      <c r="F35" s="3814" t="s">
        <v>186</v>
      </c>
      <c r="G35" s="3815"/>
      <c r="H35" s="142"/>
      <c r="I35" s="3817"/>
      <c r="J35" s="3813"/>
      <c r="K35" s="3843"/>
      <c r="N35" s="3817"/>
      <c r="O35" s="3814"/>
    </row>
    <row r="36" spans="1:15" ht="15" customHeight="1">
      <c r="A36" s="3856"/>
      <c r="B36" s="170"/>
      <c r="C36" s="3856"/>
      <c r="D36" s="142"/>
      <c r="E36" s="3817" t="s">
        <v>527</v>
      </c>
      <c r="F36" s="3818" t="s">
        <v>528</v>
      </c>
      <c r="G36" s="3815"/>
      <c r="H36" s="142"/>
      <c r="I36" s="146"/>
      <c r="J36" s="142"/>
      <c r="N36" s="3843"/>
      <c r="O36" s="3814"/>
    </row>
    <row r="37" spans="1:15" ht="15" customHeight="1">
      <c r="A37" s="3812"/>
      <c r="B37" s="3813"/>
      <c r="C37" s="3815"/>
      <c r="D37" s="142"/>
      <c r="E37" s="3815"/>
      <c r="F37" s="3830" t="s">
        <v>359</v>
      </c>
      <c r="G37" s="3815"/>
      <c r="H37" s="142"/>
      <c r="I37" s="3857"/>
      <c r="J37" s="3858"/>
      <c r="K37" s="3843"/>
      <c r="N37" s="3843"/>
      <c r="O37" s="3816"/>
    </row>
    <row r="38" spans="1:15" ht="15" customHeight="1">
      <c r="A38" s="3817"/>
      <c r="B38" s="3813"/>
      <c r="C38" s="3815"/>
      <c r="D38" s="142"/>
      <c r="E38" s="3816"/>
      <c r="F38" s="3830" t="s">
        <v>190</v>
      </c>
      <c r="G38" s="3815"/>
      <c r="H38" s="142"/>
      <c r="I38" s="3859"/>
      <c r="J38" s="3860"/>
      <c r="K38" s="3843"/>
    </row>
    <row r="39" spans="1:15" ht="15" customHeight="1">
      <c r="A39" s="3817"/>
      <c r="B39" s="3813"/>
      <c r="C39" s="3815"/>
      <c r="D39" s="142"/>
      <c r="E39" s="3817"/>
      <c r="F39" s="3861" t="s">
        <v>529</v>
      </c>
      <c r="G39" s="3815"/>
      <c r="H39" s="142"/>
      <c r="I39" s="3859"/>
      <c r="J39" s="3860"/>
      <c r="K39" s="3843"/>
    </row>
    <row r="40" spans="1:15" ht="15" customHeight="1">
      <c r="A40" s="3817"/>
      <c r="B40" s="3817"/>
      <c r="C40" s="3815"/>
      <c r="D40" s="142"/>
      <c r="E40" s="3817"/>
      <c r="F40" s="3816" t="s">
        <v>172</v>
      </c>
      <c r="G40" s="3815"/>
      <c r="H40" s="142"/>
      <c r="I40" s="3859"/>
      <c r="J40" s="3862"/>
      <c r="K40" s="3843"/>
    </row>
    <row r="41" spans="1:15" ht="15" customHeight="1">
      <c r="A41" s="114"/>
      <c r="B41" s="142"/>
      <c r="C41" s="142"/>
      <c r="D41" s="142"/>
      <c r="E41" s="3817"/>
      <c r="F41" s="3863" t="s">
        <v>399</v>
      </c>
      <c r="G41" s="3815"/>
      <c r="H41" s="142"/>
      <c r="I41" s="3859"/>
      <c r="J41" s="3813"/>
      <c r="K41" s="3843"/>
    </row>
    <row r="42" spans="1:15" ht="15" customHeight="1">
      <c r="A42" s="18"/>
      <c r="B42" s="18"/>
      <c r="C42" s="18"/>
      <c r="E42" s="3816"/>
      <c r="F42" s="3816"/>
      <c r="G42" s="3815"/>
      <c r="I42" s="3864"/>
      <c r="J42" s="3865"/>
      <c r="K42" s="3843"/>
    </row>
    <row r="43" spans="1:15" ht="15" customHeight="1">
      <c r="A43" s="114"/>
      <c r="B43" s="151"/>
      <c r="E43" s="3817"/>
      <c r="F43" s="3816"/>
      <c r="G43" s="3815"/>
      <c r="I43" s="3843"/>
      <c r="J43" s="3813"/>
      <c r="K43" s="3843"/>
    </row>
    <row r="44" spans="1:15" ht="15" customHeight="1">
      <c r="B44" s="151"/>
      <c r="E44" s="3816" t="s">
        <v>530</v>
      </c>
      <c r="F44" s="3816" t="s">
        <v>531</v>
      </c>
      <c r="G44" s="3815"/>
      <c r="I44" s="3843"/>
      <c r="J44" s="3813"/>
      <c r="K44" s="3843"/>
    </row>
    <row r="45" spans="1:15" ht="15" customHeight="1">
      <c r="B45" s="151"/>
      <c r="E45" s="3817"/>
      <c r="F45" s="3816" t="s">
        <v>164</v>
      </c>
      <c r="G45" s="3815"/>
      <c r="I45" s="3843"/>
      <c r="J45" s="3862"/>
      <c r="K45" s="3843"/>
    </row>
    <row r="46" spans="1:15" ht="15" customHeight="1">
      <c r="B46" s="151"/>
      <c r="E46" s="3843"/>
      <c r="F46" s="3844" t="s">
        <v>107</v>
      </c>
      <c r="G46" s="3815"/>
      <c r="I46" s="3843"/>
      <c r="J46" s="3813"/>
      <c r="K46" s="3843"/>
    </row>
    <row r="47" spans="1:15" ht="15" customHeight="1">
      <c r="A47" s="114" t="s">
        <v>532</v>
      </c>
      <c r="B47" s="142"/>
      <c r="C47" s="142"/>
      <c r="E47" s="3843"/>
      <c r="F47" s="3842" t="s">
        <v>533</v>
      </c>
      <c r="G47" s="3815"/>
    </row>
    <row r="48" spans="1:15" ht="15" customHeight="1">
      <c r="A48" s="3808" t="s">
        <v>500</v>
      </c>
      <c r="B48" s="3808" t="s">
        <v>501</v>
      </c>
      <c r="C48" s="3808" t="s">
        <v>502</v>
      </c>
      <c r="E48" s="3812"/>
      <c r="F48" s="3816" t="s">
        <v>534</v>
      </c>
      <c r="G48" s="3815"/>
    </row>
    <row r="49" spans="1:7" ht="15" customHeight="1">
      <c r="A49" s="3812" t="s">
        <v>503</v>
      </c>
      <c r="B49" s="3816" t="s">
        <v>535</v>
      </c>
      <c r="C49" s="3815"/>
      <c r="E49" s="3817"/>
      <c r="F49" s="3863" t="s">
        <v>424</v>
      </c>
      <c r="G49" s="3815"/>
    </row>
    <row r="50" spans="1:7" ht="15" customHeight="1">
      <c r="A50" s="3817"/>
      <c r="B50" s="3816" t="s">
        <v>340</v>
      </c>
      <c r="C50" s="3815"/>
      <c r="E50" s="3843"/>
      <c r="F50" s="3866"/>
      <c r="G50" s="3867"/>
    </row>
    <row r="51" spans="1:7" ht="15" customHeight="1">
      <c r="A51" s="3817"/>
      <c r="B51" s="3868" t="s">
        <v>216</v>
      </c>
      <c r="C51" s="3815"/>
      <c r="E51" s="3843"/>
      <c r="F51" s="3836"/>
      <c r="G51" s="3867"/>
    </row>
    <row r="52" spans="1:7" ht="15.75">
      <c r="A52" s="3817"/>
      <c r="B52" s="3869" t="s">
        <v>215</v>
      </c>
      <c r="C52" s="3815"/>
      <c r="E52" s="3843"/>
      <c r="F52" s="3816"/>
      <c r="G52" s="3867"/>
    </row>
    <row r="53" spans="1:7" ht="15.75">
      <c r="B53" s="151"/>
      <c r="F53" s="216"/>
    </row>
    <row r="54" spans="1:7" ht="15">
      <c r="B54" s="151"/>
    </row>
    <row r="55" spans="1:7" ht="15">
      <c r="B55" s="151"/>
    </row>
    <row r="56" spans="1:7" ht="15">
      <c r="B56" s="151"/>
    </row>
    <row r="58" spans="1:7" ht="15.75">
      <c r="A58" s="3812" t="s">
        <v>536</v>
      </c>
      <c r="B58" s="3870"/>
    </row>
    <row r="59" spans="1:7" ht="20.25" customHeight="1">
      <c r="A59" s="3812" t="s">
        <v>514</v>
      </c>
      <c r="B59" s="3871" t="s">
        <v>537</v>
      </c>
    </row>
    <row r="60" spans="1:7" ht="15.75">
      <c r="A60" s="3843"/>
      <c r="B60" s="3872" t="s">
        <v>248</v>
      </c>
    </row>
    <row r="61" spans="1:7" ht="15.75">
      <c r="A61" s="3843"/>
      <c r="B61" s="3872" t="s">
        <v>249</v>
      </c>
    </row>
    <row r="62" spans="1:7" ht="15.75">
      <c r="A62" s="3843"/>
      <c r="B62" s="3872" t="s">
        <v>251</v>
      </c>
    </row>
    <row r="63" spans="1:7" ht="15.75">
      <c r="A63" s="3843"/>
      <c r="B63" s="3872" t="s">
        <v>259</v>
      </c>
    </row>
    <row r="64" spans="1:7" ht="15.75">
      <c r="A64" s="3843"/>
      <c r="B64" s="3872" t="s">
        <v>253</v>
      </c>
    </row>
    <row r="65" spans="1:2" ht="15.75">
      <c r="A65" s="3843"/>
      <c r="B65" s="3872" t="s">
        <v>257</v>
      </c>
    </row>
    <row r="66" spans="1:2" ht="15.75">
      <c r="A66" s="3843"/>
      <c r="B66" s="3872" t="s">
        <v>261</v>
      </c>
    </row>
    <row r="67" spans="1:2" ht="15.75">
      <c r="A67" s="3843"/>
      <c r="B67" s="3830" t="s">
        <v>538</v>
      </c>
    </row>
    <row r="68" spans="1:2" ht="15.75">
      <c r="A68" s="3843"/>
      <c r="B68" s="3829" t="s">
        <v>539</v>
      </c>
    </row>
    <row r="69" spans="1:2" ht="16.5" thickBot="1">
      <c r="A69" s="3843"/>
      <c r="B69" s="3873"/>
    </row>
    <row r="70" spans="1:2" ht="15.75">
      <c r="A70" s="3843"/>
      <c r="B70" s="3872" t="s">
        <v>540</v>
      </c>
    </row>
    <row r="71" spans="1:2" ht="15.75">
      <c r="A71" s="3843"/>
      <c r="B71" s="3872"/>
    </row>
    <row r="72" spans="1:2" ht="15.75">
      <c r="A72" s="3843"/>
      <c r="B72" s="3869"/>
    </row>
    <row r="73" spans="1:2" ht="15.75">
      <c r="A73" s="3843"/>
      <c r="B73" s="3874"/>
    </row>
    <row r="74" spans="1:2" ht="15.75">
      <c r="A74" s="114" t="s">
        <v>191</v>
      </c>
      <c r="B74" s="114"/>
    </row>
    <row r="75" spans="1:2" ht="15.75">
      <c r="A75" s="3817"/>
      <c r="B75" s="3872" t="s">
        <v>541</v>
      </c>
    </row>
    <row r="76" spans="1:2" ht="15.75">
      <c r="A76" s="3817"/>
      <c r="B76" s="3872" t="s">
        <v>542</v>
      </c>
    </row>
    <row r="77" spans="1:2" ht="15.75">
      <c r="A77" s="3817"/>
      <c r="B77" s="3872" t="s">
        <v>543</v>
      </c>
    </row>
    <row r="78" spans="1:2" ht="15.75">
      <c r="A78" s="3817"/>
      <c r="B78" s="3872" t="s">
        <v>544</v>
      </c>
    </row>
    <row r="79" spans="1:2" ht="15.75">
      <c r="A79" s="3817"/>
      <c r="B79" s="3818" t="s">
        <v>545</v>
      </c>
    </row>
    <row r="80" spans="1:2" ht="15.75">
      <c r="A80" s="3843"/>
      <c r="B80" s="3818" t="s">
        <v>546</v>
      </c>
    </row>
  </sheetData>
  <protectedRanges>
    <protectedRange sqref="O19:O20 F33:F3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2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72" name="Område1_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phoneticPr fontId="8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topLeftCell="C25" zoomScale="67" zoomScaleNormal="67" workbookViewId="0">
      <selection activeCell="T42" sqref="T42"/>
    </sheetView>
  </sheetViews>
  <sheetFormatPr defaultRowHeight="12"/>
  <cols>
    <col min="1" max="1" width="23.85546875" customWidth="1"/>
    <col min="2" max="2" width="13" customWidth="1"/>
    <col min="3" max="3" width="10.5703125" customWidth="1"/>
    <col min="4" max="4" width="12.7109375" customWidth="1"/>
    <col min="5" max="5" width="11.85546875" customWidth="1"/>
    <col min="6" max="8" width="10.5703125" customWidth="1"/>
    <col min="9" max="9" width="13" customWidth="1"/>
    <col min="10" max="10" width="25" customWidth="1"/>
  </cols>
  <sheetData>
    <row r="1" spans="1:10" ht="20.100000000000001" customHeight="1">
      <c r="A1" s="1" t="s">
        <v>547</v>
      </c>
      <c r="B1" s="1"/>
      <c r="D1" s="2"/>
      <c r="E1" s="2"/>
    </row>
    <row r="2" spans="1:10" ht="20.100000000000001" customHeight="1">
      <c r="A2" s="402" t="s">
        <v>548</v>
      </c>
      <c r="B2" s="403" t="s">
        <v>94</v>
      </c>
      <c r="C2" s="398" t="s">
        <v>95</v>
      </c>
      <c r="D2" s="398" t="s">
        <v>96</v>
      </c>
      <c r="E2" s="398" t="s">
        <v>97</v>
      </c>
      <c r="F2" s="398" t="s">
        <v>98</v>
      </c>
      <c r="G2" s="398" t="s">
        <v>99</v>
      </c>
      <c r="H2" s="371" t="s">
        <v>100</v>
      </c>
      <c r="I2" s="368" t="s">
        <v>147</v>
      </c>
      <c r="J2" s="404" t="s">
        <v>101</v>
      </c>
    </row>
    <row r="3" spans="1:10" ht="20.100000000000001" customHeight="1">
      <c r="A3" s="3"/>
      <c r="B3" s="4" t="s">
        <v>271</v>
      </c>
      <c r="C3" s="4" t="s">
        <v>271</v>
      </c>
      <c r="D3" s="4" t="s">
        <v>271</v>
      </c>
      <c r="E3" s="4" t="s">
        <v>271</v>
      </c>
      <c r="F3" s="5" t="s">
        <v>272</v>
      </c>
      <c r="G3" s="6"/>
      <c r="H3" s="7"/>
      <c r="I3" s="8"/>
      <c r="J3" s="9"/>
    </row>
    <row r="4" spans="1:10" ht="20.100000000000001" customHeight="1">
      <c r="A4" s="454" t="s">
        <v>549</v>
      </c>
      <c r="B4" s="457">
        <v>7.75</v>
      </c>
      <c r="C4" s="457">
        <v>7.75</v>
      </c>
      <c r="D4" s="457">
        <v>7.75</v>
      </c>
      <c r="E4" s="457">
        <v>7.75</v>
      </c>
      <c r="F4" s="458">
        <v>6</v>
      </c>
      <c r="G4" s="459"/>
      <c r="H4" s="460"/>
      <c r="I4" s="461">
        <f>SUM(B4:H4)</f>
        <v>37</v>
      </c>
      <c r="J4" s="462"/>
    </row>
    <row r="5" spans="1:10" ht="20.100000000000001" customHeight="1"/>
    <row r="6" spans="1:10" ht="20.100000000000001" customHeight="1">
      <c r="A6" s="1" t="s">
        <v>19</v>
      </c>
      <c r="B6" s="1"/>
      <c r="D6" s="2"/>
      <c r="E6" s="2"/>
    </row>
    <row r="7" spans="1:10" ht="18" customHeight="1">
      <c r="A7" s="248" t="s">
        <v>550</v>
      </c>
      <c r="B7" s="319" t="s">
        <v>94</v>
      </c>
      <c r="C7" s="320" t="s">
        <v>95</v>
      </c>
      <c r="D7" s="320" t="s">
        <v>96</v>
      </c>
      <c r="E7" s="320" t="s">
        <v>97</v>
      </c>
      <c r="F7" s="320" t="s">
        <v>98</v>
      </c>
      <c r="G7" s="320" t="s">
        <v>99</v>
      </c>
      <c r="H7" s="251" t="s">
        <v>100</v>
      </c>
      <c r="I7" s="252" t="s">
        <v>147</v>
      </c>
      <c r="J7" s="321" t="s">
        <v>101</v>
      </c>
    </row>
    <row r="8" spans="1:10" ht="18" customHeight="1">
      <c r="A8" s="405"/>
      <c r="B8" s="406" t="s">
        <v>551</v>
      </c>
      <c r="C8" s="406" t="s">
        <v>552</v>
      </c>
      <c r="D8" s="407" t="s">
        <v>553</v>
      </c>
      <c r="E8" s="407" t="s">
        <v>553</v>
      </c>
      <c r="F8" s="407" t="s">
        <v>553</v>
      </c>
      <c r="G8" s="407" t="s">
        <v>554</v>
      </c>
      <c r="H8" s="407" t="s">
        <v>554</v>
      </c>
      <c r="I8" s="368"/>
      <c r="J8" s="408"/>
    </row>
    <row r="9" spans="1:10" ht="18" customHeight="1">
      <c r="A9" s="3875" t="s">
        <v>555</v>
      </c>
      <c r="B9" s="3876">
        <v>7.4</v>
      </c>
      <c r="C9" s="457">
        <v>8</v>
      </c>
      <c r="D9" s="458">
        <v>8</v>
      </c>
      <c r="E9" s="458">
        <v>8</v>
      </c>
      <c r="F9" s="458">
        <v>8</v>
      </c>
      <c r="G9" s="458">
        <v>12</v>
      </c>
      <c r="H9" s="463">
        <v>12</v>
      </c>
      <c r="I9" s="464">
        <f>SUM(B9:H9)</f>
        <v>63.4</v>
      </c>
      <c r="J9" s="465"/>
    </row>
    <row r="10" spans="1:10" ht="18" customHeight="1">
      <c r="A10" s="10"/>
      <c r="B10" s="4" t="s">
        <v>553</v>
      </c>
      <c r="C10" s="4" t="s">
        <v>553</v>
      </c>
      <c r="D10" s="406" t="s">
        <v>551</v>
      </c>
      <c r="E10" s="406" t="s">
        <v>551</v>
      </c>
      <c r="F10" s="406" t="s">
        <v>551</v>
      </c>
      <c r="G10" s="5"/>
      <c r="H10" s="11"/>
      <c r="I10" s="8"/>
      <c r="J10" s="12"/>
    </row>
    <row r="11" spans="1:10" ht="18" customHeight="1">
      <c r="A11" s="454" t="s">
        <v>556</v>
      </c>
      <c r="B11" s="457">
        <v>8</v>
      </c>
      <c r="C11" s="458">
        <v>8</v>
      </c>
      <c r="D11" s="3876">
        <v>7.4</v>
      </c>
      <c r="E11" s="3876">
        <v>7.4</v>
      </c>
      <c r="F11" s="3876">
        <v>7.4</v>
      </c>
      <c r="G11" s="458"/>
      <c r="H11" s="463"/>
      <c r="I11" s="464">
        <f>SUM(B11:H11)</f>
        <v>38.199999999999996</v>
      </c>
      <c r="J11" s="465"/>
    </row>
    <row r="12" spans="1:10" ht="18" customHeight="1">
      <c r="A12" s="409"/>
      <c r="B12" s="406" t="s">
        <v>557</v>
      </c>
      <c r="C12" s="406" t="s">
        <v>557</v>
      </c>
      <c r="D12" s="406" t="s">
        <v>557</v>
      </c>
      <c r="E12" s="406" t="s">
        <v>557</v>
      </c>
      <c r="F12" s="406" t="s">
        <v>557</v>
      </c>
      <c r="G12" s="407"/>
      <c r="H12" s="410"/>
      <c r="I12" s="368"/>
      <c r="J12" s="408"/>
    </row>
    <row r="13" spans="1:10" ht="18" customHeight="1">
      <c r="A13" s="454" t="s">
        <v>558</v>
      </c>
      <c r="B13" s="457">
        <v>8</v>
      </c>
      <c r="C13" s="458">
        <v>8</v>
      </c>
      <c r="D13" s="458">
        <v>8</v>
      </c>
      <c r="E13" s="458">
        <v>8</v>
      </c>
      <c r="F13" s="458">
        <v>8</v>
      </c>
      <c r="G13" s="458"/>
      <c r="H13" s="463"/>
      <c r="I13" s="464">
        <f>SUM(B13:H13)</f>
        <v>40</v>
      </c>
      <c r="J13" s="465"/>
    </row>
    <row r="14" spans="1:10" ht="18" customHeight="1">
      <c r="A14" s="409"/>
      <c r="B14" s="406" t="s">
        <v>559</v>
      </c>
      <c r="C14" s="406" t="s">
        <v>559</v>
      </c>
      <c r="D14" s="406" t="s">
        <v>559</v>
      </c>
      <c r="E14" s="406" t="s">
        <v>559</v>
      </c>
      <c r="F14" s="411" t="s">
        <v>559</v>
      </c>
      <c r="G14" s="412" t="s">
        <v>560</v>
      </c>
      <c r="H14" s="400" t="s">
        <v>560</v>
      </c>
      <c r="I14" s="368"/>
      <c r="J14" s="399"/>
    </row>
    <row r="15" spans="1:10" ht="18" customHeight="1">
      <c r="A15" s="2603" t="s">
        <v>503</v>
      </c>
      <c r="B15" s="3876">
        <v>8</v>
      </c>
      <c r="C15" s="3876">
        <v>8</v>
      </c>
      <c r="D15" s="3876">
        <v>8</v>
      </c>
      <c r="E15" s="3876">
        <v>8</v>
      </c>
      <c r="F15" s="3876">
        <v>8</v>
      </c>
      <c r="G15" s="3876">
        <v>12</v>
      </c>
      <c r="H15" s="3877">
        <v>12</v>
      </c>
      <c r="I15" s="464">
        <f>SUM(B15:H15)</f>
        <v>64</v>
      </c>
      <c r="J15" s="3834"/>
    </row>
    <row r="16" spans="1:10" ht="18" customHeight="1">
      <c r="A16" s="409"/>
      <c r="B16" s="406" t="s">
        <v>551</v>
      </c>
      <c r="C16" s="406" t="s">
        <v>551</v>
      </c>
      <c r="D16" s="406" t="s">
        <v>551</v>
      </c>
      <c r="E16" s="406" t="s">
        <v>551</v>
      </c>
      <c r="F16" s="406" t="s">
        <v>551</v>
      </c>
      <c r="G16" s="413"/>
      <c r="H16" s="357"/>
      <c r="I16" s="368"/>
      <c r="J16" s="399"/>
    </row>
    <row r="17" spans="1:14" ht="18" customHeight="1">
      <c r="A17" s="2603" t="s">
        <v>561</v>
      </c>
      <c r="B17" s="3876">
        <v>7.4</v>
      </c>
      <c r="C17" s="3876">
        <v>7.4</v>
      </c>
      <c r="D17" s="3876">
        <v>7.4</v>
      </c>
      <c r="E17" s="3876">
        <v>7.4</v>
      </c>
      <c r="F17" s="3876">
        <v>7.4</v>
      </c>
      <c r="G17" s="3878"/>
      <c r="H17" s="3879"/>
      <c r="I17" s="464">
        <f>SUM(B17:H17)</f>
        <v>37</v>
      </c>
      <c r="J17" s="3834"/>
    </row>
    <row r="18" spans="1:14" ht="18" customHeight="1">
      <c r="A18" s="10"/>
      <c r="B18" s="4" t="s">
        <v>559</v>
      </c>
      <c r="C18" s="4" t="s">
        <v>559</v>
      </c>
      <c r="D18" s="4" t="s">
        <v>559</v>
      </c>
      <c r="E18" s="4" t="s">
        <v>559</v>
      </c>
      <c r="F18" s="4" t="s">
        <v>559</v>
      </c>
      <c r="G18" s="13"/>
      <c r="H18" s="14"/>
      <c r="I18" s="406" t="s">
        <v>0</v>
      </c>
      <c r="J18" s="15"/>
    </row>
    <row r="19" spans="1:14" ht="18" customHeight="1">
      <c r="A19" s="2603" t="s">
        <v>562</v>
      </c>
      <c r="B19" s="3876">
        <v>8</v>
      </c>
      <c r="C19" s="3876">
        <v>8</v>
      </c>
      <c r="D19" s="3876">
        <v>8</v>
      </c>
      <c r="E19" s="3876">
        <v>8</v>
      </c>
      <c r="F19" s="3876">
        <v>8</v>
      </c>
      <c r="G19" s="3878"/>
      <c r="H19" s="2623"/>
      <c r="I19" s="464">
        <f>SUM(B19:H19)</f>
        <v>40</v>
      </c>
      <c r="J19" s="3834"/>
    </row>
    <row r="20" spans="1:14" ht="18" customHeight="1">
      <c r="A20" s="253" t="s">
        <v>563</v>
      </c>
      <c r="B20" s="253">
        <f t="shared" ref="B20:I20" si="0">SUM(B9,B11,B13,B15,B17,B19)</f>
        <v>46.8</v>
      </c>
      <c r="C20" s="253">
        <f t="shared" si="0"/>
        <v>47.4</v>
      </c>
      <c r="D20" s="253">
        <f t="shared" si="0"/>
        <v>46.8</v>
      </c>
      <c r="E20" s="253">
        <f t="shared" si="0"/>
        <v>46.8</v>
      </c>
      <c r="F20" s="253">
        <f t="shared" si="0"/>
        <v>46.8</v>
      </c>
      <c r="G20" s="253">
        <f t="shared" si="0"/>
        <v>24</v>
      </c>
      <c r="H20" s="253">
        <f t="shared" si="0"/>
        <v>24</v>
      </c>
      <c r="I20" s="253">
        <f t="shared" si="0"/>
        <v>282.60000000000002</v>
      </c>
      <c r="J20" s="254"/>
    </row>
    <row r="21" spans="1:14" ht="18" customHeight="1">
      <c r="D21" s="2"/>
      <c r="E21" s="2"/>
    </row>
    <row r="22" spans="1:14" ht="18" customHeight="1">
      <c r="A22" s="16" t="s">
        <v>564</v>
      </c>
      <c r="D22" s="2"/>
      <c r="E22" s="2"/>
    </row>
    <row r="23" spans="1:14" ht="18" customHeight="1">
      <c r="A23" s="255" t="s">
        <v>565</v>
      </c>
      <c r="B23" s="256" t="s">
        <v>94</v>
      </c>
      <c r="C23" s="257" t="s">
        <v>95</v>
      </c>
      <c r="D23" s="257" t="s">
        <v>96</v>
      </c>
      <c r="E23" s="257" t="s">
        <v>97</v>
      </c>
      <c r="F23" s="257" t="s">
        <v>98</v>
      </c>
      <c r="G23" s="257" t="s">
        <v>99</v>
      </c>
      <c r="H23" s="258" t="s">
        <v>100</v>
      </c>
      <c r="I23" s="259" t="s">
        <v>147</v>
      </c>
      <c r="J23" s="260" t="s">
        <v>101</v>
      </c>
    </row>
    <row r="24" spans="1:14" ht="18" customHeight="1">
      <c r="A24" s="409"/>
      <c r="B24" s="406" t="s">
        <v>566</v>
      </c>
      <c r="C24" s="406" t="s">
        <v>566</v>
      </c>
      <c r="D24" s="406" t="s">
        <v>566</v>
      </c>
      <c r="E24" s="406" t="s">
        <v>566</v>
      </c>
      <c r="F24" s="407" t="s">
        <v>567</v>
      </c>
      <c r="G24" s="407"/>
      <c r="H24" s="410"/>
      <c r="I24" s="368"/>
      <c r="J24" s="414"/>
    </row>
    <row r="25" spans="1:14" ht="18" customHeight="1">
      <c r="A25" s="454" t="s">
        <v>568</v>
      </c>
      <c r="B25" s="457">
        <v>7.75</v>
      </c>
      <c r="C25" s="457">
        <v>7.75</v>
      </c>
      <c r="D25" s="457">
        <v>7.75</v>
      </c>
      <c r="E25" s="457">
        <v>7.75</v>
      </c>
      <c r="F25" s="458">
        <v>6</v>
      </c>
      <c r="G25" s="458"/>
      <c r="H25" s="463"/>
      <c r="I25" s="464">
        <f>SUM(B25:H25)</f>
        <v>37</v>
      </c>
      <c r="J25" s="466"/>
    </row>
    <row r="26" spans="1:14" ht="18" customHeight="1">
      <c r="A26" s="409"/>
      <c r="B26" s="406" t="s">
        <v>566</v>
      </c>
      <c r="C26" s="406" t="s">
        <v>566</v>
      </c>
      <c r="D26" s="406" t="s">
        <v>566</v>
      </c>
      <c r="E26" s="406" t="s">
        <v>566</v>
      </c>
      <c r="F26" s="407" t="s">
        <v>567</v>
      </c>
      <c r="G26" s="407"/>
      <c r="H26" s="410"/>
      <c r="I26" s="368"/>
      <c r="J26" s="414"/>
    </row>
    <row r="27" spans="1:14" ht="18" customHeight="1">
      <c r="A27" s="454" t="s">
        <v>569</v>
      </c>
      <c r="B27" s="457">
        <v>7.75</v>
      </c>
      <c r="C27" s="457">
        <v>7.75</v>
      </c>
      <c r="D27" s="457">
        <v>7.75</v>
      </c>
      <c r="E27" s="457">
        <v>7.75</v>
      </c>
      <c r="F27" s="458">
        <v>6</v>
      </c>
      <c r="G27" s="458"/>
      <c r="H27" s="463"/>
      <c r="I27" s="464">
        <f>SUM(B27:H27)</f>
        <v>37</v>
      </c>
      <c r="J27" s="466"/>
      <c r="L27" s="17"/>
      <c r="M27" s="17"/>
      <c r="N27" s="17"/>
    </row>
    <row r="28" spans="1:14" ht="18" customHeight="1">
      <c r="A28" s="409"/>
      <c r="B28" s="406" t="s">
        <v>566</v>
      </c>
      <c r="C28" s="406" t="s">
        <v>566</v>
      </c>
      <c r="D28" s="406" t="s">
        <v>566</v>
      </c>
      <c r="E28" s="406" t="s">
        <v>566</v>
      </c>
      <c r="F28" s="407" t="s">
        <v>567</v>
      </c>
      <c r="G28" s="407"/>
      <c r="H28" s="410"/>
      <c r="I28" s="368"/>
      <c r="J28" s="414"/>
    </row>
    <row r="29" spans="1:14" ht="18" customHeight="1">
      <c r="A29" s="454" t="s">
        <v>512</v>
      </c>
      <c r="B29" s="457">
        <v>7.75</v>
      </c>
      <c r="C29" s="457">
        <v>7.75</v>
      </c>
      <c r="D29" s="457">
        <v>7.75</v>
      </c>
      <c r="E29" s="457">
        <v>7.75</v>
      </c>
      <c r="F29" s="458">
        <v>6</v>
      </c>
      <c r="G29" s="458"/>
      <c r="H29" s="463"/>
      <c r="I29" s="464">
        <f>SUM(B29:H29)</f>
        <v>37</v>
      </c>
      <c r="J29" s="466"/>
    </row>
    <row r="30" spans="1:14" ht="18" customHeight="1">
      <c r="A30" s="253" t="s">
        <v>563</v>
      </c>
      <c r="B30" s="253">
        <f t="shared" ref="B30:I30" si="1">SUM(B25,B27,B29)</f>
        <v>23.25</v>
      </c>
      <c r="C30" s="253">
        <f t="shared" si="1"/>
        <v>23.25</v>
      </c>
      <c r="D30" s="253">
        <f t="shared" si="1"/>
        <v>23.25</v>
      </c>
      <c r="E30" s="253">
        <f t="shared" si="1"/>
        <v>23.25</v>
      </c>
      <c r="F30" s="253">
        <f t="shared" si="1"/>
        <v>18</v>
      </c>
      <c r="G30" s="253">
        <f t="shared" si="1"/>
        <v>0</v>
      </c>
      <c r="H30" s="253">
        <f t="shared" si="1"/>
        <v>0</v>
      </c>
      <c r="I30" s="261">
        <f t="shared" si="1"/>
        <v>111</v>
      </c>
      <c r="J30" s="262"/>
    </row>
    <row r="31" spans="1:14" ht="18" customHeight="1">
      <c r="A31" s="18"/>
      <c r="B31" s="18"/>
      <c r="C31" s="18"/>
      <c r="D31" s="18"/>
      <c r="E31" s="18"/>
      <c r="F31" s="18"/>
      <c r="G31" s="18"/>
      <c r="H31" s="18"/>
      <c r="I31" s="18"/>
      <c r="J31" s="19"/>
    </row>
    <row r="32" spans="1:14" ht="18" customHeight="1">
      <c r="A32" s="18"/>
      <c r="B32" s="18"/>
      <c r="C32" s="18"/>
      <c r="D32" s="18"/>
      <c r="E32" s="18"/>
      <c r="F32" s="18"/>
      <c r="G32" s="18"/>
      <c r="H32" s="18"/>
      <c r="I32" s="18"/>
      <c r="J32" s="19"/>
    </row>
    <row r="33" spans="1:14" ht="18" customHeight="1">
      <c r="A33" s="1" t="s">
        <v>570</v>
      </c>
      <c r="B33" s="18"/>
      <c r="C33" s="18"/>
      <c r="D33" s="18"/>
      <c r="E33" s="18"/>
      <c r="F33" s="18"/>
    </row>
    <row r="34" spans="1:14" ht="18" customHeight="1">
      <c r="A34" s="402" t="s">
        <v>571</v>
      </c>
      <c r="B34" s="403" t="s">
        <v>94</v>
      </c>
      <c r="C34" s="398" t="s">
        <v>95</v>
      </c>
      <c r="D34" s="398" t="s">
        <v>96</v>
      </c>
      <c r="E34" s="398" t="s">
        <v>97</v>
      </c>
      <c r="F34" s="398" t="s">
        <v>98</v>
      </c>
      <c r="G34" s="398" t="s">
        <v>99</v>
      </c>
      <c r="H34" s="371" t="s">
        <v>100</v>
      </c>
      <c r="I34" s="368" t="s">
        <v>147</v>
      </c>
      <c r="J34" s="404" t="s">
        <v>101</v>
      </c>
    </row>
    <row r="35" spans="1:14" ht="18" customHeight="1">
      <c r="A35" s="20" t="s">
        <v>572</v>
      </c>
      <c r="B35" s="21" t="s">
        <v>573</v>
      </c>
      <c r="C35" s="21" t="s">
        <v>573</v>
      </c>
      <c r="D35" s="415" t="s">
        <v>553</v>
      </c>
      <c r="E35" s="415" t="s">
        <v>553</v>
      </c>
      <c r="F35" s="415" t="s">
        <v>553</v>
      </c>
      <c r="G35" s="416" t="s">
        <v>554</v>
      </c>
      <c r="H35" s="417" t="s">
        <v>553</v>
      </c>
      <c r="I35" s="8"/>
      <c r="J35" s="12"/>
      <c r="L35" s="22" t="s">
        <v>574</v>
      </c>
      <c r="M35" s="22"/>
    </row>
    <row r="36" spans="1:14" ht="18" customHeight="1">
      <c r="A36" s="3880" t="s">
        <v>575</v>
      </c>
      <c r="B36" s="756">
        <v>7.75</v>
      </c>
      <c r="C36" s="756">
        <v>7.75</v>
      </c>
      <c r="D36" s="3881">
        <v>8</v>
      </c>
      <c r="E36" s="3881">
        <v>8</v>
      </c>
      <c r="F36" s="3881">
        <v>8</v>
      </c>
      <c r="G36" s="467">
        <v>12</v>
      </c>
      <c r="H36" s="468">
        <v>8</v>
      </c>
      <c r="I36" s="464">
        <f>SUM(B36:H36)</f>
        <v>59.5</v>
      </c>
      <c r="J36" s="757"/>
      <c r="L36" s="23" t="s">
        <v>576</v>
      </c>
      <c r="M36" s="23"/>
    </row>
    <row r="37" spans="1:14" ht="18" customHeight="1">
      <c r="A37" s="418"/>
      <c r="B37" s="406" t="s">
        <v>552</v>
      </c>
      <c r="C37" s="407" t="s">
        <v>567</v>
      </c>
      <c r="D37" s="419" t="s">
        <v>577</v>
      </c>
      <c r="E37" s="419" t="s">
        <v>577</v>
      </c>
      <c r="F37" s="419" t="s">
        <v>577</v>
      </c>
      <c r="G37" s="419" t="s">
        <v>578</v>
      </c>
      <c r="H37" s="420" t="s">
        <v>577</v>
      </c>
      <c r="I37" s="368"/>
      <c r="J37" s="408"/>
      <c r="L37" s="24" t="s">
        <v>579</v>
      </c>
      <c r="M37" s="24"/>
    </row>
    <row r="38" spans="1:14" ht="18" customHeight="1">
      <c r="A38" s="3880" t="s">
        <v>580</v>
      </c>
      <c r="B38" s="457">
        <v>8</v>
      </c>
      <c r="C38" s="458">
        <v>6</v>
      </c>
      <c r="D38" s="469">
        <v>7</v>
      </c>
      <c r="E38" s="469">
        <v>7</v>
      </c>
      <c r="F38" s="469">
        <v>7</v>
      </c>
      <c r="G38" s="469">
        <v>11</v>
      </c>
      <c r="H38" s="470">
        <v>7</v>
      </c>
      <c r="I38" s="464">
        <f>SUM(B38:H38)</f>
        <v>53</v>
      </c>
      <c r="J38" s="465"/>
    </row>
    <row r="39" spans="1:14" ht="18" customHeight="1">
      <c r="A39" s="418"/>
      <c r="B39" s="406" t="s">
        <v>551</v>
      </c>
      <c r="C39" s="406" t="s">
        <v>551</v>
      </c>
      <c r="D39" s="419" t="s">
        <v>577</v>
      </c>
      <c r="E39" s="419" t="s">
        <v>577</v>
      </c>
      <c r="F39" s="419" t="s">
        <v>577</v>
      </c>
      <c r="G39" s="419" t="s">
        <v>578</v>
      </c>
      <c r="H39" s="420" t="s">
        <v>577</v>
      </c>
      <c r="I39" s="368"/>
      <c r="J39" s="408"/>
      <c r="L39" s="25" t="s">
        <v>581</v>
      </c>
      <c r="M39" s="25" t="s">
        <v>582</v>
      </c>
    </row>
    <row r="40" spans="1:14" ht="18" customHeight="1">
      <c r="A40" s="3880" t="s">
        <v>583</v>
      </c>
      <c r="B40" s="3876">
        <v>7.4</v>
      </c>
      <c r="C40" s="3876">
        <v>7.4</v>
      </c>
      <c r="D40" s="469">
        <v>7</v>
      </c>
      <c r="E40" s="469">
        <v>7</v>
      </c>
      <c r="F40" s="469">
        <v>7</v>
      </c>
      <c r="G40" s="469">
        <v>11</v>
      </c>
      <c r="H40" s="470">
        <v>7</v>
      </c>
      <c r="I40" s="464">
        <f>SUM(B40:H40)</f>
        <v>53.8</v>
      </c>
      <c r="J40" s="465"/>
    </row>
    <row r="41" spans="1:14" ht="18" customHeight="1">
      <c r="A41" s="421" t="s">
        <v>584</v>
      </c>
      <c r="B41" s="419" t="s">
        <v>577</v>
      </c>
      <c r="C41" s="419" t="s">
        <v>577</v>
      </c>
      <c r="D41" s="406" t="s">
        <v>551</v>
      </c>
      <c r="E41" s="406" t="s">
        <v>551</v>
      </c>
      <c r="F41" s="406" t="s">
        <v>551</v>
      </c>
      <c r="G41" s="400"/>
      <c r="H41" s="357"/>
      <c r="I41" s="368"/>
      <c r="J41" s="399"/>
    </row>
    <row r="42" spans="1:14" ht="18" customHeight="1">
      <c r="A42" s="3880" t="s">
        <v>585</v>
      </c>
      <c r="B42" s="469">
        <v>7</v>
      </c>
      <c r="C42" s="469">
        <v>7</v>
      </c>
      <c r="D42" s="3876">
        <v>7.4</v>
      </c>
      <c r="E42" s="3876">
        <v>7.4</v>
      </c>
      <c r="F42" s="3876">
        <v>7.4</v>
      </c>
      <c r="G42" s="3878"/>
      <c r="H42" s="3879"/>
      <c r="I42" s="464">
        <f>SUM(B42:H42)</f>
        <v>36.199999999999996</v>
      </c>
      <c r="J42" s="3834"/>
    </row>
    <row r="43" spans="1:14" ht="18" customHeight="1">
      <c r="A43" s="418"/>
      <c r="B43" s="415" t="s">
        <v>553</v>
      </c>
      <c r="C43" s="415" t="s">
        <v>553</v>
      </c>
      <c r="D43" s="406" t="s">
        <v>551</v>
      </c>
      <c r="E43" s="406" t="s">
        <v>551</v>
      </c>
      <c r="F43" s="406" t="s">
        <v>551</v>
      </c>
      <c r="G43" s="413"/>
      <c r="H43" s="357"/>
      <c r="I43" s="368"/>
      <c r="J43" s="399"/>
    </row>
    <row r="44" spans="1:14" ht="18" customHeight="1">
      <c r="A44" s="471" t="s">
        <v>586</v>
      </c>
      <c r="B44" s="3881">
        <v>8</v>
      </c>
      <c r="C44" s="3881">
        <v>8</v>
      </c>
      <c r="D44" s="3876">
        <v>7.4</v>
      </c>
      <c r="E44" s="3876">
        <v>7.4</v>
      </c>
      <c r="F44" s="3876">
        <v>7.4</v>
      </c>
      <c r="G44" s="3878"/>
      <c r="H44" s="3879"/>
      <c r="I44" s="464">
        <f>SUM(B44:H44)</f>
        <v>38.199999999999996</v>
      </c>
      <c r="J44" s="3834"/>
      <c r="L44" s="26" t="s">
        <v>587</v>
      </c>
      <c r="M44" s="26"/>
      <c r="N44" s="26"/>
    </row>
    <row r="45" spans="1:14" ht="18" customHeight="1">
      <c r="A45" s="27"/>
      <c r="B45" s="419" t="s">
        <v>577</v>
      </c>
      <c r="C45" s="419" t="s">
        <v>577</v>
      </c>
      <c r="D45" s="406" t="s">
        <v>551</v>
      </c>
      <c r="E45" s="406" t="s">
        <v>551</v>
      </c>
      <c r="F45" s="406" t="s">
        <v>551</v>
      </c>
      <c r="G45" s="13"/>
      <c r="H45" s="14"/>
      <c r="I45" s="8"/>
      <c r="J45" s="15"/>
      <c r="L45" s="28" t="s">
        <v>588</v>
      </c>
      <c r="M45" s="28"/>
      <c r="N45" s="28"/>
    </row>
    <row r="46" spans="1:14" ht="18" customHeight="1">
      <c r="A46" s="471" t="s">
        <v>589</v>
      </c>
      <c r="B46" s="469">
        <v>7</v>
      </c>
      <c r="C46" s="469">
        <v>7</v>
      </c>
      <c r="D46" s="3876">
        <v>7.4</v>
      </c>
      <c r="E46" s="3876">
        <v>7.4</v>
      </c>
      <c r="F46" s="3876">
        <v>7.4</v>
      </c>
      <c r="G46" s="3878"/>
      <c r="H46" s="2623"/>
      <c r="I46" s="464">
        <f>SUM(B46:H46)</f>
        <v>36.199999999999996</v>
      </c>
      <c r="J46" s="3834"/>
      <c r="L46" s="29" t="s">
        <v>590</v>
      </c>
      <c r="M46" s="29"/>
      <c r="N46" s="29"/>
    </row>
    <row r="47" spans="1:14" ht="18" customHeight="1">
      <c r="A47" s="421" t="s">
        <v>591</v>
      </c>
      <c r="B47" s="422" t="s">
        <v>552</v>
      </c>
      <c r="C47" s="422" t="s">
        <v>552</v>
      </c>
      <c r="D47" s="422" t="s">
        <v>552</v>
      </c>
      <c r="E47" s="422" t="s">
        <v>552</v>
      </c>
      <c r="F47" s="422" t="s">
        <v>567</v>
      </c>
      <c r="G47" s="407"/>
      <c r="H47" s="410"/>
      <c r="I47" s="368"/>
      <c r="J47" s="408"/>
      <c r="L47" s="30" t="s">
        <v>592</v>
      </c>
      <c r="M47" s="30"/>
      <c r="N47" s="30"/>
    </row>
    <row r="48" spans="1:14" ht="18" customHeight="1">
      <c r="A48" s="471" t="s">
        <v>593</v>
      </c>
      <c r="B48" s="472">
        <v>8</v>
      </c>
      <c r="C48" s="472">
        <v>8</v>
      </c>
      <c r="D48" s="472">
        <v>8</v>
      </c>
      <c r="E48" s="472">
        <v>8</v>
      </c>
      <c r="F48" s="472">
        <v>6</v>
      </c>
      <c r="G48" s="458"/>
      <c r="H48" s="463"/>
      <c r="I48" s="464">
        <f>SUM(B48:H48)</f>
        <v>38</v>
      </c>
      <c r="J48" s="465"/>
    </row>
    <row r="49" spans="1:10" ht="18" customHeight="1">
      <c r="A49" s="418"/>
      <c r="B49" s="423" t="s">
        <v>552</v>
      </c>
      <c r="C49" s="423" t="s">
        <v>552</v>
      </c>
      <c r="D49" s="423" t="s">
        <v>552</v>
      </c>
      <c r="E49" s="423" t="s">
        <v>552</v>
      </c>
      <c r="F49" s="423" t="s">
        <v>567</v>
      </c>
      <c r="G49" s="400"/>
      <c r="H49" s="357"/>
      <c r="I49" s="368"/>
      <c r="J49" s="399"/>
    </row>
    <row r="50" spans="1:10" ht="18" customHeight="1">
      <c r="A50" s="3880" t="s">
        <v>594</v>
      </c>
      <c r="B50" s="3882">
        <v>8</v>
      </c>
      <c r="C50" s="3882">
        <v>8</v>
      </c>
      <c r="D50" s="3882">
        <v>8</v>
      </c>
      <c r="E50" s="3882">
        <v>8</v>
      </c>
      <c r="F50" s="3882">
        <v>6</v>
      </c>
      <c r="G50" s="3878"/>
      <c r="H50" s="3879"/>
      <c r="I50" s="464">
        <f>SUM(B50:H50)</f>
        <v>38</v>
      </c>
      <c r="J50" s="3834"/>
    </row>
    <row r="51" spans="1:10" ht="18" customHeight="1">
      <c r="A51" s="418"/>
      <c r="B51" s="423" t="s">
        <v>552</v>
      </c>
      <c r="C51" s="423" t="s">
        <v>552</v>
      </c>
      <c r="D51" s="423" t="s">
        <v>552</v>
      </c>
      <c r="E51" s="423" t="s">
        <v>552</v>
      </c>
      <c r="F51" s="423" t="s">
        <v>567</v>
      </c>
      <c r="G51" s="413"/>
      <c r="H51" s="357"/>
      <c r="I51" s="368"/>
      <c r="J51" s="399"/>
    </row>
    <row r="52" spans="1:10" ht="18" customHeight="1">
      <c r="A52" s="3880" t="s">
        <v>595</v>
      </c>
      <c r="B52" s="3882">
        <v>8</v>
      </c>
      <c r="C52" s="3882">
        <v>8</v>
      </c>
      <c r="D52" s="3882">
        <v>8</v>
      </c>
      <c r="E52" s="3882">
        <v>8</v>
      </c>
      <c r="F52" s="3882">
        <v>6</v>
      </c>
      <c r="G52" s="3878"/>
      <c r="H52" s="3879"/>
      <c r="I52" s="464">
        <f>SUM(B52:H52)</f>
        <v>38</v>
      </c>
      <c r="J52" s="3834"/>
    </row>
    <row r="53" spans="1:10" ht="18" customHeight="1">
      <c r="A53" s="20" t="s">
        <v>596</v>
      </c>
      <c r="B53" s="31" t="s">
        <v>597</v>
      </c>
      <c r="C53" s="31" t="s">
        <v>597</v>
      </c>
      <c r="D53" s="31" t="s">
        <v>597</v>
      </c>
      <c r="E53" s="31" t="s">
        <v>597</v>
      </c>
      <c r="F53" s="31" t="s">
        <v>597</v>
      </c>
      <c r="G53" s="13" t="s">
        <v>560</v>
      </c>
      <c r="H53" s="32" t="s">
        <v>597</v>
      </c>
      <c r="I53" s="8"/>
      <c r="J53" s="15"/>
    </row>
    <row r="54" spans="1:10" ht="18" customHeight="1">
      <c r="A54" s="3880" t="s">
        <v>598</v>
      </c>
      <c r="B54" s="3883">
        <v>7</v>
      </c>
      <c r="C54" s="3883">
        <v>7</v>
      </c>
      <c r="D54" s="3883">
        <v>7</v>
      </c>
      <c r="E54" s="3883">
        <v>7</v>
      </c>
      <c r="F54" s="3883">
        <v>7</v>
      </c>
      <c r="G54" s="3876">
        <v>12</v>
      </c>
      <c r="H54" s="3884">
        <v>7</v>
      </c>
      <c r="I54" s="464">
        <f>SUM(B54:H54)</f>
        <v>54</v>
      </c>
      <c r="J54" s="3834"/>
    </row>
    <row r="55" spans="1:10" ht="18" customHeight="1">
      <c r="A55" s="418"/>
      <c r="B55" s="424" t="s">
        <v>559</v>
      </c>
      <c r="C55" s="424" t="s">
        <v>559</v>
      </c>
      <c r="D55" s="424" t="s">
        <v>559</v>
      </c>
      <c r="E55" s="424" t="s">
        <v>559</v>
      </c>
      <c r="F55" s="424" t="s">
        <v>559</v>
      </c>
      <c r="G55" s="407" t="s">
        <v>599</v>
      </c>
      <c r="H55" s="425" t="s">
        <v>559</v>
      </c>
      <c r="I55" s="368"/>
      <c r="J55" s="408"/>
    </row>
    <row r="56" spans="1:10" ht="18" customHeight="1">
      <c r="A56" s="33" t="s">
        <v>600</v>
      </c>
      <c r="B56" s="473">
        <v>8</v>
      </c>
      <c r="C56" s="473">
        <v>8</v>
      </c>
      <c r="D56" s="473">
        <v>8</v>
      </c>
      <c r="E56" s="473">
        <v>8</v>
      </c>
      <c r="F56" s="473">
        <v>8</v>
      </c>
      <c r="G56" s="458">
        <v>8</v>
      </c>
      <c r="H56" s="474">
        <v>8</v>
      </c>
      <c r="I56" s="464">
        <f>SUM(B56:H56)</f>
        <v>56</v>
      </c>
      <c r="J56" s="465"/>
    </row>
    <row r="57" spans="1:10" ht="18" customHeight="1">
      <c r="A57" s="418"/>
      <c r="B57" s="31" t="s">
        <v>597</v>
      </c>
      <c r="C57" s="31" t="s">
        <v>597</v>
      </c>
      <c r="D57" s="31" t="s">
        <v>597</v>
      </c>
      <c r="E57" s="31" t="s">
        <v>597</v>
      </c>
      <c r="F57" s="31" t="s">
        <v>597</v>
      </c>
      <c r="G57" s="13" t="s">
        <v>560</v>
      </c>
      <c r="H57" s="32" t="s">
        <v>597</v>
      </c>
      <c r="I57" s="368"/>
      <c r="J57" s="399"/>
    </row>
    <row r="58" spans="1:10" ht="18" customHeight="1">
      <c r="A58" s="3880" t="s">
        <v>601</v>
      </c>
      <c r="B58" s="3883">
        <v>7</v>
      </c>
      <c r="C58" s="3883">
        <v>7</v>
      </c>
      <c r="D58" s="3883">
        <v>7</v>
      </c>
      <c r="E58" s="3883">
        <v>7</v>
      </c>
      <c r="F58" s="3883">
        <v>7</v>
      </c>
      <c r="G58" s="3876">
        <v>12</v>
      </c>
      <c r="H58" s="3884">
        <v>7</v>
      </c>
      <c r="I58" s="464">
        <f>SUM(B58:H58)</f>
        <v>54</v>
      </c>
      <c r="J58" s="3834"/>
    </row>
    <row r="59" spans="1:10" ht="18" customHeight="1">
      <c r="A59" s="421" t="s">
        <v>602</v>
      </c>
      <c r="B59" s="406" t="s">
        <v>551</v>
      </c>
      <c r="C59" s="406" t="s">
        <v>551</v>
      </c>
      <c r="D59" s="423" t="s">
        <v>552</v>
      </c>
      <c r="E59" s="423" t="s">
        <v>552</v>
      </c>
      <c r="F59" s="423" t="s">
        <v>567</v>
      </c>
      <c r="G59" s="413"/>
      <c r="H59" s="357"/>
      <c r="I59" s="368"/>
      <c r="J59" s="399"/>
    </row>
    <row r="60" spans="1:10" ht="18" customHeight="1">
      <c r="A60" s="471" t="s">
        <v>603</v>
      </c>
      <c r="B60" s="3876">
        <v>7.4</v>
      </c>
      <c r="C60" s="3876">
        <v>7.4</v>
      </c>
      <c r="D60" s="3882">
        <v>8</v>
      </c>
      <c r="E60" s="3882">
        <v>8</v>
      </c>
      <c r="F60" s="3882">
        <v>6</v>
      </c>
      <c r="G60" s="3878"/>
      <c r="H60" s="3879"/>
      <c r="I60" s="464">
        <f>SUM(B60:H60)</f>
        <v>36.799999999999997</v>
      </c>
      <c r="J60" s="3834"/>
    </row>
    <row r="61" spans="1:10" ht="18" customHeight="1">
      <c r="A61" s="418"/>
      <c r="B61" s="406" t="s">
        <v>551</v>
      </c>
      <c r="C61" s="406" t="s">
        <v>551</v>
      </c>
      <c r="D61" s="426" t="s">
        <v>552</v>
      </c>
      <c r="E61" s="426" t="s">
        <v>552</v>
      </c>
      <c r="F61" s="426" t="s">
        <v>567</v>
      </c>
      <c r="G61" s="413"/>
      <c r="H61" s="357"/>
      <c r="I61" s="368"/>
      <c r="J61" s="399"/>
    </row>
    <row r="62" spans="1:10" ht="18" customHeight="1">
      <c r="A62" s="475" t="s">
        <v>604</v>
      </c>
      <c r="B62" s="3876">
        <v>7.4</v>
      </c>
      <c r="C62" s="3876">
        <v>7.4</v>
      </c>
      <c r="D62" s="3885">
        <v>8</v>
      </c>
      <c r="E62" s="3885">
        <v>8</v>
      </c>
      <c r="F62" s="3885">
        <v>6</v>
      </c>
      <c r="G62" s="3878"/>
      <c r="H62" s="3879"/>
      <c r="I62" s="464">
        <f>SUM(B62:H62)</f>
        <v>36.799999999999997</v>
      </c>
      <c r="J62" s="3834"/>
    </row>
    <row r="63" spans="1:10" ht="18" customHeight="1">
      <c r="A63" s="27"/>
      <c r="B63" s="406" t="s">
        <v>551</v>
      </c>
      <c r="C63" s="406" t="s">
        <v>551</v>
      </c>
      <c r="D63" s="21" t="s">
        <v>573</v>
      </c>
      <c r="E63" s="21" t="s">
        <v>573</v>
      </c>
      <c r="F63" s="21" t="s">
        <v>573</v>
      </c>
      <c r="G63" s="13"/>
      <c r="H63" s="14"/>
      <c r="I63" s="8"/>
      <c r="J63" s="15"/>
    </row>
    <row r="64" spans="1:10" ht="18" customHeight="1">
      <c r="A64" s="3880" t="s">
        <v>605</v>
      </c>
      <c r="B64" s="3876">
        <v>7.4</v>
      </c>
      <c r="C64" s="3876">
        <v>7.4</v>
      </c>
      <c r="D64" s="476">
        <v>7.75</v>
      </c>
      <c r="E64" s="476">
        <v>7.75</v>
      </c>
      <c r="F64" s="476">
        <v>7.75</v>
      </c>
      <c r="G64" s="3878"/>
      <c r="H64" s="2623"/>
      <c r="I64" s="464">
        <f>SUM(B64:H64)</f>
        <v>38.049999999999997</v>
      </c>
      <c r="J64" s="3834"/>
    </row>
    <row r="65" spans="1:10" ht="18" customHeight="1">
      <c r="A65" s="253" t="s">
        <v>563</v>
      </c>
      <c r="B65" s="253">
        <f t="shared" ref="B65:I65" si="2">SUM(B36,B38,B40,B42,B44,B46,B48,B50,B52,B54,B56,B58,B60,B62,B64)</f>
        <v>113.35000000000002</v>
      </c>
      <c r="C65" s="253">
        <f t="shared" si="2"/>
        <v>111.35000000000002</v>
      </c>
      <c r="D65" s="253">
        <f t="shared" si="2"/>
        <v>113.94999999999999</v>
      </c>
      <c r="E65" s="253">
        <f t="shared" si="2"/>
        <v>113.94999999999999</v>
      </c>
      <c r="F65" s="253">
        <f t="shared" si="2"/>
        <v>103.94999999999999</v>
      </c>
      <c r="G65" s="253">
        <f t="shared" si="2"/>
        <v>66</v>
      </c>
      <c r="H65" s="253">
        <f t="shared" si="2"/>
        <v>44</v>
      </c>
      <c r="I65" s="261">
        <f t="shared" si="2"/>
        <v>666.54999999999984</v>
      </c>
      <c r="J65" s="254"/>
    </row>
    <row r="66" spans="1:10" ht="18" customHeight="1">
      <c r="A66" s="1" t="s">
        <v>606</v>
      </c>
      <c r="B66" s="18"/>
      <c r="C66" s="18"/>
      <c r="D66" s="18"/>
      <c r="E66" s="18"/>
      <c r="F66" s="18"/>
    </row>
    <row r="67" spans="1:10" ht="18" customHeight="1">
      <c r="A67" s="255" t="s">
        <v>607</v>
      </c>
      <c r="B67" s="256" t="s">
        <v>94</v>
      </c>
      <c r="C67" s="257" t="s">
        <v>95</v>
      </c>
      <c r="D67" s="257" t="s">
        <v>96</v>
      </c>
      <c r="E67" s="257" t="s">
        <v>97</v>
      </c>
      <c r="F67" s="257" t="s">
        <v>98</v>
      </c>
      <c r="G67" s="257" t="s">
        <v>99</v>
      </c>
      <c r="H67" s="258" t="s">
        <v>100</v>
      </c>
      <c r="I67" s="259" t="s">
        <v>147</v>
      </c>
      <c r="J67" s="260" t="s">
        <v>101</v>
      </c>
    </row>
    <row r="68" spans="1:10" ht="18" customHeight="1">
      <c r="A68" s="409" t="s">
        <v>608</v>
      </c>
      <c r="B68" s="373" t="s">
        <v>609</v>
      </c>
      <c r="C68" s="373" t="s">
        <v>609</v>
      </c>
      <c r="D68" s="373" t="s">
        <v>609</v>
      </c>
      <c r="E68" s="373" t="s">
        <v>609</v>
      </c>
      <c r="F68" s="373" t="s">
        <v>609</v>
      </c>
      <c r="G68" s="398"/>
      <c r="H68" s="375"/>
      <c r="I68" s="373"/>
      <c r="J68" s="408"/>
    </row>
    <row r="69" spans="1:10" ht="18" customHeight="1">
      <c r="A69" s="477"/>
      <c r="B69" s="457">
        <v>7</v>
      </c>
      <c r="C69" s="457">
        <v>7</v>
      </c>
      <c r="D69" s="457">
        <v>7</v>
      </c>
      <c r="E69" s="457">
        <v>7</v>
      </c>
      <c r="F69" s="458">
        <v>7</v>
      </c>
      <c r="G69" s="459"/>
      <c r="H69" s="460"/>
      <c r="I69" s="464">
        <f>SUM(B69:H69)</f>
        <v>35</v>
      </c>
      <c r="J69" s="465"/>
    </row>
    <row r="70" spans="1:10" ht="18" customHeight="1">
      <c r="A70" s="10" t="s">
        <v>610</v>
      </c>
      <c r="B70" s="3886" t="s">
        <v>611</v>
      </c>
      <c r="C70" s="3886" t="s">
        <v>611</v>
      </c>
      <c r="D70" s="3886" t="s">
        <v>611</v>
      </c>
      <c r="E70" s="3886" t="s">
        <v>611</v>
      </c>
      <c r="F70" s="3886" t="s">
        <v>612</v>
      </c>
      <c r="G70" s="6"/>
      <c r="H70" s="7"/>
      <c r="I70" s="34"/>
      <c r="J70" s="12"/>
    </row>
    <row r="71" spans="1:10" ht="18" customHeight="1">
      <c r="A71" s="35"/>
      <c r="B71" s="758">
        <v>7</v>
      </c>
      <c r="C71" s="758">
        <v>7</v>
      </c>
      <c r="D71" s="758">
        <v>7</v>
      </c>
      <c r="E71" s="758">
        <v>7</v>
      </c>
      <c r="F71" s="759">
        <v>6</v>
      </c>
      <c r="G71" s="760"/>
      <c r="H71" s="36"/>
      <c r="I71" s="464">
        <f>SUM(B71:H71)</f>
        <v>34</v>
      </c>
      <c r="J71" s="757"/>
    </row>
    <row r="72" spans="1:10" ht="18" customHeight="1">
      <c r="A72" s="409" t="s">
        <v>613</v>
      </c>
      <c r="B72" s="373" t="s">
        <v>614</v>
      </c>
      <c r="C72" s="373" t="s">
        <v>614</v>
      </c>
      <c r="D72" s="373" t="s">
        <v>614</v>
      </c>
      <c r="E72" s="373" t="s">
        <v>615</v>
      </c>
      <c r="F72" s="373" t="s">
        <v>616</v>
      </c>
      <c r="G72" s="373"/>
      <c r="H72" s="373" t="s">
        <v>557</v>
      </c>
      <c r="I72" s="373"/>
      <c r="J72" s="408"/>
    </row>
    <row r="73" spans="1:10" ht="18" customHeight="1">
      <c r="A73" s="454"/>
      <c r="B73" s="457">
        <v>6.5</v>
      </c>
      <c r="C73" s="457">
        <v>6.5</v>
      </c>
      <c r="D73" s="457">
        <v>6.5</v>
      </c>
      <c r="E73" s="458">
        <v>5.5</v>
      </c>
      <c r="F73" s="458">
        <v>7.25</v>
      </c>
      <c r="G73" s="458"/>
      <c r="H73" s="463">
        <v>8</v>
      </c>
      <c r="I73" s="464">
        <f>SUM(B73:H73)</f>
        <v>40.25</v>
      </c>
      <c r="J73" s="465"/>
    </row>
    <row r="74" spans="1:10" ht="18" customHeight="1">
      <c r="A74" s="253" t="s">
        <v>563</v>
      </c>
      <c r="B74" s="253">
        <f t="shared" ref="B74:I74" si="3">SUM(B69,B71,B73)</f>
        <v>20.5</v>
      </c>
      <c r="C74" s="253">
        <f t="shared" si="3"/>
        <v>20.5</v>
      </c>
      <c r="D74" s="253">
        <f t="shared" si="3"/>
        <v>20.5</v>
      </c>
      <c r="E74" s="253">
        <f t="shared" si="3"/>
        <v>19.5</v>
      </c>
      <c r="F74" s="253">
        <f t="shared" si="3"/>
        <v>20.25</v>
      </c>
      <c r="G74" s="253">
        <f t="shared" si="3"/>
        <v>0</v>
      </c>
      <c r="H74" s="253">
        <f t="shared" si="3"/>
        <v>8</v>
      </c>
      <c r="I74" s="261">
        <f t="shared" si="3"/>
        <v>109.25</v>
      </c>
      <c r="J74" s="262"/>
    </row>
    <row r="75" spans="1:10" ht="18" customHeight="1">
      <c r="A75" s="1" t="s">
        <v>617</v>
      </c>
      <c r="B75" s="18"/>
      <c r="C75" s="18"/>
      <c r="D75" s="18"/>
      <c r="E75" s="18"/>
      <c r="F75" s="18"/>
    </row>
    <row r="76" spans="1:10" ht="18" customHeight="1">
      <c r="A76" s="255" t="s">
        <v>618</v>
      </c>
      <c r="B76" s="256" t="s">
        <v>94</v>
      </c>
      <c r="C76" s="257" t="s">
        <v>95</v>
      </c>
      <c r="D76" s="257" t="s">
        <v>96</v>
      </c>
      <c r="E76" s="257" t="s">
        <v>97</v>
      </c>
      <c r="F76" s="257" t="s">
        <v>98</v>
      </c>
      <c r="G76" s="257" t="s">
        <v>99</v>
      </c>
      <c r="H76" s="258" t="s">
        <v>100</v>
      </c>
      <c r="I76" s="259" t="s">
        <v>147</v>
      </c>
      <c r="J76" s="260" t="s">
        <v>101</v>
      </c>
    </row>
    <row r="77" spans="1:10" ht="18" customHeight="1">
      <c r="A77" s="10" t="s">
        <v>619</v>
      </c>
      <c r="B77" s="3886" t="s">
        <v>620</v>
      </c>
      <c r="C77" s="3887" t="s">
        <v>620</v>
      </c>
      <c r="D77" s="34" t="s">
        <v>620</v>
      </c>
      <c r="E77" s="3887" t="s">
        <v>620</v>
      </c>
      <c r="F77" s="3886" t="s">
        <v>621</v>
      </c>
      <c r="G77" s="6"/>
      <c r="H77" s="7"/>
      <c r="I77" s="34"/>
      <c r="J77" s="12" t="s">
        <v>622</v>
      </c>
    </row>
    <row r="78" spans="1:10" ht="18" customHeight="1">
      <c r="A78" s="35"/>
      <c r="B78" s="758">
        <v>8</v>
      </c>
      <c r="C78" s="758">
        <v>8</v>
      </c>
      <c r="D78" s="758">
        <v>8</v>
      </c>
      <c r="E78" s="758">
        <v>8</v>
      </c>
      <c r="F78" s="759">
        <v>7</v>
      </c>
      <c r="G78" s="760"/>
      <c r="H78" s="36"/>
      <c r="I78" s="464">
        <f>SUM(B78:H78)</f>
        <v>39</v>
      </c>
      <c r="J78" s="757"/>
    </row>
    <row r="79" spans="1:10" ht="18" customHeight="1">
      <c r="A79" s="409" t="s">
        <v>623</v>
      </c>
      <c r="B79" s="373" t="s">
        <v>624</v>
      </c>
      <c r="C79" s="373" t="s">
        <v>624</v>
      </c>
      <c r="D79" s="373" t="s">
        <v>624</v>
      </c>
      <c r="E79" s="373" t="s">
        <v>624</v>
      </c>
      <c r="F79" s="373" t="s">
        <v>625</v>
      </c>
      <c r="G79" s="398"/>
      <c r="H79" s="375"/>
      <c r="I79" s="373"/>
      <c r="J79" s="408"/>
    </row>
    <row r="80" spans="1:10" ht="18" customHeight="1">
      <c r="A80" s="35"/>
      <c r="B80" s="758">
        <v>6.5</v>
      </c>
      <c r="C80" s="758">
        <v>6.5</v>
      </c>
      <c r="D80" s="758">
        <v>6.5</v>
      </c>
      <c r="E80" s="758">
        <v>6.5</v>
      </c>
      <c r="F80" s="759">
        <v>7</v>
      </c>
      <c r="G80" s="760"/>
      <c r="H80" s="36"/>
      <c r="I80" s="464">
        <f>SUM(B80:H80)</f>
        <v>33</v>
      </c>
      <c r="J80" s="757"/>
    </row>
    <row r="81" spans="1:10" ht="18" customHeight="1">
      <c r="A81" s="409" t="s">
        <v>626</v>
      </c>
      <c r="B81" s="406" t="s">
        <v>627</v>
      </c>
      <c r="C81" s="373" t="s">
        <v>628</v>
      </c>
      <c r="D81" s="373" t="s">
        <v>627</v>
      </c>
      <c r="E81" s="373" t="s">
        <v>627</v>
      </c>
      <c r="F81" s="373" t="s">
        <v>629</v>
      </c>
      <c r="G81" s="373" t="s">
        <v>630</v>
      </c>
      <c r="H81" s="407"/>
      <c r="I81" s="373"/>
      <c r="J81" s="408" t="s">
        <v>631</v>
      </c>
    </row>
    <row r="82" spans="1:10" ht="18" customHeight="1">
      <c r="A82" s="454"/>
      <c r="B82" s="457">
        <v>7</v>
      </c>
      <c r="C82" s="458">
        <v>4</v>
      </c>
      <c r="D82" s="458">
        <v>7</v>
      </c>
      <c r="E82" s="458">
        <v>7</v>
      </c>
      <c r="F82" s="458">
        <v>6.25</v>
      </c>
      <c r="G82" s="458">
        <v>6.5</v>
      </c>
      <c r="H82" s="463"/>
      <c r="I82" s="464">
        <f>SUM(B82:H82)</f>
        <v>37.75</v>
      </c>
      <c r="J82" s="465"/>
    </row>
    <row r="83" spans="1:10" ht="18" customHeight="1">
      <c r="A83" s="2590" t="s">
        <v>632</v>
      </c>
      <c r="B83" s="3888" t="s">
        <v>620</v>
      </c>
      <c r="C83" s="3889" t="s">
        <v>620</v>
      </c>
      <c r="D83" s="34" t="s">
        <v>620</v>
      </c>
      <c r="E83" s="3887" t="s">
        <v>620</v>
      </c>
      <c r="F83" s="3887" t="s">
        <v>621</v>
      </c>
      <c r="G83" s="400"/>
      <c r="H83" s="357"/>
      <c r="I83" s="373"/>
      <c r="J83" s="12" t="s">
        <v>622</v>
      </c>
    </row>
    <row r="84" spans="1:10" ht="18" customHeight="1">
      <c r="A84" s="2603"/>
      <c r="B84" s="3876">
        <v>8</v>
      </c>
      <c r="C84" s="3876">
        <v>8</v>
      </c>
      <c r="D84" s="3876">
        <v>8</v>
      </c>
      <c r="E84" s="3876">
        <v>8</v>
      </c>
      <c r="F84" s="3876">
        <v>7</v>
      </c>
      <c r="G84" s="3878"/>
      <c r="H84" s="3879"/>
      <c r="I84" s="464">
        <f>SUM(B84:H84)</f>
        <v>39</v>
      </c>
      <c r="J84" s="3834"/>
    </row>
    <row r="85" spans="1:10" ht="18" customHeight="1">
      <c r="A85" s="2590" t="s">
        <v>633</v>
      </c>
      <c r="B85" s="34" t="s">
        <v>624</v>
      </c>
      <c r="C85" s="3887" t="s">
        <v>624</v>
      </c>
      <c r="D85" s="3887" t="s">
        <v>624</v>
      </c>
      <c r="E85" s="3888" t="s">
        <v>624</v>
      </c>
      <c r="F85" s="3887" t="s">
        <v>625</v>
      </c>
      <c r="G85" s="413"/>
      <c r="H85" s="357"/>
      <c r="I85" s="373"/>
      <c r="J85" s="399"/>
    </row>
    <row r="86" spans="1:10" ht="18" customHeight="1">
      <c r="A86" s="3890"/>
      <c r="B86" s="3891">
        <v>6.5</v>
      </c>
      <c r="C86" s="3891">
        <v>6.5</v>
      </c>
      <c r="D86" s="3891">
        <v>6.5</v>
      </c>
      <c r="E86" s="3891">
        <v>6.5</v>
      </c>
      <c r="F86" s="3891">
        <v>7</v>
      </c>
      <c r="G86" s="3892"/>
      <c r="H86" s="3893"/>
      <c r="I86" s="464">
        <f>SUM(B86:H86)</f>
        <v>33</v>
      </c>
      <c r="J86" s="3894"/>
    </row>
    <row r="87" spans="1:10" ht="18" customHeight="1">
      <c r="A87" s="322" t="s">
        <v>634</v>
      </c>
      <c r="B87" s="373" t="s">
        <v>609</v>
      </c>
      <c r="C87" s="406" t="s">
        <v>609</v>
      </c>
      <c r="D87" s="373" t="s">
        <v>609</v>
      </c>
      <c r="E87" s="373" t="s">
        <v>609</v>
      </c>
      <c r="F87" s="406" t="s">
        <v>551</v>
      </c>
      <c r="G87" s="373"/>
      <c r="H87" s="406" t="s">
        <v>557</v>
      </c>
      <c r="I87" s="373"/>
      <c r="J87" s="399"/>
    </row>
    <row r="88" spans="1:10" ht="18" customHeight="1">
      <c r="A88" s="454"/>
      <c r="B88" s="457">
        <v>7</v>
      </c>
      <c r="C88" s="457">
        <v>7</v>
      </c>
      <c r="D88" s="457">
        <v>7</v>
      </c>
      <c r="E88" s="457">
        <v>7</v>
      </c>
      <c r="F88" s="3876">
        <v>7.4</v>
      </c>
      <c r="G88" s="478"/>
      <c r="H88" s="464">
        <v>8</v>
      </c>
      <c r="I88" s="464">
        <f>SUM(B88:H88)</f>
        <v>43.4</v>
      </c>
      <c r="J88" s="3834"/>
    </row>
    <row r="89" spans="1:10" ht="18" customHeight="1">
      <c r="A89" s="253" t="s">
        <v>563</v>
      </c>
      <c r="B89" s="253">
        <f t="shared" ref="B89:I89" si="4">SUM(B78,B80,B82,B84,B86,B88)</f>
        <v>43</v>
      </c>
      <c r="C89" s="253">
        <f t="shared" si="4"/>
        <v>40</v>
      </c>
      <c r="D89" s="253">
        <f t="shared" si="4"/>
        <v>43</v>
      </c>
      <c r="E89" s="253">
        <f t="shared" si="4"/>
        <v>43</v>
      </c>
      <c r="F89" s="253">
        <f t="shared" si="4"/>
        <v>41.65</v>
      </c>
      <c r="G89" s="253">
        <f t="shared" si="4"/>
        <v>6.5</v>
      </c>
      <c r="H89" s="253">
        <f t="shared" si="4"/>
        <v>8</v>
      </c>
      <c r="I89" s="261">
        <f t="shared" si="4"/>
        <v>225.15</v>
      </c>
      <c r="J89" s="254"/>
    </row>
    <row r="90" spans="1:10" ht="18" customHeight="1">
      <c r="A90" s="1" t="s">
        <v>635</v>
      </c>
      <c r="B90" s="18"/>
      <c r="C90" s="18"/>
      <c r="D90" s="18"/>
      <c r="E90" s="18"/>
      <c r="F90" s="18"/>
    </row>
    <row r="91" spans="1:10" ht="18" customHeight="1">
      <c r="A91" s="255" t="s">
        <v>636</v>
      </c>
      <c r="B91" s="256" t="s">
        <v>94</v>
      </c>
      <c r="C91" s="257" t="s">
        <v>95</v>
      </c>
      <c r="D91" s="257" t="s">
        <v>96</v>
      </c>
      <c r="E91" s="257" t="s">
        <v>97</v>
      </c>
      <c r="F91" s="257" t="s">
        <v>98</v>
      </c>
      <c r="G91" s="257" t="s">
        <v>99</v>
      </c>
      <c r="H91" s="258" t="s">
        <v>100</v>
      </c>
      <c r="I91" s="259" t="s">
        <v>147</v>
      </c>
      <c r="J91" s="260" t="s">
        <v>101</v>
      </c>
    </row>
    <row r="92" spans="1:10" ht="18" customHeight="1">
      <c r="A92" s="409" t="s">
        <v>637</v>
      </c>
      <c r="B92" s="373" t="s">
        <v>621</v>
      </c>
      <c r="C92" s="373" t="s">
        <v>621</v>
      </c>
      <c r="D92" s="373" t="s">
        <v>621</v>
      </c>
      <c r="E92" s="373" t="s">
        <v>621</v>
      </c>
      <c r="F92" s="373" t="s">
        <v>609</v>
      </c>
      <c r="G92" s="398"/>
      <c r="H92" s="375"/>
      <c r="I92" s="373"/>
      <c r="J92" s="408"/>
    </row>
    <row r="93" spans="1:10" ht="18" customHeight="1">
      <c r="A93" s="477"/>
      <c r="B93" s="457">
        <v>7.5</v>
      </c>
      <c r="C93" s="457">
        <v>7.5</v>
      </c>
      <c r="D93" s="457">
        <v>7.5</v>
      </c>
      <c r="E93" s="457">
        <v>7.5</v>
      </c>
      <c r="F93" s="458">
        <v>7</v>
      </c>
      <c r="G93" s="459"/>
      <c r="H93" s="460"/>
      <c r="I93" s="464">
        <f>SUM(B93:H93)</f>
        <v>37</v>
      </c>
      <c r="J93" s="465"/>
    </row>
    <row r="94" spans="1:10" ht="18" customHeight="1">
      <c r="A94" s="2590" t="s">
        <v>638</v>
      </c>
      <c r="B94" s="3887" t="s">
        <v>639</v>
      </c>
      <c r="C94" s="3887" t="s">
        <v>639</v>
      </c>
      <c r="D94" s="3887" t="s">
        <v>639</v>
      </c>
      <c r="E94" s="3887" t="s">
        <v>639</v>
      </c>
      <c r="F94" s="3887" t="s">
        <v>612</v>
      </c>
      <c r="G94" s="6"/>
      <c r="H94" s="7"/>
      <c r="I94" s="34"/>
      <c r="J94" s="12"/>
    </row>
    <row r="95" spans="1:10" ht="18" customHeight="1">
      <c r="A95" s="35"/>
      <c r="B95" s="758">
        <v>7.5</v>
      </c>
      <c r="C95" s="758">
        <v>7.5</v>
      </c>
      <c r="D95" s="758">
        <v>7.5</v>
      </c>
      <c r="E95" s="758">
        <v>7.5</v>
      </c>
      <c r="F95" s="759">
        <v>6</v>
      </c>
      <c r="G95" s="760"/>
      <c r="H95" s="36"/>
      <c r="I95" s="464">
        <f>SUM(B95:H95)</f>
        <v>36</v>
      </c>
      <c r="J95" s="757"/>
    </row>
    <row r="96" spans="1:10" ht="18" customHeight="1">
      <c r="A96" s="405" t="s">
        <v>640</v>
      </c>
      <c r="B96" s="373" t="s">
        <v>641</v>
      </c>
      <c r="C96" s="373" t="s">
        <v>641</v>
      </c>
      <c r="D96" s="373" t="s">
        <v>641</v>
      </c>
      <c r="E96" s="373" t="s">
        <v>641</v>
      </c>
      <c r="F96" s="373" t="s">
        <v>642</v>
      </c>
      <c r="G96" s="373"/>
      <c r="H96" s="373"/>
      <c r="I96" s="373"/>
      <c r="J96" s="408"/>
    </row>
    <row r="97" spans="1:10" ht="18" customHeight="1">
      <c r="A97" s="454"/>
      <c r="B97" s="457">
        <v>7.5</v>
      </c>
      <c r="C97" s="457">
        <v>7.5</v>
      </c>
      <c r="D97" s="457">
        <v>7.5</v>
      </c>
      <c r="E97" s="457">
        <v>7.5</v>
      </c>
      <c r="F97" s="458">
        <v>6</v>
      </c>
      <c r="G97" s="458"/>
      <c r="H97" s="463"/>
      <c r="I97" s="464">
        <f>SUM(B97:H97)</f>
        <v>36</v>
      </c>
      <c r="J97" s="465"/>
    </row>
    <row r="98" spans="1:10" ht="18" customHeight="1">
      <c r="A98" s="253" t="s">
        <v>563</v>
      </c>
      <c r="B98" s="253">
        <f t="shared" ref="B98:I98" si="5">SUM(B93,B95,B97)</f>
        <v>22.5</v>
      </c>
      <c r="C98" s="253">
        <f t="shared" si="5"/>
        <v>22.5</v>
      </c>
      <c r="D98" s="253">
        <f t="shared" si="5"/>
        <v>22.5</v>
      </c>
      <c r="E98" s="253">
        <f t="shared" si="5"/>
        <v>22.5</v>
      </c>
      <c r="F98" s="253">
        <f t="shared" si="5"/>
        <v>19</v>
      </c>
      <c r="G98" s="253">
        <f t="shared" si="5"/>
        <v>0</v>
      </c>
      <c r="H98" s="253">
        <f t="shared" si="5"/>
        <v>0</v>
      </c>
      <c r="I98" s="261">
        <f t="shared" si="5"/>
        <v>109</v>
      </c>
      <c r="J98" s="262"/>
    </row>
    <row r="99" spans="1:10" ht="18" customHeight="1">
      <c r="A99" s="1" t="s">
        <v>643</v>
      </c>
      <c r="B99" s="18"/>
      <c r="C99" s="18"/>
      <c r="D99" s="18"/>
      <c r="E99" s="18"/>
      <c r="F99" s="18"/>
    </row>
    <row r="100" spans="1:10" ht="18" customHeight="1">
      <c r="A100" s="248" t="s">
        <v>565</v>
      </c>
      <c r="B100" s="319" t="s">
        <v>94</v>
      </c>
      <c r="C100" s="320" t="s">
        <v>95</v>
      </c>
      <c r="D100" s="320" t="s">
        <v>96</v>
      </c>
      <c r="E100" s="320" t="s">
        <v>97</v>
      </c>
      <c r="F100" s="320" t="s">
        <v>98</v>
      </c>
      <c r="G100" s="320" t="s">
        <v>99</v>
      </c>
      <c r="H100" s="251" t="s">
        <v>100</v>
      </c>
      <c r="I100" s="252" t="s">
        <v>147</v>
      </c>
      <c r="J100" s="321" t="s">
        <v>101</v>
      </c>
    </row>
    <row r="101" spans="1:10" ht="18" customHeight="1">
      <c r="A101" s="402"/>
      <c r="B101" s="406" t="s">
        <v>566</v>
      </c>
      <c r="C101" s="406" t="s">
        <v>566</v>
      </c>
      <c r="D101" s="406" t="s">
        <v>566</v>
      </c>
      <c r="E101" s="406" t="s">
        <v>566</v>
      </c>
      <c r="F101" s="406" t="s">
        <v>567</v>
      </c>
      <c r="G101" s="398"/>
      <c r="H101" s="375"/>
      <c r="I101" s="368"/>
      <c r="J101" s="404"/>
    </row>
    <row r="102" spans="1:10" ht="18" customHeight="1">
      <c r="A102" s="454" t="s">
        <v>644</v>
      </c>
      <c r="B102" s="457">
        <v>7.75</v>
      </c>
      <c r="C102" s="457">
        <v>7.75</v>
      </c>
      <c r="D102" s="457">
        <v>7.75</v>
      </c>
      <c r="E102" s="457">
        <v>7.75</v>
      </c>
      <c r="F102" s="457">
        <v>6</v>
      </c>
      <c r="G102" s="459"/>
      <c r="H102" s="460"/>
      <c r="I102" s="461">
        <f>SUM(B102:H102)</f>
        <v>37</v>
      </c>
      <c r="J102" s="462"/>
    </row>
    <row r="103" spans="1:10" ht="18" customHeight="1"/>
    <row r="104" spans="1:10" ht="18" customHeight="1">
      <c r="A104" s="1" t="s">
        <v>645</v>
      </c>
      <c r="B104" s="18"/>
      <c r="C104" s="18"/>
      <c r="D104" s="18"/>
      <c r="E104" s="18"/>
      <c r="F104" s="18"/>
    </row>
    <row r="105" spans="1:10" ht="18" customHeight="1">
      <c r="A105" s="248" t="s">
        <v>646</v>
      </c>
      <c r="B105" s="319" t="s">
        <v>94</v>
      </c>
      <c r="C105" s="320" t="s">
        <v>95</v>
      </c>
      <c r="D105" s="320" t="s">
        <v>96</v>
      </c>
      <c r="E105" s="320" t="s">
        <v>97</v>
      </c>
      <c r="F105" s="320" t="s">
        <v>98</v>
      </c>
      <c r="G105" s="320" t="s">
        <v>99</v>
      </c>
      <c r="H105" s="251" t="s">
        <v>100</v>
      </c>
      <c r="I105" s="252" t="s">
        <v>147</v>
      </c>
      <c r="J105" s="321" t="s">
        <v>101</v>
      </c>
    </row>
    <row r="106" spans="1:10" ht="18" customHeight="1">
      <c r="A106" s="402"/>
      <c r="B106" s="406" t="s">
        <v>647</v>
      </c>
      <c r="C106" s="406" t="s">
        <v>647</v>
      </c>
      <c r="D106" s="406" t="s">
        <v>557</v>
      </c>
      <c r="E106" s="406" t="s">
        <v>557</v>
      </c>
      <c r="F106" s="406" t="s">
        <v>171</v>
      </c>
      <c r="G106" s="407"/>
      <c r="H106" s="410"/>
      <c r="I106" s="368"/>
      <c r="J106" s="408"/>
    </row>
    <row r="107" spans="1:10" ht="18" customHeight="1">
      <c r="A107" s="454" t="s">
        <v>648</v>
      </c>
      <c r="B107" s="457">
        <v>7.5</v>
      </c>
      <c r="C107" s="458">
        <v>7.5</v>
      </c>
      <c r="D107" s="458">
        <v>8</v>
      </c>
      <c r="E107" s="458">
        <v>8</v>
      </c>
      <c r="F107" s="458">
        <v>6</v>
      </c>
      <c r="G107" s="458"/>
      <c r="H107" s="463"/>
      <c r="I107" s="461">
        <f>SUM(B107:H107)</f>
        <v>37</v>
      </c>
      <c r="J107" s="465"/>
    </row>
    <row r="108" spans="1:10" ht="18" customHeight="1"/>
    <row r="109" spans="1:10" ht="18" customHeight="1">
      <c r="A109" s="1" t="s">
        <v>649</v>
      </c>
      <c r="B109" s="18"/>
      <c r="C109" s="18"/>
      <c r="D109" s="18"/>
      <c r="E109" s="18"/>
      <c r="F109" s="18"/>
    </row>
    <row r="110" spans="1:10" ht="18" customHeight="1">
      <c r="A110" s="248" t="s">
        <v>565</v>
      </c>
      <c r="B110" s="319" t="s">
        <v>94</v>
      </c>
      <c r="C110" s="320" t="s">
        <v>95</v>
      </c>
      <c r="D110" s="320" t="s">
        <v>96</v>
      </c>
      <c r="E110" s="320" t="s">
        <v>97</v>
      </c>
      <c r="F110" s="320" t="s">
        <v>98</v>
      </c>
      <c r="G110" s="320" t="s">
        <v>99</v>
      </c>
      <c r="H110" s="251" t="s">
        <v>100</v>
      </c>
      <c r="I110" s="252" t="s">
        <v>147</v>
      </c>
      <c r="J110" s="321" t="s">
        <v>101</v>
      </c>
    </row>
    <row r="111" spans="1:10" ht="18" customHeight="1">
      <c r="A111" s="409"/>
      <c r="B111" s="406" t="s">
        <v>566</v>
      </c>
      <c r="C111" s="406" t="s">
        <v>566</v>
      </c>
      <c r="D111" s="406" t="s">
        <v>566</v>
      </c>
      <c r="E111" s="406" t="s">
        <v>566</v>
      </c>
      <c r="F111" s="406" t="s">
        <v>567</v>
      </c>
      <c r="G111" s="407"/>
      <c r="H111" s="410"/>
      <c r="I111" s="368"/>
      <c r="J111" s="408"/>
    </row>
    <row r="112" spans="1:10" ht="18" customHeight="1">
      <c r="A112" s="454" t="s">
        <v>650</v>
      </c>
      <c r="B112" s="457">
        <v>7.75</v>
      </c>
      <c r="C112" s="457">
        <v>7.75</v>
      </c>
      <c r="D112" s="457">
        <v>7.75</v>
      </c>
      <c r="E112" s="457">
        <v>7.75</v>
      </c>
      <c r="F112" s="457">
        <v>6</v>
      </c>
      <c r="G112" s="458"/>
      <c r="H112" s="463"/>
      <c r="I112" s="464">
        <f>SUM(B112:H112)</f>
        <v>37</v>
      </c>
      <c r="J112" s="465"/>
    </row>
    <row r="113" spans="1:10" ht="18" customHeight="1">
      <c r="A113" s="409"/>
      <c r="B113" s="406" t="s">
        <v>566</v>
      </c>
      <c r="C113" s="406" t="s">
        <v>566</v>
      </c>
      <c r="D113" s="406" t="s">
        <v>566</v>
      </c>
      <c r="E113" s="406" t="s">
        <v>566</v>
      </c>
      <c r="F113" s="406" t="s">
        <v>567</v>
      </c>
      <c r="G113" s="407"/>
      <c r="H113" s="410"/>
      <c r="I113" s="368"/>
      <c r="J113" s="408"/>
    </row>
    <row r="114" spans="1:10" ht="18" customHeight="1">
      <c r="A114" s="454" t="s">
        <v>651</v>
      </c>
      <c r="B114" s="457">
        <v>7.75</v>
      </c>
      <c r="C114" s="457">
        <v>7.75</v>
      </c>
      <c r="D114" s="457">
        <v>7.75</v>
      </c>
      <c r="E114" s="457">
        <v>7.75</v>
      </c>
      <c r="F114" s="457">
        <v>6</v>
      </c>
      <c r="G114" s="458"/>
      <c r="H114" s="463"/>
      <c r="I114" s="464">
        <f>SUM(B114:H114)</f>
        <v>37</v>
      </c>
      <c r="J114" s="465"/>
    </row>
    <row r="115" spans="1:10" ht="18" customHeight="1">
      <c r="A115" s="409"/>
      <c r="B115" s="406" t="s">
        <v>566</v>
      </c>
      <c r="C115" s="406" t="s">
        <v>566</v>
      </c>
      <c r="D115" s="406" t="s">
        <v>566</v>
      </c>
      <c r="E115" s="406" t="s">
        <v>566</v>
      </c>
      <c r="F115" s="406" t="s">
        <v>567</v>
      </c>
      <c r="G115" s="407"/>
      <c r="H115" s="410"/>
      <c r="I115" s="368"/>
      <c r="J115" s="408"/>
    </row>
    <row r="116" spans="1:10" ht="18" customHeight="1">
      <c r="A116" s="454" t="s">
        <v>652</v>
      </c>
      <c r="B116" s="457">
        <v>7.75</v>
      </c>
      <c r="C116" s="457">
        <v>7.75</v>
      </c>
      <c r="D116" s="457">
        <v>7.75</v>
      </c>
      <c r="E116" s="457">
        <v>7.75</v>
      </c>
      <c r="F116" s="457">
        <v>6</v>
      </c>
      <c r="G116" s="458"/>
      <c r="H116" s="463"/>
      <c r="I116" s="464">
        <f>SUM(B116:H116)</f>
        <v>37</v>
      </c>
      <c r="J116" s="465"/>
    </row>
    <row r="117" spans="1:10" ht="18" customHeight="1">
      <c r="A117" s="253" t="s">
        <v>563</v>
      </c>
      <c r="B117" s="253">
        <f t="shared" ref="B117:I117" si="6">SUM(B112,B114,B116)</f>
        <v>23.25</v>
      </c>
      <c r="C117" s="253">
        <f t="shared" si="6"/>
        <v>23.25</v>
      </c>
      <c r="D117" s="253">
        <f t="shared" si="6"/>
        <v>23.25</v>
      </c>
      <c r="E117" s="253">
        <f t="shared" si="6"/>
        <v>23.25</v>
      </c>
      <c r="F117" s="253">
        <f t="shared" si="6"/>
        <v>18</v>
      </c>
      <c r="G117" s="253">
        <f t="shared" si="6"/>
        <v>0</v>
      </c>
      <c r="H117" s="253">
        <f t="shared" si="6"/>
        <v>0</v>
      </c>
      <c r="I117" s="261">
        <f t="shared" si="6"/>
        <v>111</v>
      </c>
      <c r="J117" s="262"/>
    </row>
    <row r="118" spans="1:10" ht="18" customHeight="1">
      <c r="A118" s="18"/>
      <c r="B118" s="18"/>
      <c r="C118" s="18"/>
      <c r="D118" s="18"/>
      <c r="E118" s="18"/>
      <c r="F118" s="18"/>
      <c r="G118" s="37"/>
      <c r="H118" s="37"/>
      <c r="I118" s="18"/>
      <c r="J118" s="19"/>
    </row>
    <row r="119" spans="1:10" ht="18" customHeight="1">
      <c r="A119" s="1" t="s">
        <v>653</v>
      </c>
      <c r="B119" s="18"/>
      <c r="C119" s="18"/>
      <c r="D119" s="18"/>
      <c r="E119" s="18"/>
      <c r="F119" s="18"/>
    </row>
    <row r="120" spans="1:10" ht="18" customHeight="1">
      <c r="A120" s="248" t="s">
        <v>654</v>
      </c>
      <c r="B120" s="319" t="s">
        <v>94</v>
      </c>
      <c r="C120" s="320" t="s">
        <v>95</v>
      </c>
      <c r="D120" s="320" t="s">
        <v>96</v>
      </c>
      <c r="E120" s="320" t="s">
        <v>97</v>
      </c>
      <c r="F120" s="320" t="s">
        <v>98</v>
      </c>
      <c r="G120" s="320" t="s">
        <v>99</v>
      </c>
      <c r="H120" s="251" t="s">
        <v>100</v>
      </c>
      <c r="I120" s="252" t="s">
        <v>147</v>
      </c>
      <c r="J120" s="321" t="s">
        <v>101</v>
      </c>
    </row>
    <row r="121" spans="1:10" ht="18" customHeight="1">
      <c r="A121" s="405" t="s">
        <v>0</v>
      </c>
      <c r="B121" s="406" t="s">
        <v>268</v>
      </c>
      <c r="C121" s="406" t="s">
        <v>268</v>
      </c>
      <c r="D121" s="406" t="s">
        <v>268</v>
      </c>
      <c r="E121" s="406" t="s">
        <v>268</v>
      </c>
      <c r="F121" s="407" t="s">
        <v>269</v>
      </c>
      <c r="G121" s="407"/>
      <c r="H121" s="407"/>
      <c r="I121" s="368"/>
      <c r="J121" s="408"/>
    </row>
    <row r="122" spans="1:10" ht="18" customHeight="1">
      <c r="A122" s="3875" t="s">
        <v>655</v>
      </c>
      <c r="B122" s="3876">
        <v>7.75</v>
      </c>
      <c r="C122" s="3876">
        <v>7.75</v>
      </c>
      <c r="D122" s="3876">
        <v>7.75</v>
      </c>
      <c r="E122" s="3876">
        <v>7.75</v>
      </c>
      <c r="F122" s="3895">
        <v>6</v>
      </c>
      <c r="G122" s="3895"/>
      <c r="H122" s="3895"/>
      <c r="I122" s="3896">
        <f>SUM(B122:H122)</f>
        <v>37</v>
      </c>
      <c r="J122" s="3897"/>
    </row>
    <row r="123" spans="1:10" ht="18" customHeight="1">
      <c r="A123" s="38"/>
      <c r="B123" s="758"/>
      <c r="C123" s="758"/>
      <c r="D123" s="758"/>
      <c r="E123" s="758"/>
      <c r="F123" s="759"/>
      <c r="G123" s="759"/>
      <c r="H123" s="37"/>
      <c r="I123" s="761"/>
      <c r="J123" s="741"/>
    </row>
    <row r="124" spans="1:10" ht="18" customHeight="1">
      <c r="A124" s="39" t="s">
        <v>656</v>
      </c>
      <c r="B124" s="758"/>
      <c r="C124" s="758"/>
      <c r="D124" s="758"/>
      <c r="E124" s="758"/>
      <c r="F124" s="759"/>
      <c r="G124" s="759"/>
      <c r="H124" s="37"/>
      <c r="I124" s="761"/>
      <c r="J124" s="741"/>
    </row>
    <row r="125" spans="1:10" ht="18" customHeight="1">
      <c r="A125" s="255" t="s">
        <v>657</v>
      </c>
      <c r="B125" s="256" t="s">
        <v>94</v>
      </c>
      <c r="C125" s="257" t="s">
        <v>95</v>
      </c>
      <c r="D125" s="257" t="s">
        <v>96</v>
      </c>
      <c r="E125" s="257" t="s">
        <v>97</v>
      </c>
      <c r="F125" s="257" t="s">
        <v>98</v>
      </c>
      <c r="G125" s="257" t="s">
        <v>99</v>
      </c>
      <c r="H125" s="258" t="s">
        <v>100</v>
      </c>
      <c r="I125" s="259" t="s">
        <v>147</v>
      </c>
      <c r="J125" s="260" t="s">
        <v>101</v>
      </c>
    </row>
    <row r="126" spans="1:10" ht="18" customHeight="1">
      <c r="A126" s="40" t="s">
        <v>0</v>
      </c>
      <c r="B126" s="4" t="s">
        <v>658</v>
      </c>
      <c r="C126" s="4" t="s">
        <v>658</v>
      </c>
      <c r="D126" s="4" t="s">
        <v>658</v>
      </c>
      <c r="E126" s="4" t="s">
        <v>658</v>
      </c>
      <c r="F126" s="5" t="s">
        <v>621</v>
      </c>
      <c r="G126" s="5"/>
      <c r="H126" s="5"/>
      <c r="I126" s="8"/>
      <c r="J126" s="12"/>
    </row>
    <row r="127" spans="1:10" ht="18" customHeight="1">
      <c r="A127" s="3875" t="s">
        <v>659</v>
      </c>
      <c r="B127" s="3876">
        <v>7.5</v>
      </c>
      <c r="C127" s="3876">
        <v>7.5</v>
      </c>
      <c r="D127" s="3876">
        <v>7.5</v>
      </c>
      <c r="E127" s="3876">
        <v>7.5</v>
      </c>
      <c r="F127" s="3895">
        <v>7</v>
      </c>
      <c r="G127" s="3895"/>
      <c r="H127" s="3895"/>
      <c r="I127" s="3898">
        <f>SUM(B127:H127)</f>
        <v>37</v>
      </c>
      <c r="J127" s="465" t="s">
        <v>631</v>
      </c>
    </row>
    <row r="128" spans="1:10" ht="18" customHeight="1">
      <c r="A128" s="18"/>
      <c r="B128" s="18"/>
      <c r="C128" s="18"/>
      <c r="D128" s="18"/>
      <c r="E128" s="18"/>
      <c r="F128" s="37"/>
      <c r="G128" s="37"/>
      <c r="H128" s="37"/>
      <c r="I128" s="18"/>
      <c r="J128" s="19"/>
    </row>
    <row r="129" spans="1:10" ht="18" customHeight="1">
      <c r="A129" s="18"/>
      <c r="B129" s="18"/>
      <c r="C129" s="18"/>
      <c r="D129" s="18"/>
      <c r="E129" s="18"/>
      <c r="F129" s="37"/>
      <c r="G129" s="37"/>
      <c r="H129" s="37"/>
      <c r="I129" s="18"/>
      <c r="J129" s="19"/>
    </row>
    <row r="130" spans="1:10" ht="18" customHeight="1">
      <c r="A130" s="18"/>
      <c r="B130" s="18"/>
      <c r="C130" s="18"/>
      <c r="D130" s="18"/>
      <c r="E130" s="18"/>
      <c r="F130" s="37"/>
      <c r="G130" s="37"/>
      <c r="H130" s="37"/>
      <c r="I130" s="18"/>
      <c r="J130" s="19"/>
    </row>
    <row r="131" spans="1:10" ht="18" customHeight="1">
      <c r="A131" s="18"/>
      <c r="B131" s="18"/>
      <c r="C131" s="18"/>
      <c r="D131" s="18"/>
      <c r="E131" s="18"/>
      <c r="F131" s="37"/>
      <c r="G131" s="37"/>
      <c r="H131" s="37"/>
      <c r="I131" s="18"/>
      <c r="J131" s="19"/>
    </row>
    <row r="132" spans="1:10" ht="18" customHeight="1">
      <c r="A132" s="456" t="s">
        <v>660</v>
      </c>
      <c r="B132" s="18"/>
      <c r="C132" s="18"/>
      <c r="D132" s="18"/>
      <c r="E132" s="18"/>
      <c r="F132" s="37"/>
      <c r="G132" s="37"/>
      <c r="H132" s="37"/>
      <c r="I132" s="18"/>
      <c r="J132" s="19"/>
    </row>
    <row r="133" spans="1:10" ht="18" customHeight="1">
      <c r="A133" s="35" t="s">
        <v>657</v>
      </c>
      <c r="B133" s="319" t="s">
        <v>94</v>
      </c>
      <c r="C133" s="320" t="s">
        <v>95</v>
      </c>
      <c r="D133" s="320" t="s">
        <v>96</v>
      </c>
      <c r="E133" s="320" t="s">
        <v>97</v>
      </c>
      <c r="F133" s="320" t="s">
        <v>98</v>
      </c>
      <c r="G133" s="320" t="s">
        <v>99</v>
      </c>
      <c r="H133" s="251" t="s">
        <v>100</v>
      </c>
      <c r="I133" s="252" t="s">
        <v>147</v>
      </c>
      <c r="J133" s="321" t="s">
        <v>101</v>
      </c>
    </row>
    <row r="134" spans="1:10" ht="18" customHeight="1">
      <c r="A134" s="405" t="s">
        <v>0</v>
      </c>
      <c r="B134" s="406" t="s">
        <v>658</v>
      </c>
      <c r="C134" s="406" t="s">
        <v>658</v>
      </c>
      <c r="D134" s="406" t="s">
        <v>658</v>
      </c>
      <c r="E134" s="406" t="s">
        <v>658</v>
      </c>
      <c r="F134" s="407" t="s">
        <v>621</v>
      </c>
      <c r="G134" s="407"/>
      <c r="H134" s="407"/>
      <c r="I134" s="368"/>
      <c r="J134" s="408"/>
    </row>
    <row r="135" spans="1:10" ht="18" customHeight="1">
      <c r="A135" s="3875" t="s">
        <v>661</v>
      </c>
      <c r="B135" s="3876">
        <v>7.5</v>
      </c>
      <c r="C135" s="3876">
        <v>7.5</v>
      </c>
      <c r="D135" s="3876">
        <v>7.5</v>
      </c>
      <c r="E135" s="3876">
        <v>7.5</v>
      </c>
      <c r="F135" s="3895">
        <v>7</v>
      </c>
      <c r="G135" s="3895"/>
      <c r="H135" s="3895"/>
      <c r="I135" s="3876">
        <f>SUM(B135:H135)</f>
        <v>37</v>
      </c>
      <c r="J135" s="465" t="s">
        <v>631</v>
      </c>
    </row>
    <row r="136" spans="1:10" ht="18" customHeight="1">
      <c r="A136" s="405" t="s">
        <v>0</v>
      </c>
      <c r="B136" s="406" t="s">
        <v>658</v>
      </c>
      <c r="C136" s="406" t="s">
        <v>658</v>
      </c>
      <c r="D136" s="406" t="s">
        <v>658</v>
      </c>
      <c r="E136" s="406" t="s">
        <v>658</v>
      </c>
      <c r="F136" s="407" t="s">
        <v>621</v>
      </c>
      <c r="G136" s="407"/>
      <c r="H136" s="407"/>
      <c r="I136" s="368"/>
      <c r="J136" s="408"/>
    </row>
    <row r="137" spans="1:10" ht="18" customHeight="1">
      <c r="A137" s="3875" t="s">
        <v>662</v>
      </c>
      <c r="B137" s="3876">
        <v>7.5</v>
      </c>
      <c r="C137" s="3876">
        <v>7.5</v>
      </c>
      <c r="D137" s="3876">
        <v>7.5</v>
      </c>
      <c r="E137" s="3876">
        <v>7.5</v>
      </c>
      <c r="F137" s="3895">
        <v>7</v>
      </c>
      <c r="G137" s="3895"/>
      <c r="H137" s="3895"/>
      <c r="I137" s="3876">
        <f>SUM(B137:H137)</f>
        <v>37</v>
      </c>
      <c r="J137" s="465" t="s">
        <v>631</v>
      </c>
    </row>
    <row r="138" spans="1:10" ht="18" customHeight="1">
      <c r="A138" s="405" t="s">
        <v>0</v>
      </c>
      <c r="B138" s="406" t="s">
        <v>658</v>
      </c>
      <c r="C138" s="406" t="s">
        <v>658</v>
      </c>
      <c r="D138" s="406" t="s">
        <v>658</v>
      </c>
      <c r="E138" s="406" t="s">
        <v>658</v>
      </c>
      <c r="F138" s="407" t="s">
        <v>621</v>
      </c>
      <c r="G138" s="407"/>
      <c r="H138" s="407"/>
      <c r="I138" s="368"/>
      <c r="J138" s="408"/>
    </row>
    <row r="139" spans="1:10" ht="18" customHeight="1">
      <c r="A139" s="3875" t="s">
        <v>663</v>
      </c>
      <c r="B139" s="3876">
        <v>7.5</v>
      </c>
      <c r="C139" s="3876">
        <v>7.5</v>
      </c>
      <c r="D139" s="3876">
        <v>7.5</v>
      </c>
      <c r="E139" s="3876">
        <v>7.5</v>
      </c>
      <c r="F139" s="3895">
        <v>7</v>
      </c>
      <c r="G139" s="3895"/>
      <c r="H139" s="3895"/>
      <c r="I139" s="3876">
        <f>SUM(B139:H139)</f>
        <v>37</v>
      </c>
      <c r="J139" s="465" t="s">
        <v>631</v>
      </c>
    </row>
    <row r="140" spans="1:10" ht="18" customHeight="1">
      <c r="A140" s="405" t="s">
        <v>0</v>
      </c>
      <c r="B140" s="406" t="s">
        <v>658</v>
      </c>
      <c r="C140" s="406" t="s">
        <v>658</v>
      </c>
      <c r="D140" s="406" t="s">
        <v>658</v>
      </c>
      <c r="E140" s="406" t="s">
        <v>658</v>
      </c>
      <c r="F140" s="407" t="s">
        <v>621</v>
      </c>
      <c r="G140" s="407"/>
      <c r="H140" s="407"/>
      <c r="I140" s="368"/>
      <c r="J140" s="408"/>
    </row>
    <row r="141" spans="1:10" ht="18" customHeight="1">
      <c r="A141" s="3875" t="s">
        <v>664</v>
      </c>
      <c r="B141" s="3876">
        <v>7.5</v>
      </c>
      <c r="C141" s="3876">
        <v>7.5</v>
      </c>
      <c r="D141" s="3876">
        <v>7.5</v>
      </c>
      <c r="E141" s="3876">
        <v>7.5</v>
      </c>
      <c r="F141" s="3895">
        <v>7</v>
      </c>
      <c r="G141" s="3895"/>
      <c r="H141" s="3895"/>
      <c r="I141" s="3876">
        <f>SUM(B141:H141)</f>
        <v>37</v>
      </c>
      <c r="J141" s="465" t="s">
        <v>631</v>
      </c>
    </row>
    <row r="142" spans="1:10" ht="18" customHeight="1">
      <c r="A142" s="405" t="s">
        <v>0</v>
      </c>
      <c r="B142" s="406" t="s">
        <v>658</v>
      </c>
      <c r="C142" s="406" t="s">
        <v>658</v>
      </c>
      <c r="D142" s="406" t="s">
        <v>658</v>
      </c>
      <c r="E142" s="406" t="s">
        <v>658</v>
      </c>
      <c r="F142" s="407" t="s">
        <v>621</v>
      </c>
      <c r="G142" s="407"/>
      <c r="H142" s="407"/>
      <c r="I142" s="368"/>
      <c r="J142" s="408"/>
    </row>
    <row r="143" spans="1:10" ht="18" customHeight="1">
      <c r="A143" s="3875" t="s">
        <v>665</v>
      </c>
      <c r="B143" s="3876">
        <v>7.5</v>
      </c>
      <c r="C143" s="3876">
        <v>7.5</v>
      </c>
      <c r="D143" s="3876">
        <v>7.5</v>
      </c>
      <c r="E143" s="3876">
        <v>7.5</v>
      </c>
      <c r="F143" s="3895">
        <v>7</v>
      </c>
      <c r="G143" s="3895"/>
      <c r="H143" s="3895"/>
      <c r="I143" s="3876">
        <f>SUM(B143:H143)</f>
        <v>37</v>
      </c>
      <c r="J143" s="465" t="s">
        <v>631</v>
      </c>
    </row>
    <row r="144" spans="1:10" ht="18" customHeight="1">
      <c r="A144" s="253" t="s">
        <v>563</v>
      </c>
      <c r="B144" s="253">
        <f t="shared" ref="B144:I144" si="7">SUM(B135,B137,B139,B141,B143)</f>
        <v>37.5</v>
      </c>
      <c r="C144" s="253">
        <f t="shared" si="7"/>
        <v>37.5</v>
      </c>
      <c r="D144" s="253">
        <f t="shared" si="7"/>
        <v>37.5</v>
      </c>
      <c r="E144" s="253">
        <f t="shared" si="7"/>
        <v>37.5</v>
      </c>
      <c r="F144" s="253">
        <f t="shared" si="7"/>
        <v>35</v>
      </c>
      <c r="G144" s="253">
        <f t="shared" si="7"/>
        <v>0</v>
      </c>
      <c r="H144" s="253">
        <f t="shared" si="7"/>
        <v>0</v>
      </c>
      <c r="I144" s="261">
        <f t="shared" si="7"/>
        <v>185</v>
      </c>
      <c r="J144" s="262"/>
    </row>
    <row r="145" spans="1:10" ht="18" customHeight="1">
      <c r="A145" s="18"/>
      <c r="B145" s="18"/>
      <c r="C145" s="18"/>
      <c r="D145" s="18"/>
      <c r="E145" s="18"/>
      <c r="F145" s="37"/>
      <c r="G145" s="37"/>
      <c r="H145" s="37"/>
      <c r="I145" s="18"/>
      <c r="J145" s="19"/>
    </row>
    <row r="146" spans="1:10" ht="18" customHeight="1">
      <c r="A146" s="18"/>
      <c r="B146" s="18"/>
      <c r="C146" s="18"/>
      <c r="D146" s="18"/>
      <c r="E146" s="18"/>
      <c r="F146" s="37"/>
      <c r="G146" s="37"/>
      <c r="H146" s="37"/>
      <c r="I146" s="18"/>
      <c r="J146" s="19"/>
    </row>
    <row r="147" spans="1:10" ht="20.100000000000001" customHeight="1">
      <c r="B147" s="263" t="s">
        <v>94</v>
      </c>
      <c r="C147" s="257" t="s">
        <v>95</v>
      </c>
      <c r="D147" s="257" t="s">
        <v>96</v>
      </c>
      <c r="E147" s="257" t="s">
        <v>97</v>
      </c>
      <c r="F147" s="257" t="s">
        <v>98</v>
      </c>
      <c r="G147" s="257" t="s">
        <v>99</v>
      </c>
      <c r="H147" s="264" t="s">
        <v>100</v>
      </c>
      <c r="I147" s="265" t="s">
        <v>666</v>
      </c>
      <c r="J147" s="37" t="s">
        <v>0</v>
      </c>
    </row>
    <row r="148" spans="1:10" ht="20.100000000000001" customHeight="1">
      <c r="A148" s="3899" t="s">
        <v>667</v>
      </c>
      <c r="B148" s="4">
        <f t="shared" ref="B148:I148" si="8">SUM(B4,B20,B30,B65,B74,B89,B98,B102,B107,B117,B122,B127,B144)</f>
        <v>368.40000000000003</v>
      </c>
      <c r="C148" s="4">
        <f t="shared" si="8"/>
        <v>364</v>
      </c>
      <c r="D148" s="4">
        <f t="shared" si="8"/>
        <v>369.5</v>
      </c>
      <c r="E148" s="4">
        <f t="shared" si="8"/>
        <v>368.5</v>
      </c>
      <c r="F148" s="4">
        <f t="shared" si="8"/>
        <v>333.65</v>
      </c>
      <c r="G148" s="4">
        <f t="shared" si="8"/>
        <v>96.5</v>
      </c>
      <c r="H148" s="4">
        <f t="shared" si="8"/>
        <v>84</v>
      </c>
      <c r="I148" s="4">
        <f t="shared" si="8"/>
        <v>1984.55</v>
      </c>
      <c r="J148" s="761" t="s">
        <v>0</v>
      </c>
    </row>
    <row r="149" spans="1:10" ht="20.100000000000001" customHeight="1">
      <c r="A149" s="3899" t="s">
        <v>668</v>
      </c>
      <c r="B149" s="3888">
        <f>SUM(G148)*4</f>
        <v>386</v>
      </c>
      <c r="C149" s="3888">
        <f>SUM(G148)*1</f>
        <v>96.5</v>
      </c>
      <c r="D149" s="3888">
        <f>SUM(G148)*0</f>
        <v>0</v>
      </c>
      <c r="E149" s="3888">
        <f>SUM(G148)*2</f>
        <v>193</v>
      </c>
      <c r="F149" s="3888">
        <f>SUM(G148)*2</f>
        <v>193</v>
      </c>
      <c r="G149" s="3888">
        <f>SUM(G148)*0</f>
        <v>0</v>
      </c>
      <c r="H149" s="3888">
        <f>SUM(G148)*0</f>
        <v>0</v>
      </c>
      <c r="I149" s="4">
        <f>SUM(B149:H149)</f>
        <v>868.5</v>
      </c>
    </row>
    <row r="150" spans="1:10" ht="20.100000000000001" customHeight="1">
      <c r="A150" s="3899" t="s">
        <v>669</v>
      </c>
      <c r="B150" s="4">
        <f>SUM(B148*48)+B149</f>
        <v>18069.2</v>
      </c>
      <c r="C150" s="4">
        <f>SUM(C148*51)+C149</f>
        <v>18660.5</v>
      </c>
      <c r="D150" s="4">
        <f>SUM(D148*52)+D149</f>
        <v>19214</v>
      </c>
      <c r="E150" s="4">
        <f>SUM(E148*52)+E149</f>
        <v>19355</v>
      </c>
      <c r="F150" s="4">
        <f>SUM(F148*52)+F149</f>
        <v>17542.8</v>
      </c>
      <c r="G150" s="4">
        <f>SUM(G148*52)+G149</f>
        <v>5018</v>
      </c>
      <c r="H150" s="4">
        <f>SUM(H148*52)+H149</f>
        <v>4368</v>
      </c>
      <c r="I150" s="41">
        <f>SUM(B150:H150)</f>
        <v>102227.5</v>
      </c>
    </row>
    <row r="151" spans="1:10" ht="20.100000000000001" customHeight="1"/>
    <row r="152" spans="1:10" ht="20.100000000000001" customHeight="1"/>
    <row r="153" spans="1:10" ht="20.100000000000001" customHeight="1">
      <c r="A153" s="3899" t="s">
        <v>670</v>
      </c>
      <c r="B153" s="3899"/>
      <c r="C153" s="3899"/>
      <c r="D153" s="3899"/>
      <c r="E153" s="3888">
        <v>56</v>
      </c>
      <c r="F153" s="3899"/>
      <c r="G153" s="3899"/>
      <c r="H153" s="3900"/>
      <c r="I153" s="3901">
        <f>SUM(E153)*52</f>
        <v>2912</v>
      </c>
    </row>
    <row r="154" spans="1:10" ht="20.100000000000001" customHeight="1">
      <c r="A154" s="3902" t="s">
        <v>671</v>
      </c>
      <c r="B154" s="3902"/>
      <c r="C154" s="3902"/>
      <c r="D154" s="3902"/>
      <c r="E154" s="3902"/>
      <c r="F154" s="3902"/>
      <c r="G154" s="3902"/>
      <c r="H154" s="3902"/>
      <c r="I154" s="3901">
        <f>SUM(I153*2)</f>
        <v>5824</v>
      </c>
    </row>
    <row r="155" spans="1:10" ht="20.100000000000001" customHeight="1">
      <c r="A155" s="3899" t="s">
        <v>672</v>
      </c>
      <c r="B155" s="3899"/>
      <c r="C155" s="3900"/>
      <c r="D155" s="3902"/>
      <c r="E155" s="3902"/>
      <c r="F155" s="3902"/>
      <c r="G155" s="3902"/>
      <c r="H155" s="3902"/>
      <c r="I155" s="3901">
        <f>48*12</f>
        <v>576</v>
      </c>
    </row>
    <row r="156" spans="1:10" ht="20.100000000000001" customHeight="1">
      <c r="A156" s="3903" t="s">
        <v>666</v>
      </c>
      <c r="B156" s="3903"/>
      <c r="C156" s="3903"/>
      <c r="D156" s="3903"/>
      <c r="E156" s="3903"/>
      <c r="F156" s="3903"/>
      <c r="G156" s="3903"/>
      <c r="H156" s="3903"/>
      <c r="I156" s="3904">
        <f>SUM(I153:I155)</f>
        <v>9312</v>
      </c>
    </row>
    <row r="157" spans="1:10" ht="20.100000000000001" customHeight="1">
      <c r="I157" s="42"/>
    </row>
    <row r="158" spans="1:10" ht="20.100000000000001" customHeight="1">
      <c r="I158" s="42"/>
    </row>
    <row r="159" spans="1:10" ht="20.100000000000001" customHeight="1">
      <c r="A159" s="3903" t="s">
        <v>673</v>
      </c>
      <c r="B159" s="3903"/>
      <c r="C159" s="3903"/>
      <c r="D159" s="3903"/>
      <c r="E159" s="3903"/>
      <c r="F159" s="3903"/>
      <c r="G159" s="3903"/>
      <c r="H159" s="3903"/>
      <c r="I159" s="3905">
        <f>SUM(I150:I156)</f>
        <v>120851.5</v>
      </c>
      <c r="J159" t="s">
        <v>674</v>
      </c>
    </row>
    <row r="160" spans="1:10" ht="20.100000000000001" customHeight="1"/>
  </sheetData>
  <phoneticPr fontId="8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AF267"/>
  <sheetViews>
    <sheetView topLeftCell="A74" zoomScale="90" zoomScaleNormal="90" workbookViewId="0">
      <selection activeCell="O85" sqref="O85"/>
    </sheetView>
  </sheetViews>
  <sheetFormatPr defaultRowHeight="12"/>
  <cols>
    <col min="1" max="1" width="26.140625" customWidth="1"/>
    <col min="2" max="2" width="15.140625" customWidth="1"/>
    <col min="3" max="3" width="15.5703125" customWidth="1"/>
    <col min="4" max="4" width="16.140625" customWidth="1"/>
    <col min="5" max="5" width="14.7109375" customWidth="1"/>
    <col min="6" max="6" width="16.5703125" customWidth="1"/>
    <col min="7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140625" customWidth="1"/>
    <col min="23" max="23" width="15.85546875" customWidth="1"/>
    <col min="24" max="24" width="19.140625" customWidth="1"/>
    <col min="25" max="25" width="11.140625" customWidth="1"/>
  </cols>
  <sheetData>
    <row r="1" spans="1:15" ht="20.100000000000001" customHeight="1">
      <c r="A1" s="1" t="s">
        <v>547</v>
      </c>
      <c r="B1" s="1"/>
      <c r="D1" s="2"/>
      <c r="E1" s="2"/>
    </row>
    <row r="2" spans="1:15" ht="20.100000000000001" customHeight="1">
      <c r="A2" s="402" t="s">
        <v>675</v>
      </c>
      <c r="B2" s="403" t="s">
        <v>94</v>
      </c>
      <c r="C2" s="398" t="s">
        <v>95</v>
      </c>
      <c r="D2" s="398" t="s">
        <v>96</v>
      </c>
      <c r="E2" s="398" t="s">
        <v>97</v>
      </c>
      <c r="F2" s="398" t="s">
        <v>98</v>
      </c>
      <c r="G2" s="398" t="s">
        <v>99</v>
      </c>
      <c r="H2" s="371" t="s">
        <v>100</v>
      </c>
      <c r="I2" s="368" t="s">
        <v>147</v>
      </c>
      <c r="J2" s="404" t="s">
        <v>101</v>
      </c>
    </row>
    <row r="3" spans="1:15" ht="20.100000000000001" customHeight="1">
      <c r="A3" s="3"/>
      <c r="B3" s="4" t="s">
        <v>184</v>
      </c>
      <c r="C3" s="4" t="s">
        <v>184</v>
      </c>
      <c r="D3" s="4" t="s">
        <v>184</v>
      </c>
      <c r="E3" s="4" t="s">
        <v>184</v>
      </c>
      <c r="F3" s="5" t="s">
        <v>676</v>
      </c>
      <c r="G3" s="6"/>
      <c r="H3" s="7"/>
      <c r="I3" s="8"/>
      <c r="J3" s="9"/>
    </row>
    <row r="4" spans="1:15" ht="20.100000000000001" customHeight="1">
      <c r="A4" s="479" t="s">
        <v>677</v>
      </c>
      <c r="B4" s="457">
        <v>7.75</v>
      </c>
      <c r="C4" s="457">
        <v>7.75</v>
      </c>
      <c r="D4" s="457">
        <v>7.75</v>
      </c>
      <c r="E4" s="457">
        <v>7.75</v>
      </c>
      <c r="F4" s="458">
        <v>6</v>
      </c>
      <c r="G4" s="459"/>
      <c r="H4" s="460"/>
      <c r="I4" s="461">
        <f>SUM(B4:H4)</f>
        <v>37</v>
      </c>
      <c r="J4" s="462"/>
    </row>
    <row r="5" spans="1:15" ht="20.100000000000001" customHeight="1">
      <c r="A5" s="1" t="s">
        <v>678</v>
      </c>
      <c r="B5" s="1"/>
      <c r="D5" s="2"/>
      <c r="E5" s="2"/>
    </row>
    <row r="6" spans="1:15" ht="20.100000000000001" customHeight="1">
      <c r="A6" s="396" t="s">
        <v>565</v>
      </c>
      <c r="B6" s="403" t="s">
        <v>94</v>
      </c>
      <c r="C6" s="398" t="s">
        <v>95</v>
      </c>
      <c r="D6" s="398" t="s">
        <v>96</v>
      </c>
      <c r="E6" s="398" t="s">
        <v>97</v>
      </c>
      <c r="F6" s="398" t="s">
        <v>98</v>
      </c>
      <c r="G6" s="398" t="s">
        <v>99</v>
      </c>
      <c r="H6" s="398" t="s">
        <v>100</v>
      </c>
      <c r="I6" s="400" t="s">
        <v>147</v>
      </c>
      <c r="J6" s="404" t="s">
        <v>101</v>
      </c>
    </row>
    <row r="7" spans="1:15" ht="20.100000000000001" customHeight="1">
      <c r="A7" s="2586"/>
      <c r="B7" s="3906" t="s">
        <v>566</v>
      </c>
      <c r="C7" s="3906" t="s">
        <v>566</v>
      </c>
      <c r="D7" s="3906" t="s">
        <v>566</v>
      </c>
      <c r="E7" s="3906" t="s">
        <v>566</v>
      </c>
      <c r="F7" s="3906" t="s">
        <v>567</v>
      </c>
      <c r="G7" s="3907"/>
      <c r="H7" s="3907"/>
      <c r="I7" s="3899"/>
      <c r="J7" s="3908"/>
    </row>
    <row r="8" spans="1:15" ht="20.100000000000001" customHeight="1">
      <c r="A8" s="479" t="s">
        <v>31</v>
      </c>
      <c r="B8" s="3895">
        <v>7.75</v>
      </c>
      <c r="C8" s="3895">
        <v>7.75</v>
      </c>
      <c r="D8" s="3895">
        <v>7.75</v>
      </c>
      <c r="E8" s="3895">
        <v>7.75</v>
      </c>
      <c r="F8" s="3895">
        <v>6</v>
      </c>
      <c r="G8" s="459"/>
      <c r="H8" s="460"/>
      <c r="I8" s="461">
        <f>SUM(B8:H8)</f>
        <v>37</v>
      </c>
      <c r="J8" s="462"/>
    </row>
    <row r="9" spans="1:15" ht="20.100000000000001" customHeight="1">
      <c r="A9" s="18"/>
      <c r="E9" s="18"/>
      <c r="F9" s="37"/>
      <c r="G9" s="3909" t="s">
        <v>679</v>
      </c>
      <c r="H9" s="3909" t="s">
        <v>680</v>
      </c>
      <c r="I9" s="3909" t="s">
        <v>681</v>
      </c>
      <c r="J9" s="44"/>
    </row>
    <row r="10" spans="1:15" ht="20.100000000000001" customHeight="1">
      <c r="A10" s="18"/>
      <c r="E10" s="18"/>
      <c r="F10" s="37"/>
      <c r="G10" s="3888">
        <f>I4+I8</f>
        <v>74</v>
      </c>
      <c r="H10" s="3910">
        <f>SUM(G10*13/3)</f>
        <v>320.66666666666669</v>
      </c>
      <c r="I10" s="3888">
        <f>SUM(H10*12)</f>
        <v>3848</v>
      </c>
      <c r="J10" s="44"/>
    </row>
    <row r="11" spans="1:15" ht="20.100000000000001" customHeight="1">
      <c r="A11" s="152" t="s">
        <v>19</v>
      </c>
      <c r="B11" s="152"/>
      <c r="D11" s="2"/>
      <c r="E11" s="2"/>
    </row>
    <row r="12" spans="1:15" ht="18" customHeight="1">
      <c r="A12" s="248" t="s">
        <v>550</v>
      </c>
      <c r="B12" s="319" t="s">
        <v>94</v>
      </c>
      <c r="C12" s="320" t="s">
        <v>95</v>
      </c>
      <c r="D12" s="320" t="s">
        <v>96</v>
      </c>
      <c r="E12" s="320" t="s">
        <v>97</v>
      </c>
      <c r="F12" s="320" t="s">
        <v>98</v>
      </c>
      <c r="G12" s="320" t="s">
        <v>99</v>
      </c>
      <c r="H12" s="251" t="s">
        <v>100</v>
      </c>
      <c r="I12" s="252" t="s">
        <v>147</v>
      </c>
      <c r="J12" s="321" t="s">
        <v>101</v>
      </c>
    </row>
    <row r="13" spans="1:15" ht="18" customHeight="1">
      <c r="A13" s="427" t="s">
        <v>0</v>
      </c>
      <c r="B13" s="398" t="s">
        <v>682</v>
      </c>
      <c r="C13" s="398" t="s">
        <v>682</v>
      </c>
      <c r="D13" s="398" t="s">
        <v>682</v>
      </c>
      <c r="E13" s="398" t="s">
        <v>682</v>
      </c>
      <c r="F13" s="398" t="s">
        <v>682</v>
      </c>
      <c r="G13" s="398" t="s">
        <v>683</v>
      </c>
      <c r="H13" s="398" t="s">
        <v>683</v>
      </c>
      <c r="I13" s="381"/>
      <c r="J13" s="266" t="s">
        <v>684</v>
      </c>
      <c r="M13" s="323"/>
      <c r="N13" s="267" t="s">
        <v>685</v>
      </c>
    </row>
    <row r="14" spans="1:15" ht="18" customHeight="1">
      <c r="A14" s="3911" t="s">
        <v>39</v>
      </c>
      <c r="B14" s="3895">
        <v>8.25</v>
      </c>
      <c r="C14" s="3895">
        <v>8.25</v>
      </c>
      <c r="D14" s="458">
        <v>8.25</v>
      </c>
      <c r="E14" s="458">
        <v>8.25</v>
      </c>
      <c r="F14" s="458">
        <v>8.25</v>
      </c>
      <c r="G14" s="458">
        <v>12.25</v>
      </c>
      <c r="H14" s="458">
        <v>12.25</v>
      </c>
      <c r="I14" s="480">
        <f>SUM(B14:H14)</f>
        <v>65.75</v>
      </c>
      <c r="J14" s="481" t="s">
        <v>686</v>
      </c>
      <c r="K14" s="762"/>
      <c r="M14" s="3912"/>
      <c r="N14" s="3913" t="s">
        <v>687</v>
      </c>
      <c r="O14" s="18"/>
    </row>
    <row r="15" spans="1:15" ht="18" customHeight="1">
      <c r="A15" s="427" t="s">
        <v>0</v>
      </c>
      <c r="B15" s="406" t="s">
        <v>160</v>
      </c>
      <c r="C15" s="406" t="s">
        <v>160</v>
      </c>
      <c r="D15" s="406" t="s">
        <v>160</v>
      </c>
      <c r="E15" s="406" t="s">
        <v>160</v>
      </c>
      <c r="F15" s="406" t="s">
        <v>160</v>
      </c>
      <c r="G15" s="381"/>
      <c r="H15" s="381"/>
      <c r="I15" s="428"/>
      <c r="J15" s="429" t="s">
        <v>688</v>
      </c>
      <c r="K15" s="18"/>
      <c r="M15" s="3912" t="s">
        <v>148</v>
      </c>
      <c r="N15" s="3913">
        <f>I14</f>
        <v>65.75</v>
      </c>
      <c r="O15" s="18"/>
    </row>
    <row r="16" spans="1:15" ht="18" customHeight="1">
      <c r="A16" s="3911" t="s">
        <v>689</v>
      </c>
      <c r="B16" s="3895"/>
      <c r="C16" s="3895"/>
      <c r="D16" s="3895"/>
      <c r="E16" s="3895"/>
      <c r="F16" s="3895"/>
      <c r="G16" s="3914"/>
      <c r="H16" s="3914"/>
      <c r="I16" s="480">
        <f>SUM(B16:H16)</f>
        <v>0</v>
      </c>
      <c r="J16" s="481" t="s">
        <v>22</v>
      </c>
      <c r="K16" s="18"/>
      <c r="M16" s="3912" t="s">
        <v>152</v>
      </c>
      <c r="N16" s="3913">
        <f>I16</f>
        <v>0</v>
      </c>
      <c r="O16" s="18"/>
    </row>
    <row r="17" spans="1:17" ht="18" customHeight="1">
      <c r="A17" s="427" t="s">
        <v>0</v>
      </c>
      <c r="B17" s="398" t="s">
        <v>690</v>
      </c>
      <c r="C17" s="398" t="s">
        <v>690</v>
      </c>
      <c r="D17" s="398" t="s">
        <v>690</v>
      </c>
      <c r="E17" s="398" t="s">
        <v>690</v>
      </c>
      <c r="F17" s="398" t="s">
        <v>690</v>
      </c>
      <c r="G17" s="430"/>
      <c r="H17" s="430"/>
      <c r="I17" s="428"/>
      <c r="J17" s="429" t="s">
        <v>691</v>
      </c>
      <c r="K17" s="18"/>
      <c r="M17" s="3912" t="s">
        <v>159</v>
      </c>
      <c r="N17" s="3913">
        <v>0</v>
      </c>
      <c r="O17" s="18"/>
    </row>
    <row r="18" spans="1:17" ht="18" customHeight="1">
      <c r="A18" s="3915" t="s">
        <v>692</v>
      </c>
      <c r="B18" s="458">
        <v>8.25</v>
      </c>
      <c r="C18" s="458">
        <v>8.25</v>
      </c>
      <c r="D18" s="458">
        <v>8.25</v>
      </c>
      <c r="E18" s="458">
        <v>8.25</v>
      </c>
      <c r="F18" s="458">
        <v>8.25</v>
      </c>
      <c r="G18" s="3895"/>
      <c r="H18" s="3895"/>
      <c r="I18" s="480">
        <f>SUM(B18:H18)</f>
        <v>41.25</v>
      </c>
      <c r="J18" s="481" t="s">
        <v>693</v>
      </c>
      <c r="K18" s="761"/>
      <c r="M18" s="3912" t="s">
        <v>161</v>
      </c>
      <c r="N18" s="3913">
        <f>I20</f>
        <v>64.5</v>
      </c>
      <c r="O18" s="18"/>
    </row>
    <row r="19" spans="1:17" ht="18" customHeight="1">
      <c r="A19" s="431" t="s">
        <v>0</v>
      </c>
      <c r="B19" s="398" t="s">
        <v>694</v>
      </c>
      <c r="C19" s="398" t="s">
        <v>694</v>
      </c>
      <c r="D19" s="398" t="s">
        <v>694</v>
      </c>
      <c r="E19" s="398" t="s">
        <v>694</v>
      </c>
      <c r="F19" s="398" t="s">
        <v>694</v>
      </c>
      <c r="G19" s="430" t="s">
        <v>695</v>
      </c>
      <c r="H19" s="430" t="s">
        <v>695</v>
      </c>
      <c r="I19" s="428"/>
      <c r="J19" s="399"/>
      <c r="K19" s="18"/>
      <c r="M19" s="3912" t="s">
        <v>182</v>
      </c>
      <c r="N19" s="3913">
        <v>0</v>
      </c>
      <c r="O19" s="18"/>
    </row>
    <row r="20" spans="1:17" ht="18" customHeight="1">
      <c r="A20" s="3911" t="s">
        <v>34</v>
      </c>
      <c r="B20" s="3895">
        <v>8</v>
      </c>
      <c r="C20" s="3895">
        <v>8</v>
      </c>
      <c r="D20" s="3895">
        <v>8</v>
      </c>
      <c r="E20" s="3895">
        <v>8</v>
      </c>
      <c r="F20" s="3895">
        <v>8</v>
      </c>
      <c r="G20" s="3906">
        <v>12.25</v>
      </c>
      <c r="H20" s="3906">
        <v>12.25</v>
      </c>
      <c r="I20" s="480">
        <f>SUM(B20:H20)</f>
        <v>64.5</v>
      </c>
      <c r="J20" s="3834"/>
      <c r="K20" s="18"/>
      <c r="M20" s="3912" t="s">
        <v>198</v>
      </c>
      <c r="N20" s="3913">
        <v>0</v>
      </c>
      <c r="O20" s="18"/>
    </row>
    <row r="21" spans="1:17" ht="18" customHeight="1">
      <c r="A21" s="427" t="s">
        <v>0</v>
      </c>
      <c r="B21" s="406" t="s">
        <v>160</v>
      </c>
      <c r="C21" s="406" t="s">
        <v>160</v>
      </c>
      <c r="D21" s="406" t="s">
        <v>160</v>
      </c>
      <c r="E21" s="406" t="s">
        <v>160</v>
      </c>
      <c r="F21" s="406" t="s">
        <v>160</v>
      </c>
      <c r="G21" s="432"/>
      <c r="H21" s="433"/>
      <c r="I21" s="428"/>
      <c r="J21" s="399"/>
      <c r="K21" s="18"/>
      <c r="M21" s="3916" t="s">
        <v>696</v>
      </c>
      <c r="N21" s="3917">
        <f>SUM(N15:N20)</f>
        <v>130.25</v>
      </c>
      <c r="O21" s="18"/>
    </row>
    <row r="22" spans="1:17" ht="18" customHeight="1">
      <c r="A22" s="3911" t="s">
        <v>697</v>
      </c>
      <c r="B22" s="758"/>
      <c r="C22" s="758"/>
      <c r="D22" s="758"/>
      <c r="E22" s="758"/>
      <c r="F22" s="758"/>
      <c r="G22" s="3914"/>
      <c r="H22" s="2606"/>
      <c r="I22" s="480">
        <f>SUM(B22:H22)</f>
        <v>0</v>
      </c>
      <c r="J22" s="3834"/>
      <c r="K22" s="18"/>
    </row>
    <row r="23" spans="1:17" ht="18" customHeight="1">
      <c r="A23" s="427" t="s">
        <v>0</v>
      </c>
      <c r="B23" s="398" t="s">
        <v>698</v>
      </c>
      <c r="C23" s="398" t="s">
        <v>698</v>
      </c>
      <c r="D23" s="398" t="s">
        <v>698</v>
      </c>
      <c r="E23" s="398" t="s">
        <v>698</v>
      </c>
      <c r="F23" s="398" t="s">
        <v>698</v>
      </c>
      <c r="G23" s="381"/>
      <c r="H23" s="433"/>
      <c r="I23" s="428"/>
      <c r="J23" s="399" t="s">
        <v>699</v>
      </c>
      <c r="K23" s="18"/>
      <c r="M23" t="s">
        <v>30</v>
      </c>
      <c r="N23" t="s">
        <v>700</v>
      </c>
      <c r="P23">
        <v>148</v>
      </c>
      <c r="Q23" t="s">
        <v>701</v>
      </c>
    </row>
    <row r="24" spans="1:17" ht="18" customHeight="1">
      <c r="A24" s="3911" t="s">
        <v>702</v>
      </c>
      <c r="B24" s="3895">
        <v>7.25</v>
      </c>
      <c r="C24" s="3895">
        <v>7.25</v>
      </c>
      <c r="D24" s="3895">
        <v>7.25</v>
      </c>
      <c r="E24" s="3895">
        <v>7.25</v>
      </c>
      <c r="F24" s="3895">
        <v>7.25</v>
      </c>
      <c r="G24" s="3914"/>
      <c r="H24" s="3918"/>
      <c r="I24" s="480">
        <f>SUM(B24:H24)</f>
        <v>36.25</v>
      </c>
      <c r="J24" s="3834"/>
      <c r="K24" s="18"/>
      <c r="O24" t="s">
        <v>0</v>
      </c>
    </row>
    <row r="25" spans="1:17" ht="18" customHeight="1">
      <c r="A25" s="253" t="s">
        <v>563</v>
      </c>
      <c r="B25" s="268">
        <f t="shared" ref="B25:I25" si="0">SUM(B14,B16,B18,B20,B22,B24)</f>
        <v>31.75</v>
      </c>
      <c r="C25" s="268">
        <f t="shared" si="0"/>
        <v>31.75</v>
      </c>
      <c r="D25" s="268">
        <f t="shared" si="0"/>
        <v>31.75</v>
      </c>
      <c r="E25" s="268">
        <f t="shared" si="0"/>
        <v>31.75</v>
      </c>
      <c r="F25" s="268">
        <f t="shared" si="0"/>
        <v>31.75</v>
      </c>
      <c r="G25" s="268">
        <f t="shared" si="0"/>
        <v>24.5</v>
      </c>
      <c r="H25" s="268">
        <f t="shared" si="0"/>
        <v>24.5</v>
      </c>
      <c r="I25" s="268">
        <f t="shared" si="0"/>
        <v>207.75</v>
      </c>
      <c r="J25" s="254"/>
      <c r="K25" s="18"/>
      <c r="M25" t="s">
        <v>703</v>
      </c>
      <c r="O25" s="69">
        <f>N21</f>
        <v>130.25</v>
      </c>
    </row>
    <row r="26" spans="1:17" ht="18" customHeight="1">
      <c r="A26" s="16" t="s">
        <v>564</v>
      </c>
      <c r="D26" s="2"/>
      <c r="E26" s="2"/>
    </row>
    <row r="27" spans="1:17" ht="18" customHeight="1">
      <c r="A27" s="248" t="s">
        <v>565</v>
      </c>
      <c r="B27" s="319" t="s">
        <v>94</v>
      </c>
      <c r="C27" s="320" t="s">
        <v>95</v>
      </c>
      <c r="D27" s="320" t="s">
        <v>96</v>
      </c>
      <c r="E27" s="320" t="s">
        <v>97</v>
      </c>
      <c r="F27" s="320" t="s">
        <v>98</v>
      </c>
      <c r="G27" s="320" t="s">
        <v>99</v>
      </c>
      <c r="H27" s="251" t="s">
        <v>100</v>
      </c>
      <c r="I27" s="252" t="s">
        <v>147</v>
      </c>
      <c r="J27" s="321" t="s">
        <v>101</v>
      </c>
      <c r="M27">
        <f>O25</f>
        <v>130.25</v>
      </c>
      <c r="N27" t="s">
        <v>704</v>
      </c>
      <c r="P27" s="42">
        <f>SUM(N21/37)</f>
        <v>3.5202702702702702</v>
      </c>
      <c r="Q27" t="s">
        <v>701</v>
      </c>
    </row>
    <row r="28" spans="1:17" ht="18" customHeight="1">
      <c r="A28" s="405"/>
      <c r="B28" s="407" t="s">
        <v>566</v>
      </c>
      <c r="C28" s="407" t="s">
        <v>566</v>
      </c>
      <c r="D28" s="407" t="s">
        <v>566</v>
      </c>
      <c r="E28" s="407" t="s">
        <v>566</v>
      </c>
      <c r="F28" s="407" t="s">
        <v>567</v>
      </c>
      <c r="G28" s="407"/>
      <c r="H28" s="407"/>
      <c r="I28" s="381"/>
      <c r="J28" s="408"/>
    </row>
    <row r="29" spans="1:17" ht="18" customHeight="1">
      <c r="A29" s="3875" t="s">
        <v>705</v>
      </c>
      <c r="B29" s="3895">
        <v>7.75</v>
      </c>
      <c r="C29" s="3895">
        <v>7.75</v>
      </c>
      <c r="D29" s="3895">
        <v>7.75</v>
      </c>
      <c r="E29" s="3895">
        <v>7.75</v>
      </c>
      <c r="F29" s="3895">
        <v>6</v>
      </c>
      <c r="G29" s="3895"/>
      <c r="H29" s="3895"/>
      <c r="I29" s="3895">
        <f>SUM(B29:H29)</f>
        <v>37</v>
      </c>
      <c r="J29" s="3897"/>
      <c r="M29" s="42">
        <f>P27</f>
        <v>3.5202702702702702</v>
      </c>
      <c r="N29" t="s">
        <v>706</v>
      </c>
      <c r="P29" s="42">
        <f>SUM(P27*3)</f>
        <v>10.560810810810811</v>
      </c>
      <c r="Q29" t="s">
        <v>701</v>
      </c>
    </row>
    <row r="30" spans="1:17" ht="18" customHeight="1">
      <c r="A30" s="405"/>
      <c r="B30" s="407" t="s">
        <v>566</v>
      </c>
      <c r="C30" s="407" t="s">
        <v>566</v>
      </c>
      <c r="D30" s="407" t="s">
        <v>566</v>
      </c>
      <c r="E30" s="407" t="s">
        <v>566</v>
      </c>
      <c r="F30" s="407" t="s">
        <v>567</v>
      </c>
      <c r="G30" s="407"/>
      <c r="H30" s="407"/>
      <c r="I30" s="381"/>
      <c r="J30" s="408"/>
      <c r="M30" s="42"/>
      <c r="P30" s="42"/>
    </row>
    <row r="31" spans="1:17" ht="18" customHeight="1">
      <c r="A31" s="454" t="s">
        <v>707</v>
      </c>
      <c r="B31" s="3895">
        <v>7.75</v>
      </c>
      <c r="C31" s="3895">
        <v>7.75</v>
      </c>
      <c r="D31" s="3895">
        <v>7.75</v>
      </c>
      <c r="E31" s="3895">
        <v>7.75</v>
      </c>
      <c r="F31" s="3895">
        <v>6</v>
      </c>
      <c r="G31" s="3895"/>
      <c r="H31" s="3895"/>
      <c r="I31" s="3895">
        <f>SUM(B31:H31)</f>
        <v>37</v>
      </c>
      <c r="J31" s="3897"/>
      <c r="M31" s="42"/>
      <c r="P31" s="42"/>
    </row>
    <row r="32" spans="1:17" ht="18" customHeight="1">
      <c r="A32" s="10"/>
      <c r="B32" s="5" t="s">
        <v>566</v>
      </c>
      <c r="C32" s="5" t="s">
        <v>566</v>
      </c>
      <c r="D32" s="5" t="s">
        <v>566</v>
      </c>
      <c r="E32" s="5" t="s">
        <v>566</v>
      </c>
      <c r="F32" s="5" t="s">
        <v>567</v>
      </c>
      <c r="G32" s="5"/>
      <c r="H32" s="11"/>
      <c r="I32" s="70"/>
      <c r="J32" s="12"/>
    </row>
    <row r="33" spans="1:25" ht="18" customHeight="1">
      <c r="A33" s="454" t="s">
        <v>708</v>
      </c>
      <c r="B33" s="3895">
        <v>7.75</v>
      </c>
      <c r="C33" s="3895">
        <v>7.75</v>
      </c>
      <c r="D33" s="3895">
        <v>7.75</v>
      </c>
      <c r="E33" s="3895">
        <v>7.75</v>
      </c>
      <c r="F33" s="3895">
        <v>6</v>
      </c>
      <c r="G33" s="458"/>
      <c r="H33" s="463"/>
      <c r="I33" s="480">
        <f>SUM(B33:H33)</f>
        <v>37</v>
      </c>
      <c r="J33" s="465"/>
      <c r="M33">
        <f>P23</f>
        <v>148</v>
      </c>
      <c r="N33" t="s">
        <v>709</v>
      </c>
      <c r="P33" s="71">
        <f>P29</f>
        <v>10.560810810810811</v>
      </c>
      <c r="Q33" t="s">
        <v>710</v>
      </c>
      <c r="R33" s="42">
        <f>SUM(M33-P33)</f>
        <v>137.43918918918919</v>
      </c>
      <c r="S33" t="s">
        <v>711</v>
      </c>
    </row>
    <row r="34" spans="1:25" ht="18" customHeight="1">
      <c r="A34" s="253" t="s">
        <v>563</v>
      </c>
      <c r="B34" s="269">
        <f t="shared" ref="B34:I34" si="1">SUM(B29,B31,B33)</f>
        <v>23.25</v>
      </c>
      <c r="C34" s="269">
        <f t="shared" si="1"/>
        <v>23.25</v>
      </c>
      <c r="D34" s="269">
        <f t="shared" si="1"/>
        <v>23.25</v>
      </c>
      <c r="E34" s="269">
        <f t="shared" si="1"/>
        <v>23.25</v>
      </c>
      <c r="F34" s="269">
        <f t="shared" si="1"/>
        <v>18</v>
      </c>
      <c r="G34" s="269">
        <f t="shared" si="1"/>
        <v>0</v>
      </c>
      <c r="H34" s="269">
        <f t="shared" si="1"/>
        <v>0</v>
      </c>
      <c r="I34" s="269">
        <f t="shared" si="1"/>
        <v>111</v>
      </c>
      <c r="J34" s="262"/>
    </row>
    <row r="35" spans="1:25" ht="18" customHeight="1">
      <c r="A35" s="18"/>
      <c r="B35" s="18"/>
      <c r="C35" s="18"/>
      <c r="D35" s="18"/>
      <c r="E35" s="18"/>
      <c r="F35" s="18"/>
      <c r="G35" s="3909" t="s">
        <v>679</v>
      </c>
      <c r="H35" s="3909" t="s">
        <v>680</v>
      </c>
      <c r="I35" s="3909" t="s">
        <v>681</v>
      </c>
      <c r="J35" s="19"/>
      <c r="M35">
        <f>I25</f>
        <v>207.75</v>
      </c>
      <c r="N35" t="s">
        <v>712</v>
      </c>
      <c r="O35" s="42">
        <f>R33</f>
        <v>137.43918918918919</v>
      </c>
      <c r="P35" s="270">
        <f>SUM(M35-O35)</f>
        <v>70.310810810810807</v>
      </c>
    </row>
    <row r="36" spans="1:25" ht="18" customHeight="1">
      <c r="A36" s="18"/>
      <c r="B36" s="18"/>
      <c r="C36" s="18"/>
      <c r="D36" s="18"/>
      <c r="E36" s="18"/>
      <c r="F36" s="18"/>
      <c r="G36" s="3888">
        <f>I25+I34</f>
        <v>318.75</v>
      </c>
      <c r="H36" s="3910">
        <f>SUM(G36*13/3)</f>
        <v>1381.25</v>
      </c>
      <c r="I36" s="3888">
        <f>SUM(H36*12)</f>
        <v>16575</v>
      </c>
      <c r="J36" s="19"/>
    </row>
    <row r="37" spans="1:25" ht="18" customHeight="1">
      <c r="A37" s="18"/>
      <c r="B37" s="18"/>
      <c r="C37" s="18"/>
      <c r="D37" s="18"/>
      <c r="E37" s="18"/>
      <c r="F37" s="18"/>
      <c r="G37" s="18"/>
      <c r="H37" s="45"/>
      <c r="I37" s="18"/>
      <c r="J37" s="19"/>
    </row>
    <row r="38" spans="1:25" ht="17.850000000000001" customHeight="1">
      <c r="A38" s="152" t="s">
        <v>713</v>
      </c>
      <c r="B38" s="18"/>
      <c r="C38" s="18"/>
      <c r="D38" s="18"/>
      <c r="E38" s="18"/>
      <c r="F38" s="18"/>
    </row>
    <row r="39" spans="1:25" ht="17.850000000000001" customHeight="1">
      <c r="A39" s="324" t="s">
        <v>714</v>
      </c>
      <c r="B39" s="319" t="s">
        <v>94</v>
      </c>
      <c r="C39" s="320" t="s">
        <v>95</v>
      </c>
      <c r="D39" s="320" t="s">
        <v>96</v>
      </c>
      <c r="E39" s="320" t="s">
        <v>97</v>
      </c>
      <c r="F39" s="320" t="s">
        <v>98</v>
      </c>
      <c r="G39" s="320" t="s">
        <v>99</v>
      </c>
      <c r="H39" s="271" t="s">
        <v>100</v>
      </c>
      <c r="I39" s="325" t="s">
        <v>147</v>
      </c>
      <c r="J39" s="272" t="s">
        <v>101</v>
      </c>
      <c r="K39" t="s">
        <v>0</v>
      </c>
      <c r="M39" s="273" t="s">
        <v>685</v>
      </c>
      <c r="N39" s="274"/>
      <c r="P39" s="72"/>
      <c r="Q39" s="72"/>
      <c r="R39" s="72"/>
      <c r="S39" t="s">
        <v>715</v>
      </c>
      <c r="V39" s="1" t="s">
        <v>0</v>
      </c>
    </row>
    <row r="40" spans="1:25" ht="17.850000000000001" customHeight="1">
      <c r="A40" s="326" t="s">
        <v>572</v>
      </c>
      <c r="B40" s="327" t="s">
        <v>716</v>
      </c>
      <c r="C40" s="327" t="s">
        <v>716</v>
      </c>
      <c r="D40" s="327" t="s">
        <v>716</v>
      </c>
      <c r="E40" s="327" t="s">
        <v>716</v>
      </c>
      <c r="F40" s="327" t="s">
        <v>716</v>
      </c>
      <c r="G40" s="328" t="s">
        <v>717</v>
      </c>
      <c r="H40" s="328" t="s">
        <v>717</v>
      </c>
      <c r="I40" s="325"/>
      <c r="J40" s="275" t="s">
        <v>572</v>
      </c>
      <c r="M40" s="73"/>
      <c r="N40" s="74" t="s">
        <v>718</v>
      </c>
      <c r="S40" s="3919" t="s">
        <v>719</v>
      </c>
      <c r="T40" s="3920"/>
      <c r="U40" s="3921"/>
      <c r="V40" s="3921"/>
      <c r="W40" s="72"/>
      <c r="Y40" s="18"/>
    </row>
    <row r="41" spans="1:25" ht="17.850000000000001" customHeight="1">
      <c r="A41" s="471" t="s">
        <v>575</v>
      </c>
      <c r="B41" s="482">
        <v>8.25</v>
      </c>
      <c r="C41" s="482">
        <v>8.25</v>
      </c>
      <c r="D41" s="482">
        <v>8.25</v>
      </c>
      <c r="E41" s="482">
        <v>8.25</v>
      </c>
      <c r="F41" s="482">
        <v>8.25</v>
      </c>
      <c r="G41" s="483">
        <v>12.25</v>
      </c>
      <c r="H41" s="483">
        <v>12.25</v>
      </c>
      <c r="I41" s="457">
        <f>SUM(B41:H41)</f>
        <v>65.75</v>
      </c>
      <c r="J41" s="484" t="s">
        <v>720</v>
      </c>
      <c r="M41" s="3912" t="s">
        <v>148</v>
      </c>
      <c r="N41" s="3913">
        <f>I41</f>
        <v>65.75</v>
      </c>
      <c r="S41" s="3922" t="s">
        <v>721</v>
      </c>
      <c r="T41" s="3923"/>
      <c r="U41" s="3923"/>
      <c r="V41" s="3923"/>
      <c r="Y41" s="18"/>
    </row>
    <row r="42" spans="1:25" ht="17.850000000000001" customHeight="1">
      <c r="A42" s="329"/>
      <c r="B42" s="330" t="s">
        <v>722</v>
      </c>
      <c r="C42" s="330" t="s">
        <v>722</v>
      </c>
      <c r="D42" s="330" t="s">
        <v>722</v>
      </c>
      <c r="E42" s="330" t="s">
        <v>722</v>
      </c>
      <c r="F42" s="330" t="s">
        <v>722</v>
      </c>
      <c r="G42" s="331" t="s">
        <v>723</v>
      </c>
      <c r="H42" s="276" t="s">
        <v>723</v>
      </c>
      <c r="I42" s="325"/>
      <c r="J42" s="277"/>
      <c r="M42" s="3912" t="s">
        <v>152</v>
      </c>
      <c r="N42" s="3913">
        <f>I47</f>
        <v>0</v>
      </c>
      <c r="S42" s="3924" t="s">
        <v>724</v>
      </c>
      <c r="T42" s="3925"/>
      <c r="U42" s="3925"/>
      <c r="V42" s="3925"/>
      <c r="Y42" s="18"/>
    </row>
    <row r="43" spans="1:25" ht="17.850000000000001" customHeight="1">
      <c r="A43" s="471" t="s">
        <v>725</v>
      </c>
      <c r="B43" s="469">
        <v>7</v>
      </c>
      <c r="C43" s="469">
        <v>7</v>
      </c>
      <c r="D43" s="469">
        <v>7</v>
      </c>
      <c r="E43" s="469">
        <v>7</v>
      </c>
      <c r="F43" s="469">
        <v>7</v>
      </c>
      <c r="G43" s="485">
        <v>11</v>
      </c>
      <c r="H43" s="486">
        <v>11</v>
      </c>
      <c r="I43" s="457">
        <f>SUM(B43:H43)</f>
        <v>57</v>
      </c>
      <c r="J43" s="484" t="s">
        <v>726</v>
      </c>
      <c r="K43" s="1" t="s">
        <v>0</v>
      </c>
      <c r="M43" s="3912" t="s">
        <v>159</v>
      </c>
      <c r="N43" s="3913">
        <f>I53</f>
        <v>58.5</v>
      </c>
      <c r="S43" s="3926" t="s">
        <v>727</v>
      </c>
      <c r="T43" s="3927"/>
      <c r="U43" s="3927"/>
      <c r="V43" s="3927"/>
      <c r="Y43" s="18"/>
    </row>
    <row r="44" spans="1:25" ht="17.850000000000001" customHeight="1">
      <c r="A44" s="329"/>
      <c r="B44" s="332" t="s">
        <v>728</v>
      </c>
      <c r="C44" s="332" t="s">
        <v>728</v>
      </c>
      <c r="D44" s="332" t="s">
        <v>728</v>
      </c>
      <c r="E44" s="332" t="s">
        <v>728</v>
      </c>
      <c r="F44" s="332" t="s">
        <v>728</v>
      </c>
      <c r="G44" s="276" t="s">
        <v>729</v>
      </c>
      <c r="H44" s="276" t="s">
        <v>729</v>
      </c>
      <c r="I44" s="325"/>
      <c r="J44" s="277"/>
      <c r="M44" s="3912" t="s">
        <v>161</v>
      </c>
      <c r="N44" s="3913">
        <f>I59</f>
        <v>0</v>
      </c>
      <c r="S44" s="75"/>
      <c r="T44" s="76"/>
      <c r="Y44" s="18"/>
    </row>
    <row r="45" spans="1:25" ht="17.850000000000001" customHeight="1">
      <c r="A45" s="471" t="s">
        <v>730</v>
      </c>
      <c r="B45" s="487">
        <v>8</v>
      </c>
      <c r="C45" s="487">
        <v>8</v>
      </c>
      <c r="D45" s="487">
        <v>8</v>
      </c>
      <c r="E45" s="487">
        <v>8</v>
      </c>
      <c r="F45" s="487">
        <v>8</v>
      </c>
      <c r="G45" s="485">
        <v>12</v>
      </c>
      <c r="H45" s="485">
        <v>12</v>
      </c>
      <c r="I45" s="457">
        <f>SUM(B45:H45)</f>
        <v>64</v>
      </c>
      <c r="J45" s="484" t="s">
        <v>731</v>
      </c>
      <c r="M45" s="3912" t="s">
        <v>182</v>
      </c>
      <c r="N45" s="3913">
        <v>0</v>
      </c>
      <c r="Y45" s="18"/>
    </row>
    <row r="46" spans="1:25" ht="17.850000000000001" customHeight="1">
      <c r="A46" s="326" t="s">
        <v>584</v>
      </c>
      <c r="B46" s="406" t="s">
        <v>551</v>
      </c>
      <c r="C46" s="406" t="s">
        <v>551</v>
      </c>
      <c r="D46" s="406" t="s">
        <v>551</v>
      </c>
      <c r="E46" s="406" t="s">
        <v>551</v>
      </c>
      <c r="F46" s="406" t="s">
        <v>551</v>
      </c>
      <c r="G46" s="333"/>
      <c r="H46" s="278"/>
      <c r="I46" s="334"/>
      <c r="J46" s="275" t="s">
        <v>584</v>
      </c>
      <c r="M46" s="3912" t="s">
        <v>198</v>
      </c>
      <c r="N46" s="3913">
        <f>I43</f>
        <v>57</v>
      </c>
      <c r="S46" s="3928" t="s">
        <v>732</v>
      </c>
      <c r="T46" s="3929"/>
      <c r="U46" s="3929"/>
      <c r="V46" s="3929"/>
      <c r="Y46" s="18"/>
    </row>
    <row r="47" spans="1:25" ht="17.850000000000001" customHeight="1">
      <c r="A47" s="471" t="s">
        <v>733</v>
      </c>
      <c r="B47" s="3876"/>
      <c r="C47" s="3876"/>
      <c r="D47" s="3876"/>
      <c r="E47" s="3876"/>
      <c r="F47" s="3876"/>
      <c r="G47" s="458"/>
      <c r="H47" s="488"/>
      <c r="I47" s="457">
        <f>SUM(B47:H47)</f>
        <v>0</v>
      </c>
      <c r="J47" s="484" t="s">
        <v>734</v>
      </c>
      <c r="M47" s="3912" t="s">
        <v>735</v>
      </c>
      <c r="N47" s="3913">
        <f>I49</f>
        <v>0</v>
      </c>
      <c r="S47" s="1"/>
      <c r="Y47" s="18"/>
    </row>
    <row r="48" spans="1:25" ht="17.850000000000001" customHeight="1">
      <c r="A48" s="329"/>
      <c r="B48" s="406" t="s">
        <v>551</v>
      </c>
      <c r="C48" s="406" t="s">
        <v>551</v>
      </c>
      <c r="D48" s="406" t="s">
        <v>551</v>
      </c>
      <c r="E48" s="406" t="s">
        <v>551</v>
      </c>
      <c r="F48" s="406" t="s">
        <v>551</v>
      </c>
      <c r="G48" s="325"/>
      <c r="H48" s="279"/>
      <c r="I48" s="325"/>
      <c r="J48" s="277"/>
      <c r="M48" s="3912" t="s">
        <v>736</v>
      </c>
      <c r="N48" s="3913">
        <f>I55</f>
        <v>56</v>
      </c>
      <c r="S48" s="3928" t="s">
        <v>737</v>
      </c>
      <c r="T48" s="3929"/>
      <c r="U48" s="3929"/>
      <c r="V48" s="3929"/>
      <c r="Y48" s="18"/>
    </row>
    <row r="49" spans="1:32" ht="17.850000000000001" customHeight="1">
      <c r="A49" s="471" t="s">
        <v>738</v>
      </c>
      <c r="B49" s="3876"/>
      <c r="C49" s="3876"/>
      <c r="D49" s="3876"/>
      <c r="E49" s="3876"/>
      <c r="F49" s="3876"/>
      <c r="G49" s="478"/>
      <c r="H49" s="455"/>
      <c r="I49" s="457">
        <f>SUM(B49:H49)</f>
        <v>0</v>
      </c>
      <c r="J49" s="484" t="s">
        <v>735</v>
      </c>
      <c r="M49" s="3912" t="s">
        <v>739</v>
      </c>
      <c r="N49" s="3913">
        <f>I61</f>
        <v>0</v>
      </c>
      <c r="S49" s="1"/>
      <c r="Y49" s="18"/>
    </row>
    <row r="50" spans="1:32" ht="17.850000000000001" customHeight="1">
      <c r="A50" s="324"/>
      <c r="B50" s="406" t="s">
        <v>551</v>
      </c>
      <c r="C50" s="406" t="s">
        <v>551</v>
      </c>
      <c r="D50" s="406" t="s">
        <v>551</v>
      </c>
      <c r="E50" s="406" t="s">
        <v>551</v>
      </c>
      <c r="F50" s="406" t="s">
        <v>551</v>
      </c>
      <c r="G50" s="335" t="s">
        <v>740</v>
      </c>
      <c r="H50" s="280" t="s">
        <v>741</v>
      </c>
      <c r="I50" s="325"/>
      <c r="J50" s="281"/>
      <c r="M50" s="3912" t="s">
        <v>742</v>
      </c>
      <c r="N50" s="3913">
        <v>41.5</v>
      </c>
      <c r="S50" s="3928" t="s">
        <v>743</v>
      </c>
      <c r="T50" s="3929"/>
      <c r="U50" s="3929"/>
      <c r="V50" s="3929"/>
      <c r="Y50" s="18"/>
    </row>
    <row r="51" spans="1:32" ht="17.850000000000001" customHeight="1">
      <c r="A51" s="471" t="s">
        <v>744</v>
      </c>
      <c r="B51" s="3876"/>
      <c r="C51" s="3876"/>
      <c r="D51" s="3876"/>
      <c r="E51" s="3876"/>
      <c r="F51" s="3876"/>
      <c r="G51" s="489">
        <v>12.25</v>
      </c>
      <c r="H51" s="490">
        <v>12.25</v>
      </c>
      <c r="I51" s="457">
        <f>SUM(B51:H51)</f>
        <v>24.5</v>
      </c>
      <c r="J51" s="484" t="s">
        <v>745</v>
      </c>
      <c r="M51" s="3912" t="s">
        <v>746</v>
      </c>
      <c r="N51" s="3913">
        <f>I45</f>
        <v>64</v>
      </c>
      <c r="Y51" s="18"/>
    </row>
    <row r="52" spans="1:32" ht="17.850000000000001" customHeight="1">
      <c r="A52" s="326" t="s">
        <v>591</v>
      </c>
      <c r="B52" s="336" t="s">
        <v>747</v>
      </c>
      <c r="C52" s="336" t="s">
        <v>747</v>
      </c>
      <c r="D52" s="336" t="s">
        <v>747</v>
      </c>
      <c r="E52" s="336" t="s">
        <v>747</v>
      </c>
      <c r="F52" s="336" t="s">
        <v>748</v>
      </c>
      <c r="G52" s="335" t="s">
        <v>749</v>
      </c>
      <c r="H52" s="280" t="s">
        <v>749</v>
      </c>
      <c r="I52" s="325"/>
      <c r="J52" s="275" t="s">
        <v>591</v>
      </c>
      <c r="K52" s="1" t="s">
        <v>0</v>
      </c>
      <c r="M52" s="3912" t="s">
        <v>750</v>
      </c>
      <c r="N52" s="3913">
        <f>I51</f>
        <v>24.5</v>
      </c>
      <c r="S52" t="s">
        <v>751</v>
      </c>
      <c r="Y52" s="18"/>
    </row>
    <row r="53" spans="1:32" ht="17.850000000000001" customHeight="1">
      <c r="A53" s="471" t="s">
        <v>593</v>
      </c>
      <c r="B53" s="491">
        <v>7</v>
      </c>
      <c r="C53" s="491">
        <v>7</v>
      </c>
      <c r="D53" s="491">
        <v>7</v>
      </c>
      <c r="E53" s="491">
        <v>7</v>
      </c>
      <c r="F53" s="491">
        <v>6.5</v>
      </c>
      <c r="G53" s="489">
        <v>12</v>
      </c>
      <c r="H53" s="490">
        <v>12</v>
      </c>
      <c r="I53" s="457">
        <f>SUM(B53:H53)</f>
        <v>58.5</v>
      </c>
      <c r="J53" s="484" t="s">
        <v>752</v>
      </c>
      <c r="M53" s="3912" t="s">
        <v>753</v>
      </c>
      <c r="N53" s="3913">
        <f>I57</f>
        <v>40</v>
      </c>
      <c r="S53" s="3930" t="s">
        <v>754</v>
      </c>
      <c r="T53" s="3931"/>
      <c r="U53" s="3931"/>
      <c r="V53" s="3931"/>
      <c r="Y53" s="18"/>
    </row>
    <row r="54" spans="1:32" ht="17.850000000000001" customHeight="1">
      <c r="A54" s="329"/>
      <c r="B54" s="337" t="s">
        <v>755</v>
      </c>
      <c r="C54" s="337" t="s">
        <v>755</v>
      </c>
      <c r="D54" s="337" t="s">
        <v>755</v>
      </c>
      <c r="E54" s="337" t="s">
        <v>755</v>
      </c>
      <c r="F54" s="337" t="s">
        <v>755</v>
      </c>
      <c r="G54" s="335" t="s">
        <v>756</v>
      </c>
      <c r="H54" s="280" t="s">
        <v>749</v>
      </c>
      <c r="I54" s="334"/>
      <c r="J54" s="277"/>
      <c r="M54" s="3912" t="s">
        <v>757</v>
      </c>
      <c r="N54" s="3913">
        <f>I63</f>
        <v>40</v>
      </c>
      <c r="S54" s="3932" t="s">
        <v>758</v>
      </c>
      <c r="T54" s="3933"/>
      <c r="U54" s="3933"/>
      <c r="V54" s="3933"/>
      <c r="Y54" s="18"/>
    </row>
    <row r="55" spans="1:32" ht="17.850000000000001" customHeight="1">
      <c r="A55" s="39" t="s">
        <v>759</v>
      </c>
      <c r="B55" s="763">
        <v>7</v>
      </c>
      <c r="C55" s="763">
        <v>7</v>
      </c>
      <c r="D55" s="763">
        <v>7</v>
      </c>
      <c r="E55" s="763">
        <v>7</v>
      </c>
      <c r="F55" s="763">
        <v>7</v>
      </c>
      <c r="G55" s="764">
        <v>9</v>
      </c>
      <c r="H55" s="490">
        <v>12</v>
      </c>
      <c r="I55" s="457">
        <f>SUM(B55:H55)</f>
        <v>56</v>
      </c>
      <c r="J55" s="484" t="s">
        <v>736</v>
      </c>
      <c r="M55" s="3912" t="s">
        <v>760</v>
      </c>
      <c r="N55" s="3913">
        <v>0</v>
      </c>
      <c r="S55" s="3934" t="s">
        <v>761</v>
      </c>
      <c r="T55" s="3935"/>
      <c r="U55" s="3936"/>
      <c r="V55" s="3936"/>
      <c r="Y55" s="18"/>
    </row>
    <row r="56" spans="1:32" ht="17.850000000000001" customHeight="1">
      <c r="A56" s="329"/>
      <c r="B56" s="765" t="s">
        <v>762</v>
      </c>
      <c r="C56" s="765" t="s">
        <v>762</v>
      </c>
      <c r="D56" s="765" t="s">
        <v>762</v>
      </c>
      <c r="E56" s="765" t="s">
        <v>762</v>
      </c>
      <c r="F56" s="765" t="s">
        <v>762</v>
      </c>
      <c r="G56" s="333"/>
      <c r="H56" s="278"/>
      <c r="I56" s="325"/>
      <c r="J56" s="277"/>
      <c r="M56" s="3916" t="s">
        <v>696</v>
      </c>
      <c r="N56" s="3917">
        <f>SUM(N41:N55)</f>
        <v>447.25</v>
      </c>
      <c r="S56" s="3937" t="s">
        <v>763</v>
      </c>
      <c r="T56" s="3938"/>
      <c r="U56" s="3938"/>
      <c r="V56" s="3938"/>
      <c r="Y56" s="18"/>
    </row>
    <row r="57" spans="1:32" ht="17.850000000000001" customHeight="1">
      <c r="A57" s="471" t="s">
        <v>764</v>
      </c>
      <c r="B57" s="766">
        <v>8</v>
      </c>
      <c r="C57" s="766">
        <v>8</v>
      </c>
      <c r="D57" s="766">
        <v>8</v>
      </c>
      <c r="E57" s="766">
        <v>8</v>
      </c>
      <c r="F57" s="766">
        <v>8</v>
      </c>
      <c r="G57" s="759"/>
      <c r="H57" s="77"/>
      <c r="I57" s="457">
        <f>SUM(B57:H57)</f>
        <v>40</v>
      </c>
      <c r="J57" s="484" t="s">
        <v>753</v>
      </c>
      <c r="N57" s="18"/>
      <c r="S57" s="75"/>
      <c r="T57" s="76"/>
      <c r="Y57" s="18"/>
      <c r="AE57" s="59"/>
      <c r="AF57" s="59"/>
    </row>
    <row r="58" spans="1:32" ht="17.850000000000001" customHeight="1">
      <c r="A58" s="326" t="s">
        <v>596</v>
      </c>
      <c r="B58" s="406" t="s">
        <v>551</v>
      </c>
      <c r="C58" s="406" t="s">
        <v>551</v>
      </c>
      <c r="D58" s="406" t="s">
        <v>551</v>
      </c>
      <c r="E58" s="406" t="s">
        <v>551</v>
      </c>
      <c r="F58" s="406" t="s">
        <v>551</v>
      </c>
      <c r="G58" s="333"/>
      <c r="H58" s="278"/>
      <c r="I58" s="325"/>
      <c r="J58" s="275" t="s">
        <v>596</v>
      </c>
      <c r="M58" t="s">
        <v>30</v>
      </c>
      <c r="N58" t="s">
        <v>765</v>
      </c>
      <c r="P58">
        <v>555</v>
      </c>
      <c r="Q58" t="s">
        <v>701</v>
      </c>
      <c r="S58" t="s">
        <v>766</v>
      </c>
      <c r="AE58" s="18"/>
      <c r="AF58" s="18"/>
    </row>
    <row r="59" spans="1:32" ht="17.850000000000001" customHeight="1">
      <c r="A59" s="39" t="s">
        <v>767</v>
      </c>
      <c r="B59" s="3891"/>
      <c r="C59" s="3891"/>
      <c r="D59" s="3891"/>
      <c r="E59" s="3891"/>
      <c r="F59" s="3891"/>
      <c r="G59" s="759"/>
      <c r="H59" s="77"/>
      <c r="I59" s="758">
        <f>SUM(B59:H59)</f>
        <v>0</v>
      </c>
      <c r="J59" s="484" t="s">
        <v>161</v>
      </c>
      <c r="O59" t="s">
        <v>0</v>
      </c>
      <c r="S59" s="3939" t="s">
        <v>768</v>
      </c>
      <c r="T59" s="3940"/>
    </row>
    <row r="60" spans="1:32" ht="17.850000000000001" customHeight="1">
      <c r="A60" s="329"/>
      <c r="B60" s="406" t="s">
        <v>551</v>
      </c>
      <c r="C60" s="406" t="s">
        <v>551</v>
      </c>
      <c r="D60" s="406" t="s">
        <v>551</v>
      </c>
      <c r="E60" s="406" t="s">
        <v>551</v>
      </c>
      <c r="F60" s="406" t="s">
        <v>551</v>
      </c>
      <c r="G60" s="325"/>
      <c r="H60" s="279"/>
      <c r="I60" s="325"/>
      <c r="J60" s="277"/>
      <c r="M60" t="s">
        <v>703</v>
      </c>
      <c r="O60" s="69">
        <f>N56</f>
        <v>447.25</v>
      </c>
      <c r="S60" s="3941" t="s">
        <v>769</v>
      </c>
      <c r="T60" s="3942"/>
    </row>
    <row r="61" spans="1:32" ht="17.850000000000001" customHeight="1">
      <c r="A61" s="33" t="s">
        <v>770</v>
      </c>
      <c r="B61" s="3891"/>
      <c r="C61" s="3891"/>
      <c r="D61" s="3876"/>
      <c r="E61" s="3876"/>
      <c r="F61" s="3876"/>
      <c r="G61" s="767"/>
      <c r="H61" s="54"/>
      <c r="I61" s="758">
        <f>SUM(B61:H61)</f>
        <v>0</v>
      </c>
      <c r="J61" s="492" t="s">
        <v>739</v>
      </c>
      <c r="S61" s="3943" t="s">
        <v>771</v>
      </c>
      <c r="T61" s="3944"/>
      <c r="AE61" s="36"/>
      <c r="AF61" s="36"/>
    </row>
    <row r="62" spans="1:32" ht="17.850000000000001" customHeight="1">
      <c r="A62" s="329" t="s">
        <v>0</v>
      </c>
      <c r="B62" s="338" t="s">
        <v>727</v>
      </c>
      <c r="C62" s="338" t="s">
        <v>727</v>
      </c>
      <c r="D62" s="338" t="s">
        <v>727</v>
      </c>
      <c r="E62" s="338" t="s">
        <v>727</v>
      </c>
      <c r="F62" s="338" t="s">
        <v>727</v>
      </c>
      <c r="G62" s="339"/>
      <c r="H62" s="279"/>
      <c r="I62" s="325"/>
      <c r="J62" s="277" t="s">
        <v>0</v>
      </c>
      <c r="M62">
        <f>O60</f>
        <v>447.25</v>
      </c>
      <c r="N62" t="s">
        <v>704</v>
      </c>
      <c r="P62" s="42">
        <f>SUM(M62/37)</f>
        <v>12.087837837837839</v>
      </c>
      <c r="Q62" t="s">
        <v>701</v>
      </c>
      <c r="AE62" s="37"/>
      <c r="AF62" s="37"/>
    </row>
    <row r="63" spans="1:32" ht="17.850000000000001" customHeight="1">
      <c r="A63" s="39" t="s">
        <v>772</v>
      </c>
      <c r="B63" s="768">
        <v>8</v>
      </c>
      <c r="C63" s="768">
        <v>8</v>
      </c>
      <c r="D63" s="768">
        <v>8</v>
      </c>
      <c r="E63" s="768">
        <v>8</v>
      </c>
      <c r="F63" s="768">
        <v>8</v>
      </c>
      <c r="G63" s="767"/>
      <c r="H63" s="54"/>
      <c r="I63" s="758">
        <f>SUM(B63:H63)</f>
        <v>40</v>
      </c>
      <c r="J63" s="484" t="s">
        <v>773</v>
      </c>
      <c r="S63" s="3945" t="s">
        <v>774</v>
      </c>
      <c r="T63" s="3946"/>
      <c r="U63" s="3947"/>
    </row>
    <row r="64" spans="1:32" ht="17.850000000000001" customHeight="1">
      <c r="A64" s="326" t="s">
        <v>602</v>
      </c>
      <c r="B64" s="340" t="s">
        <v>775</v>
      </c>
      <c r="C64" s="340" t="s">
        <v>775</v>
      </c>
      <c r="D64" s="340" t="s">
        <v>775</v>
      </c>
      <c r="E64" s="340" t="s">
        <v>775</v>
      </c>
      <c r="F64" s="340" t="s">
        <v>775</v>
      </c>
      <c r="G64" s="319"/>
      <c r="H64" s="282"/>
      <c r="I64" s="325"/>
      <c r="J64" s="275" t="s">
        <v>602</v>
      </c>
      <c r="M64" s="42">
        <f>P62</f>
        <v>12.087837837837839</v>
      </c>
      <c r="N64" t="s">
        <v>706</v>
      </c>
      <c r="P64" s="42">
        <f>SUM(P62*3)</f>
        <v>36.263513513513516</v>
      </c>
      <c r="Q64" t="s">
        <v>701</v>
      </c>
    </row>
    <row r="65" spans="1:31" ht="17.850000000000001" customHeight="1">
      <c r="A65" s="39" t="s">
        <v>603</v>
      </c>
      <c r="B65" s="493">
        <v>7</v>
      </c>
      <c r="C65" s="493">
        <v>7</v>
      </c>
      <c r="D65" s="493">
        <v>7</v>
      </c>
      <c r="E65" s="493">
        <v>7</v>
      </c>
      <c r="F65" s="493">
        <v>7</v>
      </c>
      <c r="G65" s="758"/>
      <c r="H65" s="78"/>
      <c r="I65" s="758">
        <f>SUM(B65:H65)</f>
        <v>35</v>
      </c>
      <c r="J65" s="55" t="s">
        <v>776</v>
      </c>
      <c r="S65" s="3945" t="s">
        <v>777</v>
      </c>
      <c r="T65" s="3946"/>
      <c r="U65" s="3947"/>
    </row>
    <row r="66" spans="1:31" ht="17.850000000000001" customHeight="1">
      <c r="A66" s="329"/>
      <c r="B66" s="283" t="s">
        <v>778</v>
      </c>
      <c r="C66" s="283" t="s">
        <v>778</v>
      </c>
      <c r="D66" s="283" t="s">
        <v>778</v>
      </c>
      <c r="E66" s="283" t="s">
        <v>778</v>
      </c>
      <c r="F66" s="283" t="s">
        <v>778</v>
      </c>
      <c r="G66" s="319"/>
      <c r="H66" s="282"/>
      <c r="I66" s="341"/>
      <c r="J66" s="277"/>
      <c r="M66">
        <f>P58</f>
        <v>555</v>
      </c>
      <c r="N66" t="s">
        <v>709</v>
      </c>
      <c r="P66" s="71">
        <f>P64</f>
        <v>36.263513513513516</v>
      </c>
      <c r="Q66" t="s">
        <v>710</v>
      </c>
      <c r="R66" s="79">
        <f>SUM(M66-P66)</f>
        <v>518.73648648648646</v>
      </c>
    </row>
    <row r="67" spans="1:31" ht="17.850000000000001" customHeight="1">
      <c r="A67" s="475" t="s">
        <v>604</v>
      </c>
      <c r="B67" s="494">
        <v>7.5</v>
      </c>
      <c r="C67" s="494">
        <v>7.5</v>
      </c>
      <c r="D67" s="494">
        <v>7.5</v>
      </c>
      <c r="E67" s="494">
        <v>7.5</v>
      </c>
      <c r="F67" s="494">
        <v>7.5</v>
      </c>
      <c r="G67" s="457"/>
      <c r="H67" s="495"/>
      <c r="I67" s="496">
        <v>41.5</v>
      </c>
      <c r="J67" s="492" t="s">
        <v>779</v>
      </c>
      <c r="S67" s="3948" t="s">
        <v>780</v>
      </c>
      <c r="T67" s="3949"/>
      <c r="U67" s="3950"/>
      <c r="AE67" s="36"/>
    </row>
    <row r="68" spans="1:31" ht="17.850000000000001" customHeight="1">
      <c r="A68" s="329"/>
      <c r="B68" s="284" t="s">
        <v>781</v>
      </c>
      <c r="C68" s="342" t="s">
        <v>781</v>
      </c>
      <c r="D68" s="342" t="s">
        <v>781</v>
      </c>
      <c r="E68" s="342" t="s">
        <v>781</v>
      </c>
      <c r="F68" s="342" t="s">
        <v>781</v>
      </c>
      <c r="G68" s="319"/>
      <c r="H68" s="282"/>
      <c r="I68" s="343"/>
      <c r="J68" s="277"/>
      <c r="M68" s="42">
        <v>522.25</v>
      </c>
      <c r="N68" t="s">
        <v>712</v>
      </c>
      <c r="O68" s="71">
        <f>R66</f>
        <v>518.73648648648646</v>
      </c>
      <c r="P68" s="270">
        <f>SUM(M68-O68)</f>
        <v>3.5135135135135442</v>
      </c>
      <c r="S68" s="75"/>
      <c r="T68" s="76"/>
      <c r="AE68" s="37"/>
    </row>
    <row r="69" spans="1:31" ht="17.850000000000001" customHeight="1">
      <c r="A69" s="471" t="s">
        <v>605</v>
      </c>
      <c r="B69" s="497">
        <v>8</v>
      </c>
      <c r="C69" s="497">
        <v>8</v>
      </c>
      <c r="D69" s="497">
        <v>8</v>
      </c>
      <c r="E69" s="497">
        <v>8</v>
      </c>
      <c r="F69" s="497">
        <v>8</v>
      </c>
      <c r="G69" s="457"/>
      <c r="H69" s="457"/>
      <c r="I69" s="496">
        <f>SUM(B69:H69)</f>
        <v>40</v>
      </c>
      <c r="J69" s="484" t="s">
        <v>782</v>
      </c>
    </row>
    <row r="70" spans="1:31" ht="17.850000000000001" customHeight="1">
      <c r="A70" s="46" t="s">
        <v>563</v>
      </c>
      <c r="B70" s="62">
        <f t="shared" ref="B70:I70" si="2">SUM(B41,B43,B45,B47,B49,B51,B53,B55,B57,B59,B61,B63,B65,B67,B69)</f>
        <v>75.75</v>
      </c>
      <c r="C70" s="62">
        <f t="shared" si="2"/>
        <v>75.75</v>
      </c>
      <c r="D70" s="62">
        <f t="shared" si="2"/>
        <v>75.75</v>
      </c>
      <c r="E70" s="62">
        <f t="shared" si="2"/>
        <v>75.75</v>
      </c>
      <c r="F70" s="62">
        <f t="shared" si="2"/>
        <v>75.25</v>
      </c>
      <c r="G70" s="62">
        <f t="shared" si="2"/>
        <v>68.5</v>
      </c>
      <c r="H70" s="62">
        <f t="shared" si="2"/>
        <v>71.5</v>
      </c>
      <c r="I70" s="62">
        <f t="shared" si="2"/>
        <v>522.25</v>
      </c>
      <c r="J70" s="48"/>
    </row>
    <row r="71" spans="1:31" ht="17.850000000000001" customHeight="1">
      <c r="A71" s="18"/>
      <c r="B71" s="18"/>
      <c r="C71" s="18"/>
      <c r="D71" s="18"/>
      <c r="E71" s="18"/>
      <c r="F71" s="18"/>
      <c r="G71" s="3909" t="s">
        <v>679</v>
      </c>
      <c r="H71" s="3909" t="s">
        <v>680</v>
      </c>
      <c r="I71" s="3909" t="s">
        <v>681</v>
      </c>
      <c r="M71" s="59"/>
      <c r="N71" s="59"/>
      <c r="O71" s="59"/>
      <c r="P71" s="59"/>
      <c r="Q71" s="59"/>
      <c r="R71" s="59"/>
    </row>
    <row r="72" spans="1:31" ht="17.850000000000001" customHeight="1">
      <c r="A72" s="18"/>
      <c r="B72" s="36"/>
      <c r="C72" s="36"/>
      <c r="D72" s="36"/>
      <c r="E72" s="36"/>
      <c r="F72" s="36"/>
      <c r="G72" s="3888">
        <f>I70</f>
        <v>522.25</v>
      </c>
      <c r="H72" s="3910">
        <f>SUM(G72*13/3)</f>
        <v>2263.0833333333335</v>
      </c>
      <c r="I72" s="3888">
        <f>SUM(H72*12)</f>
        <v>27157</v>
      </c>
      <c r="M72" s="18"/>
      <c r="N72" s="18"/>
      <c r="O72" s="18"/>
      <c r="P72" s="18"/>
      <c r="Q72" s="18"/>
      <c r="R72" s="18"/>
    </row>
    <row r="73" spans="1:31" ht="17.850000000000001" customHeight="1">
      <c r="A73" s="18"/>
      <c r="B73" s="37"/>
      <c r="C73" s="37"/>
      <c r="D73" s="37"/>
      <c r="E73" s="37"/>
      <c r="F73" s="37"/>
      <c r="G73" s="18"/>
      <c r="H73" s="45"/>
      <c r="I73" s="18"/>
      <c r="N73" s="18"/>
      <c r="O73" s="18"/>
      <c r="P73" s="18"/>
      <c r="Q73" s="18"/>
      <c r="R73" s="18"/>
    </row>
    <row r="74" spans="1:31" ht="17.850000000000001" customHeight="1">
      <c r="A74" s="18"/>
      <c r="B74" s="18"/>
      <c r="C74" s="18"/>
      <c r="D74" s="18"/>
      <c r="E74" s="18"/>
      <c r="F74" s="18"/>
      <c r="G74" s="18"/>
      <c r="H74" s="45"/>
      <c r="I74" s="18"/>
      <c r="N74" s="18"/>
      <c r="O74" s="18"/>
      <c r="P74" s="18"/>
      <c r="Q74" s="18"/>
      <c r="R74" s="18"/>
    </row>
    <row r="75" spans="1:31" ht="17.100000000000001" customHeight="1">
      <c r="A75" s="1" t="s">
        <v>783</v>
      </c>
      <c r="B75" s="18"/>
      <c r="C75" s="18"/>
      <c r="D75" s="18"/>
      <c r="E75" s="18"/>
      <c r="F75" s="18"/>
      <c r="N75" s="18"/>
      <c r="O75" s="18"/>
      <c r="P75" s="18"/>
      <c r="Q75" s="18"/>
      <c r="R75" s="18"/>
    </row>
    <row r="76" spans="1:31" ht="17.100000000000001" customHeight="1">
      <c r="A76" s="324" t="s">
        <v>714</v>
      </c>
      <c r="B76" s="319" t="s">
        <v>94</v>
      </c>
      <c r="C76" s="320" t="s">
        <v>95</v>
      </c>
      <c r="D76" s="320" t="s">
        <v>96</v>
      </c>
      <c r="E76" s="320" t="s">
        <v>97</v>
      </c>
      <c r="F76" s="320" t="s">
        <v>98</v>
      </c>
      <c r="G76" s="320" t="s">
        <v>99</v>
      </c>
      <c r="H76" s="271" t="s">
        <v>100</v>
      </c>
      <c r="I76" s="325" t="s">
        <v>147</v>
      </c>
      <c r="J76" s="272" t="s">
        <v>101</v>
      </c>
      <c r="N76" s="18"/>
      <c r="O76" s="18"/>
      <c r="P76" s="18"/>
      <c r="Q76" s="18"/>
      <c r="R76" s="18"/>
    </row>
    <row r="77" spans="1:31" ht="17.100000000000001" customHeight="1">
      <c r="A77" s="329"/>
      <c r="B77" s="327" t="s">
        <v>716</v>
      </c>
      <c r="C77" s="327" t="s">
        <v>716</v>
      </c>
      <c r="D77" s="327" t="s">
        <v>716</v>
      </c>
      <c r="E77" s="327" t="s">
        <v>716</v>
      </c>
      <c r="F77" s="327" t="s">
        <v>716</v>
      </c>
      <c r="G77" s="328" t="s">
        <v>717</v>
      </c>
      <c r="H77" s="328" t="s">
        <v>717</v>
      </c>
      <c r="I77" s="341"/>
      <c r="J77" s="277"/>
      <c r="N77" s="18"/>
      <c r="O77" s="18"/>
      <c r="P77" s="18"/>
      <c r="Q77" s="18"/>
      <c r="R77" s="18"/>
    </row>
    <row r="78" spans="1:31" ht="17.100000000000001" customHeight="1">
      <c r="A78" s="471" t="s">
        <v>575</v>
      </c>
      <c r="B78" s="482">
        <v>8.25</v>
      </c>
      <c r="C78" s="482">
        <v>8.25</v>
      </c>
      <c r="D78" s="482">
        <v>8.25</v>
      </c>
      <c r="E78" s="482">
        <v>8.25</v>
      </c>
      <c r="F78" s="482">
        <v>8.25</v>
      </c>
      <c r="G78" s="483">
        <v>12.25</v>
      </c>
      <c r="H78" s="483">
        <v>12.25</v>
      </c>
      <c r="I78" s="457">
        <f>SUM(B78:H78)</f>
        <v>65.75</v>
      </c>
      <c r="J78" s="484" t="s">
        <v>720</v>
      </c>
      <c r="N78" s="18"/>
      <c r="O78" s="18"/>
      <c r="P78" s="18"/>
      <c r="Q78" s="18"/>
      <c r="R78" s="18"/>
    </row>
    <row r="79" spans="1:31" ht="17.100000000000001" customHeight="1">
      <c r="A79" s="329"/>
      <c r="B79" s="406" t="s">
        <v>551</v>
      </c>
      <c r="C79" s="406" t="s">
        <v>551</v>
      </c>
      <c r="D79" s="406" t="s">
        <v>551</v>
      </c>
      <c r="E79" s="406" t="s">
        <v>551</v>
      </c>
      <c r="F79" s="406" t="s">
        <v>551</v>
      </c>
      <c r="G79" s="285"/>
      <c r="H79" s="286"/>
      <c r="I79" s="343"/>
      <c r="J79" s="277"/>
      <c r="L79" s="36"/>
      <c r="M79" s="36"/>
      <c r="N79" s="36"/>
      <c r="O79" s="18"/>
      <c r="P79" s="18"/>
      <c r="Q79" s="18"/>
      <c r="R79" s="18"/>
    </row>
    <row r="80" spans="1:31" ht="17.100000000000001" customHeight="1">
      <c r="A80" s="471" t="s">
        <v>784</v>
      </c>
      <c r="B80" s="3876"/>
      <c r="C80" s="3876"/>
      <c r="D80" s="3876"/>
      <c r="E80" s="3876"/>
      <c r="F80" s="3876"/>
      <c r="G80" s="458"/>
      <c r="H80" s="488"/>
      <c r="I80" s="457">
        <f>SUM(B80:H80)</f>
        <v>0</v>
      </c>
      <c r="J80" s="484" t="s">
        <v>734</v>
      </c>
      <c r="L80" s="37"/>
      <c r="M80" s="37"/>
      <c r="N80" s="37"/>
      <c r="O80" s="18"/>
      <c r="P80" s="18"/>
      <c r="Q80" s="18"/>
      <c r="R80" s="18"/>
    </row>
    <row r="81" spans="1:18" ht="17.100000000000001" customHeight="1">
      <c r="A81" s="329"/>
      <c r="B81" s="336" t="s">
        <v>747</v>
      </c>
      <c r="C81" s="336" t="s">
        <v>747</v>
      </c>
      <c r="D81" s="336" t="s">
        <v>747</v>
      </c>
      <c r="E81" s="336" t="s">
        <v>747</v>
      </c>
      <c r="F81" s="336" t="s">
        <v>748</v>
      </c>
      <c r="G81" s="335" t="s">
        <v>749</v>
      </c>
      <c r="H81" s="280" t="s">
        <v>749</v>
      </c>
      <c r="I81" s="325"/>
      <c r="J81" s="277"/>
      <c r="N81" s="18"/>
      <c r="O81" s="18"/>
      <c r="P81" s="18"/>
      <c r="Q81" s="18"/>
      <c r="R81" s="18"/>
    </row>
    <row r="82" spans="1:18" ht="17.100000000000001" customHeight="1">
      <c r="A82" s="471" t="s">
        <v>593</v>
      </c>
      <c r="B82" s="491">
        <v>7</v>
      </c>
      <c r="C82" s="491">
        <v>7</v>
      </c>
      <c r="D82" s="491">
        <v>7</v>
      </c>
      <c r="E82" s="491">
        <v>7</v>
      </c>
      <c r="F82" s="491">
        <v>6.5</v>
      </c>
      <c r="G82" s="489">
        <v>12</v>
      </c>
      <c r="H82" s="490">
        <v>12</v>
      </c>
      <c r="I82" s="457">
        <f>SUM(B82:H82)</f>
        <v>58.5</v>
      </c>
      <c r="J82" s="484" t="s">
        <v>752</v>
      </c>
      <c r="N82" s="18"/>
      <c r="O82" s="18"/>
      <c r="P82" s="18"/>
      <c r="Q82" s="18"/>
      <c r="R82" s="18"/>
    </row>
    <row r="83" spans="1:18" ht="17.100000000000001" customHeight="1">
      <c r="A83" s="329"/>
      <c r="B83" s="406" t="s">
        <v>551</v>
      </c>
      <c r="C83" s="406" t="s">
        <v>551</v>
      </c>
      <c r="D83" s="406" t="s">
        <v>551</v>
      </c>
      <c r="E83" s="406" t="s">
        <v>551</v>
      </c>
      <c r="F83" s="406" t="s">
        <v>551</v>
      </c>
      <c r="G83" s="285"/>
      <c r="H83" s="286"/>
      <c r="I83" s="341"/>
      <c r="J83" s="277"/>
      <c r="N83" s="18"/>
      <c r="O83" s="18"/>
      <c r="P83" s="18"/>
      <c r="Q83" s="18"/>
      <c r="R83" s="18"/>
    </row>
    <row r="84" spans="1:18" ht="17.100000000000001" customHeight="1">
      <c r="A84" s="471" t="s">
        <v>767</v>
      </c>
      <c r="B84" s="3891"/>
      <c r="C84" s="3891"/>
      <c r="D84" s="3891"/>
      <c r="E84" s="3891"/>
      <c r="F84" s="3891"/>
      <c r="G84" s="458"/>
      <c r="H84" s="488"/>
      <c r="I84" s="457">
        <f>SUM(B84:H84)</f>
        <v>0</v>
      </c>
      <c r="J84" s="484" t="s">
        <v>161</v>
      </c>
      <c r="N84" s="18"/>
      <c r="O84" s="18"/>
      <c r="P84" s="18"/>
      <c r="Q84" s="18"/>
      <c r="R84" s="18"/>
    </row>
    <row r="85" spans="1:18" ht="17.100000000000001" customHeight="1">
      <c r="A85" s="329"/>
      <c r="B85" s="340" t="s">
        <v>775</v>
      </c>
      <c r="C85" s="340" t="s">
        <v>775</v>
      </c>
      <c r="D85" s="340" t="s">
        <v>775</v>
      </c>
      <c r="E85" s="340" t="s">
        <v>775</v>
      </c>
      <c r="F85" s="340" t="s">
        <v>775</v>
      </c>
      <c r="G85" s="287"/>
      <c r="H85" s="288"/>
      <c r="I85" s="341"/>
      <c r="J85" s="277"/>
      <c r="N85" s="18"/>
      <c r="O85" s="18"/>
      <c r="P85" s="18"/>
      <c r="Q85" s="18"/>
      <c r="R85" s="18"/>
    </row>
    <row r="86" spans="1:18" ht="17.100000000000001" customHeight="1">
      <c r="A86" s="471" t="s">
        <v>603</v>
      </c>
      <c r="B86" s="493">
        <v>7</v>
      </c>
      <c r="C86" s="493">
        <v>7</v>
      </c>
      <c r="D86" s="493">
        <v>7</v>
      </c>
      <c r="E86" s="493">
        <v>7</v>
      </c>
      <c r="F86" s="493">
        <v>7</v>
      </c>
      <c r="G86" s="457"/>
      <c r="H86" s="495"/>
      <c r="I86" s="457">
        <f>SUM(B86:H86)</f>
        <v>35</v>
      </c>
      <c r="J86" s="484" t="s">
        <v>776</v>
      </c>
      <c r="N86" s="18"/>
      <c r="O86" s="18"/>
      <c r="P86" s="18"/>
      <c r="Q86" s="18"/>
      <c r="R86" s="18"/>
    </row>
    <row r="87" spans="1:18" ht="17.100000000000001" customHeight="1">
      <c r="A87" s="329"/>
      <c r="B87" s="330" t="s">
        <v>722</v>
      </c>
      <c r="C87" s="330" t="s">
        <v>722</v>
      </c>
      <c r="D87" s="330" t="s">
        <v>722</v>
      </c>
      <c r="E87" s="330" t="s">
        <v>722</v>
      </c>
      <c r="F87" s="330" t="s">
        <v>722</v>
      </c>
      <c r="G87" s="331" t="s">
        <v>723</v>
      </c>
      <c r="H87" s="276" t="s">
        <v>723</v>
      </c>
      <c r="I87" s="325"/>
      <c r="J87" s="277"/>
      <c r="N87" s="18"/>
      <c r="O87" s="18"/>
      <c r="P87" s="18"/>
      <c r="Q87" s="18"/>
      <c r="R87" s="18"/>
    </row>
    <row r="88" spans="1:18" ht="17.100000000000001" customHeight="1">
      <c r="A88" s="471" t="s">
        <v>725</v>
      </c>
      <c r="B88" s="469">
        <v>7</v>
      </c>
      <c r="C88" s="469">
        <v>7</v>
      </c>
      <c r="D88" s="469">
        <v>7</v>
      </c>
      <c r="E88" s="469">
        <v>7</v>
      </c>
      <c r="F88" s="469">
        <v>7</v>
      </c>
      <c r="G88" s="485">
        <v>11</v>
      </c>
      <c r="H88" s="486">
        <v>11</v>
      </c>
      <c r="I88" s="457">
        <f>SUM(B88:H88)</f>
        <v>57</v>
      </c>
      <c r="J88" s="484" t="s">
        <v>726</v>
      </c>
      <c r="N88" s="18"/>
      <c r="O88" s="18"/>
      <c r="P88" s="18"/>
      <c r="Q88" s="18"/>
      <c r="R88" s="18"/>
    </row>
    <row r="89" spans="1:18" ht="17.100000000000001" customHeight="1">
      <c r="A89" s="329"/>
      <c r="B89" s="406" t="s">
        <v>551</v>
      </c>
      <c r="C89" s="406" t="s">
        <v>551</v>
      </c>
      <c r="D89" s="406" t="s">
        <v>551</v>
      </c>
      <c r="E89" s="406" t="s">
        <v>551</v>
      </c>
      <c r="F89" s="406" t="s">
        <v>551</v>
      </c>
      <c r="G89" s="325"/>
      <c r="H89" s="279"/>
      <c r="I89" s="325"/>
      <c r="J89" s="277"/>
      <c r="N89" s="18"/>
      <c r="O89" s="18"/>
      <c r="P89" s="18"/>
      <c r="Q89" s="18"/>
      <c r="R89" s="18"/>
    </row>
    <row r="90" spans="1:18" ht="17.100000000000001" customHeight="1">
      <c r="A90" s="471" t="s">
        <v>738</v>
      </c>
      <c r="B90" s="3876"/>
      <c r="C90" s="3876"/>
      <c r="D90" s="3876"/>
      <c r="E90" s="3876"/>
      <c r="F90" s="3876"/>
      <c r="G90" s="478"/>
      <c r="H90" s="455"/>
      <c r="I90" s="457">
        <f>SUM(B90:H90)</f>
        <v>0</v>
      </c>
      <c r="J90" s="484" t="s">
        <v>735</v>
      </c>
      <c r="N90" s="18"/>
      <c r="O90" s="18"/>
      <c r="P90" s="18"/>
      <c r="Q90" s="18"/>
      <c r="R90" s="18"/>
    </row>
    <row r="91" spans="1:18" ht="17.100000000000001" customHeight="1">
      <c r="A91" s="329"/>
      <c r="B91" s="337" t="s">
        <v>755</v>
      </c>
      <c r="C91" s="337" t="s">
        <v>755</v>
      </c>
      <c r="D91" s="337" t="s">
        <v>755</v>
      </c>
      <c r="E91" s="337" t="s">
        <v>755</v>
      </c>
      <c r="F91" s="337" t="s">
        <v>755</v>
      </c>
      <c r="G91" s="335" t="s">
        <v>756</v>
      </c>
      <c r="H91" s="280" t="s">
        <v>749</v>
      </c>
      <c r="I91" s="334"/>
      <c r="J91" s="277"/>
      <c r="N91" s="18"/>
      <c r="O91" s="18"/>
      <c r="P91" s="18"/>
      <c r="Q91" s="18"/>
      <c r="R91" s="18"/>
    </row>
    <row r="92" spans="1:18" ht="17.100000000000001" customHeight="1">
      <c r="A92" s="471" t="s">
        <v>759</v>
      </c>
      <c r="B92" s="763">
        <v>7</v>
      </c>
      <c r="C92" s="763">
        <v>7</v>
      </c>
      <c r="D92" s="763">
        <v>7</v>
      </c>
      <c r="E92" s="763">
        <v>7</v>
      </c>
      <c r="F92" s="763">
        <v>7</v>
      </c>
      <c r="G92" s="764">
        <v>9</v>
      </c>
      <c r="H92" s="490">
        <v>12</v>
      </c>
      <c r="I92" s="457">
        <f>SUM(B92:H92)</f>
        <v>56</v>
      </c>
      <c r="J92" s="484" t="s">
        <v>736</v>
      </c>
      <c r="L92" s="36"/>
      <c r="M92" s="36"/>
      <c r="N92" s="36"/>
      <c r="O92" s="18"/>
      <c r="P92" s="18"/>
      <c r="Q92" s="18"/>
      <c r="R92" s="18"/>
    </row>
    <row r="93" spans="1:18" ht="17.100000000000001" customHeight="1">
      <c r="A93" s="329"/>
      <c r="B93" s="406" t="s">
        <v>551</v>
      </c>
      <c r="C93" s="406" t="s">
        <v>551</v>
      </c>
      <c r="D93" s="406" t="s">
        <v>551</v>
      </c>
      <c r="E93" s="406" t="s">
        <v>551</v>
      </c>
      <c r="F93" s="406" t="s">
        <v>551</v>
      </c>
      <c r="G93" s="325"/>
      <c r="H93" s="279"/>
      <c r="I93" s="325"/>
      <c r="J93" s="277"/>
      <c r="L93" s="37"/>
      <c r="M93" s="37"/>
      <c r="N93" s="37"/>
      <c r="O93" s="18"/>
      <c r="P93" s="18"/>
      <c r="Q93" s="18"/>
      <c r="R93" s="18"/>
    </row>
    <row r="94" spans="1:18" ht="17.100000000000001" customHeight="1">
      <c r="A94" s="33" t="s">
        <v>785</v>
      </c>
      <c r="B94" s="3891"/>
      <c r="C94" s="3891"/>
      <c r="D94" s="3876"/>
      <c r="E94" s="3876"/>
      <c r="F94" s="3876"/>
      <c r="G94" s="767"/>
      <c r="H94" s="54"/>
      <c r="I94" s="758">
        <f>SUM(B94:H94)</f>
        <v>0</v>
      </c>
      <c r="J94" s="58" t="s">
        <v>739</v>
      </c>
      <c r="N94" s="18"/>
      <c r="O94" s="18"/>
      <c r="P94" s="18"/>
      <c r="Q94" s="18"/>
      <c r="R94" s="18"/>
    </row>
    <row r="95" spans="1:18" ht="17.100000000000001" customHeight="1">
      <c r="A95" s="329"/>
      <c r="B95" s="283" t="s">
        <v>778</v>
      </c>
      <c r="C95" s="283" t="s">
        <v>778</v>
      </c>
      <c r="D95" s="283" t="s">
        <v>778</v>
      </c>
      <c r="E95" s="283" t="s">
        <v>778</v>
      </c>
      <c r="F95" s="283" t="s">
        <v>778</v>
      </c>
      <c r="G95" s="319"/>
      <c r="H95" s="282"/>
      <c r="I95" s="252"/>
      <c r="J95" s="277"/>
      <c r="N95" s="59"/>
      <c r="O95" s="59"/>
      <c r="P95" s="18"/>
      <c r="Q95" s="18"/>
      <c r="R95" s="18"/>
    </row>
    <row r="96" spans="1:18" ht="17.100000000000001" customHeight="1">
      <c r="A96" s="475" t="s">
        <v>604</v>
      </c>
      <c r="B96" s="494">
        <v>7.5</v>
      </c>
      <c r="C96" s="494">
        <v>7.5</v>
      </c>
      <c r="D96" s="494">
        <v>7.5</v>
      </c>
      <c r="E96" s="494">
        <v>7.5</v>
      </c>
      <c r="F96" s="494">
        <v>7.5</v>
      </c>
      <c r="G96" s="457"/>
      <c r="H96" s="495"/>
      <c r="I96" s="464">
        <f>SUM(B96:H96)</f>
        <v>37.5</v>
      </c>
      <c r="J96" s="498" t="s">
        <v>779</v>
      </c>
      <c r="L96" s="59"/>
      <c r="M96" s="59"/>
      <c r="N96" s="18"/>
      <c r="O96" s="18"/>
      <c r="P96" s="59"/>
      <c r="Q96" s="18"/>
      <c r="R96" s="18"/>
    </row>
    <row r="97" spans="1:19" ht="17.100000000000001" customHeight="1">
      <c r="A97" s="329"/>
      <c r="B97" s="332" t="s">
        <v>728</v>
      </c>
      <c r="C97" s="332" t="s">
        <v>728</v>
      </c>
      <c r="D97" s="332" t="s">
        <v>728</v>
      </c>
      <c r="E97" s="332" t="s">
        <v>728</v>
      </c>
      <c r="F97" s="332" t="s">
        <v>728</v>
      </c>
      <c r="G97" s="276" t="s">
        <v>729</v>
      </c>
      <c r="H97" s="276" t="s">
        <v>729</v>
      </c>
      <c r="I97" s="325"/>
      <c r="J97" s="277"/>
      <c r="L97" s="18"/>
      <c r="M97" s="18"/>
      <c r="N97" s="18"/>
      <c r="O97" s="18"/>
      <c r="P97" s="18"/>
      <c r="Q97" s="18"/>
      <c r="R97" s="18"/>
    </row>
    <row r="98" spans="1:19" ht="17.100000000000001" customHeight="1">
      <c r="A98" s="471" t="s">
        <v>730</v>
      </c>
      <c r="B98" s="487">
        <v>8</v>
      </c>
      <c r="C98" s="487">
        <v>8</v>
      </c>
      <c r="D98" s="487">
        <v>8</v>
      </c>
      <c r="E98" s="487">
        <v>8</v>
      </c>
      <c r="F98" s="487">
        <v>8</v>
      </c>
      <c r="G98" s="485">
        <v>12</v>
      </c>
      <c r="H98" s="485">
        <v>12</v>
      </c>
      <c r="I98" s="457">
        <f>SUM(B98:H98)</f>
        <v>64</v>
      </c>
      <c r="J98" s="484" t="s">
        <v>731</v>
      </c>
      <c r="N98" s="18"/>
      <c r="O98" s="18"/>
      <c r="P98" s="18"/>
      <c r="Q98" s="18"/>
      <c r="R98" s="18"/>
    </row>
    <row r="99" spans="1:19" ht="17.100000000000001" customHeight="1">
      <c r="A99" s="324"/>
      <c r="B99" s="406" t="s">
        <v>551</v>
      </c>
      <c r="C99" s="406" t="s">
        <v>551</v>
      </c>
      <c r="D99" s="406" t="s">
        <v>551</v>
      </c>
      <c r="E99" s="406" t="s">
        <v>551</v>
      </c>
      <c r="F99" s="406" t="s">
        <v>551</v>
      </c>
      <c r="G99" s="335" t="s">
        <v>740</v>
      </c>
      <c r="H99" s="280" t="s">
        <v>741</v>
      </c>
      <c r="I99" s="325"/>
      <c r="J99" s="281"/>
      <c r="N99" s="18"/>
      <c r="O99" s="18"/>
      <c r="P99" s="18"/>
      <c r="Q99" s="18"/>
      <c r="R99" s="18"/>
    </row>
    <row r="100" spans="1:19" ht="17.100000000000001" customHeight="1">
      <c r="A100" s="471" t="s">
        <v>744</v>
      </c>
      <c r="B100" s="3876"/>
      <c r="C100" s="3876"/>
      <c r="D100" s="3876"/>
      <c r="E100" s="3876"/>
      <c r="F100" s="3876"/>
      <c r="G100" s="489">
        <v>12.25</v>
      </c>
      <c r="H100" s="490">
        <v>12.25</v>
      </c>
      <c r="I100" s="457">
        <f>SUM(B100:H100)</f>
        <v>24.5</v>
      </c>
      <c r="J100" s="484" t="s">
        <v>745</v>
      </c>
      <c r="N100" s="18"/>
      <c r="O100" s="18"/>
      <c r="P100" s="18"/>
      <c r="Q100" s="18"/>
      <c r="R100" s="18"/>
    </row>
    <row r="101" spans="1:19" ht="17.100000000000001" customHeight="1">
      <c r="A101" s="329"/>
      <c r="B101" s="765" t="s">
        <v>762</v>
      </c>
      <c r="C101" s="765" t="s">
        <v>762</v>
      </c>
      <c r="D101" s="765" t="s">
        <v>762</v>
      </c>
      <c r="E101" s="765" t="s">
        <v>762</v>
      </c>
      <c r="F101" s="765" t="s">
        <v>762</v>
      </c>
      <c r="G101" s="319"/>
      <c r="H101" s="282"/>
      <c r="I101" s="325"/>
      <c r="J101" s="277"/>
      <c r="N101" s="18"/>
      <c r="O101" s="18"/>
      <c r="P101" s="18"/>
      <c r="Q101" s="18"/>
      <c r="R101" s="18"/>
    </row>
    <row r="102" spans="1:19" ht="17.100000000000001" customHeight="1">
      <c r="A102" s="471" t="s">
        <v>764</v>
      </c>
      <c r="B102" s="766">
        <v>8</v>
      </c>
      <c r="C102" s="766">
        <v>8</v>
      </c>
      <c r="D102" s="766">
        <v>8</v>
      </c>
      <c r="E102" s="766">
        <v>8</v>
      </c>
      <c r="F102" s="766">
        <v>8</v>
      </c>
      <c r="G102" s="457"/>
      <c r="H102" s="495"/>
      <c r="I102" s="457">
        <f>SUM(B102:H102)</f>
        <v>40</v>
      </c>
      <c r="J102" s="484" t="s">
        <v>753</v>
      </c>
      <c r="N102" s="18"/>
      <c r="O102" s="18"/>
      <c r="P102" s="18"/>
      <c r="Q102" s="18"/>
      <c r="R102" s="18"/>
    </row>
    <row r="103" spans="1:19" ht="17.100000000000001" customHeight="1">
      <c r="A103" s="329" t="s">
        <v>0</v>
      </c>
      <c r="B103" s="338" t="s">
        <v>727</v>
      </c>
      <c r="C103" s="338" t="s">
        <v>727</v>
      </c>
      <c r="D103" s="338" t="s">
        <v>727</v>
      </c>
      <c r="E103" s="338" t="s">
        <v>727</v>
      </c>
      <c r="F103" s="338" t="s">
        <v>727</v>
      </c>
      <c r="G103" s="339"/>
      <c r="H103" s="279"/>
      <c r="I103" s="325"/>
      <c r="J103" s="277" t="s">
        <v>0</v>
      </c>
      <c r="N103" s="18"/>
      <c r="O103" s="18"/>
      <c r="P103" s="18"/>
      <c r="Q103" s="18"/>
      <c r="R103" s="18"/>
    </row>
    <row r="104" spans="1:19" ht="17.100000000000001" customHeight="1">
      <c r="A104" s="39" t="s">
        <v>772</v>
      </c>
      <c r="B104" s="499">
        <v>8</v>
      </c>
      <c r="C104" s="499">
        <v>8</v>
      </c>
      <c r="D104" s="499">
        <v>8</v>
      </c>
      <c r="E104" s="499">
        <v>8</v>
      </c>
      <c r="F104" s="499">
        <v>8</v>
      </c>
      <c r="G104" s="767"/>
      <c r="H104" s="54"/>
      <c r="I104" s="758">
        <f>SUM(B104:H104)</f>
        <v>40</v>
      </c>
      <c r="J104" s="55" t="s">
        <v>773</v>
      </c>
      <c r="N104" s="18"/>
      <c r="O104" s="18"/>
      <c r="P104" s="18"/>
      <c r="Q104" s="18"/>
      <c r="R104" s="18"/>
    </row>
    <row r="105" spans="1:19" ht="17.100000000000001" customHeight="1">
      <c r="A105" s="329"/>
      <c r="B105" s="284" t="s">
        <v>781</v>
      </c>
      <c r="C105" s="342" t="s">
        <v>781</v>
      </c>
      <c r="D105" s="342" t="s">
        <v>781</v>
      </c>
      <c r="E105" s="342" t="s">
        <v>781</v>
      </c>
      <c r="F105" s="342" t="s">
        <v>781</v>
      </c>
      <c r="G105" s="319"/>
      <c r="H105" s="282"/>
      <c r="I105" s="343"/>
      <c r="J105" s="277"/>
      <c r="N105" s="18"/>
      <c r="O105" s="18"/>
      <c r="P105" s="18"/>
      <c r="Q105" s="18"/>
      <c r="R105" s="18"/>
    </row>
    <row r="106" spans="1:19" ht="17.100000000000001" customHeight="1">
      <c r="A106" s="471" t="s">
        <v>605</v>
      </c>
      <c r="B106" s="497">
        <v>8</v>
      </c>
      <c r="C106" s="497">
        <v>8</v>
      </c>
      <c r="D106" s="497">
        <v>8</v>
      </c>
      <c r="E106" s="497">
        <v>8</v>
      </c>
      <c r="F106" s="497">
        <v>8</v>
      </c>
      <c r="G106" s="457"/>
      <c r="H106" s="457"/>
      <c r="I106" s="496">
        <f>SUM(B106:H106)</f>
        <v>40</v>
      </c>
      <c r="J106" s="484" t="s">
        <v>782</v>
      </c>
      <c r="N106" s="18"/>
      <c r="O106" s="18"/>
      <c r="P106" s="18"/>
      <c r="Q106" s="18"/>
      <c r="R106" s="18"/>
    </row>
    <row r="107" spans="1:19" ht="17.850000000000001" customHeight="1">
      <c r="A107" s="46" t="s">
        <v>563</v>
      </c>
      <c r="B107" s="62">
        <f t="shared" ref="B107:I107" si="3">SUM(B78,B80,B82,B84,B86,B88,B90,B92,B94,B96,B98,B100,B102,B104,B106)</f>
        <v>75.75</v>
      </c>
      <c r="C107" s="62">
        <f t="shared" si="3"/>
        <v>75.75</v>
      </c>
      <c r="D107" s="62">
        <f t="shared" si="3"/>
        <v>75.75</v>
      </c>
      <c r="E107" s="62">
        <f t="shared" si="3"/>
        <v>75.75</v>
      </c>
      <c r="F107" s="62">
        <f t="shared" si="3"/>
        <v>75.25</v>
      </c>
      <c r="G107" s="62">
        <f t="shared" si="3"/>
        <v>68.5</v>
      </c>
      <c r="H107" s="62">
        <f t="shared" si="3"/>
        <v>71.5</v>
      </c>
      <c r="I107" s="62">
        <f t="shared" si="3"/>
        <v>518.25</v>
      </c>
      <c r="J107" s="48"/>
      <c r="N107" s="18"/>
      <c r="O107" s="18"/>
      <c r="P107" s="18"/>
      <c r="Q107" s="18"/>
      <c r="R107" s="18"/>
    </row>
    <row r="108" spans="1:19" ht="17.850000000000001" customHeight="1">
      <c r="A108" s="18"/>
      <c r="B108" s="18"/>
      <c r="C108" s="18"/>
      <c r="D108" s="18"/>
      <c r="E108" s="18"/>
      <c r="F108" s="18"/>
      <c r="G108" s="3909" t="s">
        <v>679</v>
      </c>
      <c r="H108" s="3909" t="s">
        <v>680</v>
      </c>
      <c r="I108" s="3909" t="s">
        <v>681</v>
      </c>
      <c r="N108" s="18"/>
      <c r="O108" s="18"/>
      <c r="P108" s="18"/>
      <c r="Q108" s="18"/>
      <c r="R108" s="18"/>
    </row>
    <row r="109" spans="1:19" ht="17.850000000000001" customHeight="1">
      <c r="A109" s="59"/>
      <c r="B109" s="59"/>
      <c r="C109" s="59"/>
      <c r="D109" s="59"/>
      <c r="E109" s="59"/>
      <c r="F109" s="18"/>
      <c r="G109" s="3888">
        <f>I107</f>
        <v>518.25</v>
      </c>
      <c r="H109" s="3910">
        <f>SUM(G109*13/3)</f>
        <v>2245.75</v>
      </c>
      <c r="I109" s="3888">
        <f>SUM(H109*12)</f>
        <v>26949</v>
      </c>
      <c r="N109" s="18"/>
      <c r="O109" s="18"/>
      <c r="P109" s="18"/>
      <c r="Q109" s="18"/>
      <c r="R109" s="18"/>
    </row>
    <row r="110" spans="1:19" ht="17.850000000000001" customHeight="1">
      <c r="A110" s="80"/>
      <c r="B110" s="80"/>
      <c r="C110" s="80"/>
      <c r="D110" s="80"/>
      <c r="E110" s="80"/>
      <c r="F110" s="18"/>
      <c r="G110" s="18"/>
      <c r="H110" s="45"/>
      <c r="I110" s="18"/>
      <c r="N110" s="18"/>
      <c r="O110" s="18"/>
      <c r="P110" s="18"/>
      <c r="Q110" s="18"/>
      <c r="R110" s="18"/>
    </row>
    <row r="111" spans="1:19" ht="17.100000000000001" customHeight="1">
      <c r="A111" s="1" t="s">
        <v>786</v>
      </c>
      <c r="B111" s="18"/>
      <c r="C111" s="18"/>
      <c r="D111" s="18"/>
      <c r="E111" s="18"/>
      <c r="F111" s="18"/>
      <c r="L111" s="18"/>
      <c r="M111" s="59"/>
      <c r="N111" s="59"/>
      <c r="O111" s="59"/>
      <c r="P111" s="59"/>
      <c r="Q111" s="59"/>
      <c r="R111" s="59"/>
      <c r="S111" s="81"/>
    </row>
    <row r="112" spans="1:19" ht="17.100000000000001" customHeight="1">
      <c r="A112" s="255" t="s">
        <v>787</v>
      </c>
      <c r="B112" s="256" t="s">
        <v>94</v>
      </c>
      <c r="C112" s="257" t="s">
        <v>95</v>
      </c>
      <c r="D112" s="257" t="s">
        <v>96</v>
      </c>
      <c r="E112" s="257" t="s">
        <v>97</v>
      </c>
      <c r="F112" s="257" t="s">
        <v>98</v>
      </c>
      <c r="G112" s="257" t="s">
        <v>99</v>
      </c>
      <c r="H112" s="258" t="s">
        <v>100</v>
      </c>
      <c r="I112" s="259" t="s">
        <v>147</v>
      </c>
      <c r="J112" s="260" t="s">
        <v>101</v>
      </c>
      <c r="L112" s="59"/>
      <c r="M112" s="18"/>
      <c r="N112" s="18"/>
      <c r="O112" s="18"/>
      <c r="P112" s="18"/>
      <c r="Q112" s="18"/>
      <c r="R112" s="18"/>
      <c r="S112" s="82"/>
    </row>
    <row r="113" spans="1:20" ht="17.100000000000001" customHeight="1">
      <c r="A113" s="409" t="s">
        <v>0</v>
      </c>
      <c r="B113" s="4" t="s">
        <v>788</v>
      </c>
      <c r="C113" s="4" t="s">
        <v>788</v>
      </c>
      <c r="D113" s="4" t="s">
        <v>788</v>
      </c>
      <c r="E113" s="4" t="s">
        <v>788</v>
      </c>
      <c r="F113" s="4" t="s">
        <v>789</v>
      </c>
      <c r="G113" s="398"/>
      <c r="H113" s="375"/>
      <c r="I113" s="373"/>
      <c r="J113" s="408" t="s">
        <v>790</v>
      </c>
      <c r="L113" s="18"/>
      <c r="M113" s="36"/>
      <c r="N113" s="36"/>
      <c r="O113" s="36"/>
      <c r="P113" s="36"/>
      <c r="Q113" s="36"/>
      <c r="R113" s="81"/>
      <c r="S113" s="81"/>
    </row>
    <row r="114" spans="1:20" ht="17.100000000000001" customHeight="1">
      <c r="A114" s="454" t="s">
        <v>648</v>
      </c>
      <c r="B114" s="457">
        <v>7.75</v>
      </c>
      <c r="C114" s="457">
        <v>7.75</v>
      </c>
      <c r="D114" s="457">
        <v>7.75</v>
      </c>
      <c r="E114" s="457">
        <v>7.75</v>
      </c>
      <c r="F114" s="457">
        <v>6</v>
      </c>
      <c r="G114" s="459"/>
      <c r="H114" s="460"/>
      <c r="I114" s="464">
        <f>SUM(B114:H114)</f>
        <v>37</v>
      </c>
      <c r="J114" s="465" t="s">
        <v>791</v>
      </c>
      <c r="L114" s="59"/>
      <c r="M114" s="37"/>
      <c r="N114" s="37"/>
      <c r="O114" s="37"/>
      <c r="P114" s="37"/>
      <c r="Q114" s="37"/>
      <c r="R114" s="82"/>
      <c r="S114" s="82"/>
    </row>
    <row r="115" spans="1:20" ht="17.100000000000001" customHeight="1">
      <c r="A115" s="255" t="s">
        <v>675</v>
      </c>
      <c r="B115" s="256" t="s">
        <v>94</v>
      </c>
      <c r="C115" s="257" t="s">
        <v>95</v>
      </c>
      <c r="D115" s="257" t="s">
        <v>96</v>
      </c>
      <c r="E115" s="257" t="s">
        <v>97</v>
      </c>
      <c r="F115" s="257" t="s">
        <v>98</v>
      </c>
      <c r="G115" s="257" t="s">
        <v>99</v>
      </c>
      <c r="H115" s="258" t="s">
        <v>100</v>
      </c>
      <c r="I115" s="259" t="s">
        <v>147</v>
      </c>
      <c r="J115" s="260" t="s">
        <v>101</v>
      </c>
      <c r="L115" s="59"/>
      <c r="M115" s="37"/>
      <c r="N115" s="37"/>
      <c r="O115" s="37"/>
      <c r="P115" s="37"/>
      <c r="Q115" s="37"/>
      <c r="R115" s="82"/>
      <c r="S115" s="82"/>
    </row>
    <row r="116" spans="1:20" ht="17.100000000000001" customHeight="1">
      <c r="A116" s="409" t="s">
        <v>0</v>
      </c>
      <c r="B116" s="4" t="s">
        <v>792</v>
      </c>
      <c r="C116" s="4" t="s">
        <v>792</v>
      </c>
      <c r="D116" s="4" t="s">
        <v>792</v>
      </c>
      <c r="E116" s="4" t="s">
        <v>792</v>
      </c>
      <c r="F116" s="4" t="s">
        <v>793</v>
      </c>
      <c r="G116" s="398"/>
      <c r="H116" s="375"/>
      <c r="I116" s="373"/>
      <c r="J116" s="408" t="s">
        <v>790</v>
      </c>
      <c r="L116" s="59"/>
      <c r="M116" s="37"/>
      <c r="N116" s="37"/>
      <c r="O116" s="37"/>
      <c r="P116" s="37"/>
      <c r="Q116" s="37"/>
      <c r="R116" s="82"/>
      <c r="S116" s="82"/>
    </row>
    <row r="117" spans="1:20" ht="17.100000000000001" customHeight="1">
      <c r="A117" s="454" t="s">
        <v>794</v>
      </c>
      <c r="B117" s="457">
        <v>7.75</v>
      </c>
      <c r="C117" s="457">
        <v>7.75</v>
      </c>
      <c r="D117" s="457">
        <v>7.75</v>
      </c>
      <c r="E117" s="457">
        <v>7.75</v>
      </c>
      <c r="F117" s="457">
        <v>6</v>
      </c>
      <c r="G117" s="459"/>
      <c r="H117" s="460"/>
      <c r="I117" s="464">
        <f>SUM(B117:H117)</f>
        <v>37</v>
      </c>
      <c r="J117" s="465" t="s">
        <v>791</v>
      </c>
      <c r="L117" s="59"/>
      <c r="M117" s="37"/>
      <c r="N117" s="37"/>
      <c r="O117" s="37"/>
      <c r="P117" s="37"/>
      <c r="Q117" s="37"/>
      <c r="R117" s="82"/>
      <c r="S117" s="82"/>
    </row>
    <row r="118" spans="1:20" ht="17.100000000000001" customHeight="1">
      <c r="A118" s="59"/>
      <c r="B118" s="18"/>
      <c r="C118" s="18"/>
      <c r="D118" s="18"/>
      <c r="E118" s="18"/>
      <c r="F118" s="37"/>
      <c r="G118" s="3909" t="s">
        <v>679</v>
      </c>
      <c r="H118" s="3909" t="s">
        <v>680</v>
      </c>
      <c r="I118" s="3909" t="s">
        <v>681</v>
      </c>
      <c r="J118" s="19"/>
      <c r="L118" s="18"/>
      <c r="M118" s="36"/>
      <c r="N118" s="36"/>
      <c r="O118" s="36"/>
      <c r="P118" s="36"/>
      <c r="Q118" s="36"/>
      <c r="R118" s="81"/>
      <c r="S118" s="81"/>
    </row>
    <row r="119" spans="1:20" ht="17.100000000000001" customHeight="1">
      <c r="A119" s="59"/>
      <c r="B119" s="18"/>
      <c r="C119" s="18"/>
      <c r="D119" s="18"/>
      <c r="E119" s="18"/>
      <c r="F119" s="37"/>
      <c r="G119" s="3888">
        <f>SUM(I114,I117)</f>
        <v>74</v>
      </c>
      <c r="H119" s="3910">
        <f>SUM(G119*13/3)</f>
        <v>320.66666666666669</v>
      </c>
      <c r="I119" s="3888">
        <f>SUM(H119*12)</f>
        <v>3848</v>
      </c>
      <c r="J119" s="19"/>
      <c r="M119" s="37"/>
      <c r="N119" s="37"/>
      <c r="O119" s="37"/>
      <c r="P119" s="37"/>
      <c r="Q119" s="37"/>
      <c r="R119" s="82"/>
      <c r="S119" s="82"/>
    </row>
    <row r="120" spans="1:20" ht="17.100000000000001" customHeight="1">
      <c r="A120" s="1" t="s">
        <v>795</v>
      </c>
      <c r="B120" s="18"/>
      <c r="C120" s="18"/>
      <c r="D120" s="18"/>
      <c r="E120" s="18"/>
      <c r="F120" s="18"/>
    </row>
    <row r="121" spans="1:20" ht="17.100000000000001" customHeight="1">
      <c r="A121" s="255" t="s">
        <v>796</v>
      </c>
      <c r="B121" s="256" t="s">
        <v>94</v>
      </c>
      <c r="C121" s="257" t="s">
        <v>95</v>
      </c>
      <c r="D121" s="257" t="s">
        <v>96</v>
      </c>
      <c r="E121" s="257" t="s">
        <v>97</v>
      </c>
      <c r="F121" s="257" t="s">
        <v>98</v>
      </c>
      <c r="G121" s="257" t="s">
        <v>99</v>
      </c>
      <c r="H121" s="258" t="s">
        <v>100</v>
      </c>
      <c r="I121" s="259" t="s">
        <v>147</v>
      </c>
      <c r="J121" s="260" t="s">
        <v>101</v>
      </c>
    </row>
    <row r="122" spans="1:20" ht="17.100000000000001" customHeight="1">
      <c r="A122" s="409" t="s">
        <v>0</v>
      </c>
      <c r="B122" s="4" t="s">
        <v>797</v>
      </c>
      <c r="C122" s="4" t="s">
        <v>797</v>
      </c>
      <c r="D122" s="4" t="s">
        <v>797</v>
      </c>
      <c r="E122" s="4" t="s">
        <v>797</v>
      </c>
      <c r="F122" s="4" t="s">
        <v>798</v>
      </c>
      <c r="G122" s="398"/>
      <c r="H122" s="375"/>
      <c r="I122" s="373"/>
      <c r="J122" s="408"/>
    </row>
    <row r="123" spans="1:20" ht="17.100000000000001" customHeight="1">
      <c r="A123" s="454" t="s">
        <v>650</v>
      </c>
      <c r="B123" s="457">
        <v>8</v>
      </c>
      <c r="C123" s="457">
        <v>8</v>
      </c>
      <c r="D123" s="457">
        <v>8</v>
      </c>
      <c r="E123" s="457">
        <v>8</v>
      </c>
      <c r="F123" s="457">
        <v>5</v>
      </c>
      <c r="G123" s="459"/>
      <c r="H123" s="460"/>
      <c r="I123" s="464">
        <f>SUM(B123:H123)</f>
        <v>37</v>
      </c>
      <c r="J123" s="465"/>
      <c r="L123" s="59"/>
      <c r="M123" s="59"/>
      <c r="N123" s="59"/>
      <c r="O123" s="59"/>
      <c r="P123" s="59"/>
    </row>
    <row r="124" spans="1:20" ht="17.100000000000001" customHeight="1">
      <c r="A124" s="59"/>
      <c r="B124" s="18"/>
      <c r="C124" s="18"/>
      <c r="D124" s="18"/>
      <c r="E124" s="18"/>
      <c r="F124" s="37"/>
      <c r="G124" s="3909" t="s">
        <v>679</v>
      </c>
      <c r="H124" s="3909" t="s">
        <v>680</v>
      </c>
      <c r="I124" s="3909" t="s">
        <v>681</v>
      </c>
      <c r="J124" s="19"/>
      <c r="L124" s="18"/>
      <c r="M124" s="18"/>
      <c r="N124" s="18"/>
      <c r="O124" s="18"/>
      <c r="P124" s="18"/>
    </row>
    <row r="125" spans="1:20" ht="17.100000000000001" customHeight="1">
      <c r="A125" s="59"/>
      <c r="B125" s="18"/>
      <c r="C125" s="18"/>
      <c r="D125" s="18"/>
      <c r="E125" s="18"/>
      <c r="F125" s="37"/>
      <c r="G125" s="3888">
        <f>I123</f>
        <v>37</v>
      </c>
      <c r="H125" s="3910">
        <f>SUM(G125*13/3)</f>
        <v>160.33333333333334</v>
      </c>
      <c r="I125" s="3888">
        <f>SUM(H125*12)</f>
        <v>1924</v>
      </c>
      <c r="J125" s="19"/>
      <c r="L125" s="59"/>
      <c r="M125" s="59"/>
      <c r="N125" s="59"/>
      <c r="O125" s="59"/>
      <c r="P125" s="59"/>
    </row>
    <row r="126" spans="1:20" ht="17.100000000000001" customHeight="1">
      <c r="A126" s="1" t="s">
        <v>799</v>
      </c>
      <c r="B126" s="18"/>
      <c r="C126" s="18"/>
      <c r="D126" s="18"/>
      <c r="E126" s="18"/>
      <c r="F126" s="18"/>
    </row>
    <row r="127" spans="1:20" ht="17.100000000000001" customHeight="1">
      <c r="A127" s="248" t="s">
        <v>654</v>
      </c>
      <c r="B127" s="319" t="s">
        <v>94</v>
      </c>
      <c r="C127" s="320" t="s">
        <v>95</v>
      </c>
      <c r="D127" s="320" t="s">
        <v>96</v>
      </c>
      <c r="E127" s="320" t="s">
        <v>97</v>
      </c>
      <c r="F127" s="320" t="s">
        <v>98</v>
      </c>
      <c r="G127" s="320" t="s">
        <v>99</v>
      </c>
      <c r="H127" s="251" t="s">
        <v>100</v>
      </c>
      <c r="I127" s="252" t="s">
        <v>147</v>
      </c>
      <c r="J127" s="321" t="s">
        <v>101</v>
      </c>
      <c r="M127" s="323"/>
      <c r="N127" s="267" t="s">
        <v>685</v>
      </c>
      <c r="O127">
        <v>37</v>
      </c>
      <c r="P127" t="s">
        <v>800</v>
      </c>
      <c r="Q127">
        <v>2</v>
      </c>
      <c r="R127" t="s">
        <v>801</v>
      </c>
      <c r="S127">
        <f>O127*Q127</f>
        <v>74</v>
      </c>
      <c r="T127" t="s">
        <v>802</v>
      </c>
    </row>
    <row r="128" spans="1:20" ht="17.100000000000001" customHeight="1">
      <c r="A128" s="405" t="s">
        <v>619</v>
      </c>
      <c r="B128" s="406" t="s">
        <v>803</v>
      </c>
      <c r="C128" s="406" t="s">
        <v>803</v>
      </c>
      <c r="D128" s="406" t="s">
        <v>803</v>
      </c>
      <c r="E128" s="406" t="s">
        <v>803</v>
      </c>
      <c r="F128" s="434" t="s">
        <v>804</v>
      </c>
      <c r="G128" s="398"/>
      <c r="H128" s="398"/>
      <c r="I128" s="406"/>
      <c r="J128" s="408" t="s">
        <v>805</v>
      </c>
      <c r="M128" s="3912"/>
      <c r="N128" s="3913" t="s">
        <v>687</v>
      </c>
      <c r="O128" t="s">
        <v>0</v>
      </c>
    </row>
    <row r="129" spans="1:22" ht="17.100000000000001" customHeight="1">
      <c r="A129" s="3951"/>
      <c r="B129" s="3891">
        <v>0</v>
      </c>
      <c r="C129" s="3891">
        <v>0</v>
      </c>
      <c r="D129" s="3891">
        <v>0</v>
      </c>
      <c r="E129" s="3891">
        <v>0</v>
      </c>
      <c r="F129" s="3952">
        <v>0</v>
      </c>
      <c r="G129" s="3953"/>
      <c r="H129" s="3953"/>
      <c r="I129" s="3891">
        <f>SUM(B129:H129)</f>
        <v>0</v>
      </c>
      <c r="J129" s="3954"/>
      <c r="M129" s="3912" t="s">
        <v>148</v>
      </c>
      <c r="N129" s="3913">
        <v>0</v>
      </c>
      <c r="O129" t="s">
        <v>806</v>
      </c>
      <c r="Q129">
        <f>I131</f>
        <v>0</v>
      </c>
    </row>
    <row r="130" spans="1:22" ht="17.100000000000001" customHeight="1">
      <c r="A130" s="405" t="s">
        <v>623</v>
      </c>
      <c r="B130" s="406" t="s">
        <v>807</v>
      </c>
      <c r="C130" s="406" t="s">
        <v>807</v>
      </c>
      <c r="D130" s="406" t="s">
        <v>807</v>
      </c>
      <c r="E130" s="406" t="s">
        <v>807</v>
      </c>
      <c r="F130" s="406" t="s">
        <v>808</v>
      </c>
      <c r="G130" s="435"/>
      <c r="H130" s="435"/>
      <c r="I130" s="406"/>
      <c r="J130" s="408" t="s">
        <v>809</v>
      </c>
      <c r="M130" s="3912" t="s">
        <v>152</v>
      </c>
      <c r="N130" s="3913">
        <f>I131</f>
        <v>0</v>
      </c>
    </row>
    <row r="131" spans="1:22" ht="17.100000000000001" customHeight="1">
      <c r="A131" s="3955"/>
      <c r="B131" s="3876">
        <v>0</v>
      </c>
      <c r="C131" s="3876">
        <v>0</v>
      </c>
      <c r="D131" s="3876">
        <v>0</v>
      </c>
      <c r="E131" s="3876">
        <v>0</v>
      </c>
      <c r="F131" s="3876">
        <v>0</v>
      </c>
      <c r="G131" s="3895"/>
      <c r="H131" s="3895"/>
      <c r="I131" s="3876">
        <f>SUM(B131:H131)</f>
        <v>0</v>
      </c>
      <c r="J131" s="3897"/>
      <c r="M131" s="3912" t="s">
        <v>159</v>
      </c>
      <c r="N131" s="3913">
        <v>0</v>
      </c>
      <c r="O131">
        <f>Q129</f>
        <v>0</v>
      </c>
      <c r="P131" t="s">
        <v>810</v>
      </c>
      <c r="Q131" s="42">
        <f>SUM(O131/37)</f>
        <v>0</v>
      </c>
    </row>
    <row r="132" spans="1:22" ht="17.100000000000001" customHeight="1">
      <c r="A132" s="46" t="s">
        <v>563</v>
      </c>
      <c r="B132" s="46">
        <f t="shared" ref="B132:I132" si="4">SUM(B129,B131)</f>
        <v>0</v>
      </c>
      <c r="C132" s="46">
        <f t="shared" si="4"/>
        <v>0</v>
      </c>
      <c r="D132" s="46">
        <f t="shared" si="4"/>
        <v>0</v>
      </c>
      <c r="E132" s="46">
        <f t="shared" si="4"/>
        <v>0</v>
      </c>
      <c r="F132" s="46">
        <f t="shared" si="4"/>
        <v>0</v>
      </c>
      <c r="G132" s="46">
        <f t="shared" si="4"/>
        <v>0</v>
      </c>
      <c r="H132" s="46">
        <f t="shared" si="4"/>
        <v>0</v>
      </c>
      <c r="I132" s="46">
        <f t="shared" si="4"/>
        <v>0</v>
      </c>
      <c r="J132" s="48"/>
      <c r="O132" t="s">
        <v>811</v>
      </c>
      <c r="Q132" s="42"/>
    </row>
    <row r="133" spans="1:22" ht="17.100000000000001" customHeight="1">
      <c r="A133" s="18"/>
      <c r="B133" s="18"/>
      <c r="C133" s="18"/>
      <c r="D133" s="18"/>
      <c r="E133" s="18"/>
      <c r="F133" s="18"/>
      <c r="G133" s="3909" t="s">
        <v>679</v>
      </c>
      <c r="H133" s="3909" t="s">
        <v>680</v>
      </c>
      <c r="I133" s="3909" t="s">
        <v>681</v>
      </c>
      <c r="Q133" s="42"/>
      <c r="V133" s="83"/>
    </row>
    <row r="134" spans="1:22" ht="17.100000000000001" customHeight="1">
      <c r="A134" s="18"/>
      <c r="B134" s="18"/>
      <c r="C134" s="18"/>
      <c r="D134" s="18"/>
      <c r="E134" s="18"/>
      <c r="F134" s="18"/>
      <c r="G134" s="3888">
        <f>I132</f>
        <v>0</v>
      </c>
      <c r="H134" s="3910">
        <f>SUM(G134*13/3)</f>
        <v>0</v>
      </c>
      <c r="I134" s="3888">
        <f>SUM(H134*12)</f>
        <v>0</v>
      </c>
      <c r="O134" t="s">
        <v>812</v>
      </c>
      <c r="Q134" s="42"/>
    </row>
    <row r="135" spans="1:22" ht="17.100000000000001" customHeight="1">
      <c r="A135" s="18"/>
      <c r="B135" s="18"/>
      <c r="C135" s="18"/>
      <c r="D135" s="18"/>
      <c r="E135" s="18"/>
      <c r="F135" s="18"/>
      <c r="G135" s="18"/>
      <c r="H135" s="45"/>
      <c r="I135" s="18"/>
      <c r="O135" t="s">
        <v>813</v>
      </c>
      <c r="Q135" s="72"/>
      <c r="S135" s="42"/>
      <c r="U135" s="84"/>
    </row>
    <row r="136" spans="1:22" ht="18" customHeight="1">
      <c r="A136" s="1" t="s">
        <v>635</v>
      </c>
      <c r="B136" s="18"/>
      <c r="C136" s="18"/>
      <c r="D136" s="18"/>
      <c r="E136" s="18"/>
      <c r="F136" s="18"/>
    </row>
    <row r="137" spans="1:22" ht="18" customHeight="1">
      <c r="A137" s="255" t="s">
        <v>636</v>
      </c>
      <c r="B137" s="256" t="s">
        <v>94</v>
      </c>
      <c r="C137" s="257" t="s">
        <v>95</v>
      </c>
      <c r="D137" s="257" t="s">
        <v>96</v>
      </c>
      <c r="E137" s="257" t="s">
        <v>97</v>
      </c>
      <c r="F137" s="257" t="s">
        <v>98</v>
      </c>
      <c r="G137" s="257" t="s">
        <v>99</v>
      </c>
      <c r="H137" s="258" t="s">
        <v>100</v>
      </c>
      <c r="I137" s="259" t="s">
        <v>147</v>
      </c>
      <c r="J137" s="260" t="s">
        <v>101</v>
      </c>
      <c r="M137" s="323"/>
      <c r="N137" s="267" t="s">
        <v>685</v>
      </c>
      <c r="O137" t="s">
        <v>814</v>
      </c>
    </row>
    <row r="138" spans="1:22" ht="18" customHeight="1">
      <c r="A138" s="409" t="s">
        <v>637</v>
      </c>
      <c r="B138" s="373" t="s">
        <v>621</v>
      </c>
      <c r="C138" s="373" t="s">
        <v>621</v>
      </c>
      <c r="D138" s="373" t="s">
        <v>621</v>
      </c>
      <c r="E138" s="373" t="s">
        <v>621</v>
      </c>
      <c r="F138" s="373" t="s">
        <v>609</v>
      </c>
      <c r="G138" s="398"/>
      <c r="H138" s="375"/>
      <c r="I138" s="373"/>
      <c r="J138" s="408"/>
      <c r="M138" s="3912"/>
      <c r="N138" s="3913" t="s">
        <v>687</v>
      </c>
      <c r="O138" t="s">
        <v>0</v>
      </c>
    </row>
    <row r="139" spans="1:22" ht="18" customHeight="1">
      <c r="A139" s="477"/>
      <c r="B139" s="457">
        <v>7.5</v>
      </c>
      <c r="C139" s="457">
        <v>7.5</v>
      </c>
      <c r="D139" s="457">
        <v>7.5</v>
      </c>
      <c r="E139" s="457">
        <v>7.5</v>
      </c>
      <c r="F139" s="458">
        <v>7</v>
      </c>
      <c r="G139" s="459"/>
      <c r="H139" s="460"/>
      <c r="I139" s="464">
        <f>SUM(B139:H139)</f>
        <v>37</v>
      </c>
      <c r="J139" s="465"/>
      <c r="M139" s="3912" t="s">
        <v>148</v>
      </c>
      <c r="N139" s="3913">
        <v>0</v>
      </c>
      <c r="O139" t="s">
        <v>815</v>
      </c>
    </row>
    <row r="140" spans="1:22" ht="18" customHeight="1">
      <c r="A140" s="2590" t="s">
        <v>638</v>
      </c>
      <c r="B140" s="406" t="s">
        <v>816</v>
      </c>
      <c r="C140" s="406" t="s">
        <v>816</v>
      </c>
      <c r="D140" s="406" t="s">
        <v>816</v>
      </c>
      <c r="E140" s="406" t="s">
        <v>816</v>
      </c>
      <c r="F140" s="406" t="s">
        <v>817</v>
      </c>
      <c r="G140" s="6"/>
      <c r="H140" s="7"/>
      <c r="I140" s="34"/>
      <c r="J140" s="12"/>
      <c r="M140" s="3912" t="s">
        <v>152</v>
      </c>
      <c r="N140" s="3913">
        <v>34</v>
      </c>
    </row>
    <row r="141" spans="1:22" ht="18" customHeight="1">
      <c r="A141" s="35"/>
      <c r="B141" s="3888">
        <v>7</v>
      </c>
      <c r="C141" s="3888">
        <v>7</v>
      </c>
      <c r="D141" s="3888">
        <v>7</v>
      </c>
      <c r="E141" s="3888">
        <v>7</v>
      </c>
      <c r="F141" s="759">
        <v>6</v>
      </c>
      <c r="G141" s="760"/>
      <c r="H141" s="36"/>
      <c r="I141" s="464">
        <f>SUM(B141:H141)</f>
        <v>34</v>
      </c>
      <c r="J141" s="757"/>
      <c r="M141" s="3912" t="s">
        <v>159</v>
      </c>
      <c r="N141" s="3913">
        <v>0</v>
      </c>
      <c r="O141" t="s">
        <v>818</v>
      </c>
    </row>
    <row r="142" spans="1:22" ht="18" customHeight="1">
      <c r="A142" s="405" t="s">
        <v>640</v>
      </c>
      <c r="B142" s="373" t="s">
        <v>641</v>
      </c>
      <c r="C142" s="373" t="s">
        <v>641</v>
      </c>
      <c r="D142" s="373" t="s">
        <v>641</v>
      </c>
      <c r="E142" s="373" t="s">
        <v>641</v>
      </c>
      <c r="F142" s="373" t="s">
        <v>642</v>
      </c>
      <c r="G142" s="373"/>
      <c r="H142" s="373"/>
      <c r="I142" s="373"/>
      <c r="J142" s="408"/>
      <c r="M142" s="3916" t="s">
        <v>696</v>
      </c>
      <c r="N142" s="3917">
        <f>SUM(N139:N141)</f>
        <v>34</v>
      </c>
    </row>
    <row r="143" spans="1:22" ht="18" customHeight="1">
      <c r="A143" s="454"/>
      <c r="B143" s="457" t="s">
        <v>819</v>
      </c>
      <c r="C143" s="457" t="s">
        <v>819</v>
      </c>
      <c r="D143" s="457" t="s">
        <v>819</v>
      </c>
      <c r="E143" s="457" t="s">
        <v>819</v>
      </c>
      <c r="F143" s="457" t="s">
        <v>819</v>
      </c>
      <c r="G143" s="458"/>
      <c r="H143" s="463"/>
      <c r="I143" s="464">
        <f>SUM(B143:H143)</f>
        <v>0</v>
      </c>
      <c r="J143" s="465"/>
      <c r="O143" t="s">
        <v>820</v>
      </c>
    </row>
    <row r="144" spans="1:22" ht="18" customHeight="1">
      <c r="A144" s="253" t="s">
        <v>563</v>
      </c>
      <c r="B144" s="253">
        <f t="shared" ref="B144:I144" si="5">SUM(B139,B141,B143)</f>
        <v>14.5</v>
      </c>
      <c r="C144" s="253">
        <f t="shared" si="5"/>
        <v>14.5</v>
      </c>
      <c r="D144" s="253">
        <f t="shared" si="5"/>
        <v>14.5</v>
      </c>
      <c r="E144" s="253">
        <f t="shared" si="5"/>
        <v>14.5</v>
      </c>
      <c r="F144" s="253">
        <f t="shared" si="5"/>
        <v>13</v>
      </c>
      <c r="G144" s="253">
        <f t="shared" si="5"/>
        <v>0</v>
      </c>
      <c r="H144" s="253">
        <f t="shared" si="5"/>
        <v>0</v>
      </c>
      <c r="I144" s="261">
        <f t="shared" si="5"/>
        <v>71</v>
      </c>
      <c r="J144" s="262"/>
    </row>
    <row r="145" spans="1:20" ht="18" customHeight="1">
      <c r="A145" s="18"/>
      <c r="B145" s="18"/>
      <c r="C145" s="18"/>
      <c r="D145" s="18"/>
      <c r="E145" s="18"/>
      <c r="F145" s="37"/>
      <c r="G145" s="3909" t="s">
        <v>679</v>
      </c>
      <c r="H145" s="3909" t="s">
        <v>680</v>
      </c>
      <c r="I145" s="3909" t="s">
        <v>681</v>
      </c>
      <c r="J145" s="19"/>
      <c r="O145" t="s">
        <v>821</v>
      </c>
      <c r="P145" s="18"/>
      <c r="T145" t="s">
        <v>711</v>
      </c>
    </row>
    <row r="146" spans="1:20" ht="18" customHeight="1">
      <c r="A146" s="18"/>
      <c r="B146" s="18"/>
      <c r="C146" s="18"/>
      <c r="D146" s="18"/>
      <c r="E146" s="18"/>
      <c r="F146" s="18"/>
      <c r="G146" s="3888">
        <f>I144</f>
        <v>71</v>
      </c>
      <c r="H146" s="3910">
        <f>SUM(G146*13/3)</f>
        <v>307.66666666666669</v>
      </c>
      <c r="I146" s="3888">
        <f>SUM(H146*12)</f>
        <v>3692</v>
      </c>
      <c r="J146" s="19"/>
    </row>
    <row r="147" spans="1:20" ht="18" customHeight="1">
      <c r="A147" s="18"/>
      <c r="B147" s="18"/>
      <c r="C147" s="18"/>
      <c r="D147" s="18"/>
      <c r="E147" s="18"/>
      <c r="F147" s="18"/>
      <c r="G147" s="18"/>
      <c r="H147" s="45"/>
      <c r="I147" s="18"/>
      <c r="J147" s="19"/>
      <c r="O147" t="s">
        <v>822</v>
      </c>
    </row>
    <row r="148" spans="1:20" ht="18" customHeight="1">
      <c r="A148" s="64" t="s">
        <v>823</v>
      </c>
      <c r="B148" s="18"/>
      <c r="C148" s="18"/>
      <c r="D148" s="18"/>
      <c r="E148" s="18"/>
      <c r="F148" s="37"/>
      <c r="G148" s="37"/>
      <c r="H148" s="37"/>
      <c r="I148" s="18"/>
      <c r="J148" s="19"/>
      <c r="N148" s="18"/>
    </row>
    <row r="149" spans="1:20" ht="18" customHeight="1">
      <c r="A149" s="255" t="s">
        <v>657</v>
      </c>
      <c r="B149" s="256" t="s">
        <v>94</v>
      </c>
      <c r="C149" s="257" t="s">
        <v>95</v>
      </c>
      <c r="D149" s="257" t="s">
        <v>96</v>
      </c>
      <c r="E149" s="257" t="s">
        <v>97</v>
      </c>
      <c r="F149" s="257" t="s">
        <v>98</v>
      </c>
      <c r="G149" s="257" t="s">
        <v>99</v>
      </c>
      <c r="H149" s="258" t="s">
        <v>100</v>
      </c>
      <c r="I149" s="259" t="s">
        <v>147</v>
      </c>
      <c r="J149" s="260" t="s">
        <v>101</v>
      </c>
      <c r="N149" s="18"/>
    </row>
    <row r="150" spans="1:20" ht="18" customHeight="1">
      <c r="A150" s="405" t="s">
        <v>0</v>
      </c>
      <c r="B150" s="406" t="s">
        <v>268</v>
      </c>
      <c r="C150" s="406" t="s">
        <v>268</v>
      </c>
      <c r="D150" s="406" t="s">
        <v>268</v>
      </c>
      <c r="E150" s="406" t="s">
        <v>268</v>
      </c>
      <c r="F150" s="407" t="s">
        <v>269</v>
      </c>
      <c r="G150" s="403"/>
      <c r="H150" s="374" t="s">
        <v>0</v>
      </c>
      <c r="I150" s="368"/>
      <c r="J150" s="408" t="s">
        <v>0</v>
      </c>
      <c r="N150" s="18"/>
    </row>
    <row r="151" spans="1:20" ht="18" customHeight="1">
      <c r="A151" s="3956">
        <v>1</v>
      </c>
      <c r="B151" s="3876">
        <v>7.75</v>
      </c>
      <c r="C151" s="3876">
        <v>7.75</v>
      </c>
      <c r="D151" s="3876">
        <v>7.75</v>
      </c>
      <c r="E151" s="3876">
        <v>7.75</v>
      </c>
      <c r="F151" s="3895">
        <v>6</v>
      </c>
      <c r="G151" s="457"/>
      <c r="H151" s="495" t="s">
        <v>0</v>
      </c>
      <c r="I151" s="3876">
        <f>SUM(B151:H151)</f>
        <v>37</v>
      </c>
      <c r="J151" s="465"/>
      <c r="N151" s="18"/>
    </row>
    <row r="152" spans="1:20" ht="18" customHeight="1">
      <c r="A152" s="40" t="s">
        <v>0</v>
      </c>
      <c r="B152" s="406" t="s">
        <v>268</v>
      </c>
      <c r="C152" s="406" t="s">
        <v>268</v>
      </c>
      <c r="D152" s="406" t="s">
        <v>268</v>
      </c>
      <c r="E152" s="406" t="s">
        <v>268</v>
      </c>
      <c r="F152" s="407" t="s">
        <v>269</v>
      </c>
      <c r="G152" s="369"/>
      <c r="H152" s="5"/>
      <c r="I152" s="13"/>
      <c r="J152" s="12"/>
      <c r="N152" s="18"/>
    </row>
    <row r="153" spans="1:20" ht="18" customHeight="1">
      <c r="A153" s="3956">
        <v>2</v>
      </c>
      <c r="B153" s="3876">
        <v>7.75</v>
      </c>
      <c r="C153" s="3876">
        <v>7.75</v>
      </c>
      <c r="D153" s="3876">
        <v>7.75</v>
      </c>
      <c r="E153" s="3876">
        <v>7.75</v>
      </c>
      <c r="F153" s="3895">
        <v>6</v>
      </c>
      <c r="G153" s="458"/>
      <c r="H153" s="3895"/>
      <c r="I153" s="3876">
        <f>SUM(B153:H153)</f>
        <v>37</v>
      </c>
      <c r="J153" s="3897"/>
      <c r="N153" s="18"/>
    </row>
    <row r="154" spans="1:20" ht="18" customHeight="1">
      <c r="A154" s="405"/>
      <c r="B154" s="406" t="s">
        <v>268</v>
      </c>
      <c r="C154" s="406" t="s">
        <v>268</v>
      </c>
      <c r="D154" s="406" t="s">
        <v>268</v>
      </c>
      <c r="E154" s="406" t="s">
        <v>268</v>
      </c>
      <c r="F154" s="407" t="s">
        <v>269</v>
      </c>
      <c r="G154" s="373"/>
      <c r="H154" s="407"/>
      <c r="I154" s="368"/>
      <c r="J154" s="408"/>
      <c r="N154" s="18"/>
    </row>
    <row r="155" spans="1:20" ht="18" customHeight="1">
      <c r="A155" s="3956">
        <v>3</v>
      </c>
      <c r="B155" s="3876">
        <v>7.75</v>
      </c>
      <c r="C155" s="3876">
        <v>7.75</v>
      </c>
      <c r="D155" s="3876">
        <v>7.75</v>
      </c>
      <c r="E155" s="3876">
        <v>7.75</v>
      </c>
      <c r="F155" s="3895">
        <v>6</v>
      </c>
      <c r="G155" s="457"/>
      <c r="H155" s="3895"/>
      <c r="I155" s="3876">
        <f>SUM(B155:H155)</f>
        <v>37</v>
      </c>
      <c r="J155" s="465"/>
    </row>
    <row r="156" spans="1:20" ht="18" customHeight="1">
      <c r="A156" s="85"/>
      <c r="B156" s="406" t="s">
        <v>268</v>
      </c>
      <c r="C156" s="406" t="s">
        <v>268</v>
      </c>
      <c r="D156" s="406" t="s">
        <v>268</v>
      </c>
      <c r="E156" s="406" t="s">
        <v>268</v>
      </c>
      <c r="F156" s="407" t="s">
        <v>269</v>
      </c>
      <c r="G156" s="5"/>
      <c r="H156" s="5"/>
      <c r="I156" s="8"/>
      <c r="J156" s="12"/>
      <c r="P156" s="18"/>
    </row>
    <row r="157" spans="1:20" ht="18" customHeight="1">
      <c r="A157" s="3956">
        <v>4</v>
      </c>
      <c r="B157" s="3876">
        <v>7.75</v>
      </c>
      <c r="C157" s="3876">
        <v>7.75</v>
      </c>
      <c r="D157" s="3876">
        <v>7.75</v>
      </c>
      <c r="E157" s="3876">
        <v>7.75</v>
      </c>
      <c r="F157" s="3895">
        <v>6</v>
      </c>
      <c r="G157" s="3895"/>
      <c r="H157" s="3895"/>
      <c r="I157" s="3876">
        <f>SUM(B157:H157)</f>
        <v>37</v>
      </c>
      <c r="J157" s="465"/>
      <c r="P157" s="18"/>
    </row>
    <row r="158" spans="1:20" ht="18" customHeight="1">
      <c r="A158" s="289"/>
      <c r="B158" s="406" t="s">
        <v>268</v>
      </c>
      <c r="C158" s="406" t="s">
        <v>268</v>
      </c>
      <c r="D158" s="406" t="s">
        <v>268</v>
      </c>
      <c r="E158" s="406" t="s">
        <v>268</v>
      </c>
      <c r="F158" s="407" t="s">
        <v>269</v>
      </c>
      <c r="G158" s="333"/>
      <c r="H158" s="333"/>
      <c r="I158" s="290"/>
      <c r="J158" s="344"/>
      <c r="P158" s="18"/>
    </row>
    <row r="159" spans="1:20" ht="18" customHeight="1">
      <c r="A159" s="3956">
        <v>5</v>
      </c>
      <c r="B159" s="3876">
        <v>7.75</v>
      </c>
      <c r="C159" s="3876">
        <v>7.75</v>
      </c>
      <c r="D159" s="3876">
        <v>7.75</v>
      </c>
      <c r="E159" s="3876">
        <v>7.75</v>
      </c>
      <c r="F159" s="3895">
        <v>6</v>
      </c>
      <c r="G159" s="458"/>
      <c r="H159" s="458"/>
      <c r="I159" s="3876">
        <f>SUM(B159:H159)</f>
        <v>37</v>
      </c>
      <c r="J159" s="465"/>
    </row>
    <row r="160" spans="1:20" ht="18" customHeight="1">
      <c r="A160" s="40"/>
      <c r="B160" s="406" t="s">
        <v>268</v>
      </c>
      <c r="C160" s="406" t="s">
        <v>268</v>
      </c>
      <c r="D160" s="406" t="s">
        <v>268</v>
      </c>
      <c r="E160" s="406" t="s">
        <v>268</v>
      </c>
      <c r="F160" s="407" t="s">
        <v>269</v>
      </c>
      <c r="G160" s="5"/>
      <c r="H160" s="5"/>
      <c r="I160" s="8"/>
      <c r="J160" s="12"/>
    </row>
    <row r="161" spans="1:20" ht="18" customHeight="1">
      <c r="A161" s="3956">
        <v>6</v>
      </c>
      <c r="B161" s="3876">
        <v>7.75</v>
      </c>
      <c r="C161" s="3876">
        <v>7.75</v>
      </c>
      <c r="D161" s="3876">
        <v>7.75</v>
      </c>
      <c r="E161" s="3876">
        <v>7.75</v>
      </c>
      <c r="F161" s="3895">
        <v>6</v>
      </c>
      <c r="G161" s="3895"/>
      <c r="H161" s="3895"/>
      <c r="I161" s="3876">
        <f>SUM(B161:H161)</f>
        <v>37</v>
      </c>
      <c r="J161" s="465"/>
    </row>
    <row r="162" spans="1:20" ht="18" customHeight="1">
      <c r="A162" s="253" t="s">
        <v>563</v>
      </c>
      <c r="B162" s="253">
        <f t="shared" ref="B162:H162" si="6">SUM(B151,B153,B155,B157,B159,B161)</f>
        <v>46.5</v>
      </c>
      <c r="C162" s="253">
        <f t="shared" si="6"/>
        <v>46.5</v>
      </c>
      <c r="D162" s="253">
        <f t="shared" si="6"/>
        <v>46.5</v>
      </c>
      <c r="E162" s="253">
        <f t="shared" si="6"/>
        <v>46.5</v>
      </c>
      <c r="F162" s="253">
        <f t="shared" si="6"/>
        <v>36</v>
      </c>
      <c r="G162" s="253">
        <f t="shared" si="6"/>
        <v>0</v>
      </c>
      <c r="H162" s="253">
        <f t="shared" si="6"/>
        <v>0</v>
      </c>
      <c r="I162" s="261">
        <f>SUM(I151,I153,I155,I157,I161)</f>
        <v>185</v>
      </c>
      <c r="J162" s="262"/>
      <c r="M162" s="18"/>
      <c r="N162" s="18"/>
    </row>
    <row r="163" spans="1:20" ht="18" customHeight="1">
      <c r="A163" s="64"/>
      <c r="B163" s="18"/>
      <c r="C163" s="18"/>
      <c r="D163" s="18"/>
      <c r="E163" s="18"/>
      <c r="F163" s="37"/>
      <c r="G163" s="3909" t="s">
        <v>679</v>
      </c>
      <c r="H163" s="3909" t="s">
        <v>680</v>
      </c>
      <c r="I163" s="3909" t="s">
        <v>681</v>
      </c>
      <c r="J163" s="19"/>
      <c r="M163" s="18"/>
      <c r="N163" s="18"/>
    </row>
    <row r="164" spans="1:20" ht="18" customHeight="1">
      <c r="A164" s="64"/>
      <c r="B164" s="18"/>
      <c r="C164" s="18"/>
      <c r="D164" s="18"/>
      <c r="E164" s="18"/>
      <c r="F164" s="37"/>
      <c r="G164" s="3888">
        <f>I162</f>
        <v>185</v>
      </c>
      <c r="H164" s="3910">
        <f>SUM(G164*13/3)</f>
        <v>801.66666666666663</v>
      </c>
      <c r="I164" s="3888">
        <f>SUM(H164*12)</f>
        <v>9620</v>
      </c>
      <c r="J164" s="19"/>
      <c r="M164" s="18"/>
      <c r="N164" s="18"/>
    </row>
    <row r="165" spans="1:20" ht="18" customHeight="1">
      <c r="A165" s="59"/>
      <c r="B165" s="18"/>
      <c r="C165" s="18"/>
      <c r="D165" s="18"/>
      <c r="E165" s="18"/>
      <c r="F165" s="37"/>
      <c r="G165" s="18"/>
      <c r="H165" s="45"/>
      <c r="I165" s="18"/>
      <c r="J165" s="19"/>
      <c r="M165" s="18"/>
      <c r="N165" s="18"/>
    </row>
    <row r="166" spans="1:20" ht="17.100000000000001" customHeight="1">
      <c r="A166" s="152" t="s">
        <v>824</v>
      </c>
      <c r="B166" s="18"/>
      <c r="C166" s="18"/>
      <c r="D166" s="18"/>
      <c r="E166" s="18"/>
      <c r="F166" s="18"/>
      <c r="O166">
        <v>37</v>
      </c>
      <c r="P166" t="s">
        <v>800</v>
      </c>
      <c r="Q166">
        <v>4</v>
      </c>
      <c r="R166" t="s">
        <v>801</v>
      </c>
      <c r="S166">
        <f>O166*Q166</f>
        <v>148</v>
      </c>
      <c r="T166" t="s">
        <v>802</v>
      </c>
    </row>
    <row r="167" spans="1:20" ht="17.100000000000001" customHeight="1">
      <c r="A167" s="324" t="s">
        <v>825</v>
      </c>
      <c r="B167" s="319" t="s">
        <v>94</v>
      </c>
      <c r="C167" s="320" t="s">
        <v>95</v>
      </c>
      <c r="D167" s="320" t="s">
        <v>96</v>
      </c>
      <c r="E167" s="320" t="s">
        <v>97</v>
      </c>
      <c r="F167" s="320" t="s">
        <v>98</v>
      </c>
      <c r="G167" s="320" t="s">
        <v>99</v>
      </c>
      <c r="H167" s="251" t="s">
        <v>100</v>
      </c>
      <c r="I167" s="252" t="s">
        <v>147</v>
      </c>
      <c r="J167" s="321" t="s">
        <v>101</v>
      </c>
      <c r="M167" s="323"/>
      <c r="N167" s="267" t="s">
        <v>685</v>
      </c>
      <c r="O167" t="s">
        <v>0</v>
      </c>
    </row>
    <row r="168" spans="1:20" ht="17.100000000000001" customHeight="1">
      <c r="A168" s="345"/>
      <c r="B168" s="398" t="s">
        <v>826</v>
      </c>
      <c r="C168" s="398" t="s">
        <v>827</v>
      </c>
      <c r="D168" s="398" t="s">
        <v>827</v>
      </c>
      <c r="E168" s="398" t="s">
        <v>828</v>
      </c>
      <c r="F168" s="398" t="s">
        <v>829</v>
      </c>
      <c r="G168" s="398"/>
      <c r="H168" s="398"/>
      <c r="I168" s="428"/>
      <c r="J168" s="408"/>
      <c r="M168" s="3912"/>
      <c r="N168" s="3913" t="s">
        <v>687</v>
      </c>
      <c r="O168" t="s">
        <v>806</v>
      </c>
      <c r="Q168">
        <f>N174</f>
        <v>105.25</v>
      </c>
    </row>
    <row r="169" spans="1:20" ht="17.100000000000001" customHeight="1">
      <c r="A169" s="500">
        <v>1</v>
      </c>
      <c r="B169" s="3895">
        <v>8.5</v>
      </c>
      <c r="C169" s="3895">
        <v>8.5</v>
      </c>
      <c r="D169" s="3895">
        <v>8.5</v>
      </c>
      <c r="E169" s="3895">
        <v>0</v>
      </c>
      <c r="F169" s="3895">
        <v>0</v>
      </c>
      <c r="G169" s="3895"/>
      <c r="H169" s="3895"/>
      <c r="I169" s="3895">
        <v>37</v>
      </c>
      <c r="J169" s="465"/>
      <c r="M169" s="3912" t="s">
        <v>148</v>
      </c>
      <c r="N169" s="3913">
        <v>37</v>
      </c>
    </row>
    <row r="170" spans="1:20" ht="17.100000000000001" customHeight="1">
      <c r="A170" s="345"/>
      <c r="B170" s="398" t="s">
        <v>830</v>
      </c>
      <c r="C170" s="398" t="s">
        <v>830</v>
      </c>
      <c r="D170" s="398" t="s">
        <v>830</v>
      </c>
      <c r="E170" s="398" t="s">
        <v>830</v>
      </c>
      <c r="F170" s="398" t="s">
        <v>831</v>
      </c>
      <c r="G170" s="398" t="s">
        <v>832</v>
      </c>
      <c r="H170" s="398" t="s">
        <v>832</v>
      </c>
      <c r="I170" s="428"/>
      <c r="J170" s="408"/>
      <c r="M170" s="3912" t="s">
        <v>152</v>
      </c>
      <c r="N170" s="3913">
        <v>68.25</v>
      </c>
      <c r="O170">
        <f>Q168</f>
        <v>105.25</v>
      </c>
      <c r="P170" t="s">
        <v>810</v>
      </c>
      <c r="Q170" s="42">
        <f>SUM(O170/37)</f>
        <v>2.8445945945945947</v>
      </c>
    </row>
    <row r="171" spans="1:20" ht="17.100000000000001" customHeight="1">
      <c r="A171" s="500">
        <v>2</v>
      </c>
      <c r="B171" s="3895">
        <v>9.25</v>
      </c>
      <c r="C171" s="3895">
        <v>9.25</v>
      </c>
      <c r="D171" s="3895">
        <v>9.25</v>
      </c>
      <c r="E171" s="3895">
        <v>9.25</v>
      </c>
      <c r="F171" s="3895">
        <v>10.25</v>
      </c>
      <c r="G171" s="3895">
        <v>10.5</v>
      </c>
      <c r="H171" s="3895">
        <v>10.5</v>
      </c>
      <c r="I171" s="3895">
        <f>SUM(B171:H171)</f>
        <v>68.25</v>
      </c>
      <c r="J171" s="465"/>
      <c r="M171" s="3912" t="s">
        <v>159</v>
      </c>
      <c r="N171" s="3913">
        <f>I173</f>
        <v>0</v>
      </c>
    </row>
    <row r="172" spans="1:20" ht="17.100000000000001" customHeight="1">
      <c r="A172" s="345"/>
      <c r="B172" s="407" t="s">
        <v>160</v>
      </c>
      <c r="C172" s="407" t="s">
        <v>160</v>
      </c>
      <c r="D172" s="407" t="s">
        <v>160</v>
      </c>
      <c r="E172" s="407" t="s">
        <v>160</v>
      </c>
      <c r="F172" s="407" t="s">
        <v>160</v>
      </c>
      <c r="G172" s="407"/>
      <c r="H172" s="407"/>
      <c r="I172" s="428"/>
      <c r="J172" s="408"/>
      <c r="M172" s="3912" t="s">
        <v>161</v>
      </c>
      <c r="N172" s="3913"/>
      <c r="O172" s="42">
        <f>Q170</f>
        <v>2.8445945945945947</v>
      </c>
      <c r="P172" t="s">
        <v>833</v>
      </c>
      <c r="S172" s="86">
        <f>SUM(O172*3)</f>
        <v>8.5337837837837842</v>
      </c>
      <c r="T172" t="s">
        <v>834</v>
      </c>
    </row>
    <row r="173" spans="1:20" ht="17.100000000000001" customHeight="1">
      <c r="A173" s="500">
        <v>3</v>
      </c>
      <c r="B173" s="3895">
        <v>0</v>
      </c>
      <c r="C173" s="3895">
        <v>0</v>
      </c>
      <c r="D173" s="3895">
        <v>0</v>
      </c>
      <c r="E173" s="3895">
        <v>0</v>
      </c>
      <c r="F173" s="3895">
        <v>0</v>
      </c>
      <c r="G173" s="3895"/>
      <c r="H173" s="3895"/>
      <c r="I173" s="3895">
        <f>SUM(B173:H173)</f>
        <v>0</v>
      </c>
      <c r="J173" s="465"/>
      <c r="M173" s="3957" t="s">
        <v>0</v>
      </c>
      <c r="N173" s="3958">
        <f>I177</f>
        <v>0</v>
      </c>
    </row>
    <row r="174" spans="1:20" ht="17.100000000000001" customHeight="1">
      <c r="A174" s="345"/>
      <c r="B174" s="398"/>
      <c r="C174" s="398"/>
      <c r="D174" s="398"/>
      <c r="E174" s="398"/>
      <c r="F174" s="398"/>
      <c r="G174" s="407"/>
      <c r="H174" s="407"/>
      <c r="I174" s="428"/>
      <c r="J174" s="408"/>
      <c r="M174" s="3916" t="s">
        <v>696</v>
      </c>
      <c r="N174" s="3917">
        <f>SUM(N169:N173)</f>
        <v>105.25</v>
      </c>
      <c r="O174" t="s">
        <v>0</v>
      </c>
      <c r="P174" s="69"/>
      <c r="Q174" s="69" t="s">
        <v>835</v>
      </c>
      <c r="S174" s="42">
        <f>S166-S172</f>
        <v>139.46621621621622</v>
      </c>
      <c r="T174" t="s">
        <v>836</v>
      </c>
    </row>
    <row r="175" spans="1:20" ht="17.100000000000001" customHeight="1">
      <c r="A175" s="500">
        <v>4</v>
      </c>
      <c r="B175" s="3895"/>
      <c r="C175" s="3895"/>
      <c r="D175" s="3895"/>
      <c r="E175" s="3895"/>
      <c r="F175" s="3895"/>
      <c r="G175" s="3895"/>
      <c r="H175" s="3895"/>
      <c r="I175" s="3895"/>
      <c r="J175" s="465"/>
      <c r="S175" s="42"/>
    </row>
    <row r="176" spans="1:20" ht="17.100000000000001" customHeight="1">
      <c r="A176" s="345"/>
      <c r="B176" s="398"/>
      <c r="C176" s="398"/>
      <c r="D176" s="398"/>
      <c r="E176" s="407"/>
      <c r="F176" s="407"/>
      <c r="G176" s="407"/>
      <c r="H176" s="407"/>
      <c r="I176" s="428"/>
      <c r="J176" s="408"/>
      <c r="S176" s="42"/>
    </row>
    <row r="177" spans="1:22" ht="17.100000000000001" customHeight="1">
      <c r="A177" s="500"/>
      <c r="B177" s="3895"/>
      <c r="C177" s="3895"/>
      <c r="D177" s="3895"/>
      <c r="E177" s="3895"/>
      <c r="F177" s="3895"/>
      <c r="G177" s="3895"/>
      <c r="H177" s="3895"/>
      <c r="I177" s="3895"/>
      <c r="J177" s="465"/>
      <c r="S177" s="42"/>
    </row>
    <row r="178" spans="1:22" ht="17.100000000000001" customHeight="1">
      <c r="A178" s="345"/>
      <c r="B178" s="407"/>
      <c r="C178" s="407"/>
      <c r="D178" s="407"/>
      <c r="E178" s="407"/>
      <c r="F178" s="407"/>
      <c r="G178" s="407"/>
      <c r="H178" s="407"/>
      <c r="I178" s="428"/>
      <c r="J178" s="408"/>
      <c r="S178" s="42"/>
    </row>
    <row r="179" spans="1:22" ht="17.100000000000001" customHeight="1">
      <c r="A179" s="500"/>
      <c r="B179" s="3895"/>
      <c r="C179" s="3895"/>
      <c r="D179" s="3895"/>
      <c r="E179" s="3895"/>
      <c r="F179" s="3895"/>
      <c r="G179" s="3895"/>
      <c r="H179" s="3895"/>
      <c r="I179" s="3895"/>
      <c r="J179" s="465"/>
      <c r="S179" s="42"/>
    </row>
    <row r="180" spans="1:22" ht="17.100000000000001" customHeight="1">
      <c r="A180" s="345"/>
      <c r="B180" s="398"/>
      <c r="C180" s="398"/>
      <c r="D180" s="398"/>
      <c r="E180" s="398"/>
      <c r="F180" s="398"/>
      <c r="G180" s="407"/>
      <c r="H180" s="407"/>
      <c r="I180" s="428"/>
      <c r="J180" s="408" t="s">
        <v>0</v>
      </c>
      <c r="S180" s="42"/>
    </row>
    <row r="181" spans="1:22" ht="17.100000000000001" customHeight="1">
      <c r="A181" s="500" t="s">
        <v>0</v>
      </c>
      <c r="B181" s="3895"/>
      <c r="C181" s="3895"/>
      <c r="D181" s="3895"/>
      <c r="E181" s="3895"/>
      <c r="F181" s="3895"/>
      <c r="G181" s="3895"/>
      <c r="H181" s="3895"/>
      <c r="I181" s="3895">
        <f>SUM(B181:H181)</f>
        <v>0</v>
      </c>
      <c r="J181" s="465"/>
      <c r="S181" s="42"/>
    </row>
    <row r="182" spans="1:22" ht="17.100000000000001" customHeight="1">
      <c r="A182" s="46" t="s">
        <v>563</v>
      </c>
      <c r="B182" s="46">
        <f t="shared" ref="B182:H182" si="7">SUM(B169,B171,B173,B175)</f>
        <v>17.75</v>
      </c>
      <c r="C182" s="46">
        <f t="shared" si="7"/>
        <v>17.75</v>
      </c>
      <c r="D182" s="46">
        <f t="shared" si="7"/>
        <v>17.75</v>
      </c>
      <c r="E182" s="46">
        <f t="shared" si="7"/>
        <v>9.25</v>
      </c>
      <c r="F182" s="46">
        <f t="shared" si="7"/>
        <v>10.25</v>
      </c>
      <c r="G182" s="46">
        <f t="shared" si="7"/>
        <v>10.5</v>
      </c>
      <c r="H182" s="46">
        <f t="shared" si="7"/>
        <v>10.5</v>
      </c>
      <c r="I182" s="46">
        <f>SUM(I169,I171,I173,I175,I177,I179,I181)</f>
        <v>105.25</v>
      </c>
      <c r="J182" s="48"/>
      <c r="O182" t="s">
        <v>837</v>
      </c>
      <c r="P182">
        <f>I182</f>
        <v>105.25</v>
      </c>
      <c r="Q182" s="72" t="s">
        <v>838</v>
      </c>
      <c r="S182" s="42">
        <f>S174</f>
        <v>139.46621621621622</v>
      </c>
      <c r="T182" t="s">
        <v>839</v>
      </c>
      <c r="U182" s="84">
        <f>P182-S182</f>
        <v>-34.216216216216225</v>
      </c>
    </row>
    <row r="183" spans="1:22" ht="17.100000000000001" customHeight="1">
      <c r="A183" s="18"/>
      <c r="B183" s="18"/>
      <c r="C183" s="18"/>
      <c r="D183" s="18"/>
      <c r="E183" s="18"/>
      <c r="F183" s="18"/>
      <c r="G183" s="3909" t="s">
        <v>679</v>
      </c>
      <c r="H183" s="3909" t="s">
        <v>680</v>
      </c>
      <c r="I183" s="3909" t="s">
        <v>681</v>
      </c>
      <c r="V183" s="83"/>
    </row>
    <row r="184" spans="1:22" ht="17.100000000000001" customHeight="1">
      <c r="A184" s="18"/>
      <c r="B184" s="18"/>
      <c r="C184" s="18"/>
      <c r="D184" s="18"/>
      <c r="E184" s="18"/>
      <c r="F184" s="18"/>
      <c r="G184" s="3888">
        <f>I182</f>
        <v>105.25</v>
      </c>
      <c r="H184" s="3910">
        <f>SUM(G184*13/3)</f>
        <v>456.08333333333331</v>
      </c>
      <c r="I184" s="3888">
        <f>SUM(H184*12)</f>
        <v>5473</v>
      </c>
    </row>
    <row r="185" spans="1:22" ht="17.100000000000001" customHeight="1">
      <c r="A185" s="18"/>
      <c r="B185" s="18"/>
      <c r="C185" s="18"/>
      <c r="D185" s="18"/>
      <c r="E185" s="18"/>
      <c r="F185" s="18"/>
      <c r="G185" s="18"/>
      <c r="H185" s="45"/>
      <c r="I185" s="18"/>
    </row>
    <row r="186" spans="1:22" ht="17.100000000000001" customHeight="1">
      <c r="A186" s="18"/>
      <c r="B186" s="18"/>
      <c r="C186" s="18"/>
      <c r="D186" s="18"/>
      <c r="E186" s="18"/>
      <c r="F186" s="18"/>
      <c r="G186" s="18"/>
      <c r="H186" s="45"/>
      <c r="I186" s="18"/>
    </row>
    <row r="187" spans="1:22" ht="17.100000000000001" customHeight="1">
      <c r="A187" s="1" t="s">
        <v>840</v>
      </c>
      <c r="B187" s="18"/>
      <c r="C187" s="18"/>
      <c r="D187" s="18"/>
      <c r="E187" s="18"/>
      <c r="F187" s="18"/>
      <c r="O187">
        <v>37</v>
      </c>
      <c r="P187" t="s">
        <v>800</v>
      </c>
      <c r="Q187">
        <v>4</v>
      </c>
      <c r="R187" t="s">
        <v>801</v>
      </c>
      <c r="S187">
        <f>O187*Q187</f>
        <v>148</v>
      </c>
      <c r="T187" t="s">
        <v>802</v>
      </c>
    </row>
    <row r="188" spans="1:22" ht="17.100000000000001" customHeight="1">
      <c r="A188" s="324" t="s">
        <v>825</v>
      </c>
      <c r="B188" s="319" t="s">
        <v>94</v>
      </c>
      <c r="C188" s="320" t="s">
        <v>95</v>
      </c>
      <c r="D188" s="320" t="s">
        <v>96</v>
      </c>
      <c r="E188" s="320" t="s">
        <v>97</v>
      </c>
      <c r="F188" s="320" t="s">
        <v>98</v>
      </c>
      <c r="G188" s="320" t="s">
        <v>99</v>
      </c>
      <c r="H188" s="251" t="s">
        <v>100</v>
      </c>
      <c r="I188" s="252" t="s">
        <v>147</v>
      </c>
      <c r="J188" s="321" t="s">
        <v>101</v>
      </c>
      <c r="M188" s="323"/>
      <c r="N188" s="267" t="s">
        <v>685</v>
      </c>
      <c r="O188" t="s">
        <v>0</v>
      </c>
    </row>
    <row r="189" spans="1:22" ht="17.100000000000001" customHeight="1">
      <c r="A189" s="345"/>
      <c r="B189" s="398" t="s">
        <v>160</v>
      </c>
      <c r="C189" s="398" t="s">
        <v>160</v>
      </c>
      <c r="D189" s="398" t="s">
        <v>841</v>
      </c>
      <c r="E189" s="398" t="s">
        <v>841</v>
      </c>
      <c r="F189" s="398" t="s">
        <v>841</v>
      </c>
      <c r="G189" s="398" t="s">
        <v>842</v>
      </c>
      <c r="H189" s="398" t="s">
        <v>843</v>
      </c>
      <c r="I189" s="428"/>
      <c r="J189" s="408"/>
      <c r="M189" s="3912"/>
      <c r="N189" s="3913" t="s">
        <v>687</v>
      </c>
      <c r="O189" t="s">
        <v>806</v>
      </c>
      <c r="Q189">
        <f>N195</f>
        <v>102</v>
      </c>
    </row>
    <row r="190" spans="1:22" ht="17.100000000000001" customHeight="1">
      <c r="A190" s="500" t="s">
        <v>844</v>
      </c>
      <c r="B190" s="3895"/>
      <c r="C190" s="3895"/>
      <c r="D190" s="3895">
        <v>12</v>
      </c>
      <c r="E190" s="3895">
        <v>12</v>
      </c>
      <c r="F190" s="3895">
        <v>12</v>
      </c>
      <c r="G190" s="3895">
        <v>12</v>
      </c>
      <c r="H190" s="3895">
        <v>8</v>
      </c>
      <c r="I190" s="3895">
        <f>SUM(B190:H190)</f>
        <v>56</v>
      </c>
      <c r="J190" s="465"/>
      <c r="M190" s="3912" t="s">
        <v>148</v>
      </c>
      <c r="N190" s="3913">
        <f>I190</f>
        <v>56</v>
      </c>
    </row>
    <row r="191" spans="1:22" ht="17.100000000000001" customHeight="1">
      <c r="A191" s="345"/>
      <c r="B191" s="398" t="s">
        <v>160</v>
      </c>
      <c r="C191" s="398" t="s">
        <v>160</v>
      </c>
      <c r="D191" s="398" t="s">
        <v>160</v>
      </c>
      <c r="E191" s="398" t="s">
        <v>160</v>
      </c>
      <c r="F191" s="398" t="s">
        <v>160</v>
      </c>
      <c r="G191" s="398"/>
      <c r="H191" s="398"/>
      <c r="I191" s="428"/>
      <c r="J191" s="408"/>
      <c r="M191" s="3912" t="s">
        <v>152</v>
      </c>
      <c r="N191" s="3913">
        <f>I192</f>
        <v>0</v>
      </c>
      <c r="O191">
        <f>Q189</f>
        <v>102</v>
      </c>
      <c r="P191" t="s">
        <v>810</v>
      </c>
      <c r="Q191" s="42">
        <f>SUM(O191/37)</f>
        <v>2.7567567567567566</v>
      </c>
    </row>
    <row r="192" spans="1:22" ht="17.100000000000001" customHeight="1">
      <c r="A192" s="500" t="s">
        <v>845</v>
      </c>
      <c r="B192" s="3895"/>
      <c r="C192" s="3895"/>
      <c r="D192" s="3895"/>
      <c r="E192" s="3895"/>
      <c r="F192" s="3895"/>
      <c r="G192" s="3895"/>
      <c r="H192" s="3895"/>
      <c r="I192" s="3895">
        <f>SUM(B192:H192)</f>
        <v>0</v>
      </c>
      <c r="J192" s="465"/>
      <c r="M192" s="3912" t="s">
        <v>159</v>
      </c>
      <c r="N192" s="3913">
        <f>I194</f>
        <v>46</v>
      </c>
    </row>
    <row r="193" spans="1:22" ht="17.100000000000001" customHeight="1">
      <c r="A193" s="345"/>
      <c r="B193" s="398" t="s">
        <v>841</v>
      </c>
      <c r="C193" s="398" t="s">
        <v>841</v>
      </c>
      <c r="D193" s="398" t="s">
        <v>160</v>
      </c>
      <c r="E193" s="398" t="s">
        <v>160</v>
      </c>
      <c r="F193" s="398" t="s">
        <v>160</v>
      </c>
      <c r="G193" s="398" t="s">
        <v>846</v>
      </c>
      <c r="H193" s="398" t="s">
        <v>847</v>
      </c>
      <c r="I193" s="428"/>
      <c r="J193" s="408"/>
      <c r="M193" s="3912" t="s">
        <v>161</v>
      </c>
      <c r="N193" s="3913">
        <v>0</v>
      </c>
      <c r="O193" s="42">
        <f>Q191</f>
        <v>2.7567567567567566</v>
      </c>
      <c r="P193" t="s">
        <v>833</v>
      </c>
      <c r="S193" s="86">
        <f>SUM(O193*3)</f>
        <v>8.2702702702702702</v>
      </c>
      <c r="T193" t="s">
        <v>834</v>
      </c>
    </row>
    <row r="194" spans="1:22" ht="17.100000000000001" customHeight="1">
      <c r="A194" s="500" t="s">
        <v>848</v>
      </c>
      <c r="B194" s="3895">
        <v>12</v>
      </c>
      <c r="C194" s="3895">
        <v>12</v>
      </c>
      <c r="D194" s="3895"/>
      <c r="E194" s="3895"/>
      <c r="F194" s="3895"/>
      <c r="G194" s="3895">
        <v>12</v>
      </c>
      <c r="H194" s="3895">
        <v>10</v>
      </c>
      <c r="I194" s="3895">
        <f>SUM(B194:H194)</f>
        <v>46</v>
      </c>
      <c r="J194" s="465"/>
      <c r="M194" s="3957"/>
      <c r="N194" s="3958"/>
    </row>
    <row r="195" spans="1:22" ht="17.100000000000001" customHeight="1">
      <c r="A195" s="436"/>
      <c r="B195" s="387" t="s">
        <v>849</v>
      </c>
      <c r="C195" s="387" t="s">
        <v>850</v>
      </c>
      <c r="D195" s="387" t="s">
        <v>850</v>
      </c>
      <c r="E195" s="387" t="s">
        <v>850</v>
      </c>
      <c r="F195" s="434" t="s">
        <v>851</v>
      </c>
      <c r="G195" s="407"/>
      <c r="H195" s="407"/>
      <c r="I195" s="428"/>
      <c r="J195" s="408"/>
      <c r="M195" s="3916" t="s">
        <v>696</v>
      </c>
      <c r="N195" s="3917">
        <f>SUM(N190:N194)</f>
        <v>102</v>
      </c>
      <c r="O195" t="s">
        <v>0</v>
      </c>
      <c r="P195" s="69"/>
      <c r="Q195" s="69" t="s">
        <v>835</v>
      </c>
      <c r="S195" s="42">
        <f>S187-S193</f>
        <v>139.72972972972974</v>
      </c>
      <c r="T195" t="s">
        <v>836</v>
      </c>
    </row>
    <row r="196" spans="1:22" ht="17.100000000000001" customHeight="1">
      <c r="A196" s="500" t="s">
        <v>852</v>
      </c>
      <c r="B196" s="458">
        <v>6.75</v>
      </c>
      <c r="C196" s="458">
        <v>7.75</v>
      </c>
      <c r="D196" s="458">
        <v>7.75</v>
      </c>
      <c r="E196" s="458">
        <v>7.75</v>
      </c>
      <c r="F196" s="458">
        <v>7.5</v>
      </c>
      <c r="G196" s="3895"/>
      <c r="H196" s="3895"/>
      <c r="I196" s="3895">
        <f>SUM(B196:H196)</f>
        <v>37.5</v>
      </c>
      <c r="J196" s="465"/>
      <c r="S196" s="42"/>
    </row>
    <row r="197" spans="1:22" ht="17.100000000000001" customHeight="1">
      <c r="A197" s="345"/>
      <c r="B197" s="398"/>
      <c r="C197" s="398"/>
      <c r="D197" s="398"/>
      <c r="E197" s="407"/>
      <c r="F197" s="407"/>
      <c r="G197" s="407"/>
      <c r="H197" s="407"/>
      <c r="I197" s="428"/>
      <c r="J197" s="408"/>
      <c r="S197" s="42"/>
    </row>
    <row r="198" spans="1:22" ht="17.100000000000001" customHeight="1">
      <c r="A198" s="3959" t="s">
        <v>853</v>
      </c>
      <c r="C198" s="3895"/>
      <c r="D198" s="3895"/>
      <c r="E198" s="3895"/>
      <c r="F198" s="3895"/>
      <c r="G198" s="3895"/>
      <c r="H198" s="3895"/>
      <c r="I198" s="3895">
        <f>SUM(A198:H198)</f>
        <v>0</v>
      </c>
      <c r="J198" s="465"/>
      <c r="S198" s="42"/>
    </row>
    <row r="199" spans="1:22" ht="17.100000000000001" customHeight="1">
      <c r="A199" s="346"/>
      <c r="B199" s="437"/>
      <c r="C199" s="437"/>
      <c r="D199" s="437"/>
      <c r="E199" s="437"/>
      <c r="F199" s="437"/>
      <c r="G199" s="437"/>
      <c r="H199" s="437"/>
      <c r="I199" s="438"/>
      <c r="J199" s="439"/>
      <c r="S199" s="42"/>
    </row>
    <row r="200" spans="1:22" ht="17.100000000000001" customHeight="1">
      <c r="A200" s="501"/>
      <c r="B200" s="3960"/>
      <c r="C200" s="3960"/>
      <c r="D200" s="3960"/>
      <c r="E200" s="3960"/>
      <c r="F200" s="3960"/>
      <c r="G200" s="3960"/>
      <c r="H200" s="3960"/>
      <c r="I200" s="3960">
        <f>SUM(B200:H200)</f>
        <v>0</v>
      </c>
      <c r="J200" s="502"/>
      <c r="S200" s="42"/>
    </row>
    <row r="201" spans="1:22" ht="17.100000000000001" customHeight="1">
      <c r="A201" s="346"/>
      <c r="B201" s="440"/>
      <c r="C201" s="440"/>
      <c r="D201" s="440"/>
      <c r="E201" s="440"/>
      <c r="F201" s="440"/>
      <c r="G201" s="437"/>
      <c r="H201" s="437"/>
      <c r="I201" s="438"/>
      <c r="J201" s="439" t="s">
        <v>0</v>
      </c>
      <c r="S201" s="42"/>
    </row>
    <row r="202" spans="1:22" ht="17.100000000000001" customHeight="1">
      <c r="A202" s="501" t="s">
        <v>0</v>
      </c>
      <c r="B202" s="3960"/>
      <c r="C202" s="3960"/>
      <c r="D202" s="3960"/>
      <c r="E202" s="3960"/>
      <c r="F202" s="3960"/>
      <c r="G202" s="3960"/>
      <c r="H202" s="3960"/>
      <c r="I202" s="3960">
        <f>SUM(B202:H202)</f>
        <v>0</v>
      </c>
      <c r="J202" s="502"/>
      <c r="S202" s="42"/>
    </row>
    <row r="203" spans="1:22" ht="17.100000000000001" customHeight="1">
      <c r="A203" s="46" t="s">
        <v>563</v>
      </c>
      <c r="B203" s="46">
        <f t="shared" ref="B203:H203" si="8">SUM(B190,B192,B194,B196)</f>
        <v>18.75</v>
      </c>
      <c r="C203" s="46">
        <f t="shared" si="8"/>
        <v>19.75</v>
      </c>
      <c r="D203" s="46">
        <f t="shared" si="8"/>
        <v>19.75</v>
      </c>
      <c r="E203" s="46">
        <f t="shared" si="8"/>
        <v>19.75</v>
      </c>
      <c r="F203" s="46">
        <f t="shared" si="8"/>
        <v>19.5</v>
      </c>
      <c r="G203" s="46">
        <f t="shared" si="8"/>
        <v>24</v>
      </c>
      <c r="H203" s="46">
        <f t="shared" si="8"/>
        <v>18</v>
      </c>
      <c r="I203" s="46">
        <f>SUM(I190,I192,I194,I196,I198,I200,I202)</f>
        <v>139.5</v>
      </c>
      <c r="J203" s="48"/>
      <c r="O203" t="s">
        <v>837</v>
      </c>
      <c r="P203">
        <f>I203</f>
        <v>139.5</v>
      </c>
      <c r="Q203" s="72" t="s">
        <v>838</v>
      </c>
      <c r="S203" s="42">
        <f>S195</f>
        <v>139.72972972972974</v>
      </c>
      <c r="T203" t="s">
        <v>839</v>
      </c>
      <c r="U203" s="84">
        <f>P203-S203</f>
        <v>-0.22972972972974048</v>
      </c>
    </row>
    <row r="204" spans="1:22" ht="17.100000000000001" customHeight="1">
      <c r="A204" s="18"/>
      <c r="B204" s="18"/>
      <c r="C204" s="18"/>
      <c r="D204" s="18"/>
      <c r="E204" s="18"/>
      <c r="F204" s="18"/>
      <c r="G204" s="3909" t="s">
        <v>679</v>
      </c>
      <c r="H204" s="3909" t="s">
        <v>680</v>
      </c>
      <c r="I204" s="3909" t="s">
        <v>681</v>
      </c>
      <c r="V204" s="83"/>
    </row>
    <row r="205" spans="1:22" ht="17.100000000000001" customHeight="1">
      <c r="A205" s="18"/>
      <c r="B205" s="18"/>
      <c r="C205" s="18"/>
      <c r="D205" s="18"/>
      <c r="E205" s="18"/>
      <c r="F205" s="18"/>
      <c r="G205" s="3888">
        <f>I203</f>
        <v>139.5</v>
      </c>
      <c r="H205" s="3910">
        <f>SUM(G205*13/3)</f>
        <v>604.5</v>
      </c>
      <c r="I205" s="3888">
        <f>SUM(H205*12)</f>
        <v>7254</v>
      </c>
    </row>
    <row r="206" spans="1:22" ht="18" customHeight="1">
      <c r="A206" s="456" t="s">
        <v>656</v>
      </c>
      <c r="B206" s="18"/>
      <c r="C206" s="18"/>
      <c r="D206" s="18"/>
      <c r="E206" s="18"/>
      <c r="F206" s="37"/>
      <c r="G206" s="37"/>
      <c r="H206" s="37"/>
      <c r="I206" s="18"/>
      <c r="J206" s="19"/>
      <c r="K206" s="59"/>
    </row>
    <row r="207" spans="1:22" ht="18" customHeight="1">
      <c r="A207" s="35" t="s">
        <v>657</v>
      </c>
      <c r="B207" s="319" t="s">
        <v>94</v>
      </c>
      <c r="C207" s="320" t="s">
        <v>95</v>
      </c>
      <c r="D207" s="320" t="s">
        <v>96</v>
      </c>
      <c r="E207" s="320" t="s">
        <v>97</v>
      </c>
      <c r="F207" s="320" t="s">
        <v>98</v>
      </c>
      <c r="G207" s="320" t="s">
        <v>99</v>
      </c>
      <c r="H207" s="251" t="s">
        <v>100</v>
      </c>
      <c r="I207" s="252" t="s">
        <v>147</v>
      </c>
      <c r="J207" s="321" t="s">
        <v>101</v>
      </c>
      <c r="K207" s="18"/>
    </row>
    <row r="208" spans="1:22" ht="18" customHeight="1">
      <c r="A208" s="405" t="s">
        <v>0</v>
      </c>
      <c r="B208" s="406" t="s">
        <v>268</v>
      </c>
      <c r="C208" s="406" t="s">
        <v>268</v>
      </c>
      <c r="D208" s="406" t="s">
        <v>268</v>
      </c>
      <c r="E208" s="406" t="s">
        <v>268</v>
      </c>
      <c r="F208" s="407" t="s">
        <v>269</v>
      </c>
      <c r="G208" s="407"/>
      <c r="H208" s="407"/>
      <c r="I208" s="368"/>
      <c r="J208" s="408"/>
    </row>
    <row r="209" spans="1:10" ht="18" customHeight="1">
      <c r="A209" s="3875" t="s">
        <v>0</v>
      </c>
      <c r="B209" s="3876">
        <v>0</v>
      </c>
      <c r="C209" s="3876">
        <v>0</v>
      </c>
      <c r="D209" s="3876">
        <v>0</v>
      </c>
      <c r="E209" s="3876">
        <v>0</v>
      </c>
      <c r="F209" s="3876">
        <v>0</v>
      </c>
      <c r="G209" s="3895"/>
      <c r="H209" s="3895"/>
      <c r="I209" s="3876">
        <f>SUM(B209:H209)</f>
        <v>0</v>
      </c>
      <c r="J209" s="465"/>
    </row>
    <row r="210" spans="1:10" ht="18" customHeight="1">
      <c r="A210" s="405"/>
      <c r="B210" s="406" t="s">
        <v>268</v>
      </c>
      <c r="C210" s="406" t="s">
        <v>268</v>
      </c>
      <c r="D210" s="406" t="s">
        <v>268</v>
      </c>
      <c r="E210" s="406" t="s">
        <v>268</v>
      </c>
      <c r="F210" s="407" t="s">
        <v>269</v>
      </c>
      <c r="G210" s="407"/>
      <c r="H210" s="407"/>
      <c r="I210" s="368"/>
      <c r="J210" s="408"/>
    </row>
    <row r="211" spans="1:10" ht="18" customHeight="1">
      <c r="A211" s="3875" t="s">
        <v>0</v>
      </c>
      <c r="B211" s="3876">
        <v>0</v>
      </c>
      <c r="C211" s="3876">
        <v>0</v>
      </c>
      <c r="D211" s="3876">
        <v>0</v>
      </c>
      <c r="E211" s="3876">
        <v>0</v>
      </c>
      <c r="F211" s="3876">
        <v>0</v>
      </c>
      <c r="G211" s="3895"/>
      <c r="H211" s="3895"/>
      <c r="I211" s="3876">
        <f>SUM(B211:H211)</f>
        <v>0</v>
      </c>
      <c r="J211" s="465"/>
    </row>
    <row r="212" spans="1:10" ht="18" customHeight="1">
      <c r="A212" s="405"/>
      <c r="B212" s="406" t="s">
        <v>268</v>
      </c>
      <c r="C212" s="406" t="s">
        <v>268</v>
      </c>
      <c r="D212" s="406" t="s">
        <v>268</v>
      </c>
      <c r="E212" s="406" t="s">
        <v>268</v>
      </c>
      <c r="F212" s="407" t="s">
        <v>269</v>
      </c>
      <c r="G212" s="407"/>
      <c r="H212" s="407"/>
      <c r="I212" s="368"/>
      <c r="J212" s="408"/>
    </row>
    <row r="213" spans="1:10" ht="18" customHeight="1">
      <c r="A213" s="3875"/>
      <c r="B213" s="3876"/>
      <c r="C213" s="3876"/>
      <c r="D213" s="3876"/>
      <c r="E213" s="3876"/>
      <c r="F213" s="3876"/>
      <c r="G213" s="3895"/>
      <c r="H213" s="3895"/>
      <c r="I213" s="3876">
        <f>SUM(B213:H213)</f>
        <v>0</v>
      </c>
      <c r="J213" s="465"/>
    </row>
    <row r="214" spans="1:10" ht="18" customHeight="1">
      <c r="A214" s="253" t="s">
        <v>563</v>
      </c>
      <c r="B214" s="253">
        <f t="shared" ref="B214:I214" si="9">SUM(B209,B211,B213)</f>
        <v>0</v>
      </c>
      <c r="C214" s="253">
        <f t="shared" si="9"/>
        <v>0</v>
      </c>
      <c r="D214" s="253">
        <f t="shared" si="9"/>
        <v>0</v>
      </c>
      <c r="E214" s="253">
        <f t="shared" si="9"/>
        <v>0</v>
      </c>
      <c r="F214" s="253">
        <f t="shared" si="9"/>
        <v>0</v>
      </c>
      <c r="G214" s="253">
        <f t="shared" si="9"/>
        <v>0</v>
      </c>
      <c r="H214" s="253">
        <f t="shared" si="9"/>
        <v>0</v>
      </c>
      <c r="I214" s="253">
        <f t="shared" si="9"/>
        <v>0</v>
      </c>
      <c r="J214" s="262"/>
    </row>
    <row r="215" spans="1:10" ht="18" customHeight="1">
      <c r="A215" s="18"/>
      <c r="B215" s="18"/>
      <c r="C215" s="18"/>
      <c r="D215" s="18"/>
      <c r="E215" s="18"/>
      <c r="F215" s="18"/>
      <c r="G215" s="3909" t="s">
        <v>679</v>
      </c>
      <c r="H215" s="3909" t="s">
        <v>680</v>
      </c>
      <c r="I215" s="3909" t="s">
        <v>681</v>
      </c>
      <c r="J215" s="19"/>
    </row>
    <row r="216" spans="1:10" ht="18" customHeight="1">
      <c r="A216" s="18"/>
      <c r="B216" s="18"/>
      <c r="C216" s="18"/>
      <c r="D216" s="18"/>
      <c r="E216" s="18"/>
      <c r="F216" s="37"/>
      <c r="G216" s="3888">
        <f>I214</f>
        <v>0</v>
      </c>
      <c r="H216" s="3910">
        <f>SUM(G216*13/3)</f>
        <v>0</v>
      </c>
      <c r="I216" s="3888">
        <f>SUM(H216*12)</f>
        <v>0</v>
      </c>
      <c r="J216" s="19"/>
    </row>
    <row r="217" spans="1:10" ht="18" customHeight="1">
      <c r="A217" s="18"/>
      <c r="B217" s="18"/>
      <c r="C217" s="18"/>
      <c r="D217" s="18"/>
      <c r="E217" s="18"/>
      <c r="F217" s="37"/>
      <c r="G217" s="18"/>
      <c r="H217" s="45"/>
      <c r="I217" s="18"/>
      <c r="J217" s="19"/>
    </row>
    <row r="218" spans="1:10" ht="18" customHeight="1">
      <c r="A218" s="18"/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>
      <c r="A219" s="441"/>
      <c r="B219" s="263" t="s">
        <v>94</v>
      </c>
      <c r="C219" s="257" t="s">
        <v>95</v>
      </c>
      <c r="D219" s="257" t="s">
        <v>96</v>
      </c>
      <c r="E219" s="257" t="s">
        <v>97</v>
      </c>
      <c r="F219" s="257" t="s">
        <v>98</v>
      </c>
      <c r="G219" s="257" t="s">
        <v>99</v>
      </c>
      <c r="H219" s="264" t="s">
        <v>100</v>
      </c>
      <c r="I219" s="265" t="s">
        <v>666</v>
      </c>
      <c r="J219" s="37" t="s">
        <v>0</v>
      </c>
    </row>
    <row r="220" spans="1:10" ht="18" customHeight="1">
      <c r="A220" s="3912" t="s">
        <v>667</v>
      </c>
      <c r="B220" s="68">
        <f t="shared" ref="B220:I220" si="10">SUM(B4,B8,B25,B34,B70,B114,B117,B123,B132,B144,B162,B182,B203,B214)</f>
        <v>267.25</v>
      </c>
      <c r="C220" s="68">
        <f t="shared" si="10"/>
        <v>268.25</v>
      </c>
      <c r="D220" s="68">
        <f t="shared" si="10"/>
        <v>268.25</v>
      </c>
      <c r="E220" s="68">
        <f t="shared" si="10"/>
        <v>259.75</v>
      </c>
      <c r="F220" s="68">
        <f t="shared" si="10"/>
        <v>232.75</v>
      </c>
      <c r="G220" s="68">
        <f t="shared" si="10"/>
        <v>127.5</v>
      </c>
      <c r="H220" s="68">
        <f t="shared" si="10"/>
        <v>124.5</v>
      </c>
      <c r="I220" s="68">
        <f t="shared" si="10"/>
        <v>1526.75</v>
      </c>
      <c r="J220" s="18" t="s">
        <v>0</v>
      </c>
    </row>
    <row r="221" spans="1:10" ht="20.100000000000001" customHeight="1">
      <c r="A221" s="3916" t="s">
        <v>669</v>
      </c>
      <c r="B221" s="457">
        <f t="shared" ref="B221:I221" si="11">SUM(B220*52)</f>
        <v>13897</v>
      </c>
      <c r="C221" s="457">
        <f t="shared" si="11"/>
        <v>13949</v>
      </c>
      <c r="D221" s="457">
        <f t="shared" si="11"/>
        <v>13949</v>
      </c>
      <c r="E221" s="457">
        <f t="shared" si="11"/>
        <v>13507</v>
      </c>
      <c r="F221" s="457">
        <f t="shared" si="11"/>
        <v>12103</v>
      </c>
      <c r="G221" s="457">
        <f t="shared" si="11"/>
        <v>6630</v>
      </c>
      <c r="H221" s="457">
        <f t="shared" si="11"/>
        <v>6474</v>
      </c>
      <c r="I221" s="457">
        <f t="shared" si="11"/>
        <v>79391</v>
      </c>
    </row>
    <row r="222" spans="1:10" ht="20.100000000000001" customHeight="1">
      <c r="A222" t="s">
        <v>854</v>
      </c>
      <c r="I222" s="42"/>
      <c r="J222" s="87">
        <f>SUM(I221/12)</f>
        <v>6615.916666666667</v>
      </c>
    </row>
    <row r="223" spans="1:10" ht="20.100000000000001" customHeight="1">
      <c r="A223" s="442" t="s">
        <v>855</v>
      </c>
      <c r="B223" s="400"/>
      <c r="C223" s="400"/>
      <c r="D223" s="400"/>
      <c r="E223" s="406">
        <v>56</v>
      </c>
      <c r="F223" s="400"/>
      <c r="G223" s="400"/>
      <c r="H223" s="368"/>
      <c r="I223" s="443">
        <f>SUM(E223)*26</f>
        <v>1456</v>
      </c>
    </row>
    <row r="224" spans="1:10" ht="20.100000000000001" customHeight="1">
      <c r="A224" s="2571" t="s">
        <v>856</v>
      </c>
      <c r="B224" s="3902"/>
      <c r="C224" s="3902"/>
      <c r="D224" s="3902"/>
      <c r="E224" s="3902"/>
      <c r="F224" s="3902"/>
      <c r="G224" s="3902"/>
      <c r="H224" s="3902"/>
      <c r="I224" s="3961">
        <f>SUM(I223*2)</f>
        <v>2912</v>
      </c>
    </row>
    <row r="225" spans="1:10" ht="20.100000000000001" customHeight="1">
      <c r="A225" s="3912" t="s">
        <v>672</v>
      </c>
      <c r="B225" s="3899"/>
      <c r="C225" s="3900"/>
      <c r="D225" s="3902"/>
      <c r="E225" s="3902"/>
      <c r="F225" s="3902"/>
      <c r="G225" s="3902"/>
      <c r="H225" s="3902"/>
      <c r="I225" s="3961">
        <f>48*12</f>
        <v>576</v>
      </c>
    </row>
    <row r="226" spans="1:10" ht="20.100000000000001" customHeight="1">
      <c r="A226" s="2574" t="s">
        <v>666</v>
      </c>
      <c r="B226" s="3879"/>
      <c r="C226" s="3879"/>
      <c r="D226" s="3879"/>
      <c r="E226" s="3879"/>
      <c r="F226" s="3879"/>
      <c r="G226" s="3879"/>
      <c r="H226" s="3879"/>
      <c r="I226" s="3962">
        <f>SUM(I223:I225)</f>
        <v>4944</v>
      </c>
    </row>
    <row r="227" spans="1:10" ht="20.100000000000001" customHeight="1">
      <c r="I227" s="42"/>
    </row>
    <row r="228" spans="1:10" ht="20.100000000000001" customHeight="1">
      <c r="I228" s="42"/>
    </row>
    <row r="229" spans="1:10">
      <c r="A229" s="3903" t="s">
        <v>673</v>
      </c>
      <c r="B229" s="3903"/>
      <c r="C229" s="3903"/>
      <c r="D229" s="3903"/>
      <c r="E229" s="3903"/>
      <c r="F229" s="3903"/>
      <c r="G229" s="3903"/>
      <c r="H229" s="3903"/>
      <c r="I229" s="3905">
        <f>SUM(I221,I226)</f>
        <v>84335</v>
      </c>
      <c r="J229" t="s">
        <v>857</v>
      </c>
    </row>
    <row r="233" spans="1:10" ht="12.75">
      <c r="A233" s="1" t="s">
        <v>858</v>
      </c>
      <c r="B233" s="18"/>
      <c r="C233" s="18"/>
      <c r="D233" s="18"/>
      <c r="E233" s="18"/>
      <c r="F233" s="37"/>
      <c r="G233" s="37"/>
      <c r="H233" s="37"/>
      <c r="I233" s="18"/>
      <c r="J233" s="19"/>
    </row>
    <row r="234" spans="1:10" ht="12.75">
      <c r="A234" s="255" t="s">
        <v>859</v>
      </c>
      <c r="B234" s="256" t="s">
        <v>94</v>
      </c>
      <c r="C234" s="257" t="s">
        <v>95</v>
      </c>
      <c r="D234" s="257" t="s">
        <v>96</v>
      </c>
      <c r="E234" s="257" t="s">
        <v>97</v>
      </c>
      <c r="F234" s="257" t="s">
        <v>98</v>
      </c>
      <c r="G234" s="257" t="s">
        <v>99</v>
      </c>
      <c r="H234" s="258" t="s">
        <v>100</v>
      </c>
      <c r="I234" s="259" t="s">
        <v>147</v>
      </c>
      <c r="J234" s="260" t="s">
        <v>101</v>
      </c>
    </row>
    <row r="235" spans="1:10" ht="12.75">
      <c r="A235" s="444">
        <v>3700</v>
      </c>
      <c r="B235" s="406" t="s">
        <v>860</v>
      </c>
      <c r="C235" s="406" t="s">
        <v>860</v>
      </c>
      <c r="D235" s="406" t="s">
        <v>860</v>
      </c>
      <c r="E235" s="406" t="s">
        <v>860</v>
      </c>
      <c r="F235" s="407" t="s">
        <v>861</v>
      </c>
      <c r="G235" s="403"/>
      <c r="H235" s="374" t="s">
        <v>0</v>
      </c>
      <c r="I235" s="368"/>
      <c r="J235" s="408" t="s">
        <v>0</v>
      </c>
    </row>
    <row r="236" spans="1:10" ht="12.75">
      <c r="A236" s="3963"/>
      <c r="B236" s="3876"/>
      <c r="C236" s="3876"/>
      <c r="D236" s="3876"/>
      <c r="E236" s="3876"/>
      <c r="F236" s="3895"/>
      <c r="G236" s="457"/>
      <c r="H236" s="495" t="s">
        <v>0</v>
      </c>
      <c r="I236" s="3876">
        <f>SUM(B236:H236)</f>
        <v>0</v>
      </c>
      <c r="J236" s="465"/>
    </row>
    <row r="237" spans="1:10" ht="12.75">
      <c r="A237" s="88">
        <v>3700</v>
      </c>
      <c r="B237" s="4" t="s">
        <v>268</v>
      </c>
      <c r="C237" s="4" t="s">
        <v>268</v>
      </c>
      <c r="D237" s="4" t="s">
        <v>268</v>
      </c>
      <c r="E237" s="4" t="s">
        <v>268</v>
      </c>
      <c r="F237" s="5" t="s">
        <v>269</v>
      </c>
      <c r="G237" s="89"/>
      <c r="H237" s="90" t="s">
        <v>0</v>
      </c>
      <c r="I237" s="8"/>
      <c r="J237" s="12" t="s">
        <v>0</v>
      </c>
    </row>
    <row r="238" spans="1:10">
      <c r="A238" s="3964" t="s">
        <v>283</v>
      </c>
      <c r="B238" s="3876">
        <v>7.75</v>
      </c>
      <c r="C238" s="3876">
        <v>7.75</v>
      </c>
      <c r="D238" s="3876">
        <v>7.75</v>
      </c>
      <c r="E238" s="3876">
        <v>7.75</v>
      </c>
      <c r="F238" s="3895">
        <v>6</v>
      </c>
      <c r="G238" s="457"/>
      <c r="H238" s="495" t="s">
        <v>0</v>
      </c>
      <c r="I238" s="3876">
        <f>SUM(B238:H238)</f>
        <v>37</v>
      </c>
      <c r="J238" s="465"/>
    </row>
    <row r="239" spans="1:10" ht="12.75">
      <c r="A239" s="444">
        <v>3701</v>
      </c>
      <c r="B239" s="406" t="s">
        <v>268</v>
      </c>
      <c r="C239" s="406" t="s">
        <v>268</v>
      </c>
      <c r="D239" s="406" t="s">
        <v>268</v>
      </c>
      <c r="E239" s="406" t="s">
        <v>268</v>
      </c>
      <c r="F239" s="407" t="s">
        <v>269</v>
      </c>
      <c r="G239" s="403"/>
      <c r="H239" s="374" t="s">
        <v>0</v>
      </c>
      <c r="I239" s="368"/>
      <c r="J239" s="408" t="s">
        <v>0</v>
      </c>
    </row>
    <row r="240" spans="1:10" ht="12.75">
      <c r="A240" s="3963" t="s">
        <v>862</v>
      </c>
      <c r="B240" s="3876">
        <v>7.75</v>
      </c>
      <c r="C240" s="3876">
        <v>7.75</v>
      </c>
      <c r="D240" s="3876">
        <v>7.75</v>
      </c>
      <c r="E240" s="3876">
        <v>7.75</v>
      </c>
      <c r="F240" s="3895">
        <v>6</v>
      </c>
      <c r="G240" s="457"/>
      <c r="H240" s="495" t="s">
        <v>0</v>
      </c>
      <c r="I240" s="3876">
        <f>SUM(B240:H240)</f>
        <v>37</v>
      </c>
      <c r="J240" s="465"/>
    </row>
    <row r="241" spans="1:10" ht="12.75">
      <c r="A241" s="444">
        <v>3701</v>
      </c>
      <c r="B241" s="406" t="s">
        <v>268</v>
      </c>
      <c r="C241" s="406" t="s">
        <v>268</v>
      </c>
      <c r="D241" s="406" t="s">
        <v>268</v>
      </c>
      <c r="E241" s="406" t="s">
        <v>268</v>
      </c>
      <c r="F241" s="407" t="s">
        <v>269</v>
      </c>
      <c r="G241" s="403"/>
      <c r="H241" s="374" t="s">
        <v>0</v>
      </c>
      <c r="I241" s="368"/>
      <c r="J241" s="408" t="s">
        <v>0</v>
      </c>
    </row>
    <row r="242" spans="1:10" ht="12.75">
      <c r="A242" s="3963" t="s">
        <v>863</v>
      </c>
      <c r="B242" s="3876">
        <v>7.75</v>
      </c>
      <c r="C242" s="3876">
        <v>7.75</v>
      </c>
      <c r="D242" s="3876">
        <v>7.75</v>
      </c>
      <c r="E242" s="3876">
        <v>7.75</v>
      </c>
      <c r="F242" s="3895">
        <v>6</v>
      </c>
      <c r="G242" s="457"/>
      <c r="H242" s="495" t="s">
        <v>0</v>
      </c>
      <c r="I242" s="3876">
        <f>SUM(B242:H242)</f>
        <v>37</v>
      </c>
      <c r="J242" s="465"/>
    </row>
    <row r="243" spans="1:10" ht="12.75">
      <c r="A243" s="88">
        <v>3701</v>
      </c>
      <c r="B243" s="4" t="s">
        <v>268</v>
      </c>
      <c r="C243" s="4" t="s">
        <v>268</v>
      </c>
      <c r="D243" s="4" t="s">
        <v>268</v>
      </c>
      <c r="E243" s="4" t="s">
        <v>268</v>
      </c>
      <c r="F243" s="5" t="s">
        <v>269</v>
      </c>
      <c r="G243" s="89"/>
      <c r="H243" s="90" t="s">
        <v>0</v>
      </c>
      <c r="I243" s="8"/>
      <c r="J243" s="12" t="s">
        <v>0</v>
      </c>
    </row>
    <row r="244" spans="1:10">
      <c r="A244" s="3964" t="s">
        <v>296</v>
      </c>
      <c r="B244" s="3876">
        <v>7.75</v>
      </c>
      <c r="C244" s="3876">
        <v>7.75</v>
      </c>
      <c r="D244" s="3876">
        <v>7.75</v>
      </c>
      <c r="E244" s="3876">
        <v>7.75</v>
      </c>
      <c r="F244" s="3895">
        <v>6</v>
      </c>
      <c r="G244" s="457"/>
      <c r="H244" s="495" t="s">
        <v>0</v>
      </c>
      <c r="I244" s="3876">
        <f>SUM(B244:H244)</f>
        <v>37</v>
      </c>
      <c r="J244" s="465"/>
    </row>
    <row r="245" spans="1:10" ht="12.75">
      <c r="A245" s="3965">
        <v>3701</v>
      </c>
      <c r="B245" s="406" t="s">
        <v>268</v>
      </c>
      <c r="C245" s="406" t="s">
        <v>268</v>
      </c>
      <c r="D245" s="406" t="s">
        <v>268</v>
      </c>
      <c r="E245" s="406" t="s">
        <v>268</v>
      </c>
      <c r="F245" s="407" t="s">
        <v>269</v>
      </c>
      <c r="G245" s="403"/>
      <c r="H245" s="374" t="s">
        <v>0</v>
      </c>
      <c r="I245" s="368"/>
      <c r="J245" s="408" t="s">
        <v>0</v>
      </c>
    </row>
    <row r="246" spans="1:10">
      <c r="A246" s="3964"/>
      <c r="B246" s="3876">
        <v>7.75</v>
      </c>
      <c r="C246" s="3876">
        <v>7.75</v>
      </c>
      <c r="D246" s="3876">
        <v>7.75</v>
      </c>
      <c r="E246" s="3876">
        <v>7.75</v>
      </c>
      <c r="F246" s="3895">
        <v>6</v>
      </c>
      <c r="G246" s="457"/>
      <c r="H246" s="495" t="s">
        <v>0</v>
      </c>
      <c r="I246" s="3876">
        <f>SUM(B246:H246)</f>
        <v>37</v>
      </c>
      <c r="J246" s="465"/>
    </row>
    <row r="247" spans="1:10" ht="12.75">
      <c r="A247" s="3965">
        <v>3701</v>
      </c>
      <c r="B247" s="406" t="s">
        <v>268</v>
      </c>
      <c r="C247" s="406" t="s">
        <v>268</v>
      </c>
      <c r="D247" s="406" t="s">
        <v>268</v>
      </c>
      <c r="E247" s="406" t="s">
        <v>268</v>
      </c>
      <c r="F247" s="407" t="s">
        <v>269</v>
      </c>
      <c r="G247" s="403"/>
      <c r="H247" s="374" t="s">
        <v>0</v>
      </c>
      <c r="I247" s="368"/>
      <c r="J247" s="408" t="s">
        <v>0</v>
      </c>
    </row>
    <row r="248" spans="1:10">
      <c r="A248" s="3964" t="s">
        <v>864</v>
      </c>
      <c r="B248" s="3876">
        <v>7.75</v>
      </c>
      <c r="C248" s="3876">
        <v>7.75</v>
      </c>
      <c r="D248" s="3876">
        <v>7.75</v>
      </c>
      <c r="E248" s="3876">
        <v>7.75</v>
      </c>
      <c r="F248" s="3895">
        <v>6</v>
      </c>
      <c r="G248" s="457"/>
      <c r="H248" s="495" t="s">
        <v>0</v>
      </c>
      <c r="I248" s="3876">
        <f>SUM(B248:H248)</f>
        <v>37</v>
      </c>
      <c r="J248" s="465"/>
    </row>
    <row r="249" spans="1:10" ht="12.75">
      <c r="A249" s="3965">
        <v>3701</v>
      </c>
      <c r="B249" s="406" t="s">
        <v>268</v>
      </c>
      <c r="C249" s="406" t="s">
        <v>268</v>
      </c>
      <c r="D249" s="406" t="s">
        <v>268</v>
      </c>
      <c r="E249" s="406" t="s">
        <v>268</v>
      </c>
      <c r="F249" s="407" t="s">
        <v>269</v>
      </c>
      <c r="G249" s="403"/>
      <c r="H249" s="374" t="s">
        <v>0</v>
      </c>
      <c r="I249" s="368"/>
      <c r="J249" s="408" t="s">
        <v>0</v>
      </c>
    </row>
    <row r="250" spans="1:10">
      <c r="A250" s="3964" t="s">
        <v>286</v>
      </c>
      <c r="B250" s="3876">
        <v>7.75</v>
      </c>
      <c r="C250" s="3876">
        <v>7.75</v>
      </c>
      <c r="D250" s="3876">
        <v>7.75</v>
      </c>
      <c r="E250" s="3876">
        <v>7.75</v>
      </c>
      <c r="F250" s="3895">
        <v>6</v>
      </c>
      <c r="G250" s="457"/>
      <c r="H250" s="495" t="s">
        <v>0</v>
      </c>
      <c r="I250" s="3876">
        <f>SUM(B250:H250)</f>
        <v>37</v>
      </c>
      <c r="J250" s="465"/>
    </row>
    <row r="251" spans="1:10" ht="12.75">
      <c r="A251" s="3965">
        <v>3701</v>
      </c>
      <c r="B251" s="406" t="s">
        <v>268</v>
      </c>
      <c r="C251" s="406" t="s">
        <v>268</v>
      </c>
      <c r="D251" s="406" t="s">
        <v>268</v>
      </c>
      <c r="E251" s="406" t="s">
        <v>268</v>
      </c>
      <c r="F251" s="407" t="s">
        <v>269</v>
      </c>
      <c r="G251" s="403"/>
      <c r="H251" s="374" t="s">
        <v>0</v>
      </c>
      <c r="I251" s="368"/>
      <c r="J251" s="408" t="s">
        <v>0</v>
      </c>
    </row>
    <row r="252" spans="1:10">
      <c r="A252" s="3964" t="s">
        <v>287</v>
      </c>
      <c r="B252" s="3876">
        <v>7.75</v>
      </c>
      <c r="C252" s="3876">
        <v>7.75</v>
      </c>
      <c r="D252" s="3876">
        <v>7.75</v>
      </c>
      <c r="E252" s="3876">
        <v>7.75</v>
      </c>
      <c r="F252" s="3895">
        <v>6</v>
      </c>
      <c r="G252" s="457"/>
      <c r="H252" s="495" t="s">
        <v>0</v>
      </c>
      <c r="I252" s="3876">
        <f>SUM(B252:H252)</f>
        <v>37</v>
      </c>
      <c r="J252" s="465"/>
    </row>
    <row r="253" spans="1:10" ht="12.75">
      <c r="A253" s="3965">
        <v>3701</v>
      </c>
      <c r="B253" s="406" t="s">
        <v>268</v>
      </c>
      <c r="C253" s="406" t="s">
        <v>268</v>
      </c>
      <c r="D253" s="406" t="s">
        <v>268</v>
      </c>
      <c r="E253" s="406" t="s">
        <v>268</v>
      </c>
      <c r="F253" s="407" t="s">
        <v>269</v>
      </c>
      <c r="G253" s="403"/>
      <c r="H253" s="374" t="s">
        <v>0</v>
      </c>
      <c r="I253" s="368"/>
      <c r="J253" s="408" t="s">
        <v>0</v>
      </c>
    </row>
    <row r="254" spans="1:10">
      <c r="A254" s="3964" t="s">
        <v>865</v>
      </c>
      <c r="B254" s="3876">
        <v>7.75</v>
      </c>
      <c r="C254" s="3876">
        <v>7.75</v>
      </c>
      <c r="D254" s="3876">
        <v>7.75</v>
      </c>
      <c r="E254" s="3876">
        <v>7.75</v>
      </c>
      <c r="F254" s="3895">
        <v>6</v>
      </c>
      <c r="G254" s="457"/>
      <c r="H254" s="495" t="s">
        <v>0</v>
      </c>
      <c r="I254" s="3876">
        <f>SUM(B254:H254)</f>
        <v>37</v>
      </c>
      <c r="J254" s="465"/>
    </row>
    <row r="255" spans="1:10" ht="12.75">
      <c r="A255" s="3965">
        <v>3701</v>
      </c>
      <c r="B255" s="406" t="s">
        <v>268</v>
      </c>
      <c r="C255" s="406" t="s">
        <v>268</v>
      </c>
      <c r="D255" s="406" t="s">
        <v>268</v>
      </c>
      <c r="E255" s="406" t="s">
        <v>268</v>
      </c>
      <c r="F255" s="407" t="s">
        <v>269</v>
      </c>
      <c r="G255" s="403"/>
      <c r="H255" s="374" t="s">
        <v>0</v>
      </c>
      <c r="I255" s="368"/>
      <c r="J255" s="408" t="s">
        <v>0</v>
      </c>
    </row>
    <row r="256" spans="1:10">
      <c r="A256" s="3964" t="s">
        <v>866</v>
      </c>
      <c r="B256" s="3876">
        <v>7.75</v>
      </c>
      <c r="C256" s="3876">
        <v>7.75</v>
      </c>
      <c r="D256" s="3876">
        <v>7.75</v>
      </c>
      <c r="E256" s="3876">
        <v>7.75</v>
      </c>
      <c r="F256" s="3895">
        <v>6</v>
      </c>
      <c r="G256" s="457"/>
      <c r="H256" s="495" t="s">
        <v>0</v>
      </c>
      <c r="I256" s="3876">
        <f>SUM(B256:H256)</f>
        <v>37</v>
      </c>
      <c r="J256" s="465"/>
    </row>
    <row r="257" spans="1:10" ht="12.75">
      <c r="A257" s="3965">
        <v>3701</v>
      </c>
      <c r="B257" s="406" t="s">
        <v>268</v>
      </c>
      <c r="C257" s="406" t="s">
        <v>268</v>
      </c>
      <c r="D257" s="406" t="s">
        <v>268</v>
      </c>
      <c r="E257" s="406" t="s">
        <v>268</v>
      </c>
      <c r="F257" s="407" t="s">
        <v>269</v>
      </c>
      <c r="G257" s="403"/>
      <c r="H257" s="374" t="s">
        <v>0</v>
      </c>
      <c r="I257" s="368"/>
      <c r="J257" s="408" t="s">
        <v>0</v>
      </c>
    </row>
    <row r="258" spans="1:10">
      <c r="A258" s="3964" t="s">
        <v>867</v>
      </c>
      <c r="B258" s="3876">
        <v>7.75</v>
      </c>
      <c r="C258" s="3876">
        <v>7.75</v>
      </c>
      <c r="D258" s="3876">
        <v>7.75</v>
      </c>
      <c r="E258" s="3876">
        <v>7.75</v>
      </c>
      <c r="F258" s="3895">
        <v>6</v>
      </c>
      <c r="G258" s="457"/>
      <c r="H258" s="495" t="s">
        <v>0</v>
      </c>
      <c r="I258" s="3876">
        <f>SUM(B258:H258)</f>
        <v>37</v>
      </c>
      <c r="J258" s="465"/>
    </row>
    <row r="259" spans="1:10" ht="12.75">
      <c r="A259" s="3965">
        <v>3701</v>
      </c>
      <c r="B259" s="406" t="s">
        <v>268</v>
      </c>
      <c r="C259" s="406" t="s">
        <v>268</v>
      </c>
      <c r="D259" s="406" t="s">
        <v>268</v>
      </c>
      <c r="E259" s="406" t="s">
        <v>268</v>
      </c>
      <c r="F259" s="407" t="s">
        <v>269</v>
      </c>
      <c r="G259" s="403"/>
      <c r="H259" s="374" t="s">
        <v>0</v>
      </c>
      <c r="I259" s="368"/>
      <c r="J259" s="408" t="s">
        <v>0</v>
      </c>
    </row>
    <row r="260" spans="1:10">
      <c r="A260" s="3964" t="s">
        <v>868</v>
      </c>
      <c r="B260" s="3876">
        <v>7.75</v>
      </c>
      <c r="C260" s="3876">
        <v>7.75</v>
      </c>
      <c r="D260" s="3876">
        <v>7.75</v>
      </c>
      <c r="E260" s="3876">
        <v>7.75</v>
      </c>
      <c r="F260" s="3895">
        <v>6</v>
      </c>
      <c r="G260" s="457"/>
      <c r="H260" s="495" t="s">
        <v>0</v>
      </c>
      <c r="I260" s="3876">
        <f>SUM(B260:H260)</f>
        <v>37</v>
      </c>
      <c r="J260" s="465"/>
    </row>
    <row r="261" spans="1:10" ht="12.75">
      <c r="A261" s="3965">
        <v>3701</v>
      </c>
      <c r="B261" s="406" t="s">
        <v>268</v>
      </c>
      <c r="C261" s="406" t="s">
        <v>268</v>
      </c>
      <c r="D261" s="406" t="s">
        <v>268</v>
      </c>
      <c r="E261" s="406" t="s">
        <v>268</v>
      </c>
      <c r="F261" s="407" t="s">
        <v>269</v>
      </c>
      <c r="G261" s="403"/>
      <c r="H261" s="374" t="s">
        <v>0</v>
      </c>
      <c r="I261" s="368"/>
      <c r="J261" s="408" t="s">
        <v>0</v>
      </c>
    </row>
    <row r="262" spans="1:10">
      <c r="A262" s="3964"/>
      <c r="B262" s="3876"/>
      <c r="C262" s="3876"/>
      <c r="D262" s="3876"/>
      <c r="E262" s="3876"/>
      <c r="F262" s="3895"/>
      <c r="G262" s="457"/>
      <c r="H262" s="495" t="s">
        <v>0</v>
      </c>
      <c r="I262" s="3876">
        <f>SUM(B262:H262)</f>
        <v>0</v>
      </c>
      <c r="J262" s="465"/>
    </row>
    <row r="263" spans="1:10" ht="12.75">
      <c r="A263" s="3965">
        <v>3701</v>
      </c>
      <c r="B263" s="406" t="s">
        <v>271</v>
      </c>
      <c r="C263" s="406" t="s">
        <v>271</v>
      </c>
      <c r="D263" s="406" t="s">
        <v>271</v>
      </c>
      <c r="E263" s="406" t="s">
        <v>271</v>
      </c>
      <c r="F263" s="407" t="s">
        <v>272</v>
      </c>
      <c r="G263" s="403"/>
      <c r="H263" s="374" t="s">
        <v>0</v>
      </c>
      <c r="I263" s="368"/>
      <c r="J263" s="408" t="s">
        <v>0</v>
      </c>
    </row>
    <row r="264" spans="1:10">
      <c r="A264" s="3964"/>
      <c r="B264" s="3876"/>
      <c r="C264" s="3876"/>
      <c r="D264" s="3876"/>
      <c r="E264" s="3876"/>
      <c r="F264" s="3895"/>
      <c r="G264" s="457"/>
      <c r="H264" s="495" t="s">
        <v>0</v>
      </c>
      <c r="I264" s="3876">
        <f>SUM(B264:H264)</f>
        <v>0</v>
      </c>
      <c r="J264" s="465"/>
    </row>
    <row r="265" spans="1:10">
      <c r="A265" s="253" t="s">
        <v>563</v>
      </c>
      <c r="B265" s="253">
        <f t="shared" ref="B265:H265" si="12">SUM(B254,B256,B258,B260,B262,B264)</f>
        <v>31</v>
      </c>
      <c r="C265" s="253">
        <f t="shared" si="12"/>
        <v>31</v>
      </c>
      <c r="D265" s="253">
        <f t="shared" si="12"/>
        <v>31</v>
      </c>
      <c r="E265" s="253">
        <f t="shared" si="12"/>
        <v>31</v>
      </c>
      <c r="F265" s="253">
        <f t="shared" si="12"/>
        <v>24</v>
      </c>
      <c r="G265" s="253">
        <f t="shared" si="12"/>
        <v>0</v>
      </c>
      <c r="H265" s="253">
        <f t="shared" si="12"/>
        <v>0</v>
      </c>
      <c r="I265" s="261">
        <f>SUM(I236,I238,I240,I242,I244,I246,I248,I250,I252,I254,I256,I258,I260,I262,I264)</f>
        <v>444</v>
      </c>
      <c r="J265" s="262"/>
    </row>
    <row r="266" spans="1:10" ht="12.75">
      <c r="A266" s="64"/>
      <c r="B266" s="18"/>
      <c r="C266" s="18"/>
      <c r="D266" s="18"/>
      <c r="E266" s="18"/>
      <c r="F266" s="37"/>
      <c r="G266" s="3909" t="s">
        <v>679</v>
      </c>
      <c r="H266" s="3909" t="s">
        <v>680</v>
      </c>
      <c r="I266" s="3909" t="s">
        <v>681</v>
      </c>
      <c r="J266" s="19"/>
    </row>
    <row r="267" spans="1:10" ht="12.75">
      <c r="A267" s="64"/>
      <c r="B267" s="18"/>
      <c r="C267" s="18"/>
      <c r="D267" s="18"/>
      <c r="E267" s="18"/>
      <c r="F267" s="37"/>
      <c r="G267" s="3888">
        <f>I265</f>
        <v>444</v>
      </c>
      <c r="H267" s="3910">
        <f>SUM(G267*13/3)</f>
        <v>1924</v>
      </c>
      <c r="I267" s="3888">
        <f>SUM(H267*12)</f>
        <v>23088</v>
      </c>
      <c r="J267" s="19"/>
    </row>
  </sheetData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J297"/>
  <sheetViews>
    <sheetView topLeftCell="A49" zoomScale="67" zoomScaleNormal="67" workbookViewId="0">
      <selection activeCell="P43" sqref="P42:P43"/>
    </sheetView>
  </sheetViews>
  <sheetFormatPr defaultRowHeight="12"/>
  <cols>
    <col min="1" max="1" width="26.140625" customWidth="1"/>
    <col min="2" max="2" width="13" customWidth="1"/>
    <col min="3" max="3" width="12.85546875" customWidth="1"/>
    <col min="4" max="6" width="12.140625" customWidth="1"/>
    <col min="7" max="8" width="13.140625" customWidth="1"/>
    <col min="9" max="9" width="12.5703125" customWidth="1"/>
    <col min="10" max="10" width="26" customWidth="1"/>
  </cols>
  <sheetData>
    <row r="1" spans="1:10" ht="20.100000000000001" customHeight="1">
      <c r="A1" s="1" t="s">
        <v>547</v>
      </c>
      <c r="B1" s="1"/>
      <c r="D1" s="2"/>
      <c r="E1" s="2"/>
    </row>
    <row r="2" spans="1:10" ht="20.100000000000001" customHeight="1">
      <c r="A2" s="402" t="s">
        <v>675</v>
      </c>
      <c r="B2" s="403" t="s">
        <v>94</v>
      </c>
      <c r="C2" s="398" t="s">
        <v>95</v>
      </c>
      <c r="D2" s="398" t="s">
        <v>96</v>
      </c>
      <c r="E2" s="398" t="s">
        <v>97</v>
      </c>
      <c r="F2" s="398" t="s">
        <v>98</v>
      </c>
      <c r="G2" s="398" t="s">
        <v>99</v>
      </c>
      <c r="H2" s="371" t="s">
        <v>100</v>
      </c>
      <c r="I2" s="368" t="s">
        <v>147</v>
      </c>
      <c r="J2" s="404" t="s">
        <v>101</v>
      </c>
    </row>
    <row r="3" spans="1:10" ht="20.100000000000001" customHeight="1">
      <c r="A3" s="3"/>
      <c r="B3" s="4" t="s">
        <v>184</v>
      </c>
      <c r="C3" s="4" t="s">
        <v>184</v>
      </c>
      <c r="D3" s="4" t="s">
        <v>184</v>
      </c>
      <c r="E3" s="4" t="s">
        <v>184</v>
      </c>
      <c r="F3" s="5" t="s">
        <v>676</v>
      </c>
      <c r="G3" s="6"/>
      <c r="H3" s="7"/>
      <c r="I3" s="8"/>
      <c r="J3" s="9"/>
    </row>
    <row r="4" spans="1:10" ht="20.100000000000001" customHeight="1">
      <c r="A4" s="38" t="s">
        <v>549</v>
      </c>
      <c r="B4" s="758">
        <v>7.75</v>
      </c>
      <c r="C4" s="758">
        <v>7.75</v>
      </c>
      <c r="D4" s="758">
        <v>7.75</v>
      </c>
      <c r="E4" s="758">
        <v>7.75</v>
      </c>
      <c r="F4" s="759">
        <v>6</v>
      </c>
      <c r="G4" s="760"/>
      <c r="H4" s="36"/>
      <c r="I4" s="761">
        <f>SUM(B4:H4)</f>
        <v>37</v>
      </c>
      <c r="J4" s="769"/>
    </row>
    <row r="5" spans="1:10" ht="20.100000000000001" customHeight="1">
      <c r="A5" s="3955" t="s">
        <v>869</v>
      </c>
      <c r="B5" s="3966" t="s">
        <v>870</v>
      </c>
      <c r="C5" s="3966" t="s">
        <v>870</v>
      </c>
      <c r="D5" s="3966" t="s">
        <v>870</v>
      </c>
      <c r="E5" s="3966" t="s">
        <v>870</v>
      </c>
      <c r="F5" s="3966" t="s">
        <v>871</v>
      </c>
      <c r="G5" s="3967"/>
      <c r="H5" s="3967"/>
      <c r="I5" s="3876"/>
      <c r="J5" s="3968"/>
    </row>
    <row r="6" spans="1:10" ht="20.100000000000001" customHeight="1">
      <c r="A6" s="18"/>
      <c r="E6" s="18"/>
      <c r="F6" s="37"/>
      <c r="G6" s="43" t="s">
        <v>679</v>
      </c>
      <c r="H6" s="43" t="s">
        <v>680</v>
      </c>
      <c r="I6" s="43" t="s">
        <v>681</v>
      </c>
      <c r="J6" s="44"/>
    </row>
    <row r="7" spans="1:10" ht="20.100000000000001" customHeight="1">
      <c r="A7" s="18"/>
      <c r="E7" s="18"/>
      <c r="F7" s="37"/>
      <c r="G7" s="3888">
        <f>I4</f>
        <v>37</v>
      </c>
      <c r="H7" s="3910">
        <f>SUM(G7*13/3)</f>
        <v>160.33333333333334</v>
      </c>
      <c r="I7" s="3888">
        <f>SUM(H7*12)</f>
        <v>1924</v>
      </c>
      <c r="J7" s="44"/>
    </row>
    <row r="8" spans="1:10" ht="20.100000000000001" customHeight="1">
      <c r="A8" s="16" t="s">
        <v>678</v>
      </c>
      <c r="D8" s="2"/>
      <c r="E8" s="2"/>
    </row>
    <row r="9" spans="1:10" ht="20.100000000000001" customHeight="1">
      <c r="A9" s="248" t="s">
        <v>565</v>
      </c>
      <c r="B9" s="319" t="s">
        <v>94</v>
      </c>
      <c r="C9" s="320" t="s">
        <v>95</v>
      </c>
      <c r="D9" s="320" t="s">
        <v>96</v>
      </c>
      <c r="E9" s="320" t="s">
        <v>97</v>
      </c>
      <c r="F9" s="320" t="s">
        <v>98</v>
      </c>
      <c r="G9" s="320" t="s">
        <v>99</v>
      </c>
      <c r="H9" s="251" t="s">
        <v>100</v>
      </c>
      <c r="I9" s="252" t="s">
        <v>147</v>
      </c>
      <c r="J9" s="321" t="s">
        <v>101</v>
      </c>
    </row>
    <row r="10" spans="1:10" ht="20.100000000000001" customHeight="1">
      <c r="A10" s="405"/>
      <c r="B10" s="407" t="s">
        <v>566</v>
      </c>
      <c r="C10" s="407" t="s">
        <v>566</v>
      </c>
      <c r="D10" s="407" t="s">
        <v>566</v>
      </c>
      <c r="E10" s="407" t="s">
        <v>566</v>
      </c>
      <c r="F10" s="407" t="s">
        <v>567</v>
      </c>
      <c r="G10" s="407"/>
      <c r="H10" s="407"/>
      <c r="I10" s="381"/>
      <c r="J10" s="408"/>
    </row>
    <row r="11" spans="1:10" ht="20.100000000000001" customHeight="1">
      <c r="A11" s="3969" t="s">
        <v>31</v>
      </c>
      <c r="B11" s="3906">
        <v>7.75</v>
      </c>
      <c r="C11" s="3906">
        <v>7.75</v>
      </c>
      <c r="D11" s="3906">
        <v>7.75</v>
      </c>
      <c r="E11" s="3906">
        <v>7.75</v>
      </c>
      <c r="F11" s="3906">
        <v>6</v>
      </c>
      <c r="G11" s="3906"/>
      <c r="H11" s="3906"/>
      <c r="I11" s="3906">
        <f>SUM(B11:H11)</f>
        <v>37</v>
      </c>
      <c r="J11" s="3970"/>
    </row>
    <row r="12" spans="1:10" ht="20.100000000000001" customHeight="1">
      <c r="A12" s="3955" t="s">
        <v>869</v>
      </c>
      <c r="B12" s="3966" t="s">
        <v>872</v>
      </c>
      <c r="C12" s="3966" t="s">
        <v>872</v>
      </c>
      <c r="D12" s="3966" t="s">
        <v>872</v>
      </c>
      <c r="E12" s="3966" t="s">
        <v>872</v>
      </c>
      <c r="F12" s="3966" t="s">
        <v>873</v>
      </c>
      <c r="G12" s="3895"/>
      <c r="H12" s="3895"/>
      <c r="I12" s="3895"/>
      <c r="J12" s="3897"/>
    </row>
    <row r="13" spans="1:10" ht="20.100000000000001" customHeight="1">
      <c r="A13" s="18"/>
      <c r="E13" s="18"/>
      <c r="F13" s="37"/>
      <c r="G13" s="43" t="s">
        <v>679</v>
      </c>
      <c r="H13" s="43" t="s">
        <v>680</v>
      </c>
      <c r="I13" s="43" t="s">
        <v>681</v>
      </c>
      <c r="J13" s="44"/>
    </row>
    <row r="14" spans="1:10" ht="20.100000000000001" customHeight="1">
      <c r="A14" s="18"/>
      <c r="E14" s="18"/>
      <c r="F14" s="37"/>
      <c r="G14" s="3888">
        <f>I11</f>
        <v>37</v>
      </c>
      <c r="H14" s="3910">
        <f>SUM(G14*13/3)</f>
        <v>160.33333333333334</v>
      </c>
      <c r="I14" s="3888">
        <f>SUM(H14*12)</f>
        <v>1924</v>
      </c>
      <c r="J14" s="44"/>
    </row>
    <row r="15" spans="1:10" ht="20.100000000000001" customHeight="1">
      <c r="A15" s="18"/>
      <c r="E15" s="18"/>
      <c r="F15" s="37"/>
      <c r="G15" s="18"/>
      <c r="H15" s="45"/>
      <c r="I15" s="18"/>
      <c r="J15" s="44"/>
    </row>
    <row r="16" spans="1:10" ht="20.100000000000001" customHeight="1">
      <c r="A16" s="18"/>
      <c r="E16" s="18"/>
      <c r="F16" s="37"/>
      <c r="G16" s="18"/>
      <c r="H16" s="45"/>
      <c r="I16" s="18"/>
      <c r="J16" s="44"/>
    </row>
    <row r="17" spans="1:10" ht="20.100000000000001" customHeight="1">
      <c r="A17" s="18"/>
      <c r="E17" s="18"/>
      <c r="F17" s="37"/>
      <c r="G17" s="18"/>
      <c r="H17" s="45"/>
      <c r="I17" s="18"/>
      <c r="J17" s="44"/>
    </row>
    <row r="18" spans="1:10" ht="20.100000000000001" customHeight="1">
      <c r="A18" s="18"/>
      <c r="E18" s="18"/>
      <c r="F18" s="37"/>
      <c r="G18" s="18"/>
      <c r="H18" s="45"/>
      <c r="I18" s="18"/>
      <c r="J18" s="44"/>
    </row>
    <row r="19" spans="1:10" ht="20.100000000000001" customHeight="1">
      <c r="A19" s="18"/>
      <c r="E19" s="18"/>
      <c r="F19" s="37"/>
      <c r="G19" s="18"/>
      <c r="H19" s="45"/>
      <c r="I19" s="18"/>
      <c r="J19" s="44"/>
    </row>
    <row r="20" spans="1:10" ht="20.100000000000001" customHeight="1">
      <c r="A20" s="18"/>
      <c r="E20" s="18"/>
      <c r="F20" s="37"/>
      <c r="G20" s="18"/>
      <c r="H20" s="45"/>
      <c r="I20" s="18"/>
      <c r="J20" s="44"/>
    </row>
    <row r="21" spans="1:10" ht="20.100000000000001" customHeight="1">
      <c r="A21" s="18"/>
      <c r="E21" s="18"/>
      <c r="F21" s="37"/>
      <c r="G21" s="18"/>
      <c r="H21" s="45"/>
      <c r="I21" s="18"/>
      <c r="J21" s="44"/>
    </row>
    <row r="22" spans="1:10" ht="20.100000000000001" customHeight="1">
      <c r="A22" s="18"/>
      <c r="E22" s="18"/>
      <c r="F22" s="37"/>
      <c r="G22" s="18"/>
      <c r="H22" s="45"/>
      <c r="I22" s="18"/>
      <c r="J22" s="44"/>
    </row>
    <row r="23" spans="1:10" ht="20.100000000000001" customHeight="1">
      <c r="A23" s="18"/>
      <c r="E23" s="18"/>
      <c r="F23" s="37"/>
      <c r="G23" s="18"/>
      <c r="H23" s="45"/>
      <c r="I23" s="18"/>
      <c r="J23" s="44"/>
    </row>
    <row r="24" spans="1:10" ht="20.100000000000001" customHeight="1">
      <c r="A24" s="18"/>
      <c r="E24" s="18"/>
      <c r="F24" s="37"/>
      <c r="G24" s="18"/>
      <c r="H24" s="45"/>
      <c r="I24" s="18"/>
      <c r="J24" s="44"/>
    </row>
    <row r="25" spans="1:10" ht="20.100000000000001" customHeight="1">
      <c r="A25" s="18"/>
      <c r="E25" s="18"/>
      <c r="F25" s="37"/>
      <c r="G25" s="18"/>
      <c r="H25" s="45"/>
      <c r="I25" s="18"/>
      <c r="J25" s="44"/>
    </row>
    <row r="26" spans="1:10" ht="20.100000000000001" customHeight="1">
      <c r="A26" s="18"/>
      <c r="E26" s="18"/>
      <c r="F26" s="37"/>
      <c r="G26" s="18"/>
      <c r="H26" s="45"/>
      <c r="I26" s="18"/>
      <c r="J26" s="44"/>
    </row>
    <row r="27" spans="1:10" ht="20.100000000000001" customHeight="1">
      <c r="A27" s="18"/>
      <c r="E27" s="18"/>
      <c r="F27" s="37"/>
      <c r="G27" s="18"/>
      <c r="H27" s="45"/>
      <c r="I27" s="18"/>
      <c r="J27" s="44"/>
    </row>
    <row r="28" spans="1:10" ht="20.100000000000001" customHeight="1">
      <c r="A28" s="18"/>
      <c r="E28" s="18"/>
      <c r="F28" s="37"/>
      <c r="G28" s="18"/>
      <c r="H28" s="45"/>
      <c r="I28" s="18"/>
      <c r="J28" s="44"/>
    </row>
    <row r="29" spans="1:10" ht="20.100000000000001" customHeight="1">
      <c r="A29" s="18"/>
      <c r="E29" s="18"/>
      <c r="F29" s="37"/>
      <c r="G29" s="18"/>
      <c r="H29" s="45"/>
      <c r="I29" s="18"/>
      <c r="J29" s="44"/>
    </row>
    <row r="30" spans="1:10" ht="20.100000000000001" customHeight="1">
      <c r="A30" s="18"/>
      <c r="E30" s="18"/>
      <c r="F30" s="37"/>
      <c r="G30" s="18"/>
      <c r="H30" s="45"/>
      <c r="I30" s="18"/>
      <c r="J30" s="44"/>
    </row>
    <row r="31" spans="1:10" ht="20.100000000000001" customHeight="1">
      <c r="A31" s="18"/>
      <c r="E31" s="18"/>
      <c r="F31" s="37"/>
      <c r="G31" s="18"/>
      <c r="H31" s="45"/>
      <c r="I31" s="18"/>
      <c r="J31" s="44"/>
    </row>
    <row r="32" spans="1:10" ht="20.100000000000001" customHeight="1">
      <c r="A32" s="18"/>
      <c r="E32" s="18"/>
      <c r="F32" s="37"/>
      <c r="G32" s="18"/>
      <c r="H32" s="45"/>
      <c r="I32" s="18"/>
      <c r="J32" s="44"/>
    </row>
    <row r="33" spans="1:10" ht="20.100000000000001" customHeight="1">
      <c r="A33" s="1" t="s">
        <v>19</v>
      </c>
      <c r="B33" s="1"/>
      <c r="D33" s="2"/>
      <c r="E33" s="2"/>
    </row>
    <row r="34" spans="1:10" ht="18" customHeight="1">
      <c r="A34" s="248" t="s">
        <v>550</v>
      </c>
      <c r="B34" s="319" t="s">
        <v>94</v>
      </c>
      <c r="C34" s="320" t="s">
        <v>95</v>
      </c>
      <c r="D34" s="320" t="s">
        <v>96</v>
      </c>
      <c r="E34" s="320" t="s">
        <v>97</v>
      </c>
      <c r="F34" s="320" t="s">
        <v>98</v>
      </c>
      <c r="G34" s="320" t="s">
        <v>99</v>
      </c>
      <c r="H34" s="251" t="s">
        <v>100</v>
      </c>
      <c r="I34" s="252" t="s">
        <v>147</v>
      </c>
      <c r="J34" s="321" t="s">
        <v>101</v>
      </c>
    </row>
    <row r="35" spans="1:10" ht="18" customHeight="1">
      <c r="A35" s="427" t="s">
        <v>0</v>
      </c>
      <c r="B35" s="398" t="s">
        <v>682</v>
      </c>
      <c r="C35" s="398" t="s">
        <v>682</v>
      </c>
      <c r="D35" s="398" t="s">
        <v>682</v>
      </c>
      <c r="E35" s="398" t="s">
        <v>682</v>
      </c>
      <c r="F35" s="398" t="s">
        <v>682</v>
      </c>
      <c r="G35" s="398" t="s">
        <v>683</v>
      </c>
      <c r="H35" s="398" t="s">
        <v>683</v>
      </c>
      <c r="I35" s="381"/>
      <c r="J35" s="266" t="s">
        <v>684</v>
      </c>
    </row>
    <row r="36" spans="1:10" ht="18" customHeight="1">
      <c r="A36" s="3971" t="s">
        <v>39</v>
      </c>
      <c r="B36" s="3952">
        <v>8.25</v>
      </c>
      <c r="C36" s="3952">
        <v>8.25</v>
      </c>
      <c r="D36" s="759">
        <v>8.25</v>
      </c>
      <c r="E36" s="759">
        <v>8.25</v>
      </c>
      <c r="F36" s="759">
        <v>8.25</v>
      </c>
      <c r="G36" s="759">
        <v>12.25</v>
      </c>
      <c r="H36" s="759">
        <v>12.25</v>
      </c>
      <c r="I36" s="762">
        <f>SUM(B36:H36)</f>
        <v>65.75</v>
      </c>
      <c r="J36" s="770" t="s">
        <v>686</v>
      </c>
    </row>
    <row r="37" spans="1:10" ht="18" customHeight="1">
      <c r="A37" s="3951" t="s">
        <v>869</v>
      </c>
      <c r="B37" s="3953" t="s">
        <v>874</v>
      </c>
      <c r="C37" s="3953" t="s">
        <v>874</v>
      </c>
      <c r="D37" s="3953" t="s">
        <v>874</v>
      </c>
      <c r="E37" s="3953" t="s">
        <v>874</v>
      </c>
      <c r="F37" s="3953" t="s">
        <v>874</v>
      </c>
      <c r="G37" s="3953" t="s">
        <v>875</v>
      </c>
      <c r="H37" s="3953" t="s">
        <v>876</v>
      </c>
      <c r="I37" s="3952"/>
      <c r="J37" s="3972"/>
    </row>
    <row r="38" spans="1:10" ht="18" customHeight="1">
      <c r="A38" s="427" t="s">
        <v>0</v>
      </c>
      <c r="B38" s="406" t="s">
        <v>160</v>
      </c>
      <c r="C38" s="406" t="s">
        <v>160</v>
      </c>
      <c r="D38" s="406" t="s">
        <v>160</v>
      </c>
      <c r="E38" s="406" t="s">
        <v>160</v>
      </c>
      <c r="F38" s="406" t="s">
        <v>160</v>
      </c>
      <c r="G38" s="381"/>
      <c r="H38" s="381"/>
      <c r="I38" s="381"/>
      <c r="J38" s="429" t="s">
        <v>688</v>
      </c>
    </row>
    <row r="39" spans="1:10" ht="18" customHeight="1">
      <c r="A39" s="3973" t="s">
        <v>689</v>
      </c>
      <c r="B39" s="3906"/>
      <c r="C39" s="3906"/>
      <c r="D39" s="3906"/>
      <c r="E39" s="3906"/>
      <c r="F39" s="3906"/>
      <c r="G39" s="3974"/>
      <c r="H39" s="3974"/>
      <c r="I39" s="3906">
        <f>SUM(B39:H39)</f>
        <v>0</v>
      </c>
      <c r="J39" s="3975" t="s">
        <v>22</v>
      </c>
    </row>
    <row r="40" spans="1:10" ht="18" customHeight="1">
      <c r="A40" s="3951" t="s">
        <v>869</v>
      </c>
      <c r="B40" s="3953" t="s">
        <v>877</v>
      </c>
      <c r="C40" s="3953" t="s">
        <v>877</v>
      </c>
      <c r="D40" s="3953" t="s">
        <v>877</v>
      </c>
      <c r="E40" s="3953" t="s">
        <v>877</v>
      </c>
      <c r="F40" s="3953" t="s">
        <v>877</v>
      </c>
      <c r="G40" s="3976"/>
      <c r="H40" s="3976"/>
      <c r="I40" s="3952"/>
      <c r="J40" s="3972"/>
    </row>
    <row r="41" spans="1:10" ht="18" customHeight="1">
      <c r="A41" s="427" t="s">
        <v>0</v>
      </c>
      <c r="B41" s="398" t="s">
        <v>690</v>
      </c>
      <c r="C41" s="398" t="s">
        <v>690</v>
      </c>
      <c r="D41" s="398" t="s">
        <v>690</v>
      </c>
      <c r="E41" s="398" t="s">
        <v>690</v>
      </c>
      <c r="F41" s="398" t="s">
        <v>690</v>
      </c>
      <c r="G41" s="430"/>
      <c r="H41" s="430"/>
      <c r="I41" s="381"/>
      <c r="J41" s="429" t="s">
        <v>691</v>
      </c>
    </row>
    <row r="42" spans="1:10" ht="18" customHeight="1">
      <c r="A42" s="3977" t="s">
        <v>692</v>
      </c>
      <c r="B42" s="3906">
        <v>8.25</v>
      </c>
      <c r="C42" s="3906">
        <v>8.25</v>
      </c>
      <c r="D42" s="3906">
        <v>8.25</v>
      </c>
      <c r="E42" s="3906">
        <v>8.25</v>
      </c>
      <c r="F42" s="3906">
        <v>8.25</v>
      </c>
      <c r="G42" s="3906"/>
      <c r="H42" s="3906"/>
      <c r="I42" s="3906">
        <f>SUM(B42:H42)</f>
        <v>41.25</v>
      </c>
      <c r="J42" s="3975"/>
    </row>
    <row r="43" spans="1:10" ht="18" customHeight="1">
      <c r="A43" s="3951" t="s">
        <v>869</v>
      </c>
      <c r="B43" s="3953" t="s">
        <v>878</v>
      </c>
      <c r="C43" s="3953" t="s">
        <v>878</v>
      </c>
      <c r="D43" s="3953" t="s">
        <v>878</v>
      </c>
      <c r="E43" s="3953" t="s">
        <v>878</v>
      </c>
      <c r="F43" s="3953" t="s">
        <v>878</v>
      </c>
      <c r="G43" s="3952"/>
      <c r="H43" s="3952"/>
      <c r="I43" s="3952"/>
      <c r="J43" s="3972" t="s">
        <v>693</v>
      </c>
    </row>
    <row r="44" spans="1:10" ht="18" customHeight="1">
      <c r="A44" s="427" t="s">
        <v>0</v>
      </c>
      <c r="B44" s="398" t="s">
        <v>694</v>
      </c>
      <c r="C44" s="398" t="s">
        <v>694</v>
      </c>
      <c r="D44" s="398" t="s">
        <v>694</v>
      </c>
      <c r="E44" s="398" t="s">
        <v>694</v>
      </c>
      <c r="F44" s="398" t="s">
        <v>694</v>
      </c>
      <c r="G44" s="430" t="s">
        <v>695</v>
      </c>
      <c r="H44" s="430" t="s">
        <v>695</v>
      </c>
      <c r="I44" s="381"/>
      <c r="J44" s="399"/>
    </row>
    <row r="45" spans="1:10" ht="18" customHeight="1">
      <c r="A45" s="3973" t="s">
        <v>34</v>
      </c>
      <c r="B45" s="3906">
        <v>8</v>
      </c>
      <c r="C45" s="3906">
        <v>8</v>
      </c>
      <c r="D45" s="3906">
        <v>8</v>
      </c>
      <c r="E45" s="3906">
        <v>8</v>
      </c>
      <c r="F45" s="3906">
        <v>8</v>
      </c>
      <c r="G45" s="3906">
        <v>12.25</v>
      </c>
      <c r="H45" s="3906">
        <v>12.25</v>
      </c>
      <c r="I45" s="3906">
        <f>SUM(B45:H45)</f>
        <v>64.5</v>
      </c>
      <c r="J45" s="3821"/>
    </row>
    <row r="46" spans="1:10" ht="18" customHeight="1">
      <c r="A46" s="3951" t="s">
        <v>869</v>
      </c>
      <c r="B46" s="3953" t="s">
        <v>879</v>
      </c>
      <c r="C46" s="3953" t="s">
        <v>879</v>
      </c>
      <c r="D46" s="3953" t="s">
        <v>879</v>
      </c>
      <c r="E46" s="3953" t="s">
        <v>879</v>
      </c>
      <c r="F46" s="3953" t="s">
        <v>879</v>
      </c>
      <c r="G46" s="3953" t="s">
        <v>880</v>
      </c>
      <c r="H46" s="3953" t="s">
        <v>880</v>
      </c>
      <c r="I46" s="3952"/>
      <c r="J46" s="3894"/>
    </row>
    <row r="47" spans="1:10" ht="18" customHeight="1">
      <c r="A47" s="427" t="s">
        <v>0</v>
      </c>
      <c r="B47" s="406" t="s">
        <v>160</v>
      </c>
      <c r="C47" s="406" t="s">
        <v>160</v>
      </c>
      <c r="D47" s="406" t="s">
        <v>160</v>
      </c>
      <c r="E47" s="406" t="s">
        <v>160</v>
      </c>
      <c r="F47" s="406" t="s">
        <v>160</v>
      </c>
      <c r="G47" s="432"/>
      <c r="H47" s="381"/>
      <c r="I47" s="381"/>
      <c r="J47" s="399"/>
    </row>
    <row r="48" spans="1:10" ht="18" customHeight="1">
      <c r="A48" s="3973" t="s">
        <v>697</v>
      </c>
      <c r="B48" s="3888"/>
      <c r="C48" s="3888"/>
      <c r="D48" s="3888"/>
      <c r="E48" s="3888"/>
      <c r="F48" s="3888"/>
      <c r="G48" s="3978"/>
      <c r="H48" s="3974"/>
      <c r="I48" s="3906">
        <f>SUM(B48:H48)</f>
        <v>0</v>
      </c>
      <c r="J48" s="3821"/>
    </row>
    <row r="49" spans="1:10" ht="18" customHeight="1">
      <c r="A49" s="3951" t="s">
        <v>869</v>
      </c>
      <c r="B49" s="3953" t="s">
        <v>877</v>
      </c>
      <c r="C49" s="3953" t="s">
        <v>877</v>
      </c>
      <c r="D49" s="3953" t="s">
        <v>877</v>
      </c>
      <c r="E49" s="3953" t="s">
        <v>877</v>
      </c>
      <c r="F49" s="3953" t="s">
        <v>877</v>
      </c>
      <c r="G49" s="3976"/>
      <c r="H49" s="3976"/>
      <c r="I49" s="3952" t="s">
        <v>0</v>
      </c>
      <c r="J49" s="3894"/>
    </row>
    <row r="50" spans="1:10" ht="18" customHeight="1">
      <c r="A50" s="427" t="s">
        <v>0</v>
      </c>
      <c r="B50" s="398" t="s">
        <v>881</v>
      </c>
      <c r="C50" s="398" t="s">
        <v>881</v>
      </c>
      <c r="D50" s="398" t="s">
        <v>881</v>
      </c>
      <c r="E50" s="398" t="s">
        <v>881</v>
      </c>
      <c r="F50" s="398" t="s">
        <v>881</v>
      </c>
      <c r="G50" s="381"/>
      <c r="H50" s="381"/>
      <c r="I50" s="381"/>
      <c r="J50" s="399"/>
    </row>
    <row r="51" spans="1:10" ht="18" customHeight="1">
      <c r="A51" s="3973" t="s">
        <v>882</v>
      </c>
      <c r="B51" s="3906">
        <v>7.25</v>
      </c>
      <c r="C51" s="3906">
        <v>7.25</v>
      </c>
      <c r="D51" s="3906">
        <v>7.25</v>
      </c>
      <c r="E51" s="3906">
        <v>7.25</v>
      </c>
      <c r="F51" s="3906">
        <v>7.25</v>
      </c>
      <c r="G51" s="3974"/>
      <c r="H51" s="3978"/>
      <c r="I51" s="3906">
        <f>SUM(B51:H51)</f>
        <v>36.25</v>
      </c>
      <c r="J51" s="3821"/>
    </row>
    <row r="52" spans="1:10" ht="18" customHeight="1">
      <c r="A52" s="3955" t="s">
        <v>869</v>
      </c>
      <c r="B52" s="3967" t="s">
        <v>883</v>
      </c>
      <c r="C52" s="3967" t="s">
        <v>883</v>
      </c>
      <c r="D52" s="3967" t="s">
        <v>883</v>
      </c>
      <c r="E52" s="3967" t="s">
        <v>883</v>
      </c>
      <c r="F52" s="3967" t="s">
        <v>883</v>
      </c>
      <c r="G52" s="3914"/>
      <c r="H52" s="3979"/>
      <c r="I52" s="3895"/>
      <c r="J52" s="3834"/>
    </row>
    <row r="53" spans="1:10" ht="18" customHeight="1">
      <c r="A53" s="46" t="s">
        <v>563</v>
      </c>
      <c r="B53" s="47">
        <f t="shared" ref="B53:I53" si="0">SUM(B36,B39,B42,B45,B48,B51)</f>
        <v>31.75</v>
      </c>
      <c r="C53" s="47">
        <f t="shared" si="0"/>
        <v>31.75</v>
      </c>
      <c r="D53" s="47">
        <f t="shared" si="0"/>
        <v>31.75</v>
      </c>
      <c r="E53" s="47">
        <f t="shared" si="0"/>
        <v>31.75</v>
      </c>
      <c r="F53" s="47">
        <f t="shared" si="0"/>
        <v>31.75</v>
      </c>
      <c r="G53" s="47">
        <f t="shared" si="0"/>
        <v>24.5</v>
      </c>
      <c r="H53" s="47">
        <f t="shared" si="0"/>
        <v>24.5</v>
      </c>
      <c r="I53" s="47">
        <f t="shared" si="0"/>
        <v>207.75</v>
      </c>
      <c r="J53" s="48"/>
    </row>
    <row r="54" spans="1:10" ht="18" customHeight="1">
      <c r="A54" s="16" t="s">
        <v>564</v>
      </c>
      <c r="D54" s="2"/>
      <c r="E54" s="2"/>
    </row>
    <row r="55" spans="1:10" ht="18" customHeight="1">
      <c r="A55" s="248" t="s">
        <v>565</v>
      </c>
      <c r="B55" s="319" t="s">
        <v>94</v>
      </c>
      <c r="C55" s="320" t="s">
        <v>95</v>
      </c>
      <c r="D55" s="320" t="s">
        <v>96</v>
      </c>
      <c r="E55" s="320" t="s">
        <v>97</v>
      </c>
      <c r="F55" s="320" t="s">
        <v>98</v>
      </c>
      <c r="G55" s="320" t="s">
        <v>99</v>
      </c>
      <c r="H55" s="251" t="s">
        <v>100</v>
      </c>
      <c r="I55" s="252" t="s">
        <v>147</v>
      </c>
      <c r="J55" s="321" t="s">
        <v>101</v>
      </c>
    </row>
    <row r="56" spans="1:10" ht="18" customHeight="1">
      <c r="A56" s="405"/>
      <c r="B56" s="407" t="s">
        <v>566</v>
      </c>
      <c r="C56" s="407" t="s">
        <v>566</v>
      </c>
      <c r="D56" s="407" t="s">
        <v>566</v>
      </c>
      <c r="E56" s="407" t="s">
        <v>566</v>
      </c>
      <c r="F56" s="407" t="s">
        <v>567</v>
      </c>
      <c r="G56" s="407"/>
      <c r="H56" s="407"/>
      <c r="I56" s="381"/>
      <c r="J56" s="408"/>
    </row>
    <row r="57" spans="1:10" ht="18" customHeight="1">
      <c r="A57" s="3969" t="s">
        <v>705</v>
      </c>
      <c r="B57" s="3906">
        <v>7.75</v>
      </c>
      <c r="C57" s="3906">
        <v>7.75</v>
      </c>
      <c r="D57" s="3906">
        <v>7.75</v>
      </c>
      <c r="E57" s="3906">
        <v>7.75</v>
      </c>
      <c r="F57" s="3906">
        <v>6</v>
      </c>
      <c r="G57" s="3906"/>
      <c r="H57" s="3906"/>
      <c r="I57" s="3906">
        <f>SUM(B57:H57)</f>
        <v>37</v>
      </c>
      <c r="J57" s="3970"/>
    </row>
    <row r="58" spans="1:10" ht="18" customHeight="1">
      <c r="A58" s="3951" t="s">
        <v>869</v>
      </c>
      <c r="B58" s="3980" t="s">
        <v>872</v>
      </c>
      <c r="C58" s="3980" t="s">
        <v>872</v>
      </c>
      <c r="D58" s="3980" t="s">
        <v>872</v>
      </c>
      <c r="E58" s="3980" t="s">
        <v>872</v>
      </c>
      <c r="F58" s="3980" t="s">
        <v>873</v>
      </c>
      <c r="G58" s="3952"/>
      <c r="H58" s="3952"/>
      <c r="I58" s="3952"/>
      <c r="J58" s="3954"/>
    </row>
    <row r="59" spans="1:10" ht="18" customHeight="1">
      <c r="A59" s="405"/>
      <c r="B59" s="407" t="s">
        <v>566</v>
      </c>
      <c r="C59" s="407" t="s">
        <v>566</v>
      </c>
      <c r="D59" s="407" t="s">
        <v>566</v>
      </c>
      <c r="E59" s="407" t="s">
        <v>566</v>
      </c>
      <c r="F59" s="407" t="s">
        <v>567</v>
      </c>
      <c r="G59" s="407"/>
      <c r="H59" s="407"/>
      <c r="I59" s="381"/>
      <c r="J59" s="408"/>
    </row>
    <row r="60" spans="1:10" ht="18" customHeight="1">
      <c r="A60" s="3969" t="s">
        <v>707</v>
      </c>
      <c r="B60" s="3906">
        <v>7.75</v>
      </c>
      <c r="C60" s="3906">
        <v>7.75</v>
      </c>
      <c r="D60" s="3906">
        <v>7.75</v>
      </c>
      <c r="E60" s="3906">
        <v>7.75</v>
      </c>
      <c r="F60" s="3906">
        <v>6</v>
      </c>
      <c r="G60" s="3906"/>
      <c r="H60" s="3906"/>
      <c r="I60" s="3906">
        <f>SUM(B60:H60)</f>
        <v>37</v>
      </c>
      <c r="J60" s="3970"/>
    </row>
    <row r="61" spans="1:10" ht="18" customHeight="1">
      <c r="A61" s="3951" t="s">
        <v>869</v>
      </c>
      <c r="B61" s="3980" t="s">
        <v>872</v>
      </c>
      <c r="C61" s="3980" t="s">
        <v>872</v>
      </c>
      <c r="D61" s="3980" t="s">
        <v>872</v>
      </c>
      <c r="E61" s="3980" t="s">
        <v>872</v>
      </c>
      <c r="F61" s="3980" t="s">
        <v>873</v>
      </c>
      <c r="G61" s="3952"/>
      <c r="H61" s="3952"/>
      <c r="I61" s="3976"/>
      <c r="J61" s="3954"/>
    </row>
    <row r="62" spans="1:10" ht="18" customHeight="1">
      <c r="A62" s="396"/>
      <c r="B62" s="407" t="s">
        <v>566</v>
      </c>
      <c r="C62" s="407" t="s">
        <v>566</v>
      </c>
      <c r="D62" s="407" t="s">
        <v>566</v>
      </c>
      <c r="E62" s="407" t="s">
        <v>566</v>
      </c>
      <c r="F62" s="407" t="s">
        <v>567</v>
      </c>
      <c r="G62" s="407"/>
      <c r="H62" s="407"/>
      <c r="I62" s="381"/>
      <c r="J62" s="408"/>
    </row>
    <row r="63" spans="1:10" ht="18" customHeight="1">
      <c r="A63" s="3969" t="s">
        <v>708</v>
      </c>
      <c r="B63" s="3906">
        <v>7.75</v>
      </c>
      <c r="C63" s="3906">
        <v>7.75</v>
      </c>
      <c r="D63" s="3906">
        <v>7.75</v>
      </c>
      <c r="E63" s="3906">
        <v>7.75</v>
      </c>
      <c r="F63" s="3906">
        <v>6</v>
      </c>
      <c r="G63" s="3906"/>
      <c r="H63" s="3906"/>
      <c r="I63" s="3906">
        <f>SUM(B63:H63)</f>
        <v>37</v>
      </c>
      <c r="J63" s="3970"/>
    </row>
    <row r="64" spans="1:10" ht="18" customHeight="1">
      <c r="A64" s="3955" t="s">
        <v>869</v>
      </c>
      <c r="B64" s="3966" t="s">
        <v>872</v>
      </c>
      <c r="C64" s="3966" t="s">
        <v>872</v>
      </c>
      <c r="D64" s="3966" t="s">
        <v>872</v>
      </c>
      <c r="E64" s="3966" t="s">
        <v>872</v>
      </c>
      <c r="F64" s="3966" t="s">
        <v>873</v>
      </c>
      <c r="G64" s="3895"/>
      <c r="H64" s="3895"/>
      <c r="I64" s="3914"/>
      <c r="J64" s="3897"/>
    </row>
    <row r="65" spans="1:10" ht="18" customHeight="1">
      <c r="A65" s="46" t="s">
        <v>563</v>
      </c>
      <c r="B65" s="49">
        <f t="shared" ref="B65:I65" si="1">SUM(B57,B60,B63)</f>
        <v>23.25</v>
      </c>
      <c r="C65" s="49">
        <f t="shared" si="1"/>
        <v>23.25</v>
      </c>
      <c r="D65" s="49">
        <f t="shared" si="1"/>
        <v>23.25</v>
      </c>
      <c r="E65" s="49">
        <f t="shared" si="1"/>
        <v>23.25</v>
      </c>
      <c r="F65" s="49">
        <f t="shared" si="1"/>
        <v>18</v>
      </c>
      <c r="G65" s="49">
        <f t="shared" si="1"/>
        <v>0</v>
      </c>
      <c r="H65" s="49">
        <f t="shared" si="1"/>
        <v>0</v>
      </c>
      <c r="I65" s="47">
        <f t="shared" si="1"/>
        <v>111</v>
      </c>
      <c r="J65" s="50"/>
    </row>
    <row r="66" spans="1:10" ht="18" customHeight="1">
      <c r="A66" s="18"/>
      <c r="B66" s="18"/>
      <c r="C66" s="18"/>
      <c r="D66" s="18"/>
      <c r="E66" s="18"/>
      <c r="F66" s="18"/>
      <c r="G66" s="3909" t="s">
        <v>679</v>
      </c>
      <c r="H66" s="3909" t="s">
        <v>680</v>
      </c>
      <c r="I66" s="3909" t="s">
        <v>681</v>
      </c>
      <c r="J66" s="19"/>
    </row>
    <row r="67" spans="1:10" ht="18" customHeight="1">
      <c r="A67" s="18"/>
      <c r="B67" s="18"/>
      <c r="C67" s="18"/>
      <c r="D67" s="18"/>
      <c r="E67" s="18"/>
      <c r="F67" s="18"/>
      <c r="G67" s="3888">
        <f>I53+I65</f>
        <v>318.75</v>
      </c>
      <c r="H67" s="3910">
        <f>SUM(G67*13/3)</f>
        <v>1381.25</v>
      </c>
      <c r="I67" s="3888">
        <f>SUM(H67*12)</f>
        <v>16575</v>
      </c>
      <c r="J67" s="19"/>
    </row>
    <row r="68" spans="1:10" ht="18" customHeight="1">
      <c r="A68" s="18"/>
      <c r="B68" s="18"/>
      <c r="C68" s="18"/>
      <c r="D68" s="18"/>
      <c r="E68" s="18"/>
      <c r="F68" s="18"/>
      <c r="G68" s="18"/>
      <c r="H68" s="45"/>
      <c r="I68" s="18"/>
      <c r="J68" s="19"/>
    </row>
    <row r="69" spans="1:10" ht="17.850000000000001" customHeight="1">
      <c r="A69" s="1" t="s">
        <v>713</v>
      </c>
      <c r="B69" s="18"/>
      <c r="C69" s="18"/>
      <c r="D69" s="18"/>
      <c r="E69" s="18"/>
      <c r="F69" s="18"/>
    </row>
    <row r="70" spans="1:10" ht="17.850000000000001" customHeight="1">
      <c r="A70" s="324" t="s">
        <v>714</v>
      </c>
      <c r="B70" s="319" t="s">
        <v>94</v>
      </c>
      <c r="C70" s="320" t="s">
        <v>95</v>
      </c>
      <c r="D70" s="320" t="s">
        <v>96</v>
      </c>
      <c r="E70" s="320" t="s">
        <v>97</v>
      </c>
      <c r="F70" s="320" t="s">
        <v>98</v>
      </c>
      <c r="G70" s="320" t="s">
        <v>99</v>
      </c>
      <c r="H70" s="271" t="s">
        <v>100</v>
      </c>
      <c r="I70" s="325" t="s">
        <v>147</v>
      </c>
      <c r="J70" s="272" t="s">
        <v>101</v>
      </c>
    </row>
    <row r="71" spans="1:10" ht="17.850000000000001" customHeight="1">
      <c r="A71" s="329"/>
      <c r="B71" s="327" t="s">
        <v>716</v>
      </c>
      <c r="C71" s="327" t="s">
        <v>716</v>
      </c>
      <c r="D71" s="327" t="s">
        <v>716</v>
      </c>
      <c r="E71" s="327" t="s">
        <v>716</v>
      </c>
      <c r="F71" s="327" t="s">
        <v>716</v>
      </c>
      <c r="G71" s="328" t="s">
        <v>717</v>
      </c>
      <c r="H71" s="328" t="s">
        <v>717</v>
      </c>
      <c r="I71" s="341"/>
      <c r="J71" s="277"/>
    </row>
    <row r="72" spans="1:10" ht="17.850000000000001" customHeight="1">
      <c r="A72" s="51" t="s">
        <v>884</v>
      </c>
      <c r="B72" s="771" t="s">
        <v>885</v>
      </c>
      <c r="C72" s="771" t="s">
        <v>885</v>
      </c>
      <c r="D72" s="771" t="s">
        <v>885</v>
      </c>
      <c r="E72" s="771" t="s">
        <v>885</v>
      </c>
      <c r="F72" s="771" t="s">
        <v>885</v>
      </c>
      <c r="G72" s="772" t="s">
        <v>886</v>
      </c>
      <c r="H72" s="772" t="s">
        <v>886</v>
      </c>
      <c r="I72" s="773"/>
      <c r="J72" s="52"/>
    </row>
    <row r="73" spans="1:10" ht="17.850000000000001" customHeight="1">
      <c r="A73" s="471" t="s">
        <v>575</v>
      </c>
      <c r="B73" s="482">
        <v>8.25</v>
      </c>
      <c r="C73" s="482">
        <v>8.25</v>
      </c>
      <c r="D73" s="482">
        <v>8.25</v>
      </c>
      <c r="E73" s="482">
        <v>8.25</v>
      </c>
      <c r="F73" s="482">
        <v>8.25</v>
      </c>
      <c r="G73" s="483">
        <v>12.25</v>
      </c>
      <c r="H73" s="483">
        <v>12.25</v>
      </c>
      <c r="I73" s="457">
        <f>SUM(B73:H73)</f>
        <v>65.75</v>
      </c>
      <c r="J73" s="484" t="s">
        <v>720</v>
      </c>
    </row>
    <row r="74" spans="1:10" ht="17.850000000000001" customHeight="1">
      <c r="A74" s="329"/>
      <c r="B74" s="330" t="s">
        <v>722</v>
      </c>
      <c r="C74" s="330" t="s">
        <v>722</v>
      </c>
      <c r="D74" s="330" t="s">
        <v>722</v>
      </c>
      <c r="E74" s="330" t="s">
        <v>722</v>
      </c>
      <c r="F74" s="330" t="s">
        <v>722</v>
      </c>
      <c r="G74" s="331" t="s">
        <v>723</v>
      </c>
      <c r="H74" s="276" t="s">
        <v>723</v>
      </c>
      <c r="I74" s="325"/>
      <c r="J74" s="277"/>
    </row>
    <row r="75" spans="1:10" ht="17.850000000000001" customHeight="1">
      <c r="A75" s="51" t="s">
        <v>884</v>
      </c>
      <c r="B75" s="774" t="s">
        <v>887</v>
      </c>
      <c r="C75" s="774" t="s">
        <v>887</v>
      </c>
      <c r="D75" s="774" t="s">
        <v>887</v>
      </c>
      <c r="E75" s="774" t="s">
        <v>887</v>
      </c>
      <c r="F75" s="774" t="s">
        <v>887</v>
      </c>
      <c r="G75" s="775" t="s">
        <v>888</v>
      </c>
      <c r="H75" s="775" t="s">
        <v>888</v>
      </c>
      <c r="I75" s="767"/>
      <c r="J75" s="52"/>
    </row>
    <row r="76" spans="1:10" ht="17.850000000000001" customHeight="1">
      <c r="A76" s="471" t="s">
        <v>725</v>
      </c>
      <c r="B76" s="469">
        <v>7</v>
      </c>
      <c r="C76" s="469">
        <v>7</v>
      </c>
      <c r="D76" s="469">
        <v>7</v>
      </c>
      <c r="E76" s="469">
        <v>7</v>
      </c>
      <c r="F76" s="469">
        <v>7</v>
      </c>
      <c r="G76" s="485">
        <v>11</v>
      </c>
      <c r="H76" s="486">
        <v>11</v>
      </c>
      <c r="I76" s="457">
        <f>SUM(B76:H76)</f>
        <v>57</v>
      </c>
      <c r="J76" s="484" t="s">
        <v>726</v>
      </c>
    </row>
    <row r="77" spans="1:10" ht="17.850000000000001" customHeight="1">
      <c r="A77" s="329"/>
      <c r="B77" s="332" t="s">
        <v>728</v>
      </c>
      <c r="C77" s="332" t="s">
        <v>728</v>
      </c>
      <c r="D77" s="332" t="s">
        <v>728</v>
      </c>
      <c r="E77" s="332" t="s">
        <v>728</v>
      </c>
      <c r="F77" s="332" t="s">
        <v>728</v>
      </c>
      <c r="G77" s="276" t="s">
        <v>729</v>
      </c>
      <c r="H77" s="276" t="s">
        <v>729</v>
      </c>
      <c r="I77" s="325"/>
      <c r="J77" s="277"/>
    </row>
    <row r="78" spans="1:10" ht="17.850000000000001" customHeight="1">
      <c r="A78" s="51" t="s">
        <v>884</v>
      </c>
      <c r="B78" s="776" t="s">
        <v>889</v>
      </c>
      <c r="C78" s="776" t="s">
        <v>889</v>
      </c>
      <c r="D78" s="776" t="s">
        <v>889</v>
      </c>
      <c r="E78" s="776" t="s">
        <v>889</v>
      </c>
      <c r="F78" s="776" t="s">
        <v>889</v>
      </c>
      <c r="G78" s="53" t="s">
        <v>890</v>
      </c>
      <c r="H78" s="53" t="s">
        <v>890</v>
      </c>
      <c r="I78" s="767"/>
      <c r="J78" s="52"/>
    </row>
    <row r="79" spans="1:10" ht="17.850000000000001" customHeight="1">
      <c r="A79" s="471" t="s">
        <v>730</v>
      </c>
      <c r="B79" s="487">
        <v>8</v>
      </c>
      <c r="C79" s="487">
        <v>8</v>
      </c>
      <c r="D79" s="487">
        <v>8</v>
      </c>
      <c r="E79" s="487">
        <v>8</v>
      </c>
      <c r="F79" s="487">
        <v>8</v>
      </c>
      <c r="G79" s="485">
        <v>12</v>
      </c>
      <c r="H79" s="485">
        <v>12</v>
      </c>
      <c r="I79" s="457">
        <f>SUM(B79:H79)</f>
        <v>64</v>
      </c>
      <c r="J79" s="484" t="s">
        <v>731</v>
      </c>
    </row>
    <row r="80" spans="1:10" ht="17.850000000000001" customHeight="1">
      <c r="A80" s="329"/>
      <c r="B80" s="406" t="s">
        <v>551</v>
      </c>
      <c r="C80" s="406" t="s">
        <v>551</v>
      </c>
      <c r="D80" s="406" t="s">
        <v>551</v>
      </c>
      <c r="E80" s="406" t="s">
        <v>551</v>
      </c>
      <c r="F80" s="406" t="s">
        <v>551</v>
      </c>
      <c r="G80" s="285"/>
      <c r="H80" s="286"/>
      <c r="I80" s="343"/>
      <c r="J80" s="277"/>
    </row>
    <row r="81" spans="1:10" ht="17.850000000000001" customHeight="1">
      <c r="A81" s="51" t="s">
        <v>884</v>
      </c>
      <c r="B81" s="758"/>
      <c r="C81" s="758"/>
      <c r="D81" s="758"/>
      <c r="E81" s="758"/>
      <c r="F81" s="758"/>
      <c r="G81" s="37"/>
      <c r="H81" s="37"/>
      <c r="I81" s="761"/>
      <c r="J81" s="52"/>
    </row>
    <row r="82" spans="1:10" ht="17.850000000000001" customHeight="1">
      <c r="A82" s="471" t="s">
        <v>891</v>
      </c>
      <c r="B82" s="3876"/>
      <c r="C82" s="3876"/>
      <c r="D82" s="3876"/>
      <c r="E82" s="3876"/>
      <c r="F82" s="3876"/>
      <c r="G82" s="458"/>
      <c r="H82" s="488"/>
      <c r="I82" s="457">
        <f>SUM(B82:H82)</f>
        <v>0</v>
      </c>
      <c r="J82" s="484" t="s">
        <v>734</v>
      </c>
    </row>
    <row r="83" spans="1:10" ht="17.850000000000001" customHeight="1">
      <c r="A83" s="329"/>
      <c r="B83" s="406" t="s">
        <v>551</v>
      </c>
      <c r="C83" s="406" t="s">
        <v>551</v>
      </c>
      <c r="D83" s="406" t="s">
        <v>551</v>
      </c>
      <c r="E83" s="406" t="s">
        <v>551</v>
      </c>
      <c r="F83" s="406" t="s">
        <v>551</v>
      </c>
      <c r="G83" s="325"/>
      <c r="H83" s="279"/>
      <c r="I83" s="325"/>
      <c r="J83" s="277"/>
    </row>
    <row r="84" spans="1:10" ht="17.850000000000001" customHeight="1">
      <c r="A84" s="51" t="s">
        <v>884</v>
      </c>
      <c r="B84" s="758"/>
      <c r="C84" s="758"/>
      <c r="D84" s="758"/>
      <c r="E84" s="758"/>
      <c r="F84" s="758"/>
      <c r="G84" s="767"/>
      <c r="H84" s="54"/>
      <c r="I84" s="767"/>
      <c r="J84" s="52"/>
    </row>
    <row r="85" spans="1:10" ht="17.850000000000001" customHeight="1">
      <c r="A85" s="471" t="s">
        <v>738</v>
      </c>
      <c r="B85" s="3876"/>
      <c r="C85" s="3876"/>
      <c r="D85" s="3876"/>
      <c r="E85" s="3876"/>
      <c r="F85" s="3876"/>
      <c r="G85" s="478"/>
      <c r="H85" s="455"/>
      <c r="I85" s="457">
        <f>SUM(B85:H85)</f>
        <v>0</v>
      </c>
      <c r="J85" s="484" t="s">
        <v>735</v>
      </c>
    </row>
    <row r="86" spans="1:10" ht="17.850000000000001" customHeight="1">
      <c r="A86" s="324"/>
      <c r="B86" s="406" t="s">
        <v>551</v>
      </c>
      <c r="C86" s="406" t="s">
        <v>551</v>
      </c>
      <c r="D86" s="406" t="s">
        <v>551</v>
      </c>
      <c r="E86" s="406" t="s">
        <v>551</v>
      </c>
      <c r="F86" s="406" t="s">
        <v>551</v>
      </c>
      <c r="G86" s="335" t="s">
        <v>740</v>
      </c>
      <c r="H86" s="280" t="s">
        <v>741</v>
      </c>
      <c r="I86" s="325"/>
      <c r="J86" s="281"/>
    </row>
    <row r="87" spans="1:10" ht="17.850000000000001" customHeight="1">
      <c r="A87" s="51" t="s">
        <v>884</v>
      </c>
      <c r="B87" s="758"/>
      <c r="C87" s="758"/>
      <c r="D87" s="758"/>
      <c r="E87" s="758"/>
      <c r="F87" s="758"/>
      <c r="G87" s="777" t="s">
        <v>892</v>
      </c>
      <c r="H87" s="777" t="s">
        <v>892</v>
      </c>
      <c r="I87" s="767"/>
      <c r="J87" s="55"/>
    </row>
    <row r="88" spans="1:10" ht="17.850000000000001" customHeight="1">
      <c r="A88" s="471" t="s">
        <v>744</v>
      </c>
      <c r="B88" s="3876"/>
      <c r="C88" s="3876"/>
      <c r="D88" s="3876"/>
      <c r="E88" s="3876"/>
      <c r="F88" s="3876"/>
      <c r="G88" s="489">
        <v>12.25</v>
      </c>
      <c r="H88" s="490">
        <v>12.25</v>
      </c>
      <c r="I88" s="457">
        <f>SUM(B88:H88)</f>
        <v>24.5</v>
      </c>
      <c r="J88" s="484" t="s">
        <v>745</v>
      </c>
    </row>
    <row r="89" spans="1:10" ht="17.850000000000001" customHeight="1">
      <c r="A89" s="329"/>
      <c r="B89" s="336" t="s">
        <v>747</v>
      </c>
      <c r="C89" s="336" t="s">
        <v>747</v>
      </c>
      <c r="D89" s="336" t="s">
        <v>747</v>
      </c>
      <c r="E89" s="336" t="s">
        <v>747</v>
      </c>
      <c r="F89" s="336" t="s">
        <v>748</v>
      </c>
      <c r="G89" s="335" t="s">
        <v>749</v>
      </c>
      <c r="H89" s="280" t="s">
        <v>749</v>
      </c>
      <c r="I89" s="325"/>
      <c r="J89" s="277"/>
    </row>
    <row r="90" spans="1:10" ht="17.850000000000001" customHeight="1">
      <c r="A90" s="51" t="s">
        <v>884</v>
      </c>
      <c r="B90" s="778" t="s">
        <v>893</v>
      </c>
      <c r="C90" s="778" t="s">
        <v>893</v>
      </c>
      <c r="D90" s="778" t="s">
        <v>893</v>
      </c>
      <c r="E90" s="778" t="s">
        <v>893</v>
      </c>
      <c r="F90" s="778" t="s">
        <v>894</v>
      </c>
      <c r="G90" s="777" t="s">
        <v>895</v>
      </c>
      <c r="H90" s="777" t="s">
        <v>895</v>
      </c>
      <c r="I90" s="767"/>
      <c r="J90" s="52"/>
    </row>
    <row r="91" spans="1:10" ht="17.850000000000001" customHeight="1">
      <c r="A91" s="471" t="s">
        <v>593</v>
      </c>
      <c r="B91" s="491">
        <v>7</v>
      </c>
      <c r="C91" s="491">
        <v>7</v>
      </c>
      <c r="D91" s="491">
        <v>7</v>
      </c>
      <c r="E91" s="491">
        <v>7</v>
      </c>
      <c r="F91" s="491">
        <v>6.5</v>
      </c>
      <c r="G91" s="489">
        <v>12</v>
      </c>
      <c r="H91" s="490">
        <v>12</v>
      </c>
      <c r="I91" s="457">
        <f>SUM(B91:H91)</f>
        <v>58.5</v>
      </c>
      <c r="J91" s="484" t="s">
        <v>752</v>
      </c>
    </row>
    <row r="92" spans="1:10" ht="17.850000000000001" customHeight="1">
      <c r="A92" s="329"/>
      <c r="B92" s="337" t="s">
        <v>755</v>
      </c>
      <c r="C92" s="337" t="s">
        <v>755</v>
      </c>
      <c r="D92" s="337" t="s">
        <v>755</v>
      </c>
      <c r="E92" s="337" t="s">
        <v>755</v>
      </c>
      <c r="F92" s="337" t="s">
        <v>755</v>
      </c>
      <c r="G92" s="335" t="s">
        <v>756</v>
      </c>
      <c r="H92" s="280" t="s">
        <v>749</v>
      </c>
      <c r="I92" s="334"/>
      <c r="J92" s="277"/>
    </row>
    <row r="93" spans="1:10" ht="17.850000000000001" customHeight="1">
      <c r="A93" s="51" t="s">
        <v>884</v>
      </c>
      <c r="B93" s="779" t="s">
        <v>896</v>
      </c>
      <c r="C93" s="779" t="s">
        <v>896</v>
      </c>
      <c r="D93" s="779" t="s">
        <v>896</v>
      </c>
      <c r="E93" s="779" t="s">
        <v>896</v>
      </c>
      <c r="F93" s="779" t="s">
        <v>896</v>
      </c>
      <c r="G93" s="777" t="s">
        <v>897</v>
      </c>
      <c r="H93" s="56" t="s">
        <v>895</v>
      </c>
      <c r="I93" s="758"/>
      <c r="J93" s="52"/>
    </row>
    <row r="94" spans="1:10" ht="17.850000000000001" customHeight="1">
      <c r="A94" s="471" t="s">
        <v>759</v>
      </c>
      <c r="B94" s="763">
        <v>7</v>
      </c>
      <c r="C94" s="763">
        <v>7</v>
      </c>
      <c r="D94" s="763">
        <v>7</v>
      </c>
      <c r="E94" s="763">
        <v>7</v>
      </c>
      <c r="F94" s="763">
        <v>7</v>
      </c>
      <c r="G94" s="764">
        <v>9</v>
      </c>
      <c r="H94" s="490">
        <v>12</v>
      </c>
      <c r="I94" s="457">
        <f>SUM(B94:H94)</f>
        <v>56</v>
      </c>
      <c r="J94" s="484" t="s">
        <v>736</v>
      </c>
    </row>
    <row r="95" spans="1:10" ht="17.850000000000001" customHeight="1">
      <c r="A95" s="329"/>
      <c r="B95" s="765" t="s">
        <v>762</v>
      </c>
      <c r="C95" s="765" t="s">
        <v>762</v>
      </c>
      <c r="D95" s="765" t="s">
        <v>762</v>
      </c>
      <c r="E95" s="765" t="s">
        <v>762</v>
      </c>
      <c r="F95" s="765" t="s">
        <v>762</v>
      </c>
      <c r="G95" s="319"/>
      <c r="H95" s="282"/>
      <c r="I95" s="325"/>
      <c r="J95" s="277"/>
    </row>
    <row r="96" spans="1:10" ht="17.850000000000001" customHeight="1">
      <c r="A96" s="51" t="s">
        <v>884</v>
      </c>
      <c r="B96" s="780" t="s">
        <v>898</v>
      </c>
      <c r="C96" s="780" t="s">
        <v>898</v>
      </c>
      <c r="D96" s="780" t="s">
        <v>898</v>
      </c>
      <c r="E96" s="780" t="s">
        <v>898</v>
      </c>
      <c r="F96" s="780" t="s">
        <v>898</v>
      </c>
      <c r="G96" s="781"/>
      <c r="H96" s="57"/>
      <c r="I96" s="767"/>
      <c r="J96" s="52"/>
    </row>
    <row r="97" spans="1:10" ht="17.850000000000001" customHeight="1">
      <c r="A97" s="471" t="s">
        <v>764</v>
      </c>
      <c r="B97" s="766">
        <v>8</v>
      </c>
      <c r="C97" s="766">
        <v>8</v>
      </c>
      <c r="D97" s="766">
        <v>8</v>
      </c>
      <c r="E97" s="766">
        <v>8</v>
      </c>
      <c r="F97" s="766">
        <v>8</v>
      </c>
      <c r="G97" s="457"/>
      <c r="H97" s="495"/>
      <c r="I97" s="457">
        <f>SUM(B97:H97)</f>
        <v>40</v>
      </c>
      <c r="J97" s="484" t="s">
        <v>753</v>
      </c>
    </row>
    <row r="98" spans="1:10" ht="17.850000000000001" customHeight="1">
      <c r="A98" s="329"/>
      <c r="B98" s="406" t="s">
        <v>551</v>
      </c>
      <c r="C98" s="406" t="s">
        <v>551</v>
      </c>
      <c r="D98" s="406" t="s">
        <v>551</v>
      </c>
      <c r="E98" s="406" t="s">
        <v>551</v>
      </c>
      <c r="F98" s="406" t="s">
        <v>551</v>
      </c>
      <c r="G98" s="285"/>
      <c r="H98" s="286"/>
      <c r="I98" s="341"/>
      <c r="J98" s="277"/>
    </row>
    <row r="99" spans="1:10" ht="17.850000000000001" customHeight="1">
      <c r="A99" s="51" t="s">
        <v>884</v>
      </c>
      <c r="B99" s="758"/>
      <c r="C99" s="758"/>
      <c r="D99" s="758"/>
      <c r="E99" s="758"/>
      <c r="F99" s="758"/>
      <c r="G99" s="37"/>
      <c r="H99" s="759"/>
      <c r="I99" s="773"/>
      <c r="J99" s="52"/>
    </row>
    <row r="100" spans="1:10" ht="17.850000000000001" customHeight="1">
      <c r="A100" s="471" t="s">
        <v>767</v>
      </c>
      <c r="B100" s="3891"/>
      <c r="C100" s="3891"/>
      <c r="D100" s="3891"/>
      <c r="E100" s="3891"/>
      <c r="F100" s="3891"/>
      <c r="G100" s="458"/>
      <c r="H100" s="488"/>
      <c r="I100" s="457">
        <f>SUM(B100:H100)</f>
        <v>0</v>
      </c>
      <c r="J100" s="484" t="s">
        <v>161</v>
      </c>
    </row>
    <row r="101" spans="1:10" ht="17.850000000000001" customHeight="1">
      <c r="A101" s="329"/>
      <c r="B101" s="406" t="s">
        <v>551</v>
      </c>
      <c r="C101" s="406" t="s">
        <v>551</v>
      </c>
      <c r="D101" s="406" t="s">
        <v>551</v>
      </c>
      <c r="E101" s="406" t="s">
        <v>551</v>
      </c>
      <c r="F101" s="406" t="s">
        <v>551</v>
      </c>
      <c r="G101" s="325"/>
      <c r="H101" s="279"/>
      <c r="I101" s="325"/>
      <c r="J101" s="277"/>
    </row>
    <row r="102" spans="1:10" ht="17.850000000000001" customHeight="1">
      <c r="A102" s="51" t="s">
        <v>884</v>
      </c>
      <c r="B102" s="758"/>
      <c r="C102" s="758"/>
      <c r="D102" s="758"/>
      <c r="E102" s="758"/>
      <c r="F102" s="758"/>
      <c r="G102" s="767"/>
      <c r="H102" s="54"/>
      <c r="I102" s="767"/>
      <c r="J102" s="52"/>
    </row>
    <row r="103" spans="1:10" ht="17.850000000000001" customHeight="1">
      <c r="A103" s="33" t="s">
        <v>785</v>
      </c>
      <c r="B103" s="3891"/>
      <c r="C103" s="3891"/>
      <c r="D103" s="3876"/>
      <c r="E103" s="3876"/>
      <c r="F103" s="3876"/>
      <c r="G103" s="767"/>
      <c r="H103" s="54"/>
      <c r="I103" s="758">
        <f>SUM(B103:H103)</f>
        <v>0</v>
      </c>
      <c r="J103" s="58" t="s">
        <v>739</v>
      </c>
    </row>
    <row r="104" spans="1:10" ht="17.850000000000001" customHeight="1">
      <c r="A104" s="329" t="s">
        <v>0</v>
      </c>
      <c r="B104" s="338" t="s">
        <v>727</v>
      </c>
      <c r="C104" s="338" t="s">
        <v>727</v>
      </c>
      <c r="D104" s="338" t="s">
        <v>727</v>
      </c>
      <c r="E104" s="338" t="s">
        <v>727</v>
      </c>
      <c r="F104" s="338" t="s">
        <v>727</v>
      </c>
      <c r="G104" s="339"/>
      <c r="H104" s="279"/>
      <c r="I104" s="325"/>
      <c r="J104" s="277" t="s">
        <v>0</v>
      </c>
    </row>
    <row r="105" spans="1:10" ht="17.850000000000001" customHeight="1">
      <c r="A105" s="51" t="s">
        <v>884</v>
      </c>
      <c r="B105" s="782" t="s">
        <v>899</v>
      </c>
      <c r="C105" s="782" t="s">
        <v>899</v>
      </c>
      <c r="D105" s="782" t="s">
        <v>899</v>
      </c>
      <c r="E105" s="782" t="s">
        <v>899</v>
      </c>
      <c r="F105" s="782" t="s">
        <v>899</v>
      </c>
      <c r="G105" s="783"/>
      <c r="H105" s="54"/>
      <c r="I105" s="767"/>
      <c r="J105" s="52"/>
    </row>
    <row r="106" spans="1:10" ht="17.850000000000001" customHeight="1">
      <c r="A106" s="39" t="s">
        <v>772</v>
      </c>
      <c r="B106" s="499">
        <v>8</v>
      </c>
      <c r="C106" s="499">
        <v>8</v>
      </c>
      <c r="D106" s="499">
        <v>8</v>
      </c>
      <c r="E106" s="499">
        <v>8</v>
      </c>
      <c r="F106" s="499">
        <v>8</v>
      </c>
      <c r="G106" s="767"/>
      <c r="H106" s="54"/>
      <c r="I106" s="758">
        <f>SUM(B106:H106)</f>
        <v>40</v>
      </c>
      <c r="J106" s="55" t="s">
        <v>773</v>
      </c>
    </row>
    <row r="107" spans="1:10" ht="17.850000000000001" customHeight="1">
      <c r="A107" s="329"/>
      <c r="B107" s="340" t="s">
        <v>775</v>
      </c>
      <c r="C107" s="340" t="s">
        <v>775</v>
      </c>
      <c r="D107" s="340" t="s">
        <v>775</v>
      </c>
      <c r="E107" s="340" t="s">
        <v>775</v>
      </c>
      <c r="F107" s="340" t="s">
        <v>775</v>
      </c>
      <c r="G107" s="287"/>
      <c r="H107" s="288"/>
      <c r="I107" s="341"/>
      <c r="J107" s="277"/>
    </row>
    <row r="108" spans="1:10" ht="17.850000000000001" customHeight="1">
      <c r="A108" s="51" t="s">
        <v>884</v>
      </c>
      <c r="B108" s="784" t="s">
        <v>900</v>
      </c>
      <c r="C108" s="784" t="s">
        <v>900</v>
      </c>
      <c r="D108" s="784" t="s">
        <v>900</v>
      </c>
      <c r="E108" s="784" t="s">
        <v>900</v>
      </c>
      <c r="F108" s="784" t="s">
        <v>900</v>
      </c>
      <c r="G108" s="59"/>
      <c r="H108" s="781"/>
      <c r="I108" s="773"/>
      <c r="J108" s="52"/>
    </row>
    <row r="109" spans="1:10" ht="17.850000000000001" customHeight="1">
      <c r="A109" s="471" t="s">
        <v>603</v>
      </c>
      <c r="B109" s="493">
        <v>7</v>
      </c>
      <c r="C109" s="493">
        <v>7</v>
      </c>
      <c r="D109" s="493">
        <v>7</v>
      </c>
      <c r="E109" s="493">
        <v>7</v>
      </c>
      <c r="F109" s="493">
        <v>7</v>
      </c>
      <c r="G109" s="457"/>
      <c r="H109" s="495"/>
      <c r="I109" s="457">
        <f>SUM(B109:H109)</f>
        <v>35</v>
      </c>
      <c r="J109" s="484" t="s">
        <v>776</v>
      </c>
    </row>
    <row r="110" spans="1:10" ht="17.850000000000001" customHeight="1">
      <c r="A110" s="329"/>
      <c r="B110" s="283" t="s">
        <v>778</v>
      </c>
      <c r="C110" s="283" t="s">
        <v>778</v>
      </c>
      <c r="D110" s="283" t="s">
        <v>778</v>
      </c>
      <c r="E110" s="283" t="s">
        <v>778</v>
      </c>
      <c r="F110" s="283" t="s">
        <v>778</v>
      </c>
      <c r="G110" s="319"/>
      <c r="H110" s="282"/>
      <c r="I110" s="252"/>
      <c r="J110" s="277"/>
    </row>
    <row r="111" spans="1:10" ht="17.850000000000001" customHeight="1">
      <c r="A111" s="51" t="s">
        <v>884</v>
      </c>
      <c r="B111" s="60" t="s">
        <v>901</v>
      </c>
      <c r="C111" s="60" t="s">
        <v>901</v>
      </c>
      <c r="D111" s="60" t="s">
        <v>901</v>
      </c>
      <c r="E111" s="60" t="s">
        <v>901</v>
      </c>
      <c r="F111" s="60" t="s">
        <v>901</v>
      </c>
      <c r="G111" s="781"/>
      <c r="H111" s="57"/>
      <c r="I111" s="773"/>
      <c r="J111" s="52"/>
    </row>
    <row r="112" spans="1:10" ht="17.850000000000001" customHeight="1">
      <c r="A112" s="475" t="s">
        <v>604</v>
      </c>
      <c r="B112" s="494">
        <v>7.5</v>
      </c>
      <c r="C112" s="494">
        <v>7.5</v>
      </c>
      <c r="D112" s="494">
        <v>7.5</v>
      </c>
      <c r="E112" s="494">
        <v>7.5</v>
      </c>
      <c r="F112" s="494">
        <v>7.5</v>
      </c>
      <c r="G112" s="457"/>
      <c r="H112" s="495"/>
      <c r="I112" s="464">
        <f>SUM(B112:H112)</f>
        <v>37.5</v>
      </c>
      <c r="J112" s="498" t="s">
        <v>779</v>
      </c>
    </row>
    <row r="113" spans="1:10" ht="17.850000000000001" customHeight="1">
      <c r="A113" s="329"/>
      <c r="B113" s="284" t="s">
        <v>781</v>
      </c>
      <c r="C113" s="342" t="s">
        <v>781</v>
      </c>
      <c r="D113" s="342" t="s">
        <v>781</v>
      </c>
      <c r="E113" s="342" t="s">
        <v>781</v>
      </c>
      <c r="F113" s="342" t="s">
        <v>781</v>
      </c>
      <c r="G113" s="319"/>
      <c r="H113" s="282"/>
      <c r="I113" s="343"/>
      <c r="J113" s="277"/>
    </row>
    <row r="114" spans="1:10" ht="17.850000000000001" customHeight="1">
      <c r="A114" s="51" t="s">
        <v>884</v>
      </c>
      <c r="B114" s="61" t="s">
        <v>902</v>
      </c>
      <c r="C114" s="61" t="s">
        <v>902</v>
      </c>
      <c r="D114" s="61" t="s">
        <v>902</v>
      </c>
      <c r="E114" s="61" t="s">
        <v>902</v>
      </c>
      <c r="F114" s="61" t="s">
        <v>902</v>
      </c>
      <c r="G114" s="781"/>
      <c r="H114" s="57"/>
      <c r="I114" s="785"/>
      <c r="J114" s="52"/>
    </row>
    <row r="115" spans="1:10" ht="17.850000000000001" customHeight="1">
      <c r="A115" s="471" t="s">
        <v>605</v>
      </c>
      <c r="B115" s="497">
        <v>8</v>
      </c>
      <c r="C115" s="497">
        <v>8</v>
      </c>
      <c r="D115" s="497">
        <v>8</v>
      </c>
      <c r="E115" s="497">
        <v>8</v>
      </c>
      <c r="F115" s="497">
        <v>8</v>
      </c>
      <c r="G115" s="457"/>
      <c r="H115" s="457"/>
      <c r="I115" s="496">
        <f>SUM(B115:H115)</f>
        <v>40</v>
      </c>
      <c r="J115" s="484" t="s">
        <v>782</v>
      </c>
    </row>
    <row r="116" spans="1:10" ht="17.850000000000001" customHeight="1">
      <c r="A116" s="46" t="s">
        <v>563</v>
      </c>
      <c r="B116" s="62">
        <f t="shared" ref="B116:I116" si="2">SUM(B73,B76,B79,B82,B85,B88,B91,B94,B97,B100,B103,B106,B109,B112,B115)</f>
        <v>75.75</v>
      </c>
      <c r="C116" s="62">
        <f t="shared" si="2"/>
        <v>75.75</v>
      </c>
      <c r="D116" s="62">
        <f t="shared" si="2"/>
        <v>75.75</v>
      </c>
      <c r="E116" s="62">
        <f t="shared" si="2"/>
        <v>75.75</v>
      </c>
      <c r="F116" s="62">
        <f t="shared" si="2"/>
        <v>75.25</v>
      </c>
      <c r="G116" s="62">
        <f t="shared" si="2"/>
        <v>68.5</v>
      </c>
      <c r="H116" s="62">
        <f t="shared" si="2"/>
        <v>71.5</v>
      </c>
      <c r="I116" s="62">
        <f t="shared" si="2"/>
        <v>518.25</v>
      </c>
      <c r="J116" s="48"/>
    </row>
    <row r="117" spans="1:10" ht="17.850000000000001" customHeight="1">
      <c r="A117" s="18"/>
      <c r="B117" s="18"/>
      <c r="C117" s="18"/>
      <c r="D117" s="18"/>
      <c r="E117" s="18"/>
      <c r="F117" s="18"/>
      <c r="G117" s="3909" t="s">
        <v>679</v>
      </c>
      <c r="H117" s="3909" t="s">
        <v>680</v>
      </c>
      <c r="I117" s="3909" t="s">
        <v>681</v>
      </c>
    </row>
    <row r="118" spans="1:10" ht="17.850000000000001" customHeight="1">
      <c r="A118" s="59"/>
      <c r="B118" s="59"/>
      <c r="C118" s="59"/>
      <c r="D118" s="59"/>
      <c r="E118" s="59"/>
      <c r="F118" s="18"/>
      <c r="G118" s="3888">
        <f>I116</f>
        <v>518.25</v>
      </c>
      <c r="H118" s="3910">
        <f>SUM(G118*13/3)</f>
        <v>2245.75</v>
      </c>
      <c r="I118" s="3888">
        <f>SUM(H118*12)</f>
        <v>26949</v>
      </c>
    </row>
    <row r="119" spans="1:10" ht="17.850000000000001" customHeight="1">
      <c r="A119" s="18"/>
      <c r="B119" s="18"/>
      <c r="C119" s="18"/>
      <c r="D119" s="18"/>
      <c r="E119" s="18"/>
      <c r="F119" s="18"/>
      <c r="G119" s="18"/>
      <c r="H119" s="45"/>
      <c r="I119" s="18"/>
    </row>
    <row r="120" spans="1:10" ht="17.850000000000001" customHeight="1">
      <c r="A120" s="18"/>
      <c r="B120" s="18"/>
      <c r="C120" s="18"/>
      <c r="D120" s="18"/>
      <c r="E120" s="18"/>
      <c r="F120" s="18"/>
      <c r="G120" s="18"/>
      <c r="H120" s="45"/>
      <c r="I120" s="18"/>
    </row>
    <row r="121" spans="1:10" ht="17.850000000000001" customHeight="1">
      <c r="A121" s="18"/>
      <c r="B121" s="18"/>
      <c r="C121" s="18"/>
      <c r="D121" s="18" t="s">
        <v>903</v>
      </c>
      <c r="E121" s="18"/>
      <c r="F121" s="18"/>
      <c r="G121" s="18"/>
      <c r="H121" s="45"/>
      <c r="I121" s="18"/>
    </row>
    <row r="122" spans="1:10" ht="17.850000000000001" customHeight="1">
      <c r="A122" s="445"/>
      <c r="B122" s="327" t="s">
        <v>716</v>
      </c>
      <c r="C122" s="327" t="s">
        <v>716</v>
      </c>
      <c r="D122" s="327" t="s">
        <v>716</v>
      </c>
      <c r="E122" s="327" t="s">
        <v>716</v>
      </c>
      <c r="F122" s="327" t="s">
        <v>716</v>
      </c>
      <c r="G122" s="446" t="s">
        <v>717</v>
      </c>
      <c r="H122" s="447" t="s">
        <v>717</v>
      </c>
      <c r="I122" s="18"/>
    </row>
    <row r="123" spans="1:10" ht="17.850000000000001" customHeight="1">
      <c r="A123" s="471" t="s">
        <v>575</v>
      </c>
      <c r="B123" s="482">
        <v>8.25</v>
      </c>
      <c r="C123" s="482">
        <v>8.25</v>
      </c>
      <c r="D123" s="482">
        <v>8.25</v>
      </c>
      <c r="E123" s="482">
        <v>8.25</v>
      </c>
      <c r="F123" s="482">
        <v>8.25</v>
      </c>
      <c r="G123" s="3981">
        <v>12.25</v>
      </c>
      <c r="H123" s="3982">
        <v>12.25</v>
      </c>
      <c r="I123" s="18"/>
    </row>
    <row r="124" spans="1:10" ht="17.850000000000001" customHeight="1">
      <c r="A124" s="445"/>
      <c r="B124" s="406" t="s">
        <v>551</v>
      </c>
      <c r="C124" s="406" t="s">
        <v>551</v>
      </c>
      <c r="D124" s="406" t="s">
        <v>551</v>
      </c>
      <c r="E124" s="406" t="s">
        <v>551</v>
      </c>
      <c r="F124" s="406" t="s">
        <v>551</v>
      </c>
      <c r="G124" s="407"/>
      <c r="H124" s="448"/>
      <c r="I124" s="18"/>
    </row>
    <row r="125" spans="1:10" ht="17.850000000000001" customHeight="1">
      <c r="A125" s="471" t="s">
        <v>891</v>
      </c>
      <c r="B125" s="3876"/>
      <c r="C125" s="3876"/>
      <c r="D125" s="3876"/>
      <c r="E125" s="3876"/>
      <c r="F125" s="3876"/>
      <c r="G125" s="3895"/>
      <c r="H125" s="3983"/>
      <c r="I125" s="18"/>
    </row>
    <row r="126" spans="1:10" ht="17.850000000000001" customHeight="1">
      <c r="A126" s="445"/>
      <c r="B126" s="336" t="s">
        <v>747</v>
      </c>
      <c r="C126" s="336" t="s">
        <v>747</v>
      </c>
      <c r="D126" s="336" t="s">
        <v>747</v>
      </c>
      <c r="E126" s="336" t="s">
        <v>747</v>
      </c>
      <c r="F126" s="336" t="s">
        <v>748</v>
      </c>
      <c r="G126" s="335" t="s">
        <v>749</v>
      </c>
      <c r="H126" s="280" t="s">
        <v>749</v>
      </c>
      <c r="I126" s="18"/>
    </row>
    <row r="127" spans="1:10" ht="17.850000000000001" customHeight="1">
      <c r="A127" s="471" t="s">
        <v>593</v>
      </c>
      <c r="B127" s="491">
        <v>7</v>
      </c>
      <c r="C127" s="491">
        <v>7</v>
      </c>
      <c r="D127" s="491">
        <v>7</v>
      </c>
      <c r="E127" s="491">
        <v>7</v>
      </c>
      <c r="F127" s="491">
        <v>6.5</v>
      </c>
      <c r="G127" s="489">
        <v>12</v>
      </c>
      <c r="H127" s="490">
        <v>12</v>
      </c>
      <c r="I127" s="18"/>
    </row>
    <row r="128" spans="1:10" ht="17.850000000000001" customHeight="1">
      <c r="A128" s="445"/>
      <c r="B128" s="406" t="s">
        <v>551</v>
      </c>
      <c r="C128" s="406" t="s">
        <v>551</v>
      </c>
      <c r="D128" s="406" t="s">
        <v>551</v>
      </c>
      <c r="E128" s="406" t="s">
        <v>551</v>
      </c>
      <c r="F128" s="406" t="s">
        <v>551</v>
      </c>
      <c r="G128" s="407"/>
      <c r="H128" s="448"/>
      <c r="I128" s="18"/>
    </row>
    <row r="129" spans="1:9" ht="17.850000000000001" customHeight="1">
      <c r="A129" s="471" t="s">
        <v>767</v>
      </c>
      <c r="B129" s="3876"/>
      <c r="C129" s="3876"/>
      <c r="D129" s="3876"/>
      <c r="E129" s="3876"/>
      <c r="F129" s="3876"/>
      <c r="G129" s="3895"/>
      <c r="H129" s="3983"/>
      <c r="I129" s="18"/>
    </row>
    <row r="130" spans="1:9" ht="17.850000000000001" customHeight="1">
      <c r="A130" s="445"/>
      <c r="B130" s="340" t="s">
        <v>775</v>
      </c>
      <c r="C130" s="340" t="s">
        <v>775</v>
      </c>
      <c r="D130" s="340" t="s">
        <v>775</v>
      </c>
      <c r="E130" s="340" t="s">
        <v>775</v>
      </c>
      <c r="F130" s="340" t="s">
        <v>775</v>
      </c>
      <c r="G130" s="403"/>
      <c r="H130" s="449"/>
      <c r="I130" s="18"/>
    </row>
    <row r="131" spans="1:9" ht="17.850000000000001" customHeight="1">
      <c r="A131" s="471" t="s">
        <v>603</v>
      </c>
      <c r="B131" s="493">
        <v>7</v>
      </c>
      <c r="C131" s="493">
        <v>7</v>
      </c>
      <c r="D131" s="493">
        <v>7</v>
      </c>
      <c r="E131" s="493">
        <v>7</v>
      </c>
      <c r="F131" s="493">
        <v>7</v>
      </c>
      <c r="G131" s="3876"/>
      <c r="H131" s="3984"/>
      <c r="I131" s="18"/>
    </row>
    <row r="132" spans="1:9" ht="17.850000000000001" customHeight="1">
      <c r="A132" s="445"/>
      <c r="B132" s="330" t="s">
        <v>722</v>
      </c>
      <c r="C132" s="330" t="s">
        <v>722</v>
      </c>
      <c r="D132" s="330" t="s">
        <v>722</v>
      </c>
      <c r="E132" s="330" t="s">
        <v>722</v>
      </c>
      <c r="F132" s="330" t="s">
        <v>722</v>
      </c>
      <c r="G132" s="331" t="s">
        <v>723</v>
      </c>
      <c r="H132" s="276" t="s">
        <v>723</v>
      </c>
      <c r="I132" s="18"/>
    </row>
    <row r="133" spans="1:9" ht="17.850000000000001" customHeight="1">
      <c r="A133" s="471" t="s">
        <v>725</v>
      </c>
      <c r="B133" s="469">
        <v>7</v>
      </c>
      <c r="C133" s="469">
        <v>7</v>
      </c>
      <c r="D133" s="469">
        <v>7</v>
      </c>
      <c r="E133" s="469">
        <v>7</v>
      </c>
      <c r="F133" s="469">
        <v>7</v>
      </c>
      <c r="G133" s="485">
        <v>11</v>
      </c>
      <c r="H133" s="486">
        <v>11</v>
      </c>
      <c r="I133" s="18"/>
    </row>
    <row r="134" spans="1:9" ht="17.850000000000001" customHeight="1">
      <c r="A134" s="445"/>
      <c r="B134" s="406" t="s">
        <v>551</v>
      </c>
      <c r="C134" s="406" t="s">
        <v>551</v>
      </c>
      <c r="D134" s="406" t="s">
        <v>551</v>
      </c>
      <c r="E134" s="406" t="s">
        <v>551</v>
      </c>
      <c r="F134" s="406" t="s">
        <v>551</v>
      </c>
      <c r="G134" s="400"/>
      <c r="H134" s="399"/>
      <c r="I134" s="18"/>
    </row>
    <row r="135" spans="1:9" ht="17.850000000000001" customHeight="1">
      <c r="A135" s="471" t="s">
        <v>738</v>
      </c>
      <c r="B135" s="3876"/>
      <c r="C135" s="3876"/>
      <c r="D135" s="3876"/>
      <c r="E135" s="3876"/>
      <c r="F135" s="3876"/>
      <c r="G135" s="3878"/>
      <c r="H135" s="3834"/>
      <c r="I135" s="18"/>
    </row>
    <row r="136" spans="1:9" ht="17.850000000000001" customHeight="1">
      <c r="A136" s="445"/>
      <c r="B136" s="337" t="s">
        <v>755</v>
      </c>
      <c r="C136" s="337" t="s">
        <v>755</v>
      </c>
      <c r="D136" s="337" t="s">
        <v>755</v>
      </c>
      <c r="E136" s="337" t="s">
        <v>755</v>
      </c>
      <c r="F136" s="337" t="s">
        <v>755</v>
      </c>
      <c r="G136" s="335" t="s">
        <v>756</v>
      </c>
      <c r="H136" s="280" t="s">
        <v>749</v>
      </c>
      <c r="I136" s="18"/>
    </row>
    <row r="137" spans="1:9" ht="17.850000000000001" customHeight="1">
      <c r="A137" s="471" t="s">
        <v>759</v>
      </c>
      <c r="B137" s="763">
        <v>7</v>
      </c>
      <c r="C137" s="763">
        <v>7</v>
      </c>
      <c r="D137" s="763">
        <v>7</v>
      </c>
      <c r="E137" s="763">
        <v>7</v>
      </c>
      <c r="F137" s="763">
        <v>7</v>
      </c>
      <c r="G137" s="764">
        <v>9</v>
      </c>
      <c r="H137" s="490">
        <v>12</v>
      </c>
      <c r="I137" s="18"/>
    </row>
    <row r="138" spans="1:9" ht="17.850000000000001" customHeight="1">
      <c r="A138" s="445"/>
      <c r="B138" s="406" t="s">
        <v>551</v>
      </c>
      <c r="C138" s="406" t="s">
        <v>551</v>
      </c>
      <c r="D138" s="406" t="s">
        <v>551</v>
      </c>
      <c r="E138" s="406" t="s">
        <v>551</v>
      </c>
      <c r="F138" s="406" t="s">
        <v>551</v>
      </c>
      <c r="G138" s="400"/>
      <c r="H138" s="399"/>
      <c r="I138" s="18"/>
    </row>
    <row r="139" spans="1:9" ht="17.850000000000001" customHeight="1">
      <c r="A139" s="33" t="s">
        <v>785</v>
      </c>
      <c r="B139" s="3876"/>
      <c r="C139" s="3876"/>
      <c r="D139" s="3876"/>
      <c r="E139" s="3876"/>
      <c r="F139" s="3876"/>
      <c r="G139" s="3878"/>
      <c r="H139" s="3834"/>
      <c r="I139" s="18"/>
    </row>
    <row r="140" spans="1:9" ht="17.850000000000001" customHeight="1">
      <c r="A140" s="445"/>
      <c r="B140" s="283" t="s">
        <v>778</v>
      </c>
      <c r="C140" s="283" t="s">
        <v>778</v>
      </c>
      <c r="D140" s="283" t="s">
        <v>778</v>
      </c>
      <c r="E140" s="283" t="s">
        <v>778</v>
      </c>
      <c r="F140" s="283" t="s">
        <v>778</v>
      </c>
      <c r="G140" s="403"/>
      <c r="H140" s="449"/>
      <c r="I140" s="18"/>
    </row>
    <row r="141" spans="1:9" ht="17.850000000000001" customHeight="1">
      <c r="A141" s="475" t="s">
        <v>604</v>
      </c>
      <c r="B141" s="494">
        <v>7.5</v>
      </c>
      <c r="C141" s="494">
        <v>7.5</v>
      </c>
      <c r="D141" s="494">
        <v>7.5</v>
      </c>
      <c r="E141" s="494">
        <v>7.5</v>
      </c>
      <c r="F141" s="494">
        <v>7.5</v>
      </c>
      <c r="G141" s="3876"/>
      <c r="H141" s="3984"/>
      <c r="I141" s="18"/>
    </row>
    <row r="142" spans="1:9" ht="17.850000000000001" customHeight="1">
      <c r="A142" s="445"/>
      <c r="B142" s="332" t="s">
        <v>728</v>
      </c>
      <c r="C142" s="332" t="s">
        <v>728</v>
      </c>
      <c r="D142" s="332" t="s">
        <v>728</v>
      </c>
      <c r="E142" s="332" t="s">
        <v>728</v>
      </c>
      <c r="F142" s="332" t="s">
        <v>728</v>
      </c>
      <c r="G142" s="276" t="s">
        <v>729</v>
      </c>
      <c r="H142" s="276" t="s">
        <v>729</v>
      </c>
      <c r="I142" s="18"/>
    </row>
    <row r="143" spans="1:9" ht="17.850000000000001" customHeight="1">
      <c r="A143" s="471" t="s">
        <v>730</v>
      </c>
      <c r="B143" s="487">
        <v>8</v>
      </c>
      <c r="C143" s="487">
        <v>8</v>
      </c>
      <c r="D143" s="487">
        <v>8</v>
      </c>
      <c r="E143" s="487">
        <v>8</v>
      </c>
      <c r="F143" s="487">
        <v>8</v>
      </c>
      <c r="G143" s="485">
        <v>12</v>
      </c>
      <c r="H143" s="485">
        <v>12</v>
      </c>
      <c r="I143" s="18"/>
    </row>
    <row r="144" spans="1:9" ht="17.850000000000001" customHeight="1">
      <c r="A144" s="450"/>
      <c r="B144" s="406" t="s">
        <v>551</v>
      </c>
      <c r="C144" s="406" t="s">
        <v>551</v>
      </c>
      <c r="D144" s="406" t="s">
        <v>551</v>
      </c>
      <c r="E144" s="406" t="s">
        <v>551</v>
      </c>
      <c r="F144" s="406" t="s">
        <v>551</v>
      </c>
      <c r="G144" s="335" t="s">
        <v>740</v>
      </c>
      <c r="H144" s="280" t="s">
        <v>741</v>
      </c>
      <c r="I144" s="18"/>
    </row>
    <row r="145" spans="1:10" ht="17.850000000000001" customHeight="1">
      <c r="A145" s="471" t="s">
        <v>744</v>
      </c>
      <c r="B145" s="3876"/>
      <c r="C145" s="3876"/>
      <c r="D145" s="3876"/>
      <c r="E145" s="3876"/>
      <c r="F145" s="3876"/>
      <c r="G145" s="489">
        <v>12.25</v>
      </c>
      <c r="H145" s="490">
        <v>12.25</v>
      </c>
      <c r="I145" s="18"/>
    </row>
    <row r="146" spans="1:10" ht="17.850000000000001" customHeight="1">
      <c r="A146" s="445"/>
      <c r="B146" s="765" t="s">
        <v>762</v>
      </c>
      <c r="C146" s="765" t="s">
        <v>762</v>
      </c>
      <c r="D146" s="765" t="s">
        <v>762</v>
      </c>
      <c r="E146" s="765" t="s">
        <v>762</v>
      </c>
      <c r="F146" s="765" t="s">
        <v>762</v>
      </c>
      <c r="G146" s="319"/>
      <c r="H146" s="282"/>
      <c r="I146" s="18"/>
    </row>
    <row r="147" spans="1:10" ht="17.850000000000001" customHeight="1">
      <c r="A147" s="471" t="s">
        <v>764</v>
      </c>
      <c r="B147" s="766">
        <v>8</v>
      </c>
      <c r="C147" s="766">
        <v>8</v>
      </c>
      <c r="D147" s="766">
        <v>8</v>
      </c>
      <c r="E147" s="766">
        <v>8</v>
      </c>
      <c r="F147" s="766">
        <v>8</v>
      </c>
      <c r="G147" s="457"/>
      <c r="H147" s="495"/>
      <c r="I147" s="18"/>
    </row>
    <row r="148" spans="1:10" ht="17.850000000000001" customHeight="1">
      <c r="A148" s="445" t="s">
        <v>0</v>
      </c>
      <c r="B148" s="338" t="s">
        <v>727</v>
      </c>
      <c r="C148" s="338" t="s">
        <v>727</v>
      </c>
      <c r="D148" s="338" t="s">
        <v>727</v>
      </c>
      <c r="E148" s="338" t="s">
        <v>727</v>
      </c>
      <c r="F148" s="338" t="s">
        <v>727</v>
      </c>
      <c r="G148" s="413"/>
      <c r="H148" s="399"/>
      <c r="I148" s="18"/>
    </row>
    <row r="149" spans="1:10" ht="17.850000000000001" customHeight="1">
      <c r="A149" s="39" t="s">
        <v>772</v>
      </c>
      <c r="B149" s="499">
        <v>8</v>
      </c>
      <c r="C149" s="499">
        <v>8</v>
      </c>
      <c r="D149" s="499">
        <v>8</v>
      </c>
      <c r="E149" s="499">
        <v>8</v>
      </c>
      <c r="F149" s="499">
        <v>8</v>
      </c>
      <c r="G149" s="3878"/>
      <c r="H149" s="3834"/>
      <c r="I149" s="18"/>
    </row>
    <row r="150" spans="1:10" ht="17.850000000000001" customHeight="1">
      <c r="A150" s="445"/>
      <c r="B150" s="284" t="s">
        <v>781</v>
      </c>
      <c r="C150" s="342" t="s">
        <v>781</v>
      </c>
      <c r="D150" s="342" t="s">
        <v>781</v>
      </c>
      <c r="E150" s="342" t="s">
        <v>781</v>
      </c>
      <c r="F150" s="342" t="s">
        <v>781</v>
      </c>
      <c r="G150" s="403"/>
      <c r="H150" s="449"/>
      <c r="I150" s="18"/>
    </row>
    <row r="151" spans="1:10" ht="17.850000000000001" customHeight="1">
      <c r="A151" s="471" t="s">
        <v>605</v>
      </c>
      <c r="B151" s="497">
        <v>8</v>
      </c>
      <c r="C151" s="497">
        <v>8</v>
      </c>
      <c r="D151" s="497">
        <v>8</v>
      </c>
      <c r="E151" s="497">
        <v>8</v>
      </c>
      <c r="F151" s="497">
        <v>8</v>
      </c>
      <c r="G151" s="3876"/>
      <c r="H151" s="3984"/>
      <c r="I151" s="18"/>
    </row>
    <row r="152" spans="1:10" ht="17.850000000000001" customHeight="1">
      <c r="A152" s="18"/>
      <c r="B152" s="18"/>
      <c r="C152" s="18"/>
      <c r="D152" s="18"/>
      <c r="E152" s="18"/>
      <c r="F152" s="18"/>
      <c r="G152" s="18"/>
      <c r="H152" s="45"/>
      <c r="I152" s="18"/>
    </row>
    <row r="153" spans="1:10" ht="17.850000000000001" customHeight="1">
      <c r="A153" s="18"/>
      <c r="B153" s="18"/>
      <c r="C153" s="18"/>
      <c r="D153" s="18"/>
      <c r="E153" s="18"/>
      <c r="F153" s="18"/>
      <c r="G153" s="18"/>
      <c r="H153" s="45"/>
      <c r="I153" s="18"/>
    </row>
    <row r="154" spans="1:10" ht="17.100000000000001" customHeight="1">
      <c r="A154" s="1" t="s">
        <v>786</v>
      </c>
      <c r="B154" s="18"/>
      <c r="C154" s="18"/>
      <c r="D154" s="18"/>
      <c r="E154" s="18"/>
      <c r="F154" s="18"/>
    </row>
    <row r="155" spans="1:10" ht="17.100000000000001" customHeight="1">
      <c r="A155" s="248" t="s">
        <v>787</v>
      </c>
      <c r="B155" s="319" t="s">
        <v>94</v>
      </c>
      <c r="C155" s="320" t="s">
        <v>95</v>
      </c>
      <c r="D155" s="320" t="s">
        <v>96</v>
      </c>
      <c r="E155" s="320" t="s">
        <v>97</v>
      </c>
      <c r="F155" s="320" t="s">
        <v>98</v>
      </c>
      <c r="G155" s="320" t="s">
        <v>99</v>
      </c>
      <c r="H155" s="251" t="s">
        <v>100</v>
      </c>
      <c r="I155" s="252" t="s">
        <v>147</v>
      </c>
      <c r="J155" s="321" t="s">
        <v>101</v>
      </c>
    </row>
    <row r="156" spans="1:10" ht="17.100000000000001" customHeight="1">
      <c r="A156" s="405" t="s">
        <v>0</v>
      </c>
      <c r="B156" s="403" t="s">
        <v>904</v>
      </c>
      <c r="C156" s="403" t="s">
        <v>904</v>
      </c>
      <c r="D156" s="403" t="s">
        <v>904</v>
      </c>
      <c r="E156" s="403" t="s">
        <v>904</v>
      </c>
      <c r="F156" s="403" t="s">
        <v>905</v>
      </c>
      <c r="G156" s="398"/>
      <c r="H156" s="398"/>
      <c r="I156" s="406"/>
      <c r="J156" s="408"/>
    </row>
    <row r="157" spans="1:10" ht="17.100000000000001" customHeight="1">
      <c r="A157" s="3969" t="s">
        <v>648</v>
      </c>
      <c r="B157" s="3888">
        <v>7.75</v>
      </c>
      <c r="C157" s="3888">
        <v>7.75</v>
      </c>
      <c r="D157" s="3888">
        <v>7.75</v>
      </c>
      <c r="E157" s="3888">
        <v>7.75</v>
      </c>
      <c r="F157" s="3888">
        <v>6</v>
      </c>
      <c r="G157" s="3907"/>
      <c r="H157" s="3907"/>
      <c r="I157" s="3888">
        <f>SUM(B157:H157)</f>
        <v>37</v>
      </c>
      <c r="J157" s="3970"/>
    </row>
    <row r="158" spans="1:10" ht="17.100000000000001" customHeight="1">
      <c r="A158" s="3985"/>
      <c r="B158" s="3980" t="s">
        <v>906</v>
      </c>
      <c r="C158" s="3980" t="s">
        <v>906</v>
      </c>
      <c r="D158" s="3980" t="s">
        <v>906</v>
      </c>
      <c r="E158" s="3980" t="s">
        <v>906</v>
      </c>
      <c r="F158" s="3980" t="s">
        <v>907</v>
      </c>
      <c r="G158" s="3953"/>
      <c r="H158" s="3953"/>
      <c r="I158" s="3891"/>
      <c r="J158" s="3954"/>
    </row>
    <row r="159" spans="1:10" ht="17.100000000000001" customHeight="1">
      <c r="A159" s="396" t="s">
        <v>675</v>
      </c>
      <c r="B159" s="403" t="s">
        <v>94</v>
      </c>
      <c r="C159" s="398" t="s">
        <v>95</v>
      </c>
      <c r="D159" s="398" t="s">
        <v>96</v>
      </c>
      <c r="E159" s="398" t="s">
        <v>97</v>
      </c>
      <c r="F159" s="398" t="s">
        <v>98</v>
      </c>
      <c r="G159" s="398" t="s">
        <v>99</v>
      </c>
      <c r="H159" s="398" t="s">
        <v>100</v>
      </c>
      <c r="I159" s="400" t="s">
        <v>147</v>
      </c>
      <c r="J159" s="404" t="s">
        <v>101</v>
      </c>
    </row>
    <row r="160" spans="1:10" ht="17.100000000000001" customHeight="1">
      <c r="A160" s="3969" t="s">
        <v>0</v>
      </c>
      <c r="B160" s="3986" t="s">
        <v>908</v>
      </c>
      <c r="C160" s="3986" t="s">
        <v>908</v>
      </c>
      <c r="D160" s="3986" t="s">
        <v>908</v>
      </c>
      <c r="E160" s="3986" t="s">
        <v>908</v>
      </c>
      <c r="F160" s="3986" t="s">
        <v>909</v>
      </c>
      <c r="G160" s="3907"/>
      <c r="H160" s="3907"/>
      <c r="I160" s="3888"/>
      <c r="J160" s="3970"/>
    </row>
    <row r="161" spans="1:10" ht="17.100000000000001" customHeight="1">
      <c r="A161" s="3888" t="s">
        <v>794</v>
      </c>
      <c r="B161" s="3986" t="s">
        <v>870</v>
      </c>
      <c r="C161" s="3986" t="s">
        <v>870</v>
      </c>
      <c r="D161" s="3986" t="s">
        <v>870</v>
      </c>
      <c r="E161" s="3986" t="s">
        <v>870</v>
      </c>
      <c r="F161" s="3986" t="s">
        <v>871</v>
      </c>
      <c r="G161" s="3907"/>
      <c r="H161" s="3907"/>
      <c r="I161" s="3888"/>
      <c r="J161" s="3970"/>
    </row>
    <row r="162" spans="1:10" ht="17.100000000000001" customHeight="1">
      <c r="A162" s="758"/>
      <c r="B162" s="758">
        <v>7.75</v>
      </c>
      <c r="C162" s="758">
        <v>7.75</v>
      </c>
      <c r="D162" s="758">
        <v>7.75</v>
      </c>
      <c r="E162" s="758">
        <v>7.75</v>
      </c>
      <c r="F162" s="758">
        <v>6</v>
      </c>
      <c r="G162" s="760"/>
      <c r="H162" s="36"/>
      <c r="I162" s="761">
        <f>SUM(B162:H162)</f>
        <v>37</v>
      </c>
      <c r="J162" s="757"/>
    </row>
    <row r="163" spans="1:10" ht="17.100000000000001" customHeight="1">
      <c r="A163" s="291" t="s">
        <v>563</v>
      </c>
      <c r="B163" s="292">
        <f>SUM(B157,B162)</f>
        <v>15.5</v>
      </c>
      <c r="C163" s="292">
        <f>SUM(C157,C162)</f>
        <v>15.5</v>
      </c>
      <c r="D163" s="292">
        <f>SUM(D157,D162)</f>
        <v>15.5</v>
      </c>
      <c r="E163" s="292">
        <f>SUM(E157,E162)</f>
        <v>15.5</v>
      </c>
      <c r="F163" s="292">
        <f>SUM(F157,F162)</f>
        <v>12</v>
      </c>
      <c r="G163" s="257"/>
      <c r="H163" s="293"/>
      <c r="I163" s="294">
        <f>SUM(B163:H163)</f>
        <v>74</v>
      </c>
      <c r="J163" s="295"/>
    </row>
    <row r="164" spans="1:10" ht="17.100000000000001" customHeight="1">
      <c r="A164" s="59"/>
      <c r="B164" s="18"/>
      <c r="C164" s="18"/>
      <c r="D164" s="18"/>
      <c r="E164" s="18"/>
      <c r="F164" s="37"/>
      <c r="G164" s="3909" t="s">
        <v>679</v>
      </c>
      <c r="H164" s="3909" t="s">
        <v>680</v>
      </c>
      <c r="I164" s="3909" t="s">
        <v>681</v>
      </c>
      <c r="J164" s="19"/>
    </row>
    <row r="165" spans="1:10" ht="17.100000000000001" customHeight="1">
      <c r="A165" s="59"/>
      <c r="B165" s="18"/>
      <c r="C165" s="18"/>
      <c r="D165" s="18"/>
      <c r="E165" s="18"/>
      <c r="F165" s="37"/>
      <c r="G165" s="3888">
        <f>SUM(I163)</f>
        <v>74</v>
      </c>
      <c r="H165" s="3910">
        <f>SUM(G165*13/3)</f>
        <v>320.66666666666669</v>
      </c>
      <c r="I165" s="3888">
        <f>SUM(H165*12)</f>
        <v>3848</v>
      </c>
      <c r="J165" s="19"/>
    </row>
    <row r="166" spans="1:10" ht="17.100000000000001" customHeight="1">
      <c r="A166" s="1" t="s">
        <v>795</v>
      </c>
      <c r="B166" s="18"/>
      <c r="C166" s="18"/>
      <c r="D166" s="18"/>
      <c r="E166" s="18"/>
      <c r="F166" s="18"/>
    </row>
    <row r="167" spans="1:10" ht="17.100000000000001" customHeight="1">
      <c r="A167" s="396" t="s">
        <v>796</v>
      </c>
      <c r="B167" s="403" t="s">
        <v>94</v>
      </c>
      <c r="C167" s="398" t="s">
        <v>95</v>
      </c>
      <c r="D167" s="398" t="s">
        <v>96</v>
      </c>
      <c r="E167" s="398" t="s">
        <v>97</v>
      </c>
      <c r="F167" s="398" t="s">
        <v>98</v>
      </c>
      <c r="G167" s="398" t="s">
        <v>99</v>
      </c>
      <c r="H167" s="398" t="s">
        <v>100</v>
      </c>
      <c r="I167" s="400" t="s">
        <v>147</v>
      </c>
      <c r="J167" s="404" t="s">
        <v>101</v>
      </c>
    </row>
    <row r="168" spans="1:10" ht="17.100000000000001" customHeight="1">
      <c r="A168" s="3969" t="s">
        <v>0</v>
      </c>
      <c r="B168" s="3888" t="s">
        <v>797</v>
      </c>
      <c r="C168" s="3888" t="s">
        <v>797</v>
      </c>
      <c r="D168" s="3888" t="s">
        <v>797</v>
      </c>
      <c r="E168" s="3888" t="s">
        <v>797</v>
      </c>
      <c r="F168" s="3888" t="s">
        <v>798</v>
      </c>
      <c r="G168" s="3907"/>
      <c r="H168" s="3907"/>
      <c r="I168" s="3888"/>
      <c r="J168" s="3970"/>
    </row>
    <row r="169" spans="1:10" ht="17.100000000000001" customHeight="1">
      <c r="A169" s="3969" t="s">
        <v>650</v>
      </c>
      <c r="B169" s="3888">
        <v>8</v>
      </c>
      <c r="C169" s="3888">
        <v>8</v>
      </c>
      <c r="D169" s="3888">
        <v>8</v>
      </c>
      <c r="E169" s="3888">
        <v>8</v>
      </c>
      <c r="F169" s="3888">
        <v>5</v>
      </c>
      <c r="G169" s="3907"/>
      <c r="H169" s="3907"/>
      <c r="I169" s="3888">
        <f>SUM(B169:H169)</f>
        <v>37</v>
      </c>
      <c r="J169" s="3970"/>
    </row>
    <row r="170" spans="1:10" ht="17.100000000000001" customHeight="1">
      <c r="A170" s="3875"/>
      <c r="B170" s="3966" t="s">
        <v>910</v>
      </c>
      <c r="C170" s="3966" t="s">
        <v>910</v>
      </c>
      <c r="D170" s="3966" t="s">
        <v>910</v>
      </c>
      <c r="E170" s="3966" t="s">
        <v>910</v>
      </c>
      <c r="F170" s="3966" t="s">
        <v>911</v>
      </c>
      <c r="G170" s="3967"/>
      <c r="H170" s="3967"/>
      <c r="I170" s="3876"/>
      <c r="J170" s="3897"/>
    </row>
    <row r="171" spans="1:10" ht="17.100000000000001" customHeight="1">
      <c r="A171" s="59"/>
      <c r="B171" s="18"/>
      <c r="C171" s="18"/>
      <c r="D171" s="18"/>
      <c r="E171" s="18"/>
      <c r="F171" s="37"/>
      <c r="G171" s="43" t="s">
        <v>679</v>
      </c>
      <c r="H171" s="43" t="s">
        <v>680</v>
      </c>
      <c r="I171" s="43" t="s">
        <v>681</v>
      </c>
      <c r="J171" s="19"/>
    </row>
    <row r="172" spans="1:10" ht="15.75" customHeight="1">
      <c r="A172" s="59"/>
      <c r="B172" s="18"/>
      <c r="C172" s="18"/>
      <c r="D172" s="18"/>
      <c r="E172" s="18"/>
      <c r="F172" s="37"/>
      <c r="G172" s="3888">
        <f>I169</f>
        <v>37</v>
      </c>
      <c r="H172" s="3910">
        <f>SUM(G172*13/3)</f>
        <v>160.33333333333334</v>
      </c>
      <c r="I172" s="3888">
        <f>SUM(H172*12)</f>
        <v>1924</v>
      </c>
      <c r="J172" s="19"/>
    </row>
    <row r="173" spans="1:10" ht="15.75" customHeight="1">
      <c r="A173" s="59"/>
      <c r="B173" s="18"/>
      <c r="C173" s="18"/>
      <c r="D173" s="18"/>
      <c r="E173" s="18"/>
      <c r="F173" s="37"/>
      <c r="G173" s="18"/>
      <c r="H173" s="45"/>
      <c r="I173" s="18"/>
      <c r="J173" s="19"/>
    </row>
    <row r="174" spans="1:10" ht="15.75" customHeight="1">
      <c r="A174" s="59"/>
      <c r="B174" s="18"/>
      <c r="C174" s="18"/>
      <c r="D174" s="18"/>
      <c r="E174" s="18"/>
      <c r="F174" s="37"/>
      <c r="G174" s="18"/>
      <c r="H174" s="45"/>
      <c r="I174" s="18"/>
      <c r="J174" s="19"/>
    </row>
    <row r="175" spans="1:10" ht="15.75" customHeight="1">
      <c r="A175" s="59"/>
      <c r="B175" s="18"/>
      <c r="C175" s="18"/>
      <c r="D175" s="18"/>
      <c r="E175" s="18"/>
      <c r="F175" s="37"/>
      <c r="G175" s="18"/>
      <c r="H175" s="45"/>
      <c r="I175" s="18"/>
      <c r="J175" s="19"/>
    </row>
    <row r="176" spans="1:10" ht="15.75" customHeight="1">
      <c r="A176" s="59"/>
      <c r="B176" s="18"/>
      <c r="C176" s="18"/>
      <c r="D176" s="18"/>
      <c r="E176" s="18"/>
      <c r="F176" s="37"/>
      <c r="G176" s="18"/>
      <c r="H176" s="45"/>
      <c r="I176" s="18"/>
      <c r="J176" s="19"/>
    </row>
    <row r="177" spans="1:10" ht="15.75" customHeight="1">
      <c r="A177" s="59"/>
      <c r="B177" s="18"/>
      <c r="C177" s="18"/>
      <c r="D177" s="18"/>
      <c r="E177" s="18"/>
      <c r="F177" s="37"/>
      <c r="G177" s="18"/>
      <c r="H177" s="45"/>
      <c r="I177" s="18"/>
      <c r="J177" s="19"/>
    </row>
    <row r="178" spans="1:10" ht="15.75" customHeight="1">
      <c r="A178" s="59"/>
      <c r="B178" s="18"/>
      <c r="C178" s="18"/>
      <c r="D178" s="18"/>
      <c r="E178" s="18"/>
      <c r="F178" s="37"/>
      <c r="G178" s="18"/>
      <c r="H178" s="45"/>
      <c r="I178" s="18"/>
      <c r="J178" s="19"/>
    </row>
    <row r="179" spans="1:10" ht="15.75" customHeight="1">
      <c r="A179" s="59"/>
      <c r="B179" s="18"/>
      <c r="C179" s="18"/>
      <c r="D179" s="18"/>
      <c r="E179" s="18"/>
      <c r="F179" s="37"/>
      <c r="G179" s="18"/>
      <c r="H179" s="45"/>
      <c r="I179" s="18"/>
      <c r="J179" s="19"/>
    </row>
    <row r="180" spans="1:10" ht="17.100000000000001" customHeight="1">
      <c r="A180" s="18"/>
      <c r="B180" s="18"/>
      <c r="C180" s="18"/>
      <c r="D180" s="18"/>
      <c r="E180" s="18"/>
      <c r="F180" s="18"/>
      <c r="G180" s="18"/>
      <c r="H180" s="45"/>
      <c r="I180" s="18"/>
      <c r="J180" s="19"/>
    </row>
    <row r="181" spans="1:10" ht="17.100000000000001" customHeight="1">
      <c r="A181" s="1" t="s">
        <v>912</v>
      </c>
      <c r="B181" s="18"/>
      <c r="C181" s="18"/>
      <c r="D181" s="18"/>
      <c r="E181" s="18"/>
      <c r="F181" s="18"/>
    </row>
    <row r="182" spans="1:10" ht="17.100000000000001" customHeight="1">
      <c r="A182" s="248" t="s">
        <v>654</v>
      </c>
      <c r="B182" s="319" t="s">
        <v>94</v>
      </c>
      <c r="C182" s="320" t="s">
        <v>95</v>
      </c>
      <c r="D182" s="320" t="s">
        <v>96</v>
      </c>
      <c r="E182" s="320" t="s">
        <v>97</v>
      </c>
      <c r="F182" s="320" t="s">
        <v>98</v>
      </c>
      <c r="G182" s="320" t="s">
        <v>99</v>
      </c>
      <c r="H182" s="251" t="s">
        <v>100</v>
      </c>
      <c r="I182" s="252" t="s">
        <v>147</v>
      </c>
      <c r="J182" s="321" t="s">
        <v>101</v>
      </c>
    </row>
    <row r="183" spans="1:10" ht="17.100000000000001" customHeight="1">
      <c r="A183" s="405" t="s">
        <v>619</v>
      </c>
      <c r="B183" s="406" t="s">
        <v>803</v>
      </c>
      <c r="C183" s="406" t="s">
        <v>803</v>
      </c>
      <c r="D183" s="406" t="s">
        <v>803</v>
      </c>
      <c r="E183" s="406" t="s">
        <v>803</v>
      </c>
      <c r="F183" s="451" t="s">
        <v>804</v>
      </c>
      <c r="G183" s="398"/>
      <c r="H183" s="398"/>
      <c r="I183" s="406"/>
      <c r="J183" s="408" t="s">
        <v>0</v>
      </c>
    </row>
    <row r="184" spans="1:10" ht="17.100000000000001" customHeight="1">
      <c r="A184" s="2586"/>
      <c r="B184" s="3888">
        <v>8</v>
      </c>
      <c r="C184" s="3888">
        <v>8</v>
      </c>
      <c r="D184" s="3888">
        <v>8</v>
      </c>
      <c r="E184" s="3888">
        <v>8</v>
      </c>
      <c r="F184" s="3987">
        <v>7</v>
      </c>
      <c r="G184" s="3907"/>
      <c r="H184" s="3907"/>
      <c r="I184" s="3888">
        <f>SUM(B184:H184)</f>
        <v>39</v>
      </c>
      <c r="J184" s="3970"/>
    </row>
    <row r="185" spans="1:10" ht="17.100000000000001" customHeight="1">
      <c r="A185" s="3951"/>
      <c r="B185" s="3980" t="s">
        <v>913</v>
      </c>
      <c r="C185" s="3980" t="s">
        <v>913</v>
      </c>
      <c r="D185" s="3980" t="s">
        <v>913</v>
      </c>
      <c r="E185" s="3980" t="s">
        <v>913</v>
      </c>
      <c r="F185" s="3988" t="s">
        <v>914</v>
      </c>
      <c r="G185" s="3953"/>
      <c r="H185" s="3953"/>
      <c r="I185" s="3891"/>
      <c r="J185" s="3954"/>
    </row>
    <row r="186" spans="1:10" ht="17.100000000000001" customHeight="1">
      <c r="A186" s="405" t="s">
        <v>623</v>
      </c>
      <c r="B186" s="406" t="s">
        <v>807</v>
      </c>
      <c r="C186" s="406" t="s">
        <v>807</v>
      </c>
      <c r="D186" s="406" t="s">
        <v>807</v>
      </c>
      <c r="E186" s="406" t="s">
        <v>807</v>
      </c>
      <c r="F186" s="422" t="s">
        <v>808</v>
      </c>
      <c r="G186" s="398"/>
      <c r="H186" s="398"/>
      <c r="I186" s="406"/>
      <c r="J186" s="408"/>
    </row>
    <row r="187" spans="1:10" ht="17.100000000000001" customHeight="1">
      <c r="A187" s="2586"/>
      <c r="B187" s="3888">
        <v>6.5</v>
      </c>
      <c r="C187" s="3888">
        <v>6.5</v>
      </c>
      <c r="D187" s="3888">
        <v>6.5</v>
      </c>
      <c r="E187" s="3888">
        <v>6.5</v>
      </c>
      <c r="F187" s="3989">
        <v>6.25</v>
      </c>
      <c r="G187" s="3907"/>
      <c r="H187" s="3907"/>
      <c r="I187" s="3888">
        <f>SUM(B187:H187)</f>
        <v>32.25</v>
      </c>
      <c r="J187" s="3970"/>
    </row>
    <row r="188" spans="1:10" ht="17.100000000000001" customHeight="1">
      <c r="A188" s="3955"/>
      <c r="B188" s="3966" t="s">
        <v>915</v>
      </c>
      <c r="C188" s="3966" t="s">
        <v>915</v>
      </c>
      <c r="D188" s="3966" t="s">
        <v>915</v>
      </c>
      <c r="E188" s="3966" t="s">
        <v>915</v>
      </c>
      <c r="F188" s="3990" t="s">
        <v>916</v>
      </c>
      <c r="G188" s="3967"/>
      <c r="H188" s="3967"/>
      <c r="I188" s="3876"/>
      <c r="J188" s="3897"/>
    </row>
    <row r="189" spans="1:10" ht="17.100000000000001" customHeight="1">
      <c r="A189" s="46" t="s">
        <v>563</v>
      </c>
      <c r="B189" s="46">
        <f t="shared" ref="B189:I189" si="3">SUM(B184,B187)</f>
        <v>14.5</v>
      </c>
      <c r="C189" s="46">
        <f t="shared" si="3"/>
        <v>14.5</v>
      </c>
      <c r="D189" s="46">
        <f t="shared" si="3"/>
        <v>14.5</v>
      </c>
      <c r="E189" s="46">
        <f t="shared" si="3"/>
        <v>14.5</v>
      </c>
      <c r="F189" s="46">
        <f t="shared" si="3"/>
        <v>13.25</v>
      </c>
      <c r="G189" s="46">
        <f t="shared" si="3"/>
        <v>0</v>
      </c>
      <c r="H189" s="46">
        <f t="shared" si="3"/>
        <v>0</v>
      </c>
      <c r="I189" s="46">
        <f t="shared" si="3"/>
        <v>71.25</v>
      </c>
      <c r="J189" s="48"/>
    </row>
    <row r="190" spans="1:10" ht="17.100000000000001" customHeight="1">
      <c r="A190" s="18"/>
      <c r="B190" s="18"/>
      <c r="C190" s="18"/>
      <c r="D190" s="18"/>
      <c r="E190" s="18"/>
      <c r="F190" s="18"/>
      <c r="G190" s="3909" t="s">
        <v>679</v>
      </c>
      <c r="H190" s="3909" t="s">
        <v>680</v>
      </c>
      <c r="I190" s="3909" t="s">
        <v>681</v>
      </c>
    </row>
    <row r="191" spans="1:10" ht="17.100000000000001" customHeight="1">
      <c r="A191" s="18"/>
      <c r="B191" s="18"/>
      <c r="C191" s="18"/>
      <c r="D191" s="18"/>
      <c r="E191" s="18"/>
      <c r="F191" s="18"/>
      <c r="G191" s="3888">
        <f>I189</f>
        <v>71.25</v>
      </c>
      <c r="H191" s="3910">
        <f>SUM(G191*13/3)</f>
        <v>308.75</v>
      </c>
      <c r="I191" s="3888">
        <f>SUM(H191*12)</f>
        <v>3705</v>
      </c>
    </row>
    <row r="192" spans="1:10" ht="17.100000000000001" customHeight="1">
      <c r="A192" s="18"/>
      <c r="B192" s="18"/>
      <c r="C192" s="18"/>
      <c r="D192" s="18"/>
      <c r="E192" s="18"/>
      <c r="F192" s="18"/>
      <c r="G192" s="18"/>
      <c r="H192" s="45"/>
      <c r="I192" s="18"/>
    </row>
    <row r="193" spans="1:10" ht="18" customHeight="1">
      <c r="A193" s="1" t="s">
        <v>635</v>
      </c>
      <c r="B193" s="18"/>
      <c r="C193" s="18"/>
      <c r="D193" s="18"/>
      <c r="E193" s="18"/>
      <c r="F193" s="18"/>
    </row>
    <row r="194" spans="1:10" ht="18" customHeight="1">
      <c r="A194" s="248" t="s">
        <v>636</v>
      </c>
      <c r="B194" s="319" t="s">
        <v>94</v>
      </c>
      <c r="C194" s="320" t="s">
        <v>95</v>
      </c>
      <c r="D194" s="320" t="s">
        <v>96</v>
      </c>
      <c r="E194" s="320" t="s">
        <v>97</v>
      </c>
      <c r="F194" s="320" t="s">
        <v>98</v>
      </c>
      <c r="G194" s="320" t="s">
        <v>99</v>
      </c>
      <c r="H194" s="251" t="s">
        <v>100</v>
      </c>
      <c r="I194" s="252" t="s">
        <v>147</v>
      </c>
      <c r="J194" s="321" t="s">
        <v>101</v>
      </c>
    </row>
    <row r="195" spans="1:10" ht="18" customHeight="1">
      <c r="A195" s="405" t="s">
        <v>637</v>
      </c>
      <c r="B195" s="406" t="s">
        <v>621</v>
      </c>
      <c r="C195" s="406" t="s">
        <v>621</v>
      </c>
      <c r="D195" s="406" t="s">
        <v>621</v>
      </c>
      <c r="E195" s="406" t="s">
        <v>621</v>
      </c>
      <c r="F195" s="406" t="s">
        <v>609</v>
      </c>
      <c r="G195" s="398"/>
      <c r="H195" s="398"/>
      <c r="I195" s="406"/>
      <c r="J195" s="408"/>
    </row>
    <row r="196" spans="1:10" ht="18" customHeight="1">
      <c r="A196" s="2586"/>
      <c r="B196" s="3888">
        <v>7.5</v>
      </c>
      <c r="C196" s="3888">
        <v>7.5</v>
      </c>
      <c r="D196" s="3888">
        <v>7.5</v>
      </c>
      <c r="E196" s="3888">
        <v>7.5</v>
      </c>
      <c r="F196" s="3906">
        <v>7</v>
      </c>
      <c r="G196" s="3907"/>
      <c r="H196" s="3907"/>
      <c r="I196" s="3888">
        <f>SUM(B196:H196)</f>
        <v>37</v>
      </c>
      <c r="J196" s="3970"/>
    </row>
    <row r="197" spans="1:10" ht="18" customHeight="1">
      <c r="A197" s="3951"/>
      <c r="B197" s="3980" t="s">
        <v>917</v>
      </c>
      <c r="C197" s="3980" t="s">
        <v>917</v>
      </c>
      <c r="D197" s="3980" t="s">
        <v>917</v>
      </c>
      <c r="E197" s="3980" t="s">
        <v>917</v>
      </c>
      <c r="F197" s="3980" t="s">
        <v>918</v>
      </c>
      <c r="G197" s="3953"/>
      <c r="H197" s="3953"/>
      <c r="I197" s="3891"/>
      <c r="J197" s="3954"/>
    </row>
    <row r="198" spans="1:10" ht="18" customHeight="1">
      <c r="A198" s="405" t="s">
        <v>638</v>
      </c>
      <c r="B198" s="406" t="s">
        <v>816</v>
      </c>
      <c r="C198" s="406" t="s">
        <v>816</v>
      </c>
      <c r="D198" s="406" t="s">
        <v>816</v>
      </c>
      <c r="E198" s="406" t="s">
        <v>816</v>
      </c>
      <c r="F198" s="406" t="s">
        <v>817</v>
      </c>
      <c r="G198" s="398"/>
      <c r="H198" s="398"/>
      <c r="I198" s="406"/>
      <c r="J198" s="408"/>
    </row>
    <row r="199" spans="1:10" ht="18" customHeight="1">
      <c r="A199" s="2586"/>
      <c r="B199" s="3888">
        <v>7</v>
      </c>
      <c r="C199" s="3888">
        <v>7</v>
      </c>
      <c r="D199" s="3888">
        <v>7</v>
      </c>
      <c r="E199" s="3888">
        <v>7</v>
      </c>
      <c r="F199" s="3906">
        <v>6</v>
      </c>
      <c r="G199" s="3907"/>
      <c r="H199" s="3907"/>
      <c r="I199" s="3888">
        <f>SUM(B199:H199)</f>
        <v>34</v>
      </c>
      <c r="J199" s="3970"/>
    </row>
    <row r="200" spans="1:10" ht="18" customHeight="1">
      <c r="A200" s="3951"/>
      <c r="B200" s="3980" t="s">
        <v>919</v>
      </c>
      <c r="C200" s="3980" t="s">
        <v>919</v>
      </c>
      <c r="D200" s="3980" t="s">
        <v>919</v>
      </c>
      <c r="E200" s="3980" t="s">
        <v>919</v>
      </c>
      <c r="F200" s="3980" t="s">
        <v>920</v>
      </c>
      <c r="G200" s="3953"/>
      <c r="H200" s="3953"/>
      <c r="I200" s="3891"/>
      <c r="J200" s="3954"/>
    </row>
    <row r="201" spans="1:10" ht="18" customHeight="1">
      <c r="A201" s="405" t="s">
        <v>640</v>
      </c>
      <c r="B201" s="406" t="s">
        <v>641</v>
      </c>
      <c r="C201" s="406" t="s">
        <v>641</v>
      </c>
      <c r="D201" s="406" t="s">
        <v>641</v>
      </c>
      <c r="E201" s="406" t="s">
        <v>641</v>
      </c>
      <c r="F201" s="406" t="s">
        <v>642</v>
      </c>
      <c r="G201" s="406"/>
      <c r="H201" s="406"/>
      <c r="I201" s="406"/>
      <c r="J201" s="408"/>
    </row>
    <row r="202" spans="1:10" ht="18" customHeight="1">
      <c r="A202" s="3969"/>
      <c r="B202" s="3888" t="s">
        <v>819</v>
      </c>
      <c r="C202" s="3888" t="s">
        <v>819</v>
      </c>
      <c r="D202" s="3888" t="s">
        <v>819</v>
      </c>
      <c r="E202" s="3888" t="s">
        <v>819</v>
      </c>
      <c r="F202" s="3888" t="s">
        <v>819</v>
      </c>
      <c r="G202" s="3906"/>
      <c r="H202" s="3906"/>
      <c r="I202" s="3888">
        <f>SUM(B202:H202)</f>
        <v>0</v>
      </c>
      <c r="J202" s="3970"/>
    </row>
    <row r="203" spans="1:10" ht="18" customHeight="1">
      <c r="A203" s="3875"/>
      <c r="B203" s="3966" t="s">
        <v>921</v>
      </c>
      <c r="C203" s="3966" t="s">
        <v>921</v>
      </c>
      <c r="D203" s="3966" t="s">
        <v>921</v>
      </c>
      <c r="E203" s="3966" t="s">
        <v>921</v>
      </c>
      <c r="F203" s="3966" t="s">
        <v>922</v>
      </c>
      <c r="G203" s="3895"/>
      <c r="H203" s="3895"/>
      <c r="I203" s="3876"/>
      <c r="J203" s="3897"/>
    </row>
    <row r="204" spans="1:10" ht="18" customHeight="1">
      <c r="A204" s="46" t="s">
        <v>563</v>
      </c>
      <c r="B204" s="46">
        <f t="shared" ref="B204:I204" si="4">SUM(B196,B199,B202)</f>
        <v>14.5</v>
      </c>
      <c r="C204" s="46">
        <f t="shared" si="4"/>
        <v>14.5</v>
      </c>
      <c r="D204" s="46">
        <f t="shared" si="4"/>
        <v>14.5</v>
      </c>
      <c r="E204" s="46">
        <f t="shared" si="4"/>
        <v>14.5</v>
      </c>
      <c r="F204" s="46">
        <f t="shared" si="4"/>
        <v>13</v>
      </c>
      <c r="G204" s="46">
        <f t="shared" si="4"/>
        <v>0</v>
      </c>
      <c r="H204" s="46">
        <f t="shared" si="4"/>
        <v>0</v>
      </c>
      <c r="I204" s="63">
        <f t="shared" si="4"/>
        <v>71</v>
      </c>
      <c r="J204" s="50"/>
    </row>
    <row r="205" spans="1:10" ht="18" customHeight="1">
      <c r="A205" s="18"/>
      <c r="B205" s="18"/>
      <c r="C205" s="18"/>
      <c r="D205" s="18"/>
      <c r="E205" s="18"/>
      <c r="F205" s="37"/>
      <c r="G205" s="3909" t="s">
        <v>679</v>
      </c>
      <c r="H205" s="3909" t="s">
        <v>680</v>
      </c>
      <c r="I205" s="3909" t="s">
        <v>681</v>
      </c>
      <c r="J205" s="19"/>
    </row>
    <row r="206" spans="1:10" ht="18" customHeight="1">
      <c r="A206" s="18"/>
      <c r="B206" s="18"/>
      <c r="C206" s="18"/>
      <c r="D206" s="18"/>
      <c r="E206" s="18"/>
      <c r="F206" s="18"/>
      <c r="G206" s="3888">
        <f>I204</f>
        <v>71</v>
      </c>
      <c r="H206" s="3910">
        <f>SUM(G206*13/3)</f>
        <v>307.66666666666669</v>
      </c>
      <c r="I206" s="3888">
        <f>SUM(H206*12)</f>
        <v>3692</v>
      </c>
      <c r="J206" s="19"/>
    </row>
    <row r="207" spans="1:10" ht="18" customHeight="1">
      <c r="A207" s="18"/>
      <c r="B207" s="18"/>
      <c r="C207" s="18"/>
      <c r="D207" s="18"/>
      <c r="E207" s="18"/>
      <c r="F207" s="18"/>
      <c r="G207" s="18"/>
      <c r="H207" s="45"/>
      <c r="I207" s="18"/>
      <c r="J207" s="19"/>
    </row>
    <row r="208" spans="1:10" ht="18" customHeight="1">
      <c r="A208" s="18"/>
      <c r="B208" s="18"/>
      <c r="C208" s="18"/>
      <c r="D208" s="18"/>
      <c r="E208" s="18"/>
      <c r="F208" s="18"/>
      <c r="G208" s="18"/>
      <c r="H208" s="45"/>
      <c r="I208" s="18"/>
      <c r="J208" s="19"/>
    </row>
    <row r="209" spans="1:10" ht="18" customHeight="1">
      <c r="A209" s="18"/>
      <c r="B209" s="18"/>
      <c r="C209" s="18"/>
      <c r="D209" s="18"/>
      <c r="E209" s="18"/>
      <c r="F209" s="18"/>
      <c r="G209" s="18"/>
      <c r="H209" s="45"/>
      <c r="I209" s="18"/>
      <c r="J209" s="19"/>
    </row>
    <row r="210" spans="1:10" ht="18" customHeight="1">
      <c r="A210" s="18"/>
      <c r="B210" s="18"/>
      <c r="C210" s="18"/>
      <c r="D210" s="18"/>
      <c r="E210" s="18"/>
      <c r="F210" s="18"/>
      <c r="G210" s="18"/>
      <c r="H210" s="45"/>
      <c r="I210" s="18"/>
      <c r="J210" s="19"/>
    </row>
    <row r="211" spans="1:10" ht="18" customHeight="1">
      <c r="A211" s="18"/>
      <c r="B211" s="18"/>
      <c r="C211" s="18"/>
      <c r="D211" s="18"/>
      <c r="E211" s="18"/>
      <c r="F211" s="18"/>
      <c r="G211" s="18"/>
      <c r="H211" s="45"/>
      <c r="I211" s="18"/>
      <c r="J211" s="19"/>
    </row>
    <row r="212" spans="1:10" ht="18" customHeight="1">
      <c r="A212" s="18"/>
      <c r="B212" s="18"/>
      <c r="C212" s="18"/>
      <c r="D212" s="18"/>
      <c r="E212" s="18"/>
      <c r="F212" s="18"/>
      <c r="G212" s="18"/>
      <c r="H212" s="45"/>
      <c r="I212" s="18"/>
      <c r="J212" s="19"/>
    </row>
    <row r="213" spans="1:10" ht="18" customHeight="1">
      <c r="A213" s="18"/>
      <c r="B213" s="18"/>
      <c r="C213" s="18"/>
      <c r="D213" s="18"/>
      <c r="E213" s="18"/>
      <c r="F213" s="18"/>
      <c r="G213" s="18"/>
      <c r="H213" s="45"/>
      <c r="I213" s="18"/>
      <c r="J213" s="19"/>
    </row>
    <row r="214" spans="1:10" ht="18" customHeight="1">
      <c r="A214" s="18"/>
      <c r="B214" s="18"/>
      <c r="C214" s="18"/>
      <c r="D214" s="18"/>
      <c r="E214" s="18"/>
      <c r="F214" s="18"/>
      <c r="G214" s="18"/>
      <c r="H214" s="45"/>
      <c r="I214" s="18"/>
      <c r="J214" s="19"/>
    </row>
    <row r="215" spans="1:10" ht="18" customHeight="1">
      <c r="A215" s="18"/>
      <c r="B215" s="18"/>
      <c r="C215" s="18"/>
      <c r="D215" s="18"/>
      <c r="E215" s="18"/>
      <c r="F215" s="18"/>
      <c r="G215" s="18"/>
      <c r="H215" s="45"/>
      <c r="I215" s="18"/>
      <c r="J215" s="19"/>
    </row>
    <row r="216" spans="1:10" ht="18" customHeight="1">
      <c r="A216" s="18"/>
      <c r="B216" s="18"/>
      <c r="C216" s="18"/>
      <c r="D216" s="18"/>
      <c r="E216" s="18"/>
      <c r="F216" s="18"/>
      <c r="G216" s="18"/>
      <c r="H216" s="45"/>
      <c r="I216" s="18"/>
      <c r="J216" s="19"/>
    </row>
    <row r="217" spans="1:10" ht="18" customHeight="1">
      <c r="A217" s="18"/>
      <c r="B217" s="18"/>
      <c r="C217" s="18"/>
      <c r="D217" s="18"/>
      <c r="E217" s="18"/>
      <c r="F217" s="18"/>
      <c r="G217" s="18"/>
      <c r="H217" s="45"/>
      <c r="I217" s="18"/>
      <c r="J217" s="19"/>
    </row>
    <row r="218" spans="1:10" ht="18" customHeight="1">
      <c r="A218" s="64" t="s">
        <v>823</v>
      </c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>
      <c r="A219" s="248" t="s">
        <v>657</v>
      </c>
      <c r="B219" s="319" t="s">
        <v>94</v>
      </c>
      <c r="C219" s="320" t="s">
        <v>95</v>
      </c>
      <c r="D219" s="320" t="s">
        <v>96</v>
      </c>
      <c r="E219" s="320" t="s">
        <v>97</v>
      </c>
      <c r="F219" s="320" t="s">
        <v>98</v>
      </c>
      <c r="G219" s="320" t="s">
        <v>99</v>
      </c>
      <c r="H219" s="251" t="s">
        <v>100</v>
      </c>
      <c r="I219" s="252" t="s">
        <v>147</v>
      </c>
      <c r="J219" s="321" t="s">
        <v>101</v>
      </c>
    </row>
    <row r="220" spans="1:10" ht="18" customHeight="1">
      <c r="A220" s="405" t="s">
        <v>0</v>
      </c>
      <c r="B220" s="406" t="s">
        <v>268</v>
      </c>
      <c r="C220" s="406" t="s">
        <v>268</v>
      </c>
      <c r="D220" s="406" t="s">
        <v>268</v>
      </c>
      <c r="E220" s="406" t="s">
        <v>268</v>
      </c>
      <c r="F220" s="407" t="s">
        <v>269</v>
      </c>
      <c r="G220" s="403"/>
      <c r="H220" s="403" t="s">
        <v>0</v>
      </c>
      <c r="I220" s="400"/>
      <c r="J220" s="408" t="s">
        <v>0</v>
      </c>
    </row>
    <row r="221" spans="1:10" ht="18" customHeight="1">
      <c r="A221" s="3991">
        <v>1</v>
      </c>
      <c r="B221" s="3888">
        <v>7.75</v>
      </c>
      <c r="C221" s="3888">
        <v>7.75</v>
      </c>
      <c r="D221" s="3888">
        <v>7.75</v>
      </c>
      <c r="E221" s="3888">
        <v>7.75</v>
      </c>
      <c r="F221" s="3906">
        <v>6</v>
      </c>
      <c r="G221" s="3888"/>
      <c r="H221" s="3888" t="s">
        <v>0</v>
      </c>
      <c r="I221" s="3888">
        <f>SUM(B221:H221)</f>
        <v>37</v>
      </c>
      <c r="J221" s="3970"/>
    </row>
    <row r="222" spans="1:10" ht="18" customHeight="1">
      <c r="A222" s="3992"/>
      <c r="B222" s="3980" t="s">
        <v>923</v>
      </c>
      <c r="C222" s="3980" t="s">
        <v>923</v>
      </c>
      <c r="D222" s="3980" t="s">
        <v>923</v>
      </c>
      <c r="E222" s="3980" t="s">
        <v>923</v>
      </c>
      <c r="F222" s="3980" t="s">
        <v>924</v>
      </c>
      <c r="G222" s="3980"/>
      <c r="H222" s="3980" t="s">
        <v>0</v>
      </c>
      <c r="I222" s="3891"/>
      <c r="J222" s="3954"/>
    </row>
    <row r="223" spans="1:10" ht="18" customHeight="1">
      <c r="A223" s="405" t="s">
        <v>0</v>
      </c>
      <c r="B223" s="406" t="s">
        <v>268</v>
      </c>
      <c r="C223" s="406" t="s">
        <v>268</v>
      </c>
      <c r="D223" s="406" t="s">
        <v>268</v>
      </c>
      <c r="E223" s="406" t="s">
        <v>268</v>
      </c>
      <c r="F223" s="407" t="s">
        <v>269</v>
      </c>
      <c r="G223" s="406"/>
      <c r="H223" s="407"/>
      <c r="I223" s="400"/>
      <c r="J223" s="408"/>
    </row>
    <row r="224" spans="1:10" ht="18" customHeight="1">
      <c r="A224" s="3991">
        <v>2</v>
      </c>
      <c r="B224" s="3888">
        <v>7.75</v>
      </c>
      <c r="C224" s="3888">
        <v>7.75</v>
      </c>
      <c r="D224" s="3888">
        <v>7.75</v>
      </c>
      <c r="E224" s="3888">
        <v>7.75</v>
      </c>
      <c r="F224" s="3906">
        <v>6</v>
      </c>
      <c r="G224" s="3906"/>
      <c r="H224" s="3906"/>
      <c r="I224" s="3888">
        <f>SUM(B224:H224)</f>
        <v>37</v>
      </c>
      <c r="J224" s="3970"/>
    </row>
    <row r="225" spans="1:10" ht="18" customHeight="1">
      <c r="A225" s="3992"/>
      <c r="B225" s="3980" t="s">
        <v>923</v>
      </c>
      <c r="C225" s="3980" t="s">
        <v>923</v>
      </c>
      <c r="D225" s="3980" t="s">
        <v>923</v>
      </c>
      <c r="E225" s="3980" t="s">
        <v>923</v>
      </c>
      <c r="F225" s="3980" t="s">
        <v>924</v>
      </c>
      <c r="G225" s="3953"/>
      <c r="H225" s="3952"/>
      <c r="I225" s="3891"/>
      <c r="J225" s="3954"/>
    </row>
    <row r="226" spans="1:10" ht="18" customHeight="1">
      <c r="A226" s="405"/>
      <c r="B226" s="406" t="s">
        <v>268</v>
      </c>
      <c r="C226" s="406" t="s">
        <v>268</v>
      </c>
      <c r="D226" s="406" t="s">
        <v>268</v>
      </c>
      <c r="E226" s="406" t="s">
        <v>268</v>
      </c>
      <c r="F226" s="407" t="s">
        <v>269</v>
      </c>
      <c r="G226" s="406"/>
      <c r="H226" s="407"/>
      <c r="I226" s="400"/>
      <c r="J226" s="408"/>
    </row>
    <row r="227" spans="1:10" ht="18" customHeight="1">
      <c r="A227" s="3991">
        <v>3</v>
      </c>
      <c r="B227" s="3888">
        <v>7.75</v>
      </c>
      <c r="C227" s="3888">
        <v>7.75</v>
      </c>
      <c r="D227" s="3888">
        <v>7.75</v>
      </c>
      <c r="E227" s="3888">
        <v>7.75</v>
      </c>
      <c r="F227" s="3906">
        <v>6</v>
      </c>
      <c r="G227" s="3888"/>
      <c r="H227" s="3906"/>
      <c r="I227" s="3888">
        <f>SUM(B227:H227)</f>
        <v>37</v>
      </c>
      <c r="J227" s="3970"/>
    </row>
    <row r="228" spans="1:10" ht="18" customHeight="1">
      <c r="A228" s="3992"/>
      <c r="B228" s="3980" t="s">
        <v>923</v>
      </c>
      <c r="C228" s="3980" t="s">
        <v>923</v>
      </c>
      <c r="D228" s="3980" t="s">
        <v>923</v>
      </c>
      <c r="E228" s="3980" t="s">
        <v>923</v>
      </c>
      <c r="F228" s="3980" t="s">
        <v>924</v>
      </c>
      <c r="G228" s="3891"/>
      <c r="H228" s="3952"/>
      <c r="I228" s="3891"/>
      <c r="J228" s="3954"/>
    </row>
    <row r="229" spans="1:10" ht="18" customHeight="1">
      <c r="A229" s="445"/>
      <c r="B229" s="406" t="s">
        <v>268</v>
      </c>
      <c r="C229" s="406" t="s">
        <v>268</v>
      </c>
      <c r="D229" s="406" t="s">
        <v>268</v>
      </c>
      <c r="E229" s="406" t="s">
        <v>268</v>
      </c>
      <c r="F229" s="407" t="s">
        <v>269</v>
      </c>
      <c r="G229" s="407"/>
      <c r="H229" s="407"/>
      <c r="I229" s="400"/>
      <c r="J229" s="408"/>
    </row>
    <row r="230" spans="1:10" ht="18" customHeight="1">
      <c r="A230" s="3991">
        <v>4</v>
      </c>
      <c r="B230" s="3888">
        <v>7.75</v>
      </c>
      <c r="C230" s="3888">
        <v>7.75</v>
      </c>
      <c r="D230" s="3888">
        <v>7.75</v>
      </c>
      <c r="E230" s="3888">
        <v>7.75</v>
      </c>
      <c r="F230" s="3906">
        <v>6</v>
      </c>
      <c r="G230" s="3906"/>
      <c r="H230" s="3906"/>
      <c r="I230" s="3888">
        <f>SUM(B230:H230)</f>
        <v>37</v>
      </c>
      <c r="J230" s="3970"/>
    </row>
    <row r="231" spans="1:10" ht="18" customHeight="1">
      <c r="A231" s="3992"/>
      <c r="B231" s="3980" t="s">
        <v>923</v>
      </c>
      <c r="C231" s="3980" t="s">
        <v>923</v>
      </c>
      <c r="D231" s="3980" t="s">
        <v>923</v>
      </c>
      <c r="E231" s="3980" t="s">
        <v>923</v>
      </c>
      <c r="F231" s="3980" t="s">
        <v>924</v>
      </c>
      <c r="G231" s="3952"/>
      <c r="H231" s="3952"/>
      <c r="I231" s="3891"/>
      <c r="J231" s="3954"/>
    </row>
    <row r="232" spans="1:10" ht="18" customHeight="1">
      <c r="A232" s="405"/>
      <c r="B232" s="406" t="s">
        <v>268</v>
      </c>
      <c r="C232" s="406" t="s">
        <v>268</v>
      </c>
      <c r="D232" s="406" t="s">
        <v>268</v>
      </c>
      <c r="E232" s="406" t="s">
        <v>268</v>
      </c>
      <c r="F232" s="407" t="s">
        <v>269</v>
      </c>
      <c r="G232" s="407"/>
      <c r="H232" s="407"/>
      <c r="I232" s="400"/>
      <c r="J232" s="408"/>
    </row>
    <row r="233" spans="1:10" ht="18" customHeight="1">
      <c r="A233" s="3991">
        <v>5</v>
      </c>
      <c r="B233" s="3888">
        <v>7.75</v>
      </c>
      <c r="C233" s="3888">
        <v>7.75</v>
      </c>
      <c r="D233" s="3888">
        <v>7.75</v>
      </c>
      <c r="E233" s="3888">
        <v>7.75</v>
      </c>
      <c r="F233" s="3906">
        <v>6</v>
      </c>
      <c r="G233" s="3906"/>
      <c r="H233" s="3906"/>
      <c r="I233" s="3888">
        <f>SUM(B233:H233)</f>
        <v>37</v>
      </c>
      <c r="J233" s="3970"/>
    </row>
    <row r="234" spans="1:10" ht="18" customHeight="1">
      <c r="A234" s="3956"/>
      <c r="B234" s="3966" t="s">
        <v>923</v>
      </c>
      <c r="C234" s="3966" t="s">
        <v>923</v>
      </c>
      <c r="D234" s="3966" t="s">
        <v>923</v>
      </c>
      <c r="E234" s="3966" t="s">
        <v>923</v>
      </c>
      <c r="F234" s="3966" t="s">
        <v>924</v>
      </c>
      <c r="G234" s="3895"/>
      <c r="H234" s="3895"/>
      <c r="I234" s="3876"/>
      <c r="J234" s="3897"/>
    </row>
    <row r="235" spans="1:10" ht="18" customHeight="1">
      <c r="A235" s="405"/>
      <c r="B235" s="406" t="s">
        <v>268</v>
      </c>
      <c r="C235" s="406" t="s">
        <v>268</v>
      </c>
      <c r="D235" s="406" t="s">
        <v>268</v>
      </c>
      <c r="E235" s="406" t="s">
        <v>268</v>
      </c>
      <c r="F235" s="407" t="s">
        <v>269</v>
      </c>
      <c r="G235" s="407"/>
      <c r="H235" s="407"/>
      <c r="I235" s="400"/>
      <c r="J235" s="408"/>
    </row>
    <row r="236" spans="1:10" ht="18" customHeight="1">
      <c r="A236" s="3991">
        <v>6</v>
      </c>
      <c r="B236" s="3888">
        <v>7.75</v>
      </c>
      <c r="C236" s="3888">
        <v>7.75</v>
      </c>
      <c r="D236" s="3888">
        <v>7.75</v>
      </c>
      <c r="E236" s="3888">
        <v>7.75</v>
      </c>
      <c r="F236" s="3906">
        <v>6</v>
      </c>
      <c r="G236" s="3906"/>
      <c r="H236" s="3906"/>
      <c r="I236" s="3888">
        <f>SUM(B236:H236)</f>
        <v>37</v>
      </c>
      <c r="J236" s="3970"/>
    </row>
    <row r="237" spans="1:10" ht="18" customHeight="1">
      <c r="A237" s="3956"/>
      <c r="B237" s="3966" t="s">
        <v>923</v>
      </c>
      <c r="C237" s="3966" t="s">
        <v>923</v>
      </c>
      <c r="D237" s="3966" t="s">
        <v>923</v>
      </c>
      <c r="E237" s="3966" t="s">
        <v>923</v>
      </c>
      <c r="F237" s="3966" t="s">
        <v>924</v>
      </c>
      <c r="G237" s="3895"/>
      <c r="H237" s="3895"/>
      <c r="I237" s="3876"/>
      <c r="J237" s="3897"/>
    </row>
    <row r="238" spans="1:10" ht="18" customHeight="1">
      <c r="A238" s="46" t="s">
        <v>563</v>
      </c>
      <c r="B238" s="46">
        <f t="shared" ref="B238:H238" si="5">SUM(B221,B224,B227,B230,B233,B236)</f>
        <v>46.5</v>
      </c>
      <c r="C238" s="46">
        <f t="shared" si="5"/>
        <v>46.5</v>
      </c>
      <c r="D238" s="46">
        <f t="shared" si="5"/>
        <v>46.5</v>
      </c>
      <c r="E238" s="46">
        <f t="shared" si="5"/>
        <v>46.5</v>
      </c>
      <c r="F238" s="46">
        <f t="shared" si="5"/>
        <v>36</v>
      </c>
      <c r="G238" s="46">
        <f t="shared" si="5"/>
        <v>0</v>
      </c>
      <c r="H238" s="46">
        <f t="shared" si="5"/>
        <v>0</v>
      </c>
      <c r="I238" s="63">
        <f>SUM(I221,I224,I227,I230,I236)</f>
        <v>185</v>
      </c>
      <c r="J238" s="50"/>
    </row>
    <row r="239" spans="1:10" ht="18" customHeight="1">
      <c r="A239" s="64"/>
      <c r="B239" s="18"/>
      <c r="C239" s="18"/>
      <c r="D239" s="18"/>
      <c r="E239" s="18"/>
      <c r="F239" s="37"/>
      <c r="G239" s="3909" t="s">
        <v>679</v>
      </c>
      <c r="H239" s="3909" t="s">
        <v>680</v>
      </c>
      <c r="I239" s="3909" t="s">
        <v>681</v>
      </c>
      <c r="J239" s="19"/>
    </row>
    <row r="240" spans="1:10" ht="18" customHeight="1">
      <c r="A240" s="64"/>
      <c r="B240" s="18"/>
      <c r="C240" s="18"/>
      <c r="D240" s="18"/>
      <c r="E240" s="18"/>
      <c r="F240" s="37"/>
      <c r="G240" s="3888">
        <f>I238</f>
        <v>185</v>
      </c>
      <c r="H240" s="3910">
        <f>SUM(G240*13/3)</f>
        <v>801.66666666666663</v>
      </c>
      <c r="I240" s="3888">
        <f>SUM(H240*12)</f>
        <v>9620</v>
      </c>
      <c r="J240" s="19"/>
    </row>
    <row r="241" spans="1:10" ht="18" customHeight="1">
      <c r="A241" s="64"/>
      <c r="B241" s="18"/>
      <c r="C241" s="18"/>
      <c r="D241" s="18"/>
      <c r="E241" s="18"/>
      <c r="F241" s="37"/>
      <c r="G241" s="18"/>
      <c r="H241" s="45"/>
      <c r="I241" s="18"/>
      <c r="J241" s="19"/>
    </row>
    <row r="242" spans="1:10" ht="18" customHeight="1">
      <c r="A242" t="s">
        <v>925</v>
      </c>
      <c r="B242" s="18"/>
      <c r="C242" s="18"/>
      <c r="D242" s="18"/>
      <c r="E242" s="18"/>
      <c r="F242" s="37"/>
      <c r="G242" s="37"/>
      <c r="H242" s="37"/>
      <c r="I242" s="18"/>
      <c r="J242" s="19"/>
    </row>
    <row r="243" spans="1:10" ht="18" customHeight="1">
      <c r="A243" s="296" t="s">
        <v>926</v>
      </c>
      <c r="B243" s="319" t="s">
        <v>94</v>
      </c>
      <c r="C243" s="320" t="s">
        <v>95</v>
      </c>
      <c r="D243" s="320" t="s">
        <v>96</v>
      </c>
      <c r="E243" s="320" t="s">
        <v>97</v>
      </c>
      <c r="F243" s="320" t="s">
        <v>98</v>
      </c>
      <c r="G243" s="320" t="s">
        <v>99</v>
      </c>
      <c r="H243" s="251" t="s">
        <v>100</v>
      </c>
      <c r="I243" s="252" t="s">
        <v>147</v>
      </c>
      <c r="J243" s="321" t="s">
        <v>101</v>
      </c>
    </row>
    <row r="244" spans="1:10" ht="18" customHeight="1">
      <c r="A244" s="452" t="s">
        <v>385</v>
      </c>
      <c r="B244" s="413" t="s">
        <v>927</v>
      </c>
      <c r="C244" s="432" t="s">
        <v>928</v>
      </c>
      <c r="D244" s="413" t="s">
        <v>927</v>
      </c>
      <c r="E244" s="413" t="s">
        <v>927</v>
      </c>
      <c r="F244" s="400" t="s">
        <v>929</v>
      </c>
      <c r="G244" s="432"/>
      <c r="H244" s="413"/>
      <c r="I244" s="400"/>
      <c r="J244" s="408" t="s">
        <v>0</v>
      </c>
    </row>
    <row r="245" spans="1:10" ht="18" customHeight="1">
      <c r="A245" s="3993" t="s">
        <v>0</v>
      </c>
      <c r="B245" s="3994" t="s">
        <v>930</v>
      </c>
      <c r="C245" s="3994" t="s">
        <v>930</v>
      </c>
      <c r="D245" s="3994" t="s">
        <v>930</v>
      </c>
      <c r="E245" s="3994" t="s">
        <v>930</v>
      </c>
      <c r="F245" s="3994" t="s">
        <v>931</v>
      </c>
      <c r="G245" s="3978"/>
      <c r="H245" s="3899"/>
      <c r="I245" s="3994"/>
      <c r="J245" s="3970"/>
    </row>
    <row r="246" spans="1:10" ht="18" customHeight="1">
      <c r="A246" s="3995"/>
      <c r="B246" s="3996">
        <v>7.5</v>
      </c>
      <c r="C246" s="3996">
        <v>7.5</v>
      </c>
      <c r="D246" s="3996">
        <v>7.5</v>
      </c>
      <c r="E246" s="3996">
        <v>7.5</v>
      </c>
      <c r="F246" s="3996">
        <v>7</v>
      </c>
      <c r="G246" s="3997"/>
      <c r="H246" s="3878"/>
      <c r="I246" s="3996"/>
      <c r="J246" s="3998"/>
    </row>
    <row r="247" spans="1:10" ht="18" customHeight="1">
      <c r="A247" s="46" t="s">
        <v>563</v>
      </c>
      <c r="B247" s="65">
        <f>B246</f>
        <v>7.5</v>
      </c>
      <c r="C247" s="65">
        <f>C246</f>
        <v>7.5</v>
      </c>
      <c r="D247" s="65">
        <f>D246</f>
        <v>7.5</v>
      </c>
      <c r="E247" s="65">
        <f>E246</f>
        <v>7.5</v>
      </c>
      <c r="F247" s="65">
        <f>F246</f>
        <v>7</v>
      </c>
      <c r="G247" s="46">
        <f>SUM(G230,G236,G239,G242,G245)</f>
        <v>0</v>
      </c>
      <c r="H247" s="46">
        <f>SUM(H230,H236,H239,H242,H245)</f>
        <v>0</v>
      </c>
      <c r="I247" s="66">
        <v>37</v>
      </c>
      <c r="J247" s="50"/>
    </row>
    <row r="248" spans="1:10" ht="18" customHeight="1">
      <c r="A248" s="64"/>
      <c r="B248" s="18"/>
      <c r="C248" s="18"/>
      <c r="D248" s="18"/>
      <c r="E248" s="18"/>
      <c r="F248" s="37"/>
      <c r="G248" s="3909" t="s">
        <v>679</v>
      </c>
      <c r="H248" s="3909" t="s">
        <v>680</v>
      </c>
      <c r="I248" s="3909" t="s">
        <v>681</v>
      </c>
      <c r="J248" s="19"/>
    </row>
    <row r="249" spans="1:10" ht="18" customHeight="1">
      <c r="A249" s="64"/>
      <c r="B249" s="18"/>
      <c r="C249" s="18"/>
      <c r="D249" s="18"/>
      <c r="E249" s="18"/>
      <c r="F249" s="37"/>
      <c r="G249" s="3888">
        <f>I247</f>
        <v>37</v>
      </c>
      <c r="H249" s="3910">
        <f>SUM(G249*13/3)</f>
        <v>160.33333333333334</v>
      </c>
      <c r="I249" s="3888">
        <f>SUM(H249*12)</f>
        <v>1924</v>
      </c>
      <c r="J249" s="19"/>
    </row>
    <row r="250" spans="1:10" ht="18" customHeight="1">
      <c r="A250" s="64"/>
      <c r="B250" s="18"/>
      <c r="C250" s="18"/>
      <c r="D250" s="18"/>
      <c r="E250" s="18"/>
      <c r="F250" s="37"/>
      <c r="G250" s="37"/>
      <c r="H250" s="37"/>
      <c r="I250" s="18"/>
      <c r="J250" s="19"/>
    </row>
    <row r="251" spans="1:10" ht="18" customHeight="1">
      <c r="A251" s="64"/>
      <c r="B251" s="18"/>
      <c r="C251" s="18"/>
      <c r="D251" s="18"/>
      <c r="E251" s="18"/>
      <c r="F251" s="37"/>
      <c r="G251" s="37"/>
      <c r="H251" s="37"/>
      <c r="I251" s="18"/>
      <c r="J251" s="19"/>
    </row>
    <row r="252" spans="1:10" ht="18" customHeight="1">
      <c r="A252" s="64"/>
      <c r="B252" s="18"/>
      <c r="C252" s="18"/>
      <c r="D252" s="18"/>
      <c r="E252" s="18"/>
      <c r="F252" s="37"/>
      <c r="G252" s="37"/>
      <c r="H252" s="37"/>
      <c r="I252" s="18"/>
      <c r="J252" s="19"/>
    </row>
    <row r="253" spans="1:10" ht="18" customHeight="1">
      <c r="A253" s="64"/>
      <c r="B253" s="18"/>
      <c r="C253" s="18"/>
      <c r="D253" s="18"/>
      <c r="E253" s="18"/>
      <c r="F253" s="37"/>
      <c r="G253" s="37"/>
      <c r="H253" s="37"/>
      <c r="I253" s="18"/>
      <c r="J253" s="19"/>
    </row>
    <row r="254" spans="1:10" ht="20.100000000000001" customHeight="1">
      <c r="A254" s="64" t="s">
        <v>932</v>
      </c>
      <c r="B254" s="18"/>
      <c r="C254" s="18"/>
      <c r="D254" s="18"/>
      <c r="E254" s="18"/>
      <c r="F254" s="37"/>
      <c r="G254" s="37"/>
      <c r="H254" s="37"/>
      <c r="I254" s="18"/>
      <c r="J254" s="19"/>
    </row>
    <row r="255" spans="1:10" ht="20.100000000000001" customHeight="1">
      <c r="A255" s="324" t="s">
        <v>933</v>
      </c>
      <c r="B255" s="319" t="s">
        <v>94</v>
      </c>
      <c r="C255" s="320" t="s">
        <v>95</v>
      </c>
      <c r="D255" s="320" t="s">
        <v>96</v>
      </c>
      <c r="E255" s="320" t="s">
        <v>97</v>
      </c>
      <c r="F255" s="320" t="s">
        <v>98</v>
      </c>
      <c r="G255" s="320" t="s">
        <v>99</v>
      </c>
      <c r="H255" s="251" t="s">
        <v>100</v>
      </c>
      <c r="I255" s="252" t="s">
        <v>147</v>
      </c>
      <c r="J255" s="321" t="s">
        <v>101</v>
      </c>
    </row>
    <row r="256" spans="1:10" ht="20.100000000000001" customHeight="1">
      <c r="A256" s="405" t="s">
        <v>0</v>
      </c>
      <c r="B256" s="398" t="s">
        <v>934</v>
      </c>
      <c r="C256" s="398" t="s">
        <v>934</v>
      </c>
      <c r="D256" s="398" t="s">
        <v>934</v>
      </c>
      <c r="E256" s="398" t="s">
        <v>934</v>
      </c>
      <c r="F256" s="398" t="s">
        <v>934</v>
      </c>
      <c r="G256" s="398"/>
      <c r="H256" s="398"/>
      <c r="I256" s="368"/>
      <c r="J256" s="408"/>
    </row>
    <row r="257" spans="1:10" ht="20.100000000000001" customHeight="1">
      <c r="A257" s="3991" t="s">
        <v>935</v>
      </c>
      <c r="B257" s="3906">
        <v>8.5</v>
      </c>
      <c r="C257" s="3906">
        <v>8.5</v>
      </c>
      <c r="D257" s="3906">
        <v>8.5</v>
      </c>
      <c r="E257" s="3906">
        <v>8.5</v>
      </c>
      <c r="F257" s="3906">
        <v>8.5</v>
      </c>
      <c r="G257" s="3906"/>
      <c r="H257" s="3906"/>
      <c r="I257" s="3888">
        <f>SUM(B257:H257)</f>
        <v>42.5</v>
      </c>
      <c r="J257" s="3970"/>
    </row>
    <row r="258" spans="1:10" ht="20.100000000000001" customHeight="1">
      <c r="A258" s="3992"/>
      <c r="B258" s="781" t="s">
        <v>936</v>
      </c>
      <c r="C258" s="781" t="s">
        <v>936</v>
      </c>
      <c r="D258" s="781" t="s">
        <v>936</v>
      </c>
      <c r="E258" s="781" t="s">
        <v>936</v>
      </c>
      <c r="F258" s="781" t="s">
        <v>936</v>
      </c>
      <c r="G258" s="781"/>
      <c r="H258" s="781"/>
      <c r="I258" s="758"/>
      <c r="J258" s="757"/>
    </row>
    <row r="259" spans="1:10" ht="20.100000000000001" customHeight="1">
      <c r="A259" s="405" t="s">
        <v>0</v>
      </c>
      <c r="B259" s="398" t="s">
        <v>937</v>
      </c>
      <c r="C259" s="398" t="s">
        <v>937</v>
      </c>
      <c r="D259" s="398" t="s">
        <v>937</v>
      </c>
      <c r="E259" s="398" t="s">
        <v>937</v>
      </c>
      <c r="F259" s="398" t="s">
        <v>937</v>
      </c>
      <c r="G259" s="398" t="s">
        <v>938</v>
      </c>
      <c r="H259" s="398" t="s">
        <v>938</v>
      </c>
      <c r="I259" s="368"/>
      <c r="J259" s="408" t="s">
        <v>939</v>
      </c>
    </row>
    <row r="260" spans="1:10" ht="20.100000000000001" customHeight="1">
      <c r="A260" s="3991" t="s">
        <v>940</v>
      </c>
      <c r="B260" s="3888">
        <v>7</v>
      </c>
      <c r="C260" s="3888">
        <v>7</v>
      </c>
      <c r="D260" s="3888">
        <v>7</v>
      </c>
      <c r="E260" s="3888">
        <v>7</v>
      </c>
      <c r="F260" s="3888">
        <v>7</v>
      </c>
      <c r="G260" s="3906">
        <v>12</v>
      </c>
      <c r="H260" s="3906">
        <v>12</v>
      </c>
      <c r="I260" s="3888">
        <f>SUM(B260:H260)</f>
        <v>59</v>
      </c>
      <c r="J260" s="3970" t="s">
        <v>941</v>
      </c>
    </row>
    <row r="261" spans="1:10" ht="20.100000000000001" customHeight="1">
      <c r="A261" s="3992"/>
      <c r="B261" s="781" t="s">
        <v>942</v>
      </c>
      <c r="C261" s="781" t="s">
        <v>942</v>
      </c>
      <c r="D261" s="781" t="s">
        <v>942</v>
      </c>
      <c r="E261" s="781" t="s">
        <v>942</v>
      </c>
      <c r="F261" s="781" t="s">
        <v>942</v>
      </c>
      <c r="G261" s="781" t="s">
        <v>943</v>
      </c>
      <c r="H261" s="781" t="s">
        <v>943</v>
      </c>
      <c r="I261" s="758"/>
      <c r="J261" s="757"/>
    </row>
    <row r="262" spans="1:10" ht="20.100000000000001" customHeight="1">
      <c r="A262" s="405"/>
      <c r="B262" s="406" t="s">
        <v>160</v>
      </c>
      <c r="C262" s="406" t="s">
        <v>160</v>
      </c>
      <c r="D262" s="406" t="s">
        <v>160</v>
      </c>
      <c r="E262" s="406" t="s">
        <v>160</v>
      </c>
      <c r="F262" s="406" t="s">
        <v>160</v>
      </c>
      <c r="G262" s="407"/>
      <c r="H262" s="407"/>
      <c r="I262" s="368"/>
      <c r="J262" s="408"/>
    </row>
    <row r="263" spans="1:10" ht="20.100000000000001" customHeight="1">
      <c r="A263" s="3991" t="s">
        <v>944</v>
      </c>
      <c r="B263" s="3888"/>
      <c r="C263" s="3888"/>
      <c r="D263" s="3888"/>
      <c r="E263" s="3888"/>
      <c r="F263" s="3888"/>
      <c r="G263" s="3906"/>
      <c r="H263" s="3906"/>
      <c r="I263" s="3888">
        <f>SUM(B263:H263)</f>
        <v>0</v>
      </c>
      <c r="J263" s="3970"/>
    </row>
    <row r="264" spans="1:10" ht="20.100000000000001" customHeight="1">
      <c r="A264" s="3992"/>
      <c r="B264" s="503" t="s">
        <v>945</v>
      </c>
      <c r="C264" s="503" t="s">
        <v>945</v>
      </c>
      <c r="D264" s="503" t="s">
        <v>945</v>
      </c>
      <c r="E264" s="503" t="s">
        <v>945</v>
      </c>
      <c r="F264" s="503" t="s">
        <v>945</v>
      </c>
      <c r="G264" s="758"/>
      <c r="H264" s="759"/>
      <c r="I264" s="758"/>
      <c r="J264" s="757"/>
    </row>
    <row r="265" spans="1:10" ht="20.100000000000001" customHeight="1">
      <c r="A265" s="445"/>
      <c r="B265" s="398" t="s">
        <v>946</v>
      </c>
      <c r="C265" s="398" t="s">
        <v>946</v>
      </c>
      <c r="D265" s="398" t="s">
        <v>946</v>
      </c>
      <c r="E265" s="398" t="s">
        <v>946</v>
      </c>
      <c r="F265" s="398" t="s">
        <v>946</v>
      </c>
      <c r="G265" s="407"/>
      <c r="H265" s="407"/>
      <c r="I265" s="368"/>
      <c r="J265" s="408" t="s">
        <v>0</v>
      </c>
    </row>
    <row r="266" spans="1:10" ht="20.100000000000001" customHeight="1">
      <c r="A266" s="3991" t="s">
        <v>947</v>
      </c>
      <c r="B266" s="3888">
        <v>7.75</v>
      </c>
      <c r="C266" s="3888">
        <v>7.75</v>
      </c>
      <c r="D266" s="3888">
        <v>7.75</v>
      </c>
      <c r="E266" s="3888">
        <v>7.75</v>
      </c>
      <c r="F266" s="3888">
        <v>7.75</v>
      </c>
      <c r="G266" s="3906"/>
      <c r="H266" s="3906"/>
      <c r="I266" s="3888">
        <f>SUM(B266:H266)</f>
        <v>38.75</v>
      </c>
      <c r="J266" s="3970"/>
    </row>
    <row r="267" spans="1:10" ht="20.100000000000001" customHeight="1">
      <c r="A267" s="3992"/>
      <c r="B267" s="781" t="s">
        <v>948</v>
      </c>
      <c r="C267" s="781" t="s">
        <v>948</v>
      </c>
      <c r="D267" s="781" t="s">
        <v>948</v>
      </c>
      <c r="E267" s="781" t="s">
        <v>948</v>
      </c>
      <c r="F267" s="781" t="s">
        <v>948</v>
      </c>
      <c r="G267" s="759"/>
      <c r="H267" s="759"/>
      <c r="I267" s="758"/>
      <c r="J267" s="757"/>
    </row>
    <row r="268" spans="1:10" ht="20.100000000000001" customHeight="1">
      <c r="A268" s="405"/>
      <c r="B268" s="406"/>
      <c r="C268" s="406"/>
      <c r="D268" s="406"/>
      <c r="E268" s="406"/>
      <c r="F268" s="406"/>
      <c r="G268" s="406"/>
      <c r="H268" s="406"/>
      <c r="I268" s="368"/>
      <c r="J268" s="408" t="s">
        <v>0</v>
      </c>
    </row>
    <row r="269" spans="1:10" ht="20.100000000000001" customHeight="1">
      <c r="A269" s="3991" t="s">
        <v>949</v>
      </c>
      <c r="B269" s="3888"/>
      <c r="C269" s="3888"/>
      <c r="D269" s="3888"/>
      <c r="E269" s="3888"/>
      <c r="F269" s="3888"/>
      <c r="G269" s="3906"/>
      <c r="H269" s="3906"/>
      <c r="I269" s="3888">
        <f>SUM(B269:H269)</f>
        <v>0</v>
      </c>
      <c r="J269" s="3970" t="s">
        <v>0</v>
      </c>
    </row>
    <row r="270" spans="1:10" ht="20.100000000000001" customHeight="1">
      <c r="A270" s="3956"/>
      <c r="B270" s="781" t="s">
        <v>950</v>
      </c>
      <c r="C270" s="781" t="s">
        <v>950</v>
      </c>
      <c r="D270" s="781" t="s">
        <v>950</v>
      </c>
      <c r="E270" s="781" t="s">
        <v>950</v>
      </c>
      <c r="F270" s="781" t="s">
        <v>950</v>
      </c>
      <c r="G270" s="760"/>
      <c r="H270" s="760"/>
      <c r="I270" s="457"/>
      <c r="J270" s="465"/>
    </row>
    <row r="271" spans="1:10" ht="20.100000000000001" customHeight="1">
      <c r="A271" s="67"/>
      <c r="B271" s="406"/>
      <c r="C271" s="406"/>
      <c r="D271" s="406"/>
      <c r="E271" s="406"/>
      <c r="F271" s="406"/>
      <c r="G271" s="406"/>
      <c r="H271" s="406"/>
      <c r="I271" s="368"/>
      <c r="J271" s="408" t="s">
        <v>0</v>
      </c>
    </row>
    <row r="272" spans="1:10" ht="20.100000000000001" customHeight="1">
      <c r="A272" s="67" t="s">
        <v>951</v>
      </c>
      <c r="B272" s="3888"/>
      <c r="C272" s="3888"/>
      <c r="D272" s="3888"/>
      <c r="E272" s="3888"/>
      <c r="F272" s="3888"/>
      <c r="G272" s="3906"/>
      <c r="H272" s="3906"/>
      <c r="I272" s="3888">
        <f>SUM(B272:H272)</f>
        <v>0</v>
      </c>
      <c r="J272" s="3970"/>
    </row>
    <row r="273" spans="1:10" ht="20.100000000000001" customHeight="1">
      <c r="A273" s="67"/>
      <c r="B273" s="503"/>
      <c r="C273" s="503"/>
      <c r="D273" s="503"/>
      <c r="E273" s="503"/>
      <c r="F273" s="503"/>
      <c r="G273" s="760"/>
      <c r="H273" s="760"/>
      <c r="I273" s="758"/>
      <c r="J273" s="757"/>
    </row>
    <row r="274" spans="1:10" ht="20.100000000000001" customHeight="1">
      <c r="A274" s="405"/>
      <c r="B274" s="406"/>
      <c r="C274" s="406"/>
      <c r="D274" s="406"/>
      <c r="E274" s="406"/>
      <c r="F274" s="406"/>
      <c r="G274" s="407"/>
      <c r="H274" s="407"/>
      <c r="I274" s="368"/>
      <c r="J274" s="408"/>
    </row>
    <row r="275" spans="1:10" ht="20.100000000000001" customHeight="1">
      <c r="A275" s="3991" t="s">
        <v>952</v>
      </c>
      <c r="B275" s="3888"/>
      <c r="C275" s="3888"/>
      <c r="D275" s="3888"/>
      <c r="E275" s="3888"/>
      <c r="F275" s="3888"/>
      <c r="G275" s="3906"/>
      <c r="H275" s="3906"/>
      <c r="I275" s="3888">
        <f>SUM(B275:H275)</f>
        <v>0</v>
      </c>
      <c r="J275" s="3970"/>
    </row>
    <row r="276" spans="1:10" ht="20.100000000000001" customHeight="1">
      <c r="A276" s="3956"/>
      <c r="B276" s="503"/>
      <c r="C276" s="503"/>
      <c r="D276" s="503"/>
      <c r="E276" s="503"/>
      <c r="F276" s="503"/>
      <c r="G276" s="458"/>
      <c r="H276" s="458"/>
      <c r="I276" s="457"/>
      <c r="J276" s="465"/>
    </row>
    <row r="277" spans="1:10" ht="20.100000000000001" customHeight="1">
      <c r="A277" s="46" t="s">
        <v>563</v>
      </c>
      <c r="B277" s="46">
        <f t="shared" ref="B277:I277" si="6">SUM(B257,B260,B263,B266,B269,B272,B275)</f>
        <v>23.25</v>
      </c>
      <c r="C277" s="46">
        <f t="shared" si="6"/>
        <v>23.25</v>
      </c>
      <c r="D277" s="46">
        <f t="shared" si="6"/>
        <v>23.25</v>
      </c>
      <c r="E277" s="46">
        <f t="shared" si="6"/>
        <v>23.25</v>
      </c>
      <c r="F277" s="46">
        <f t="shared" si="6"/>
        <v>23.25</v>
      </c>
      <c r="G277" s="46">
        <f t="shared" si="6"/>
        <v>12</v>
      </c>
      <c r="H277" s="46">
        <f t="shared" si="6"/>
        <v>12</v>
      </c>
      <c r="I277" s="46">
        <f t="shared" si="6"/>
        <v>140.25</v>
      </c>
      <c r="J277" s="50"/>
    </row>
    <row r="278" spans="1:10" ht="20.100000000000001" customHeight="1">
      <c r="A278" s="64"/>
      <c r="B278" s="18"/>
      <c r="C278" s="18"/>
      <c r="D278" s="18"/>
      <c r="E278" s="18"/>
      <c r="F278" s="37"/>
      <c r="G278" s="3909" t="s">
        <v>679</v>
      </c>
      <c r="H278" s="3909" t="s">
        <v>680</v>
      </c>
      <c r="I278" s="3909" t="s">
        <v>681</v>
      </c>
      <c r="J278" s="19"/>
    </row>
    <row r="279" spans="1:10" ht="20.100000000000001" customHeight="1">
      <c r="A279" s="64"/>
      <c r="B279" s="18"/>
      <c r="C279" s="18"/>
      <c r="D279" s="18"/>
      <c r="E279" s="18"/>
      <c r="F279" s="37"/>
      <c r="G279" s="3888">
        <f>I277</f>
        <v>140.25</v>
      </c>
      <c r="H279" s="3910">
        <f>SUM(G279*13/3)</f>
        <v>607.75</v>
      </c>
      <c r="I279" s="3888">
        <f>SUM(H279*12)</f>
        <v>7293</v>
      </c>
      <c r="J279" s="19"/>
    </row>
    <row r="280" spans="1:10" ht="20.100000000000001" customHeight="1">
      <c r="A280" s="18"/>
      <c r="B280" s="18"/>
      <c r="C280" s="18"/>
      <c r="D280" s="18"/>
      <c r="E280" s="18"/>
      <c r="F280" s="37"/>
      <c r="G280" s="37"/>
      <c r="H280" s="37"/>
      <c r="I280" s="18"/>
      <c r="J280" s="19"/>
    </row>
    <row r="281" spans="1:10" ht="20.100000000000001" customHeight="1">
      <c r="A281" s="18"/>
      <c r="B281" s="18"/>
      <c r="C281" s="18"/>
      <c r="D281" s="18"/>
      <c r="E281" s="18"/>
      <c r="F281" s="37"/>
      <c r="G281" s="37"/>
      <c r="H281" s="37"/>
      <c r="I281" s="18"/>
      <c r="J281" s="19"/>
    </row>
    <row r="282" spans="1:10" ht="20.100000000000001" customHeight="1">
      <c r="A282" s="18"/>
      <c r="B282" s="18"/>
      <c r="C282" s="18"/>
      <c r="D282" s="18"/>
      <c r="E282" s="18"/>
      <c r="F282" s="37"/>
      <c r="G282" s="37"/>
      <c r="H282" s="37"/>
      <c r="I282" s="18"/>
      <c r="J282" s="19"/>
    </row>
    <row r="283" spans="1:10" ht="20.100000000000001" customHeight="1">
      <c r="A283" s="18"/>
      <c r="B283" s="18"/>
      <c r="C283" s="18"/>
      <c r="D283" s="18"/>
      <c r="E283" s="18"/>
      <c r="F283" s="37"/>
      <c r="G283" s="37"/>
      <c r="H283" s="37"/>
      <c r="I283" s="18"/>
      <c r="J283" s="19"/>
    </row>
    <row r="284" spans="1:10" ht="20.100000000000001" customHeight="1">
      <c r="A284" s="18"/>
      <c r="B284" s="59"/>
      <c r="C284" s="59"/>
      <c r="D284" s="59"/>
      <c r="E284" s="59"/>
      <c r="F284" s="59"/>
      <c r="G284" s="37"/>
      <c r="H284" s="37"/>
      <c r="I284" s="18"/>
      <c r="J284" s="19"/>
    </row>
    <row r="285" spans="1:10" ht="20.100000000000001" customHeight="1">
      <c r="A285" s="18"/>
      <c r="B285" s="18"/>
      <c r="C285" s="18"/>
      <c r="D285" s="18"/>
      <c r="E285" s="18"/>
      <c r="F285" s="37"/>
      <c r="G285" s="37"/>
      <c r="H285" s="37"/>
      <c r="I285" s="18"/>
      <c r="J285" s="19"/>
    </row>
    <row r="286" spans="1:10" ht="20.100000000000001" customHeight="1">
      <c r="A286" s="441"/>
      <c r="B286" s="263" t="s">
        <v>94</v>
      </c>
      <c r="C286" s="257" t="s">
        <v>95</v>
      </c>
      <c r="D286" s="257" t="s">
        <v>96</v>
      </c>
      <c r="E286" s="257" t="s">
        <v>97</v>
      </c>
      <c r="F286" s="257" t="s">
        <v>98</v>
      </c>
      <c r="G286" s="257" t="s">
        <v>99</v>
      </c>
      <c r="H286" s="264" t="s">
        <v>100</v>
      </c>
      <c r="I286" s="265" t="s">
        <v>666</v>
      </c>
      <c r="J286" s="19"/>
    </row>
    <row r="287" spans="1:10" ht="20.100000000000001" customHeight="1">
      <c r="A287" s="3912" t="s">
        <v>667</v>
      </c>
      <c r="B287" s="68">
        <f t="shared" ref="B287:I287" si="7">SUM(B4,B11,B53,B65,B116,B163,B169,B189,B204,B238,B247,B277)</f>
        <v>276</v>
      </c>
      <c r="C287" s="68">
        <f t="shared" si="7"/>
        <v>276</v>
      </c>
      <c r="D287" s="68">
        <f t="shared" si="7"/>
        <v>276</v>
      </c>
      <c r="E287" s="68">
        <f t="shared" si="7"/>
        <v>276</v>
      </c>
      <c r="F287" s="68">
        <f t="shared" si="7"/>
        <v>246.5</v>
      </c>
      <c r="G287" s="68">
        <f t="shared" si="7"/>
        <v>105</v>
      </c>
      <c r="H287" s="68">
        <f t="shared" si="7"/>
        <v>108</v>
      </c>
      <c r="I287" s="68">
        <f t="shared" si="7"/>
        <v>1526.5</v>
      </c>
      <c r="J287" s="19"/>
    </row>
    <row r="288" spans="1:10" ht="20.100000000000001" customHeight="1">
      <c r="A288" s="3916" t="s">
        <v>669</v>
      </c>
      <c r="B288" s="457">
        <f t="shared" ref="B288:I288" si="8">SUM(B287*52)</f>
        <v>14352</v>
      </c>
      <c r="C288" s="457">
        <f t="shared" si="8"/>
        <v>14352</v>
      </c>
      <c r="D288" s="457">
        <f t="shared" si="8"/>
        <v>14352</v>
      </c>
      <c r="E288" s="457">
        <f t="shared" si="8"/>
        <v>14352</v>
      </c>
      <c r="F288" s="457">
        <f t="shared" si="8"/>
        <v>12818</v>
      </c>
      <c r="G288" s="457">
        <f t="shared" si="8"/>
        <v>5460</v>
      </c>
      <c r="H288" s="457">
        <f t="shared" si="8"/>
        <v>5616</v>
      </c>
      <c r="I288" s="457">
        <f t="shared" si="8"/>
        <v>79378</v>
      </c>
      <c r="J288" s="19"/>
    </row>
    <row r="289" spans="1:10" ht="20.100000000000001" customHeight="1">
      <c r="J289" s="19"/>
    </row>
    <row r="290" spans="1:10" ht="20.100000000000001" customHeight="1">
      <c r="J290" s="37" t="s">
        <v>0</v>
      </c>
    </row>
    <row r="291" spans="1:10" ht="20.100000000000001" customHeight="1">
      <c r="A291" s="442" t="s">
        <v>855</v>
      </c>
      <c r="B291" s="400"/>
      <c r="C291" s="400"/>
      <c r="D291" s="400"/>
      <c r="E291" s="406">
        <v>56</v>
      </c>
      <c r="F291" s="400"/>
      <c r="G291" s="400"/>
      <c r="H291" s="368"/>
      <c r="I291" s="443">
        <f>SUM(E291)*26</f>
        <v>1456</v>
      </c>
      <c r="J291" s="18" t="s">
        <v>0</v>
      </c>
    </row>
    <row r="292" spans="1:10" ht="20.100000000000001" customHeight="1">
      <c r="A292" s="2571" t="s">
        <v>856</v>
      </c>
      <c r="B292" s="3902"/>
      <c r="C292" s="3902"/>
      <c r="D292" s="3902"/>
      <c r="E292" s="3902"/>
      <c r="F292" s="3902"/>
      <c r="G292" s="3902"/>
      <c r="H292" s="3902"/>
      <c r="I292" s="3961">
        <f>SUM(I291*2)</f>
        <v>2912</v>
      </c>
    </row>
    <row r="293" spans="1:10" ht="20.100000000000001" customHeight="1">
      <c r="A293" s="3912" t="s">
        <v>672</v>
      </c>
      <c r="B293" s="3899"/>
      <c r="C293" s="3900"/>
      <c r="D293" s="3902"/>
      <c r="E293" s="3902"/>
      <c r="F293" s="3902"/>
      <c r="G293" s="3902"/>
      <c r="H293" s="3902"/>
      <c r="I293" s="3961">
        <f>48*12</f>
        <v>576</v>
      </c>
    </row>
    <row r="294" spans="1:10" ht="20.100000000000001" customHeight="1">
      <c r="A294" s="2574" t="s">
        <v>666</v>
      </c>
      <c r="B294" s="3879"/>
      <c r="C294" s="3879"/>
      <c r="D294" s="3879"/>
      <c r="E294" s="3879"/>
      <c r="F294" s="3879"/>
      <c r="G294" s="3879"/>
      <c r="H294" s="3879"/>
      <c r="I294" s="3962">
        <f>SUM(I291:I293)</f>
        <v>4944</v>
      </c>
    </row>
    <row r="295" spans="1:10" ht="20.100000000000001" customHeight="1">
      <c r="I295" s="42"/>
    </row>
    <row r="296" spans="1:10" ht="20.100000000000001" customHeight="1">
      <c r="I296" s="42"/>
    </row>
    <row r="297" spans="1:10" ht="20.100000000000001" customHeight="1">
      <c r="A297" s="3903" t="s">
        <v>673</v>
      </c>
      <c r="B297" s="3903"/>
      <c r="C297" s="3903"/>
      <c r="D297" s="3903"/>
      <c r="E297" s="3903"/>
      <c r="F297" s="3903"/>
      <c r="G297" s="3903"/>
      <c r="H297" s="3903"/>
      <c r="I297" s="3905">
        <f>SUM(I288+I294)</f>
        <v>84322</v>
      </c>
      <c r="J297" t="s">
        <v>953</v>
      </c>
    </row>
  </sheetData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1"/>
  <dimension ref="A1:N20"/>
  <sheetViews>
    <sheetView zoomScale="67" zoomScaleNormal="67" workbookViewId="0">
      <selection activeCell="AL192" sqref="AL192"/>
    </sheetView>
  </sheetViews>
  <sheetFormatPr defaultRowHeight="12"/>
  <cols>
    <col min="1" max="1" width="10.140625" customWidth="1"/>
    <col min="2" max="2" width="17.85546875" customWidth="1"/>
    <col min="3" max="3" width="27.5703125" customWidth="1"/>
    <col min="4" max="4" width="8.140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>
      <c r="A1" s="4036" t="s">
        <v>954</v>
      </c>
      <c r="B1" s="4036"/>
      <c r="C1" s="4036"/>
      <c r="D1" s="4036"/>
      <c r="E1" s="4036"/>
      <c r="F1" s="4036"/>
      <c r="G1" s="4036"/>
      <c r="H1" s="4036"/>
      <c r="I1" s="4036"/>
      <c r="J1" s="4036"/>
      <c r="K1" s="4036"/>
      <c r="L1" s="4036"/>
      <c r="M1" s="4036"/>
      <c r="N1" s="4036"/>
    </row>
    <row r="2" spans="1:14" ht="32.25" customHeight="1">
      <c r="A2" s="347"/>
      <c r="B2" s="297" t="s">
        <v>955</v>
      </c>
      <c r="C2" s="297" t="s">
        <v>956</v>
      </c>
      <c r="D2" s="298" t="s">
        <v>957</v>
      </c>
      <c r="E2" s="298" t="s">
        <v>958</v>
      </c>
      <c r="F2" s="347"/>
      <c r="G2" s="299" t="s">
        <v>959</v>
      </c>
      <c r="H2" s="299"/>
      <c r="I2" s="300"/>
      <c r="J2" s="347"/>
      <c r="K2" s="299" t="s">
        <v>960</v>
      </c>
      <c r="L2" s="299"/>
      <c r="M2" s="300"/>
      <c r="N2" s="300" t="s">
        <v>101</v>
      </c>
    </row>
    <row r="3" spans="1:14" ht="12.75">
      <c r="A3" s="127"/>
      <c r="B3" s="128" t="s">
        <v>0</v>
      </c>
      <c r="C3" s="128"/>
      <c r="D3" s="129"/>
      <c r="E3" s="129"/>
      <c r="F3" s="130" t="s">
        <v>961</v>
      </c>
      <c r="G3" s="131" t="s">
        <v>962</v>
      </c>
      <c r="H3" s="131" t="s">
        <v>963</v>
      </c>
      <c r="I3" s="132" t="s">
        <v>964</v>
      </c>
      <c r="J3" s="130" t="s">
        <v>961</v>
      </c>
      <c r="K3" s="131" t="s">
        <v>962</v>
      </c>
      <c r="L3" s="131" t="s">
        <v>963</v>
      </c>
      <c r="M3" s="132" t="s">
        <v>964</v>
      </c>
      <c r="N3" s="133"/>
    </row>
    <row r="4" spans="1:14" ht="48.75" customHeight="1">
      <c r="A4" s="3999" t="s">
        <v>965</v>
      </c>
      <c r="B4" s="4000" t="s">
        <v>966</v>
      </c>
      <c r="C4" s="4001" t="s">
        <v>967</v>
      </c>
      <c r="D4" s="4002" t="s">
        <v>968</v>
      </c>
      <c r="E4" s="4003" t="s">
        <v>503</v>
      </c>
      <c r="F4" s="4004"/>
      <c r="G4" s="4005"/>
      <c r="H4" s="4006"/>
      <c r="I4" s="4006"/>
      <c r="J4" s="4004"/>
      <c r="K4" s="4006"/>
      <c r="L4" s="4006"/>
      <c r="M4" s="4007"/>
      <c r="N4" s="4008"/>
    </row>
    <row r="5" spans="1:14" ht="12.75">
      <c r="A5" s="134"/>
      <c r="B5" s="134"/>
      <c r="C5" s="134"/>
      <c r="D5" s="134"/>
      <c r="E5" s="134"/>
      <c r="F5" s="135"/>
      <c r="G5" s="135"/>
      <c r="H5" s="135"/>
      <c r="I5" s="135"/>
      <c r="J5" s="135"/>
      <c r="K5" s="135"/>
      <c r="L5" s="135"/>
      <c r="M5" s="135"/>
      <c r="N5" s="134"/>
    </row>
    <row r="6" spans="1:14" ht="32.25" customHeight="1">
      <c r="A6" s="347"/>
      <c r="B6" s="297" t="s">
        <v>969</v>
      </c>
      <c r="C6" s="297" t="s">
        <v>956</v>
      </c>
      <c r="D6" s="298" t="s">
        <v>957</v>
      </c>
      <c r="E6" s="298" t="s">
        <v>958</v>
      </c>
      <c r="F6" s="348"/>
      <c r="G6" s="301" t="s">
        <v>959</v>
      </c>
      <c r="H6" s="301"/>
      <c r="I6" s="302"/>
      <c r="J6" s="348"/>
      <c r="K6" s="301" t="s">
        <v>960</v>
      </c>
      <c r="L6" s="301"/>
      <c r="M6" s="302"/>
      <c r="N6" s="300" t="s">
        <v>101</v>
      </c>
    </row>
    <row r="7" spans="1:14" ht="12.75">
      <c r="A7" s="127"/>
      <c r="B7" s="128" t="s">
        <v>0</v>
      </c>
      <c r="C7" s="128"/>
      <c r="D7" s="129"/>
      <c r="E7" s="129"/>
      <c r="F7" s="130" t="s">
        <v>961</v>
      </c>
      <c r="G7" s="131" t="s">
        <v>962</v>
      </c>
      <c r="H7" s="131" t="s">
        <v>963</v>
      </c>
      <c r="I7" s="132" t="s">
        <v>964</v>
      </c>
      <c r="J7" s="130" t="s">
        <v>961</v>
      </c>
      <c r="K7" s="131" t="s">
        <v>962</v>
      </c>
      <c r="L7" s="131" t="s">
        <v>963</v>
      </c>
      <c r="M7" s="132" t="s">
        <v>964</v>
      </c>
      <c r="N7" s="133"/>
    </row>
    <row r="8" spans="1:14" ht="36" customHeight="1">
      <c r="A8" s="136" t="s">
        <v>970</v>
      </c>
      <c r="B8" s="4000" t="s">
        <v>971</v>
      </c>
      <c r="C8" s="4001" t="s">
        <v>972</v>
      </c>
      <c r="D8" s="4009" t="s">
        <v>973</v>
      </c>
      <c r="E8" s="4010" t="s">
        <v>974</v>
      </c>
      <c r="F8" s="4011">
        <v>0</v>
      </c>
      <c r="G8" s="4012">
        <v>0</v>
      </c>
      <c r="H8" s="4012">
        <v>0</v>
      </c>
      <c r="I8" s="4013">
        <v>0</v>
      </c>
      <c r="J8" s="4011">
        <v>0</v>
      </c>
      <c r="K8" s="4012">
        <v>0</v>
      </c>
      <c r="L8" s="4012">
        <v>0</v>
      </c>
      <c r="M8" s="4013"/>
      <c r="N8" s="4014"/>
    </row>
    <row r="9" spans="1:14" ht="39.75" customHeight="1">
      <c r="A9" s="136" t="s">
        <v>498</v>
      </c>
      <c r="B9" s="767" t="s">
        <v>975</v>
      </c>
      <c r="C9" s="4015" t="s">
        <v>976</v>
      </c>
      <c r="D9" s="4016" t="s">
        <v>977</v>
      </c>
      <c r="E9" s="4010" t="s">
        <v>974</v>
      </c>
      <c r="F9" s="4011" t="s">
        <v>0</v>
      </c>
      <c r="G9" s="4012"/>
      <c r="H9" s="4012">
        <v>4</v>
      </c>
      <c r="I9" s="4013"/>
      <c r="J9" s="4011">
        <v>0</v>
      </c>
      <c r="K9" s="4012">
        <v>0</v>
      </c>
      <c r="L9" s="4012" t="s">
        <v>0</v>
      </c>
      <c r="M9" s="4013"/>
      <c r="N9" s="4017"/>
    </row>
    <row r="10" spans="1:14" ht="39" customHeight="1">
      <c r="A10" s="137" t="s">
        <v>978</v>
      </c>
      <c r="B10" s="4000" t="s">
        <v>971</v>
      </c>
      <c r="C10" s="4001" t="s">
        <v>972</v>
      </c>
      <c r="D10" s="4009" t="s">
        <v>973</v>
      </c>
      <c r="E10" s="4010" t="s">
        <v>979</v>
      </c>
      <c r="F10" s="4011">
        <v>0</v>
      </c>
      <c r="G10" s="4012">
        <v>0</v>
      </c>
      <c r="H10" s="4012">
        <v>0</v>
      </c>
      <c r="I10" s="4013">
        <v>0</v>
      </c>
      <c r="J10" s="4011">
        <v>0</v>
      </c>
      <c r="K10" s="4012">
        <v>0</v>
      </c>
      <c r="L10" s="4012">
        <v>0</v>
      </c>
      <c r="M10" s="4013"/>
      <c r="N10" s="4014"/>
    </row>
    <row r="11" spans="1:14" ht="45">
      <c r="A11" s="137" t="s">
        <v>980</v>
      </c>
      <c r="B11" s="767" t="s">
        <v>975</v>
      </c>
      <c r="C11" s="4015" t="s">
        <v>976</v>
      </c>
      <c r="D11" s="4016" t="s">
        <v>977</v>
      </c>
      <c r="E11" s="4010" t="s">
        <v>981</v>
      </c>
      <c r="F11" s="4011" t="s">
        <v>0</v>
      </c>
      <c r="G11" s="4012"/>
      <c r="H11" s="4012">
        <v>4</v>
      </c>
      <c r="I11" s="4013"/>
      <c r="J11" s="4011">
        <v>0</v>
      </c>
      <c r="K11" s="4012">
        <v>0</v>
      </c>
      <c r="L11" s="4012">
        <v>0</v>
      </c>
      <c r="M11" s="4013"/>
      <c r="N11" s="4017"/>
    </row>
    <row r="12" spans="1:14" ht="36" customHeight="1">
      <c r="A12" s="138" t="s">
        <v>982</v>
      </c>
      <c r="B12" s="4000" t="s">
        <v>971</v>
      </c>
      <c r="C12" s="4001" t="s">
        <v>972</v>
      </c>
      <c r="D12" s="4009" t="s">
        <v>973</v>
      </c>
      <c r="E12" s="4010" t="s">
        <v>983</v>
      </c>
      <c r="F12" s="4011">
        <v>0</v>
      </c>
      <c r="G12" s="4012">
        <v>0</v>
      </c>
      <c r="H12" s="4012">
        <v>0</v>
      </c>
      <c r="I12" s="4013">
        <v>0</v>
      </c>
      <c r="J12" s="4011">
        <v>0</v>
      </c>
      <c r="K12" s="4012">
        <v>0</v>
      </c>
      <c r="L12" s="4012">
        <v>0</v>
      </c>
      <c r="M12" s="4013"/>
      <c r="N12" s="4014"/>
    </row>
    <row r="13" spans="1:14" ht="37.5" customHeight="1">
      <c r="A13" s="138" t="s">
        <v>298</v>
      </c>
      <c r="B13" s="767" t="s">
        <v>975</v>
      </c>
      <c r="C13" s="4015" t="s">
        <v>976</v>
      </c>
      <c r="D13" s="4016" t="s">
        <v>977</v>
      </c>
      <c r="E13" s="4010" t="s">
        <v>983</v>
      </c>
      <c r="F13" s="4011" t="s">
        <v>0</v>
      </c>
      <c r="G13" s="4012"/>
      <c r="H13" s="4012">
        <v>4</v>
      </c>
      <c r="I13" s="4013"/>
      <c r="J13" s="4011">
        <v>0</v>
      </c>
      <c r="K13" s="4012">
        <v>0</v>
      </c>
      <c r="L13" s="4012">
        <v>0</v>
      </c>
      <c r="M13" s="4013"/>
      <c r="N13" s="4017"/>
    </row>
    <row r="14" spans="1:14" ht="36" customHeight="1">
      <c r="A14" s="139" t="s">
        <v>984</v>
      </c>
      <c r="B14" s="4000" t="s">
        <v>971</v>
      </c>
      <c r="C14" s="4001" t="s">
        <v>972</v>
      </c>
      <c r="D14" s="4009" t="s">
        <v>973</v>
      </c>
      <c r="E14" s="4010" t="s">
        <v>983</v>
      </c>
      <c r="F14" s="4011">
        <v>0</v>
      </c>
      <c r="G14" s="4012">
        <v>0</v>
      </c>
      <c r="H14" s="4012">
        <v>0</v>
      </c>
      <c r="I14" s="4013">
        <v>0</v>
      </c>
      <c r="J14" s="4011">
        <v>0</v>
      </c>
      <c r="K14" s="4012">
        <v>0</v>
      </c>
      <c r="L14" s="4012">
        <v>0</v>
      </c>
      <c r="M14" s="4013"/>
      <c r="N14" s="4014"/>
    </row>
    <row r="15" spans="1:14" ht="45">
      <c r="A15" s="504" t="s">
        <v>985</v>
      </c>
      <c r="B15" s="478" t="s">
        <v>975</v>
      </c>
      <c r="C15" s="4018" t="s">
        <v>976</v>
      </c>
      <c r="D15" s="4019" t="s">
        <v>977</v>
      </c>
      <c r="E15" s="4020" t="s">
        <v>983</v>
      </c>
      <c r="F15" s="4021" t="s">
        <v>0</v>
      </c>
      <c r="G15" s="4022"/>
      <c r="H15" s="4022">
        <v>4</v>
      </c>
      <c r="I15" s="4023"/>
      <c r="J15" s="4021">
        <v>0</v>
      </c>
      <c r="K15" s="4022">
        <v>0</v>
      </c>
      <c r="L15" s="4022">
        <v>0</v>
      </c>
      <c r="M15" s="4023"/>
      <c r="N15" s="4024"/>
    </row>
    <row r="16" spans="1:14" ht="36" customHeight="1">
      <c r="A16" s="140"/>
      <c r="B16" s="4000" t="s">
        <v>971</v>
      </c>
      <c r="C16" s="4001" t="s">
        <v>972</v>
      </c>
      <c r="D16" s="4009" t="s">
        <v>973</v>
      </c>
      <c r="E16" s="4010" t="s">
        <v>986</v>
      </c>
      <c r="F16" s="4011">
        <v>0</v>
      </c>
      <c r="G16" s="4012">
        <v>0</v>
      </c>
      <c r="H16" s="4012">
        <v>0</v>
      </c>
      <c r="I16" s="4013">
        <v>0</v>
      </c>
      <c r="J16" s="4025"/>
      <c r="K16" s="4026"/>
      <c r="L16" s="4026"/>
      <c r="M16" s="4027"/>
      <c r="N16" s="4028"/>
    </row>
    <row r="17" spans="1:14" ht="45.75" customHeight="1">
      <c r="A17" s="505" t="s">
        <v>495</v>
      </c>
      <c r="B17" s="478" t="s">
        <v>975</v>
      </c>
      <c r="C17" s="4018" t="s">
        <v>976</v>
      </c>
      <c r="D17" s="4019" t="s">
        <v>977</v>
      </c>
      <c r="E17" s="4020" t="s">
        <v>986</v>
      </c>
      <c r="F17" s="4029"/>
      <c r="G17" s="4030"/>
      <c r="H17" s="4022">
        <v>4</v>
      </c>
      <c r="I17" s="4031"/>
      <c r="J17" s="4029"/>
      <c r="K17" s="4030"/>
      <c r="L17" s="4030"/>
      <c r="M17" s="4031"/>
      <c r="N17" s="4032"/>
    </row>
    <row r="18" spans="1:14" ht="12.75">
      <c r="A18" s="134"/>
      <c r="B18" s="134"/>
      <c r="C18" s="134"/>
      <c r="D18" s="134"/>
      <c r="E18" s="134"/>
      <c r="F18" s="135"/>
      <c r="G18" s="135"/>
      <c r="H18" s="135"/>
      <c r="I18" s="135"/>
      <c r="J18" s="135"/>
      <c r="K18" s="135"/>
      <c r="L18" s="135"/>
      <c r="M18" s="135"/>
      <c r="N18" s="134"/>
    </row>
    <row r="19" spans="1:14" ht="12.75">
      <c r="A19" s="134"/>
      <c r="B19" s="134"/>
      <c r="C19" s="134"/>
      <c r="D19" s="134"/>
      <c r="E19" s="134"/>
      <c r="F19" s="135"/>
      <c r="G19" s="135"/>
      <c r="H19" s="135"/>
      <c r="I19" s="135"/>
      <c r="J19" s="135"/>
      <c r="K19" s="135"/>
      <c r="L19" s="135"/>
      <c r="M19" s="135"/>
      <c r="N19" s="134"/>
    </row>
    <row r="20" spans="1:14" ht="18">
      <c r="A20" s="134"/>
      <c r="B20" s="134"/>
      <c r="C20" s="141"/>
      <c r="D20" s="134"/>
      <c r="E20" s="134"/>
      <c r="F20" s="135"/>
      <c r="G20" s="135"/>
      <c r="H20" s="135"/>
      <c r="I20" s="135"/>
      <c r="J20" s="135"/>
      <c r="K20" s="135"/>
      <c r="L20" s="135"/>
      <c r="M20" s="135"/>
      <c r="N20" s="134"/>
    </row>
  </sheetData>
  <sheetProtection selectLockedCells="1" selectUnlockedCells="1"/>
  <mergeCells count="1">
    <mergeCell ref="A1:N1"/>
  </mergeCells>
  <phoneticPr fontId="8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4"/>
  <dimension ref="A1:A3"/>
  <sheetViews>
    <sheetView workbookViewId="0"/>
  </sheetViews>
  <sheetFormatPr defaultRowHeight="12"/>
  <sheetData>
    <row r="1" spans="1:1">
      <c r="A1" s="196" t="s">
        <v>987</v>
      </c>
    </row>
    <row r="2" spans="1:1">
      <c r="A2" s="196" t="s">
        <v>988</v>
      </c>
    </row>
    <row r="3" spans="1:1">
      <c r="A3" s="196" t="s">
        <v>989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Hartvig Morell Nielsen</DisplayName>
        <AccountId>33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21" ma:contentTypeDescription="Opret et nyt dokument." ma:contentTypeScope="" ma:versionID="d1aa7de62efe80bb21950df6e450197f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14b8e5f815d087d67dcc59fc9196c213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 minOccurs="0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nillable="true" ma:displayName="dato" ma:format="DateTime" ma:internalName="dato" ma:readOnly="false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74A16D-7D0F-432C-80FF-48A6AFFF8F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CA86D9-54B4-4348-9CE7-64F24673B21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f03729d-1f1c-4b43-bedd-870f9fd028b5"/>
    <ds:schemaRef ds:uri="http://purl.org/dc/elements/1.1/"/>
    <ds:schemaRef ds:uri="http://schemas.microsoft.com/office/2006/metadata/properties"/>
    <ds:schemaRef ds:uri="45c24c4d-4de2-4a11-996b-ad1b02b5a53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8F0F44B-C013-4755-8AD8-CBE0E64487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23</vt:i4>
      </vt:variant>
      <vt:variant>
        <vt:lpstr>Navngivne områder</vt:lpstr>
      </vt:variant>
      <vt:variant>
        <vt:i4>16</vt:i4>
      </vt:variant>
    </vt:vector>
  </HeadingPairs>
  <TitlesOfParts>
    <vt:vector size="39" baseType="lpstr">
      <vt:lpstr>Ark7</vt:lpstr>
      <vt:lpstr>Ark8</vt:lpstr>
      <vt:lpstr>Ark9</vt:lpstr>
      <vt:lpstr>Ark4</vt:lpstr>
      <vt:lpstr>Maj 2021</vt:lpstr>
      <vt:lpstr>Juni 2021</vt:lpstr>
      <vt:lpstr>Juli 2021</vt:lpstr>
      <vt:lpstr>August 2021</vt:lpstr>
      <vt:lpstr>September 2021</vt:lpstr>
      <vt:lpstr>Oktober 2021</vt:lpstr>
      <vt:lpstr>Marts 2022</vt:lpstr>
      <vt:lpstr>April 2022</vt:lpstr>
      <vt:lpstr>November 2021</vt:lpstr>
      <vt:lpstr>December 2021</vt:lpstr>
      <vt:lpstr>Januar 2022</vt:lpstr>
      <vt:lpstr>Februar 2022</vt:lpstr>
      <vt:lpstr>Prisliste 2021</vt:lpstr>
      <vt:lpstr>Prisliste 2022</vt:lpstr>
      <vt:lpstr>GRUSMUS 2022</vt:lpstr>
      <vt:lpstr>Nøgler GL</vt:lpstr>
      <vt:lpstr>Nøgler januar 2000</vt:lpstr>
      <vt:lpstr>Nøgler m. lønkode</vt:lpstr>
      <vt:lpstr>Balanced 2010</vt:lpstr>
      <vt:lpstr>NormTid</vt:lpstr>
      <vt:lpstr>'Nøgler januar 2000'!Udskriftsområde</vt:lpstr>
      <vt:lpstr>'Nøgler m. lønkode'!Udskriftsområde</vt:lpstr>
      <vt:lpstr>'April 2022'!Udskriftstitler</vt:lpstr>
      <vt:lpstr>'August 2021'!Udskriftstitler</vt:lpstr>
      <vt:lpstr>'Balanced 2010'!Udskriftstitler</vt:lpstr>
      <vt:lpstr>'December 2021'!Udskriftstitler</vt:lpstr>
      <vt:lpstr>'Februar 2022'!Udskriftstitler</vt:lpstr>
      <vt:lpstr>'Januar 2022'!Udskriftstitler</vt:lpstr>
      <vt:lpstr>'Juli 2021'!Udskriftstitler</vt:lpstr>
      <vt:lpstr>'Juni 2021'!Udskriftstitler</vt:lpstr>
      <vt:lpstr>'Maj 2021'!Udskriftstitler</vt:lpstr>
      <vt:lpstr>'Marts 2022'!Udskriftstitler</vt:lpstr>
      <vt:lpstr>'November 2021'!Udskriftstitler</vt:lpstr>
      <vt:lpstr>'Oktober 2021'!Udskriftstitler</vt:lpstr>
      <vt:lpstr>'September 2021'!Udskriftstitler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Jesper Larsen</cp:lastModifiedBy>
  <cp:revision>11</cp:revision>
  <dcterms:created xsi:type="dcterms:W3CDTF">2000-02-23T09:56:36Z</dcterms:created>
  <dcterms:modified xsi:type="dcterms:W3CDTF">2024-03-09T06:49:00Z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35883454-8432-44e3-b24c-ce4d3e1369e2</vt:lpwstr>
  </property>
  <property fmtid="{D5CDD505-2E9C-101B-9397-08002B2CF9AE}" pid="19" name="MediaServiceImageTags">
    <vt:lpwstr/>
  </property>
</Properties>
</file>